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ghi\Documents\Robotics\Scouting 2018\"/>
    </mc:Choice>
  </mc:AlternateContent>
  <xr:revisionPtr revIDLastSave="0" documentId="13_ncr:1_{055AB630-CD64-415B-9D1B-80248679EC36}" xr6:coauthVersionLast="28" xr6:coauthVersionMax="28" xr10:uidLastSave="{00000000-0000-0000-0000-000000000000}"/>
  <bookViews>
    <workbookView xWindow="0" yWindow="0" windowWidth="20490" windowHeight="7230" activeTab="3" xr2:uid="{00000000-000D-0000-FFFF-FFFF00000000}"/>
  </bookViews>
  <sheets>
    <sheet name="Customization" sheetId="1" r:id="rId1"/>
    <sheet name="Data Entry" sheetId="2" r:id="rId2"/>
    <sheet name="Data" sheetId="3" r:id="rId3"/>
    <sheet name="Pick List" sheetId="5" r:id="rId4"/>
    <sheet name="Template" sheetId="4" r:id="rId5"/>
  </sheets>
  <externalReferences>
    <externalReference r:id="rId6"/>
  </externalReferences>
  <definedNames>
    <definedName name="_xlnm._FilterDatabase" localSheetId="2" hidden="1">Data!$A$2:$J$251</definedName>
    <definedName name="Auto1">Data!$B$1:$E$251</definedName>
    <definedName name="Team_Count">Customization!$C$3</definedName>
    <definedName name="Team_Numbers">Customization!$B$3:$B$251</definedName>
  </definedNames>
  <calcPr calcId="171027"/>
</workbook>
</file>

<file path=xl/calcChain.xml><?xml version="1.0" encoding="utf-8"?>
<calcChain xmlns="http://schemas.openxmlformats.org/spreadsheetml/2006/main">
  <c r="Q11" i="4" l="1"/>
  <c r="R11" i="4"/>
  <c r="S11" i="4"/>
  <c r="T11" i="4"/>
  <c r="U11" i="4"/>
  <c r="V11" i="4"/>
  <c r="W11" i="4"/>
  <c r="P11" i="4"/>
  <c r="O11" i="4"/>
  <c r="Y5" i="4"/>
  <c r="Z5" i="4"/>
  <c r="AA5" i="4"/>
  <c r="AB5" i="4"/>
  <c r="AC5" i="4"/>
  <c r="AD5" i="4"/>
  <c r="AE5" i="4"/>
  <c r="AF5" i="4"/>
  <c r="X5" i="4"/>
  <c r="P5" i="4"/>
  <c r="Q5" i="4"/>
  <c r="R5" i="4"/>
  <c r="S5" i="4"/>
  <c r="T5" i="4"/>
  <c r="U5" i="4"/>
  <c r="V5" i="4"/>
  <c r="W5" i="4"/>
  <c r="O5" i="4"/>
  <c r="Y11" i="4" a="1"/>
  <c r="Y11" i="4" s="1"/>
  <c r="Z11" i="4" a="1"/>
  <c r="Z11" i="4"/>
  <c r="AA11" i="4" a="1"/>
  <c r="AA11" i="4" s="1"/>
  <c r="AB11" i="4" a="1"/>
  <c r="AB11" i="4"/>
  <c r="AC11" i="4" a="1"/>
  <c r="AC11" i="4" s="1"/>
  <c r="AD11" i="4" a="1"/>
  <c r="AD11" i="4"/>
  <c r="AE11" i="4" a="1"/>
  <c r="AE11" i="4" s="1"/>
  <c r="AF11" i="4" a="1"/>
  <c r="AF11" i="4" s="1"/>
  <c r="X11" i="4" a="1"/>
  <c r="X11" i="4" s="1"/>
  <c r="N5" i="5"/>
  <c r="N9" i="5"/>
  <c r="N13" i="5"/>
  <c r="N17" i="5"/>
  <c r="N21" i="5"/>
  <c r="N25" i="5"/>
  <c r="N29" i="5"/>
  <c r="N33" i="5"/>
  <c r="N37" i="5"/>
  <c r="N41" i="5"/>
  <c r="N45" i="5"/>
  <c r="N16" i="5"/>
  <c r="N28" i="5"/>
  <c r="N40" i="5"/>
  <c r="N6" i="5"/>
  <c r="N10" i="5"/>
  <c r="N14" i="5"/>
  <c r="N18" i="5"/>
  <c r="N22" i="5"/>
  <c r="N26" i="5"/>
  <c r="N30" i="5"/>
  <c r="N34" i="5"/>
  <c r="N38" i="5"/>
  <c r="N42" i="5"/>
  <c r="N12" i="5"/>
  <c r="N24" i="5"/>
  <c r="N36" i="5"/>
  <c r="N7" i="5"/>
  <c r="N11" i="5"/>
  <c r="N15" i="5"/>
  <c r="N19" i="5"/>
  <c r="N23" i="5"/>
  <c r="N27" i="5"/>
  <c r="N31" i="5"/>
  <c r="N35" i="5"/>
  <c r="N39" i="5"/>
  <c r="N43" i="5"/>
  <c r="N8" i="5"/>
  <c r="N20" i="5"/>
  <c r="N32" i="5"/>
  <c r="N44" i="5"/>
  <c r="N4" i="5"/>
  <c r="D3" i="4" l="1"/>
  <c r="Y17" i="4" l="1"/>
  <c r="Z17" i="4"/>
  <c r="AA17" i="4"/>
  <c r="AB17" i="4"/>
  <c r="AC17" i="4"/>
  <c r="AD17" i="4"/>
  <c r="AE17" i="4"/>
  <c r="AF17" i="4"/>
  <c r="X17" i="4"/>
  <c r="P17" i="4"/>
  <c r="Q17" i="4"/>
  <c r="R17" i="4"/>
  <c r="S17" i="4"/>
  <c r="T17" i="4"/>
  <c r="U17" i="4"/>
  <c r="V17" i="4"/>
  <c r="W17" i="4"/>
  <c r="O17" i="4"/>
  <c r="N17" i="4"/>
  <c r="AH17" i="4" l="1"/>
  <c r="AG17" i="4"/>
  <c r="C3" i="4"/>
  <c r="AI17" i="4" l="1"/>
  <c r="J3" i="4" l="1"/>
  <c r="BA25" i="3"/>
  <c r="AZ21" i="3"/>
  <c r="BA31" i="3"/>
  <c r="AZ195" i="3"/>
  <c r="AZ162" i="3"/>
  <c r="BB199" i="3"/>
  <c r="BA150" i="3"/>
  <c r="BA29" i="3"/>
  <c r="AZ25" i="3"/>
  <c r="BA35" i="3"/>
  <c r="BA49" i="3"/>
  <c r="AZ45" i="3"/>
  <c r="BA55" i="3"/>
  <c r="BC55" i="3"/>
  <c r="AZ197" i="3"/>
  <c r="AZ51" i="3"/>
  <c r="BA178" i="3"/>
  <c r="AZ55" i="3"/>
  <c r="BA107" i="3"/>
  <c r="BA149" i="3"/>
  <c r="BB103" i="3"/>
  <c r="AZ134" i="3"/>
  <c r="BB185" i="3"/>
  <c r="AZ159" i="3"/>
  <c r="BB163" i="3"/>
  <c r="BC41" i="3"/>
  <c r="BC96" i="3"/>
  <c r="BA221" i="3"/>
  <c r="BB222" i="3"/>
  <c r="AY231" i="3"/>
  <c r="AZ68" i="3"/>
  <c r="BB203" i="3"/>
  <c r="BA41" i="3"/>
  <c r="AZ117" i="3"/>
  <c r="BB108" i="3"/>
  <c r="AZ186" i="3"/>
  <c r="BA104" i="3"/>
  <c r="AZ76" i="3"/>
  <c r="AZ41" i="3"/>
  <c r="AZ16" i="3"/>
  <c r="AZ133" i="3"/>
  <c r="BA71" i="3"/>
  <c r="AZ95" i="3"/>
  <c r="BB143" i="3"/>
  <c r="BA194" i="3"/>
  <c r="AZ100" i="3"/>
  <c r="BA102" i="3"/>
  <c r="BB140" i="3"/>
  <c r="BA146" i="3"/>
  <c r="BA59" i="3"/>
  <c r="BB195" i="3"/>
  <c r="BA18" i="3"/>
  <c r="BB173" i="3"/>
  <c r="BB238" i="3"/>
  <c r="BA137" i="3"/>
  <c r="BB29" i="3"/>
  <c r="BA113" i="3"/>
  <c r="BA132" i="3"/>
  <c r="AY64" i="3"/>
  <c r="BB235" i="3"/>
  <c r="AY49" i="3"/>
  <c r="BC87" i="3"/>
  <c r="AY184" i="3"/>
  <c r="BC24" i="3"/>
  <c r="AZ184" i="3"/>
  <c r="BB99" i="3"/>
  <c r="AY176" i="3"/>
  <c r="BC154" i="3"/>
  <c r="BB32" i="3"/>
  <c r="AZ110" i="3"/>
  <c r="BC76" i="3"/>
  <c r="BA181" i="3"/>
  <c r="BC35" i="3"/>
  <c r="BA61" i="3"/>
  <c r="AZ18" i="3"/>
  <c r="AZ128" i="3"/>
  <c r="AZ77" i="3"/>
  <c r="BB62" i="3"/>
  <c r="BB106" i="3"/>
  <c r="BA24" i="3"/>
  <c r="BB164" i="3"/>
  <c r="AZ42" i="3"/>
  <c r="BC56" i="3"/>
  <c r="BA236" i="3"/>
  <c r="BB137" i="3"/>
  <c r="BC68" i="3"/>
  <c r="AZ188" i="3"/>
  <c r="AZ173" i="3"/>
  <c r="BB250" i="3"/>
  <c r="BC234" i="3"/>
  <c r="BC79" i="3"/>
  <c r="BC26" i="3"/>
  <c r="BC16" i="3"/>
  <c r="AZ241" i="3"/>
  <c r="AY141" i="3"/>
  <c r="BC215" i="3"/>
  <c r="AY54" i="3"/>
  <c r="AZ209" i="3"/>
  <c r="AZ81" i="3"/>
  <c r="BC15" i="3"/>
  <c r="AZ126" i="3"/>
  <c r="BC40" i="3"/>
  <c r="BA77" i="3"/>
  <c r="BA17" i="3"/>
  <c r="BB92" i="3"/>
  <c r="BA56" i="3"/>
  <c r="AZ106" i="3"/>
  <c r="AZ71" i="3"/>
  <c r="BB125" i="3"/>
  <c r="AZ194" i="3"/>
  <c r="AZ217" i="3"/>
  <c r="AZ198" i="3"/>
  <c r="BC160" i="3"/>
  <c r="BC231" i="3"/>
  <c r="BC49" i="3"/>
  <c r="BA166" i="3"/>
  <c r="BA241" i="3"/>
  <c r="AY229" i="3"/>
  <c r="BC251" i="3"/>
  <c r="BB70" i="3"/>
  <c r="BC169" i="3"/>
  <c r="BB26" i="3"/>
  <c r="BA127" i="3"/>
  <c r="BB193" i="3"/>
  <c r="BB246" i="3"/>
  <c r="BA192" i="3"/>
  <c r="AZ232" i="3"/>
  <c r="AZ8" i="3"/>
  <c r="BA89" i="3"/>
  <c r="AZ85" i="3"/>
  <c r="BA95" i="3"/>
  <c r="BC130" i="3"/>
  <c r="BC118" i="3"/>
  <c r="BA40" i="3"/>
  <c r="BC60" i="3"/>
  <c r="BA93" i="3"/>
  <c r="AZ89" i="3"/>
  <c r="BA99" i="3"/>
  <c r="BB8" i="3"/>
  <c r="AZ109" i="3"/>
  <c r="BB14" i="3"/>
  <c r="BA155" i="3"/>
  <c r="BA154" i="3"/>
  <c r="BA88" i="3"/>
  <c r="BA111" i="3"/>
  <c r="BA90" i="3"/>
  <c r="AZ151" i="3"/>
  <c r="BB155" i="3"/>
  <c r="BB204" i="3"/>
  <c r="BC86" i="3"/>
  <c r="BB12" i="3"/>
  <c r="BA159" i="3"/>
  <c r="BA96" i="3"/>
  <c r="AZ7" i="3"/>
  <c r="BA187" i="3"/>
  <c r="BA108" i="3"/>
  <c r="BC128" i="3"/>
  <c r="BB43" i="3"/>
  <c r="AZ74" i="3"/>
  <c r="AZ40" i="3"/>
  <c r="BB16" i="3"/>
  <c r="AZ78" i="3"/>
  <c r="BC23" i="3"/>
  <c r="BA165" i="3"/>
  <c r="AZ172" i="3"/>
  <c r="BA45" i="3"/>
  <c r="AZ121" i="3"/>
  <c r="AZ96" i="3"/>
  <c r="AZ61" i="3"/>
  <c r="BB46" i="3"/>
  <c r="BB37" i="3"/>
  <c r="AZ115" i="3"/>
  <c r="BB148" i="3"/>
  <c r="AZ33" i="3"/>
  <c r="BA185" i="3"/>
  <c r="BA216" i="3"/>
  <c r="BB89" i="3"/>
  <c r="AZ191" i="3"/>
  <c r="BC131" i="3"/>
  <c r="BB98" i="3"/>
  <c r="BA237" i="3"/>
  <c r="BC218" i="3"/>
  <c r="BA243" i="3"/>
  <c r="BA48" i="3"/>
  <c r="BA175" i="3"/>
  <c r="BA250" i="3"/>
  <c r="AY45" i="3"/>
  <c r="BC181" i="3"/>
  <c r="AY215" i="3"/>
  <c r="BB244" i="3"/>
  <c r="BA117" i="3"/>
  <c r="BB78" i="3"/>
  <c r="BC32" i="3"/>
  <c r="BC71" i="3"/>
  <c r="AZ43" i="3"/>
  <c r="BC219" i="3"/>
  <c r="AZ141" i="3"/>
  <c r="BA63" i="3"/>
  <c r="AZ63" i="3"/>
  <c r="BB151" i="3"/>
  <c r="BA186" i="3"/>
  <c r="BB36" i="3"/>
  <c r="AZ114" i="3"/>
  <c r="BA81" i="3"/>
  <c r="AZ38" i="3"/>
  <c r="AZ171" i="3"/>
  <c r="BC102" i="3"/>
  <c r="BC58" i="3"/>
  <c r="BA228" i="3"/>
  <c r="BC38" i="3"/>
  <c r="BA16" i="3"/>
  <c r="BB25" i="3"/>
  <c r="AZ116" i="3"/>
  <c r="BB13" i="3"/>
  <c r="BB144" i="3"/>
  <c r="BA152" i="3"/>
  <c r="BA188" i="3"/>
  <c r="AY160" i="3"/>
  <c r="BB88" i="3"/>
  <c r="BB152" i="3"/>
  <c r="BB201" i="3"/>
  <c r="BC194" i="3"/>
  <c r="BB107" i="3"/>
  <c r="AZ5" i="3"/>
  <c r="BA142" i="3"/>
  <c r="BC224" i="3"/>
  <c r="AZ143" i="3"/>
  <c r="AZ120" i="3"/>
  <c r="BC22" i="3"/>
  <c r="BA8" i="3"/>
  <c r="AZ161" i="3"/>
  <c r="BB80" i="3"/>
  <c r="BA139" i="3"/>
  <c r="BA140" i="3"/>
  <c r="AZ79" i="3"/>
  <c r="BC19" i="3"/>
  <c r="BB77" i="3"/>
  <c r="BB141" i="3"/>
  <c r="BA20" i="3"/>
  <c r="BA74" i="3"/>
  <c r="BC198" i="3"/>
  <c r="AY250" i="3"/>
  <c r="AY56" i="3"/>
  <c r="BB249" i="3"/>
  <c r="BC9" i="3"/>
  <c r="AZ24" i="3"/>
  <c r="AZ30" i="3"/>
  <c r="AZ125" i="3"/>
  <c r="BB63" i="3"/>
  <c r="BB52" i="3"/>
  <c r="AZ48" i="3"/>
  <c r="AZ54" i="3"/>
  <c r="BA46" i="3"/>
  <c r="BA121" i="3"/>
  <c r="BA101" i="3"/>
  <c r="BA80" i="3"/>
  <c r="BA183" i="3"/>
  <c r="BC50" i="3"/>
  <c r="BA106" i="3"/>
  <c r="BB124" i="3"/>
  <c r="BB146" i="3"/>
  <c r="AZ20" i="3"/>
  <c r="BA47" i="3"/>
  <c r="BA115" i="3"/>
  <c r="BB20" i="3"/>
  <c r="BA65" i="3"/>
  <c r="AZ139" i="3"/>
  <c r="BB47" i="3"/>
  <c r="BB42" i="3"/>
  <c r="BA50" i="3"/>
  <c r="BA54" i="3"/>
  <c r="BB129" i="3"/>
  <c r="AY32" i="3"/>
  <c r="BB71" i="3"/>
  <c r="BB234" i="3"/>
  <c r="AZ207" i="3"/>
  <c r="BC208" i="3"/>
  <c r="BB156" i="3"/>
  <c r="AZ215" i="3"/>
  <c r="AZ104" i="3"/>
  <c r="BB38" i="3"/>
  <c r="AZ83" i="3"/>
  <c r="AZ145" i="3"/>
  <c r="BB56" i="3"/>
  <c r="BA120" i="3"/>
  <c r="BB113" i="3"/>
  <c r="BC114" i="3"/>
  <c r="AZ189" i="3"/>
  <c r="BA193" i="3"/>
  <c r="BB97" i="3"/>
  <c r="AY125" i="3"/>
  <c r="AZ103" i="3"/>
  <c r="BC242" i="3"/>
  <c r="AY212" i="3"/>
  <c r="BA3" i="3"/>
  <c r="BB64" i="3"/>
  <c r="BC94" i="3"/>
  <c r="AZ93" i="3"/>
  <c r="BB196" i="3"/>
  <c r="BB153" i="3"/>
  <c r="AZ91" i="3"/>
  <c r="BB105" i="3"/>
  <c r="BA28" i="3"/>
  <c r="BC74" i="3"/>
  <c r="AZ201" i="3"/>
  <c r="AY243" i="3"/>
  <c r="BB232" i="3"/>
  <c r="AZ15" i="3"/>
  <c r="AZ150" i="3"/>
  <c r="AZ216" i="3"/>
  <c r="AZ231" i="3"/>
  <c r="AY81" i="3"/>
  <c r="BB109" i="3"/>
  <c r="AZ205" i="3"/>
  <c r="BB158" i="3"/>
  <c r="AY208" i="3"/>
  <c r="AY68" i="3"/>
  <c r="AY88" i="3"/>
  <c r="AY249" i="3"/>
  <c r="BC140" i="3"/>
  <c r="AZ248" i="3"/>
  <c r="AY197" i="3"/>
  <c r="BC165" i="3"/>
  <c r="BC21" i="3"/>
  <c r="BC245" i="3"/>
  <c r="BA184" i="3"/>
  <c r="AZ213" i="3"/>
  <c r="AY30" i="3"/>
  <c r="AY66" i="3"/>
  <c r="BC211" i="3"/>
  <c r="AZ210" i="3"/>
  <c r="BC186" i="3"/>
  <c r="BA119" i="3"/>
  <c r="BC61" i="3"/>
  <c r="AY102" i="3"/>
  <c r="AY133" i="3"/>
  <c r="AY115" i="3"/>
  <c r="BA79" i="3"/>
  <c r="BB167" i="3"/>
  <c r="BC14" i="3"/>
  <c r="BA97" i="3"/>
  <c r="AZ187" i="3"/>
  <c r="AZ156" i="3"/>
  <c r="AZ192" i="3"/>
  <c r="BA53" i="3"/>
  <c r="BC139" i="3"/>
  <c r="BB192" i="3"/>
  <c r="AY20" i="3"/>
  <c r="AZ101" i="3"/>
  <c r="BA129" i="3"/>
  <c r="AZ60" i="3"/>
  <c r="BB10" i="3"/>
  <c r="BA39" i="3"/>
  <c r="BC125" i="3"/>
  <c r="AZ36" i="3"/>
  <c r="BC12" i="3"/>
  <c r="AZ122" i="3"/>
  <c r="AZ87" i="3"/>
  <c r="BB206" i="3"/>
  <c r="BA6" i="3"/>
  <c r="BB102" i="3"/>
  <c r="BB219" i="3"/>
  <c r="AZ223" i="3"/>
  <c r="BA138" i="3"/>
  <c r="BB181" i="3"/>
  <c r="AZ229" i="3"/>
  <c r="BC133" i="3"/>
  <c r="AY6" i="3"/>
  <c r="BB248" i="3"/>
  <c r="AZ169" i="3"/>
  <c r="AZ148" i="3"/>
  <c r="BB73" i="3"/>
  <c r="BC103" i="3"/>
  <c r="AZ107" i="3"/>
  <c r="BC223" i="3"/>
  <c r="AZ26" i="3"/>
  <c r="BB121" i="3"/>
  <c r="BB133" i="3"/>
  <c r="BB210" i="3"/>
  <c r="BC115" i="3"/>
  <c r="BC78" i="3"/>
  <c r="AY149" i="3"/>
  <c r="AY218" i="3"/>
  <c r="AY121" i="3"/>
  <c r="AY203" i="3"/>
  <c r="AZ250" i="3"/>
  <c r="AY38" i="3"/>
  <c r="AY37" i="3"/>
  <c r="AY106" i="3"/>
  <c r="AY28" i="3"/>
  <c r="AY9" i="3"/>
  <c r="BC45" i="3"/>
  <c r="BB237" i="3"/>
  <c r="AZ59" i="3"/>
  <c r="AY53" i="3"/>
  <c r="AY122" i="3"/>
  <c r="AY92" i="3"/>
  <c r="AY73" i="3"/>
  <c r="AY161" i="3"/>
  <c r="AZ249" i="3"/>
  <c r="BA36" i="3"/>
  <c r="AZ154" i="3"/>
  <c r="BC69" i="3"/>
  <c r="AY240" i="3"/>
  <c r="BB6" i="3"/>
  <c r="AZ203" i="3"/>
  <c r="AZ202" i="3"/>
  <c r="BC177" i="3"/>
  <c r="BA64" i="3"/>
  <c r="AY80" i="3"/>
  <c r="BA60" i="3"/>
  <c r="BA11" i="3"/>
  <c r="BB161" i="3"/>
  <c r="BC66" i="3"/>
  <c r="BB34" i="3"/>
  <c r="BB197" i="3"/>
  <c r="BB75" i="3"/>
  <c r="AY131" i="3"/>
  <c r="AY94" i="3"/>
  <c r="AY238" i="3"/>
  <c r="AY165" i="3"/>
  <c r="AY169" i="3"/>
  <c r="BC236" i="3"/>
  <c r="BA180" i="3"/>
  <c r="AY31" i="3"/>
  <c r="AY50" i="3"/>
  <c r="AY138" i="3"/>
  <c r="BB150" i="3"/>
  <c r="BB239" i="3"/>
  <c r="AZ99" i="3"/>
  <c r="BC149" i="3"/>
  <c r="AZ228" i="3"/>
  <c r="AY90" i="3"/>
  <c r="BC152" i="3"/>
  <c r="AY199" i="3"/>
  <c r="BB86" i="3"/>
  <c r="AZ140" i="3"/>
  <c r="BB132" i="3"/>
  <c r="BC203" i="3"/>
  <c r="AY19" i="3"/>
  <c r="BA179" i="3"/>
  <c r="BB223" i="3"/>
  <c r="BC184" i="3"/>
  <c r="BB171" i="3"/>
  <c r="BA126" i="3"/>
  <c r="BC33" i="3"/>
  <c r="AZ127" i="3"/>
  <c r="BA242" i="3"/>
  <c r="AY209" i="3"/>
  <c r="AY151" i="3"/>
  <c r="AY44" i="3"/>
  <c r="AY132" i="3"/>
  <c r="AY171" i="3"/>
  <c r="BC141" i="3"/>
  <c r="AY206" i="3"/>
  <c r="AY152" i="3"/>
  <c r="BB221" i="3"/>
  <c r="AZ218" i="3"/>
  <c r="BC5" i="3"/>
  <c r="BA19" i="3"/>
  <c r="BC46" i="3"/>
  <c r="BA213" i="3"/>
  <c r="BA153" i="3"/>
  <c r="BC244" i="3"/>
  <c r="BC210" i="3"/>
  <c r="AZ39" i="3"/>
  <c r="BC107" i="3"/>
  <c r="AY83" i="3"/>
  <c r="AY189" i="3"/>
  <c r="AY221" i="3"/>
  <c r="BB213" i="3"/>
  <c r="BA125" i="3"/>
  <c r="AY70" i="3"/>
  <c r="BA27" i="3"/>
  <c r="AY87" i="3"/>
  <c r="AZ245" i="3"/>
  <c r="BC227" i="3"/>
  <c r="BC25" i="3"/>
  <c r="BB131" i="3"/>
  <c r="BB207" i="3"/>
  <c r="BC229" i="3"/>
  <c r="BB27" i="3"/>
  <c r="AY11" i="3"/>
  <c r="BA13" i="3"/>
  <c r="BC171" i="3"/>
  <c r="BC192" i="3"/>
  <c r="BC113" i="3"/>
  <c r="AY205" i="3"/>
  <c r="BB240" i="3"/>
  <c r="AY8" i="3"/>
  <c r="BC88" i="3"/>
  <c r="BC209" i="3"/>
  <c r="BB186" i="3"/>
  <c r="BB9" i="3"/>
  <c r="AY166" i="3"/>
  <c r="AZ88" i="3"/>
  <c r="AZ94" i="3"/>
  <c r="BB21" i="3"/>
  <c r="AZ193" i="3"/>
  <c r="BC127" i="3"/>
  <c r="AZ112" i="3"/>
  <c r="AZ118" i="3"/>
  <c r="BC18" i="3"/>
  <c r="BC72" i="3"/>
  <c r="AZ97" i="3"/>
  <c r="BC59" i="3"/>
  <c r="BC117" i="3"/>
  <c r="BA160" i="3"/>
  <c r="AZ142" i="3"/>
  <c r="BC202" i="3"/>
  <c r="AZ220" i="3"/>
  <c r="AZ72" i="3"/>
  <c r="BB22" i="3"/>
  <c r="AZ19" i="3"/>
  <c r="BB104" i="3"/>
  <c r="BB40" i="3"/>
  <c r="BC92" i="3"/>
  <c r="AZ204" i="3"/>
  <c r="BC39" i="3"/>
  <c r="AZ166" i="3"/>
  <c r="BA112" i="3"/>
  <c r="BC64" i="3"/>
  <c r="AY61" i="3"/>
  <c r="BA248" i="3"/>
  <c r="BC222" i="3"/>
  <c r="AY148" i="3"/>
  <c r="AZ235" i="3"/>
  <c r="AZ129" i="3"/>
  <c r="BC246" i="3"/>
  <c r="BA57" i="3"/>
  <c r="AZ147" i="3"/>
  <c r="BB31" i="3"/>
  <c r="AZ57" i="3"/>
  <c r="AZ165" i="3"/>
  <c r="BA14" i="3"/>
  <c r="BC28" i="3"/>
  <c r="AZ138" i="3"/>
  <c r="BA167" i="3"/>
  <c r="AZ67" i="3"/>
  <c r="BB205" i="3"/>
  <c r="BC20" i="3"/>
  <c r="AZ178" i="3"/>
  <c r="AY144" i="3"/>
  <c r="AY113" i="3"/>
  <c r="AY248" i="3"/>
  <c r="AZ69" i="3"/>
  <c r="AZ44" i="3"/>
  <c r="BA23" i="3"/>
  <c r="BA58" i="3"/>
  <c r="AZ58" i="3"/>
  <c r="BC144" i="3"/>
  <c r="BA44" i="3"/>
  <c r="BA246" i="3"/>
  <c r="BB149" i="3"/>
  <c r="AZ208" i="3"/>
  <c r="AY67" i="3"/>
  <c r="BC174" i="3"/>
  <c r="BA169" i="3"/>
  <c r="BA191" i="3"/>
  <c r="BC230" i="3"/>
  <c r="BB243" i="3"/>
  <c r="AZ17" i="3"/>
  <c r="AZ164" i="3"/>
  <c r="BB81" i="3"/>
  <c r="BB127" i="3"/>
  <c r="BA52" i="3"/>
  <c r="BA92" i="3"/>
  <c r="AY85" i="3"/>
  <c r="AY154" i="3"/>
  <c r="AY220" i="3"/>
  <c r="AY173" i="3"/>
  <c r="AY62" i="3"/>
  <c r="AY237" i="3"/>
  <c r="AY159" i="3"/>
  <c r="AY251" i="3"/>
  <c r="BC233" i="3"/>
  <c r="AY108" i="3"/>
  <c r="BB198" i="3"/>
  <c r="AZ136" i="3"/>
  <c r="AY119" i="3"/>
  <c r="AY207" i="3"/>
  <c r="AY34" i="3"/>
  <c r="BC249" i="3"/>
  <c r="AY172" i="3"/>
  <c r="AY233" i="3"/>
  <c r="BB251" i="3"/>
  <c r="AY146" i="3"/>
  <c r="AZ163" i="3"/>
  <c r="BB94" i="3"/>
  <c r="AZ73" i="3"/>
  <c r="AZ13" i="3"/>
  <c r="BA78" i="3"/>
  <c r="BB79" i="3"/>
  <c r="BB39" i="3"/>
  <c r="BB68" i="3"/>
  <c r="BB190" i="3"/>
  <c r="BC155" i="3"/>
  <c r="AY177" i="3"/>
  <c r="BA15" i="3"/>
  <c r="BB85" i="3"/>
  <c r="BA109" i="3"/>
  <c r="BA33" i="3"/>
  <c r="BC119" i="3"/>
  <c r="BB15" i="3"/>
  <c r="BA43" i="3"/>
  <c r="BA10" i="3"/>
  <c r="AZ111" i="3"/>
  <c r="BC43" i="3"/>
  <c r="BB4" i="3"/>
  <c r="BA156" i="3"/>
  <c r="BB214" i="3"/>
  <c r="BC247" i="3"/>
  <c r="BC153" i="3"/>
  <c r="BB87" i="3"/>
  <c r="BA76" i="3"/>
  <c r="AY183" i="3"/>
  <c r="AZ206" i="3"/>
  <c r="BC212" i="3"/>
  <c r="BB84" i="3"/>
  <c r="BB172" i="3"/>
  <c r="BC93" i="3"/>
  <c r="AZ227" i="3"/>
  <c r="BB48" i="3"/>
  <c r="BA197" i="3"/>
  <c r="AZ34" i="3"/>
  <c r="BC54" i="3"/>
  <c r="BB180" i="3"/>
  <c r="BC91" i="3"/>
  <c r="BC82" i="3"/>
  <c r="BC250" i="3"/>
  <c r="BB96" i="3"/>
  <c r="BA170" i="3"/>
  <c r="AZ22" i="3"/>
  <c r="BC167" i="3"/>
  <c r="AZ52" i="3"/>
  <c r="BC98" i="3"/>
  <c r="BB177" i="3"/>
  <c r="AZ185" i="3"/>
  <c r="BC57" i="3"/>
  <c r="AZ53" i="3"/>
  <c r="AZ12" i="3"/>
  <c r="BA7" i="3"/>
  <c r="BA26" i="3"/>
  <c r="AZ49" i="3"/>
  <c r="BC13" i="3"/>
  <c r="BB119" i="3"/>
  <c r="BA214" i="3"/>
  <c r="BC108" i="3"/>
  <c r="AZ146" i="3"/>
  <c r="BA145" i="3"/>
  <c r="BA84" i="3"/>
  <c r="BB218" i="3"/>
  <c r="BB166" i="3"/>
  <c r="BB7" i="3"/>
  <c r="AY112" i="3"/>
  <c r="BB100" i="3"/>
  <c r="BC120" i="3"/>
  <c r="BB178" i="3"/>
  <c r="AY26" i="3"/>
  <c r="AY242" i="3"/>
  <c r="BA247" i="3"/>
  <c r="AY245" i="3"/>
  <c r="AY191" i="3"/>
  <c r="AY40" i="3"/>
  <c r="BB182" i="3"/>
  <c r="AY223" i="3"/>
  <c r="AY130" i="3"/>
  <c r="AY78" i="3"/>
  <c r="BA30" i="3"/>
  <c r="AZ130" i="3"/>
  <c r="BA133" i="3"/>
  <c r="BB184" i="3"/>
  <c r="AY224" i="3"/>
  <c r="BA9" i="3"/>
  <c r="BA72" i="3"/>
  <c r="BC111" i="3"/>
  <c r="BA161" i="3"/>
  <c r="BC122" i="3"/>
  <c r="BB157" i="3"/>
  <c r="BB41" i="3"/>
  <c r="AY195" i="3"/>
  <c r="BA82" i="3"/>
  <c r="BA176" i="3"/>
  <c r="AY65" i="3"/>
  <c r="AY200" i="3"/>
  <c r="AZ200" i="3"/>
  <c r="AY192" i="3"/>
  <c r="BB3" i="3"/>
  <c r="BB118" i="3"/>
  <c r="BA116" i="3"/>
  <c r="BC161" i="3"/>
  <c r="BB215" i="3"/>
  <c r="AY216" i="3"/>
  <c r="BB154" i="3"/>
  <c r="BA200" i="3"/>
  <c r="AY105" i="3"/>
  <c r="BA206" i="3"/>
  <c r="BC67" i="3"/>
  <c r="BA231" i="3"/>
  <c r="AY178" i="3"/>
  <c r="BA122" i="3"/>
  <c r="AZ243" i="3"/>
  <c r="AY227" i="3"/>
  <c r="AY139" i="3"/>
  <c r="BB241" i="3"/>
  <c r="BA238" i="3"/>
  <c r="AY156" i="3"/>
  <c r="BA199" i="3"/>
  <c r="BA201" i="3"/>
  <c r="BC36" i="3"/>
  <c r="BB24" i="3"/>
  <c r="BA203" i="3"/>
  <c r="BB228" i="3"/>
  <c r="BC176" i="3"/>
  <c r="BC37" i="3"/>
  <c r="BA190" i="3"/>
  <c r="AY16" i="3"/>
  <c r="BA177" i="3"/>
  <c r="BC53" i="3"/>
  <c r="BA4" i="3"/>
  <c r="BB209" i="3"/>
  <c r="BB117" i="3"/>
  <c r="AZ75" i="3"/>
  <c r="AY204" i="3"/>
  <c r="AY181" i="3"/>
  <c r="BB202" i="3"/>
  <c r="AY124" i="3"/>
  <c r="BB112" i="3"/>
  <c r="AZ132" i="3"/>
  <c r="BB44" i="3"/>
  <c r="AY22" i="3"/>
  <c r="AY236" i="3"/>
  <c r="AY79" i="3"/>
  <c r="BA105" i="3"/>
  <c r="BA110" i="3"/>
  <c r="BA211" i="3"/>
  <c r="BC7" i="3"/>
  <c r="AY77" i="3"/>
  <c r="BC228" i="3"/>
  <c r="BC106" i="3"/>
  <c r="BC163" i="3"/>
  <c r="BA232" i="3"/>
  <c r="AY29" i="3"/>
  <c r="BA168" i="3"/>
  <c r="BB59" i="3"/>
  <c r="AY104" i="3"/>
  <c r="AY143" i="3"/>
  <c r="BC221" i="3"/>
  <c r="AY41" i="3"/>
  <c r="AY55" i="3"/>
  <c r="AZ251" i="3"/>
  <c r="BA173" i="3"/>
  <c r="BA75" i="3"/>
  <c r="BB11" i="3"/>
  <c r="BA224" i="3"/>
  <c r="AZ47" i="3"/>
  <c r="BA223" i="3"/>
  <c r="AY33" i="3"/>
  <c r="AZ160" i="3"/>
  <c r="AZ238" i="3"/>
  <c r="BC77" i="3"/>
  <c r="BC42" i="3"/>
  <c r="AZ214" i="3"/>
  <c r="AY186" i="3"/>
  <c r="BA144" i="3"/>
  <c r="BA222" i="3"/>
  <c r="BC47" i="3"/>
  <c r="BB217" i="3"/>
  <c r="AY163" i="3"/>
  <c r="BC193" i="3"/>
  <c r="BC104" i="3"/>
  <c r="AY127" i="3"/>
  <c r="AY117" i="3"/>
  <c r="BC134" i="3"/>
  <c r="BC137" i="3"/>
  <c r="AY170" i="3"/>
  <c r="AY228" i="3"/>
  <c r="AY153" i="3"/>
  <c r="AY98" i="3"/>
  <c r="AZ240" i="3"/>
  <c r="AY99" i="3"/>
  <c r="BB54" i="3"/>
  <c r="BB69" i="3"/>
  <c r="AZ113" i="3"/>
  <c r="AZ199" i="3"/>
  <c r="AZ82" i="3"/>
  <c r="BC44" i="3"/>
  <c r="BA158" i="3"/>
  <c r="BC129" i="3"/>
  <c r="BB53" i="3"/>
  <c r="BC8" i="3"/>
  <c r="BA220" i="3"/>
  <c r="BC29" i="3"/>
  <c r="AZ50" i="3"/>
  <c r="BC164" i="3"/>
  <c r="AZ242" i="3"/>
  <c r="BA245" i="3"/>
  <c r="BB176" i="3"/>
  <c r="BC178" i="3"/>
  <c r="AY226" i="3"/>
  <c r="AY175" i="3"/>
  <c r="AY86" i="3"/>
  <c r="AY14" i="3"/>
  <c r="BA202" i="3"/>
  <c r="BA244" i="3"/>
  <c r="BC73" i="3"/>
  <c r="AZ9" i="3"/>
  <c r="BA38" i="3"/>
  <c r="AZ180" i="3"/>
  <c r="AY120" i="3"/>
  <c r="AZ219" i="3"/>
  <c r="BB93" i="3"/>
  <c r="BC132" i="3"/>
  <c r="BC135" i="3"/>
  <c r="BC10" i="3"/>
  <c r="BC136" i="3"/>
  <c r="BC124" i="3"/>
  <c r="AY103" i="3"/>
  <c r="AY142" i="3"/>
  <c r="AY63" i="3"/>
  <c r="AZ233" i="3"/>
  <c r="AY158" i="3"/>
  <c r="AY10" i="3"/>
  <c r="BA171" i="3"/>
  <c r="BB183" i="3"/>
  <c r="BC199" i="3"/>
  <c r="BC235" i="3"/>
  <c r="AZ196" i="3"/>
  <c r="AZ158" i="3"/>
  <c r="AY110" i="3"/>
  <c r="BC97" i="3"/>
  <c r="BB247" i="3"/>
  <c r="AZ123" i="3"/>
  <c r="AY193" i="3"/>
  <c r="BA195" i="3"/>
  <c r="BC95" i="3"/>
  <c r="AZ105" i="3"/>
  <c r="AY135" i="3"/>
  <c r="AY129" i="3"/>
  <c r="BC145" i="3"/>
  <c r="BA229" i="3"/>
  <c r="BC217" i="3"/>
  <c r="AY43" i="3"/>
  <c r="AZ247" i="3"/>
  <c r="AY74" i="3"/>
  <c r="BB188" i="3"/>
  <c r="BB83" i="3"/>
  <c r="BA5" i="3"/>
  <c r="AY15" i="3"/>
  <c r="AZ10" i="3"/>
  <c r="AY35" i="3"/>
  <c r="BC112" i="3"/>
  <c r="BA239" i="3"/>
  <c r="BC172" i="3"/>
  <c r="BA198" i="3"/>
  <c r="AZ80" i="3"/>
  <c r="BB233" i="3"/>
  <c r="BC248" i="3"/>
  <c r="BB130" i="3"/>
  <c r="BB159" i="3"/>
  <c r="BB18" i="3"/>
  <c r="AZ170" i="3"/>
  <c r="BA51" i="3"/>
  <c r="AZ177" i="3"/>
  <c r="BB58" i="3"/>
  <c r="BA22" i="3"/>
  <c r="BC11" i="3"/>
  <c r="BB175" i="3"/>
  <c r="BA66" i="3"/>
  <c r="BC83" i="3"/>
  <c r="BA83" i="3"/>
  <c r="BA135" i="3"/>
  <c r="AY100" i="3"/>
  <c r="BA172" i="3"/>
  <c r="BA42" i="3"/>
  <c r="BA118" i="3"/>
  <c r="BB229" i="3"/>
  <c r="BB122" i="3"/>
  <c r="BB135" i="3"/>
  <c r="AZ98" i="3"/>
  <c r="AZ155" i="3"/>
  <c r="BA212" i="3"/>
  <c r="BA98" i="3"/>
  <c r="BB116" i="3"/>
  <c r="AY96" i="3"/>
  <c r="AZ37" i="3"/>
  <c r="BC121" i="3"/>
  <c r="AZ102" i="3"/>
  <c r="AZ119" i="3"/>
  <c r="AZ153" i="3"/>
  <c r="BA234" i="3"/>
  <c r="BA233" i="3"/>
  <c r="BC101" i="3"/>
  <c r="BC170" i="3"/>
  <c r="AZ14" i="3"/>
  <c r="AZ108" i="3"/>
  <c r="BA87" i="3"/>
  <c r="BA37" i="3"/>
  <c r="BB50" i="3"/>
  <c r="BC138" i="3"/>
  <c r="BB67" i="3"/>
  <c r="BC168" i="3"/>
  <c r="BB74" i="3"/>
  <c r="BB101" i="3"/>
  <c r="BA240" i="3"/>
  <c r="BC180" i="3"/>
  <c r="BC226" i="3"/>
  <c r="AZ234" i="3"/>
  <c r="AZ23" i="3"/>
  <c r="AY93" i="3"/>
  <c r="BA86" i="3"/>
  <c r="BA12" i="3"/>
  <c r="BC148" i="3"/>
  <c r="BC188" i="3"/>
  <c r="AZ131" i="3"/>
  <c r="AY82" i="3"/>
  <c r="BB91" i="3"/>
  <c r="AY185" i="3"/>
  <c r="BC27" i="3"/>
  <c r="BB236" i="3"/>
  <c r="AZ3" i="3"/>
  <c r="BA148" i="3"/>
  <c r="BC189" i="3"/>
  <c r="BC80" i="3"/>
  <c r="AZ64" i="3"/>
  <c r="BB191" i="3"/>
  <c r="BB57" i="3"/>
  <c r="AZ65" i="3"/>
  <c r="BC62" i="3"/>
  <c r="BA128" i="3"/>
  <c r="AZ6" i="3"/>
  <c r="BC85" i="3"/>
  <c r="BB169" i="3"/>
  <c r="AZ144" i="3"/>
  <c r="BB145" i="3"/>
  <c r="BB51" i="3"/>
  <c r="BA141" i="3"/>
  <c r="BC196" i="3"/>
  <c r="BC143" i="3"/>
  <c r="BA70" i="3"/>
  <c r="AZ27" i="3"/>
  <c r="BB162" i="3"/>
  <c r="AY244" i="3"/>
  <c r="BB179" i="3"/>
  <c r="BA209" i="3"/>
  <c r="AZ4" i="3"/>
  <c r="AY147" i="3"/>
  <c r="AZ11" i="3"/>
  <c r="AY167" i="3"/>
  <c r="BC237" i="3"/>
  <c r="BA124" i="3"/>
  <c r="BC166" i="3"/>
  <c r="AY76" i="3"/>
  <c r="AY126" i="3"/>
  <c r="BA215" i="3"/>
  <c r="AY75" i="3"/>
  <c r="BA230" i="3"/>
  <c r="AZ237" i="3"/>
  <c r="BC190" i="3"/>
  <c r="AY194" i="3"/>
  <c r="AZ222" i="3"/>
  <c r="BC156" i="3"/>
  <c r="BB168" i="3"/>
  <c r="BC63" i="3"/>
  <c r="AZ56" i="3"/>
  <c r="AZ182" i="3"/>
  <c r="AY47" i="3"/>
  <c r="BA85" i="3"/>
  <c r="BA227" i="3"/>
  <c r="BC89" i="3"/>
  <c r="BC34" i="3"/>
  <c r="BB227" i="3"/>
  <c r="BB136" i="3"/>
  <c r="AY128" i="3"/>
  <c r="AY12" i="3"/>
  <c r="AY162" i="3"/>
  <c r="BC220" i="3"/>
  <c r="BB138" i="3"/>
  <c r="AY190" i="3"/>
  <c r="BC173" i="3"/>
  <c r="AY25" i="3"/>
  <c r="AY150" i="3"/>
  <c r="BC206" i="3"/>
  <c r="BA157" i="3"/>
  <c r="BB23" i="3"/>
  <c r="AY21" i="3"/>
  <c r="BA68" i="3"/>
  <c r="AY137" i="3"/>
  <c r="AZ179" i="3"/>
  <c r="BC90" i="3"/>
  <c r="BA136" i="3"/>
  <c r="BB200" i="3"/>
  <c r="BB5" i="3"/>
  <c r="AY241" i="3"/>
  <c r="BC187" i="3"/>
  <c r="AY52" i="3"/>
  <c r="BA162" i="3"/>
  <c r="BA251" i="3"/>
  <c r="BC157" i="3"/>
  <c r="AY202" i="3"/>
  <c r="AY42" i="3"/>
  <c r="AY7" i="3"/>
  <c r="AY196" i="3"/>
  <c r="AY91" i="3"/>
  <c r="BB208" i="3"/>
  <c r="BA62" i="3"/>
  <c r="BC158" i="3"/>
  <c r="BA219" i="3"/>
  <c r="AY36" i="3"/>
  <c r="BA225" i="3"/>
  <c r="BA249" i="3"/>
  <c r="AY89" i="3"/>
  <c r="AY232" i="3"/>
  <c r="AY97" i="3"/>
  <c r="AZ62" i="3"/>
  <c r="AY3" i="3"/>
  <c r="BB165" i="3"/>
  <c r="AY101" i="3"/>
  <c r="AZ225" i="3"/>
  <c r="BB65" i="3"/>
  <c r="BB90" i="3"/>
  <c r="BC81" i="3"/>
  <c r="BC213" i="3"/>
  <c r="AY51" i="3"/>
  <c r="BB212" i="3"/>
  <c r="BC239" i="3"/>
  <c r="AY247" i="3"/>
  <c r="AZ212" i="3"/>
  <c r="AY219" i="3"/>
  <c r="AZ168" i="3"/>
  <c r="AZ28" i="3"/>
  <c r="BC30" i="3"/>
  <c r="BA151" i="3"/>
  <c r="BA123" i="3"/>
  <c r="BA163" i="3"/>
  <c r="BC51" i="3"/>
  <c r="AZ35" i="3"/>
  <c r="BA69" i="3"/>
  <c r="BC6" i="3"/>
  <c r="BA67" i="3"/>
  <c r="BA134" i="3"/>
  <c r="AZ135" i="3"/>
  <c r="BB45" i="3"/>
  <c r="BB120" i="3"/>
  <c r="AZ90" i="3"/>
  <c r="AY136" i="3"/>
  <c r="BC207" i="3"/>
  <c r="BC17" i="3"/>
  <c r="AY222" i="3"/>
  <c r="BB134" i="3"/>
  <c r="AY114" i="3"/>
  <c r="AY27" i="3"/>
  <c r="BA196" i="3"/>
  <c r="AZ157" i="3"/>
  <c r="AZ70" i="3"/>
  <c r="BA32" i="3"/>
  <c r="BB76" i="3"/>
  <c r="AZ31" i="3"/>
  <c r="BA131" i="3"/>
  <c r="BC3" i="3"/>
  <c r="BA218" i="3"/>
  <c r="BC116" i="3"/>
  <c r="BB142" i="3"/>
  <c r="AY145" i="3"/>
  <c r="AY95" i="3"/>
  <c r="AZ224" i="3"/>
  <c r="AY155" i="3"/>
  <c r="BC4" i="3"/>
  <c r="AY182" i="3"/>
  <c r="BA207" i="3"/>
  <c r="AY140" i="3"/>
  <c r="AZ226" i="3"/>
  <c r="BA73" i="3"/>
  <c r="BB174" i="3"/>
  <c r="AZ183" i="3"/>
  <c r="BC123" i="3"/>
  <c r="AY72" i="3"/>
  <c r="BA114" i="3"/>
  <c r="BC243" i="3"/>
  <c r="AY198" i="3"/>
  <c r="AY18" i="3"/>
  <c r="BA100" i="3"/>
  <c r="BB110" i="3"/>
  <c r="BA226" i="3"/>
  <c r="AY134" i="3"/>
  <c r="BC200" i="3"/>
  <c r="BC48" i="3"/>
  <c r="AZ174" i="3"/>
  <c r="AZ167" i="3"/>
  <c r="BA21" i="3"/>
  <c r="BB220" i="3"/>
  <c r="BC182" i="3"/>
  <c r="AY4" i="3"/>
  <c r="AY235" i="3"/>
  <c r="BB95" i="3"/>
  <c r="BA130" i="3"/>
  <c r="BA235" i="3"/>
  <c r="BC238" i="3"/>
  <c r="AZ236" i="3"/>
  <c r="BB30" i="3"/>
  <c r="BC110" i="3"/>
  <c r="BC147" i="3"/>
  <c r="BB35" i="3"/>
  <c r="BC185" i="3"/>
  <c r="BC197" i="3"/>
  <c r="BB19" i="3"/>
  <c r="BB66" i="3"/>
  <c r="BC151" i="3"/>
  <c r="AY168" i="3"/>
  <c r="AZ92" i="3"/>
  <c r="AZ149" i="3"/>
  <c r="BB61" i="3"/>
  <c r="BB189" i="3"/>
  <c r="BA94" i="3"/>
  <c r="BA189" i="3"/>
  <c r="BC183" i="3"/>
  <c r="BC146" i="3"/>
  <c r="BB111" i="3"/>
  <c r="AZ32" i="3"/>
  <c r="BB160" i="3"/>
  <c r="BC126" i="3"/>
  <c r="BB147" i="3"/>
  <c r="BA174" i="3"/>
  <c r="AZ181" i="3"/>
  <c r="BB28" i="3"/>
  <c r="AY180" i="3"/>
  <c r="BC150" i="3"/>
  <c r="AY118" i="3"/>
  <c r="BB224" i="3"/>
  <c r="BC241" i="3"/>
  <c r="AY239" i="3"/>
  <c r="BA103" i="3"/>
  <c r="BA147" i="3"/>
  <c r="BA182" i="3"/>
  <c r="BB242" i="3"/>
  <c r="BC99" i="3"/>
  <c r="BC159" i="3"/>
  <c r="BC65" i="3"/>
  <c r="AY217" i="3"/>
  <c r="AY24" i="3"/>
  <c r="BB245" i="3"/>
  <c r="BB72" i="3"/>
  <c r="AY59" i="3"/>
  <c r="BA204" i="3"/>
  <c r="AY234" i="3"/>
  <c r="AY5" i="3"/>
  <c r="AY109" i="3"/>
  <c r="AZ29" i="3"/>
  <c r="BA164" i="3"/>
  <c r="BC214" i="3"/>
  <c r="BC204" i="3"/>
  <c r="AY23" i="3"/>
  <c r="BC84" i="3"/>
  <c r="BC75" i="3"/>
  <c r="AY213" i="3"/>
  <c r="BC70" i="3"/>
  <c r="AZ221" i="3"/>
  <c r="AY48" i="3"/>
  <c r="AZ46" i="3"/>
  <c r="AZ152" i="3"/>
  <c r="AZ175" i="3"/>
  <c r="BC162" i="3"/>
  <c r="AY230" i="3"/>
  <c r="AY84" i="3"/>
  <c r="BC179" i="3"/>
  <c r="BC232" i="3"/>
  <c r="BC225" i="3"/>
  <c r="AY246" i="3"/>
  <c r="AY58" i="3"/>
  <c r="AZ244" i="3"/>
  <c r="AY107" i="3"/>
  <c r="AY57" i="3"/>
  <c r="AZ124" i="3"/>
  <c r="BB187" i="3"/>
  <c r="BA34" i="3"/>
  <c r="AY157" i="3"/>
  <c r="BC52" i="3"/>
  <c r="AZ230" i="3"/>
  <c r="AY17" i="3"/>
  <c r="AY201" i="3"/>
  <c r="BB123" i="3"/>
  <c r="BC100" i="3"/>
  <c r="BA205" i="3"/>
  <c r="AY187" i="3"/>
  <c r="BB49" i="3"/>
  <c r="BB139" i="3"/>
  <c r="AZ190" i="3"/>
  <c r="BC201" i="3"/>
  <c r="BB60" i="3"/>
  <c r="AZ66" i="3"/>
  <c r="BB211" i="3"/>
  <c r="AY164" i="3"/>
  <c r="BC205" i="3"/>
  <c r="BC195" i="3"/>
  <c r="AY60" i="3"/>
  <c r="BB225" i="3"/>
  <c r="AY174" i="3"/>
  <c r="BB114" i="3"/>
  <c r="BB82" i="3"/>
  <c r="BC31" i="3"/>
  <c r="BC175" i="3"/>
  <c r="AY188" i="3"/>
  <c r="BA143" i="3"/>
  <c r="BC109" i="3"/>
  <c r="BB55" i="3"/>
  <c r="BB115" i="3"/>
  <c r="AY111" i="3"/>
  <c r="AY69" i="3"/>
  <c r="AZ86" i="3"/>
  <c r="AY116" i="3"/>
  <c r="AY225" i="3"/>
  <c r="BB126" i="3"/>
  <c r="BC142" i="3"/>
  <c r="BB230" i="3"/>
  <c r="AY46" i="3"/>
  <c r="AY210" i="3"/>
  <c r="BB33" i="3"/>
  <c r="AZ176" i="3"/>
  <c r="AZ246" i="3"/>
  <c r="BC216" i="3"/>
  <c r="AY71" i="3"/>
  <c r="AZ239" i="3"/>
  <c r="BB226" i="3"/>
  <c r="BB216" i="3"/>
  <c r="BC240" i="3"/>
  <c r="AY123" i="3"/>
  <c r="BC191" i="3"/>
  <c r="BA210" i="3"/>
  <c r="AY214" i="3"/>
  <c r="AZ84" i="3"/>
  <c r="BB170" i="3"/>
  <c r="BB194" i="3"/>
  <c r="BA91" i="3"/>
  <c r="BB17" i="3"/>
  <c r="AY179" i="3"/>
  <c r="AY211" i="3"/>
  <c r="BA217" i="3"/>
  <c r="BB231" i="3"/>
  <c r="AY13" i="3"/>
  <c r="BC105" i="3"/>
  <c r="AZ211" i="3"/>
  <c r="BA208" i="3"/>
  <c r="BB128" i="3"/>
  <c r="AZ137" i="3"/>
  <c r="AY39" i="3"/>
  <c r="C3" i="1" l="1"/>
  <c r="A3" i="3"/>
  <c r="A4" i="3"/>
  <c r="A5" i="3"/>
  <c r="A6" i="3"/>
  <c r="A7" i="3"/>
  <c r="A8" i="3"/>
  <c r="AH4" i="3"/>
  <c r="AF8" i="3"/>
  <c r="X6" i="3"/>
  <c r="AP3" i="3"/>
  <c r="AQ4" i="3"/>
  <c r="R8" i="3"/>
  <c r="L6" i="3"/>
  <c r="AD3" i="3"/>
  <c r="L4" i="3"/>
  <c r="AA4" i="3"/>
  <c r="AU7" i="3"/>
  <c r="K6" i="3"/>
  <c r="AW6" i="3"/>
  <c r="AU5" i="3"/>
  <c r="F7" i="3"/>
  <c r="B4" i="3"/>
  <c r="D8" i="3"/>
  <c r="Y6" i="3"/>
  <c r="P7" i="3"/>
  <c r="AW8" i="3"/>
  <c r="L8" i="3"/>
  <c r="O5" i="3"/>
  <c r="AK8" i="3"/>
  <c r="G5" i="3"/>
  <c r="AV3" i="3"/>
  <c r="AJ7" i="3"/>
  <c r="J5" i="3"/>
  <c r="AF6" i="3"/>
  <c r="AG6" i="3"/>
  <c r="AO8" i="3"/>
  <c r="AL4" i="3"/>
  <c r="Q3" i="3"/>
  <c r="U3" i="3"/>
  <c r="AF4" i="3"/>
  <c r="J6" i="3"/>
  <c r="H7" i="3"/>
  <c r="B3" i="3"/>
  <c r="AS3" i="3"/>
  <c r="AQ8" i="3"/>
  <c r="S4" i="3"/>
  <c r="X3" i="3"/>
  <c r="P5" i="3"/>
  <c r="AH8" i="3"/>
  <c r="E7" i="3"/>
  <c r="AP4" i="3"/>
  <c r="AP8" i="3"/>
  <c r="AX3" i="3"/>
  <c r="I8" i="3"/>
  <c r="T4" i="3"/>
  <c r="M3" i="3"/>
  <c r="Q6" i="3"/>
  <c r="G6" i="3"/>
  <c r="P6" i="3"/>
  <c r="F8" i="3"/>
  <c r="S3" i="3"/>
  <c r="K3" i="3"/>
  <c r="AW5" i="3"/>
  <c r="Y3" i="3"/>
  <c r="AA3" i="3"/>
  <c r="AE5" i="3"/>
  <c r="AR8" i="3"/>
  <c r="U8" i="3"/>
  <c r="AB7" i="3"/>
  <c r="AN7" i="3"/>
  <c r="F3" i="3"/>
  <c r="AD8" i="3"/>
  <c r="AT8" i="3"/>
  <c r="W3" i="3"/>
  <c r="B8" i="3"/>
  <c r="J8" i="3"/>
  <c r="AS6" i="3"/>
  <c r="M8" i="3"/>
  <c r="I4" i="3"/>
  <c r="T8" i="3"/>
  <c r="AR6" i="3"/>
  <c r="U5" i="3"/>
  <c r="S7" i="3"/>
  <c r="AX6" i="3"/>
  <c r="N7" i="3"/>
  <c r="N4" i="3"/>
  <c r="C3" i="3"/>
  <c r="AJ6" i="3"/>
  <c r="V4" i="3"/>
  <c r="G4" i="3"/>
  <c r="J3" i="3"/>
  <c r="AV6" i="3"/>
  <c r="AM8" i="3"/>
  <c r="F4" i="3"/>
  <c r="O7" i="3"/>
  <c r="Q8" i="3"/>
  <c r="B5" i="3"/>
  <c r="AN3" i="3"/>
  <c r="AN8" i="3"/>
  <c r="Z3" i="3"/>
  <c r="L3" i="3"/>
  <c r="AS4" i="3"/>
  <c r="S5" i="3"/>
  <c r="X4" i="3"/>
  <c r="S6" i="3"/>
  <c r="AR4" i="3"/>
  <c r="F5" i="3"/>
  <c r="D6" i="3"/>
  <c r="AT3" i="3"/>
  <c r="C7" i="3"/>
  <c r="AC6" i="3"/>
  <c r="V8" i="3"/>
  <c r="AG7" i="3"/>
  <c r="E8" i="3"/>
  <c r="J4" i="3"/>
  <c r="Q7" i="3"/>
  <c r="AR3" i="3"/>
  <c r="AK7" i="3"/>
  <c r="R6" i="3"/>
  <c r="AD4" i="3"/>
  <c r="E5" i="3"/>
  <c r="H3" i="3"/>
  <c r="AW3" i="3"/>
  <c r="AI4" i="3"/>
  <c r="AL7" i="3"/>
  <c r="AM3" i="3"/>
  <c r="O8" i="3"/>
  <c r="AT7" i="3"/>
  <c r="AF5" i="3"/>
  <c r="U6" i="3"/>
  <c r="V5" i="3"/>
  <c r="AP5" i="3"/>
  <c r="AH6" i="3"/>
  <c r="AE4" i="3"/>
  <c r="Z7" i="3"/>
  <c r="AD7" i="3"/>
  <c r="V3" i="3"/>
  <c r="N6" i="3"/>
  <c r="N5" i="3"/>
  <c r="AA8" i="3"/>
  <c r="F6" i="3"/>
  <c r="AE7" i="3"/>
  <c r="P4" i="3"/>
  <c r="AC5" i="3"/>
  <c r="AS7" i="3"/>
  <c r="R5" i="3"/>
  <c r="K7" i="3"/>
  <c r="AI7" i="3"/>
  <c r="Q4" i="3"/>
  <c r="AL5" i="3"/>
  <c r="M7" i="3"/>
  <c r="K8" i="3"/>
  <c r="R7" i="3"/>
  <c r="AH5" i="3"/>
  <c r="AD5" i="3"/>
  <c r="D5" i="3"/>
  <c r="O3" i="3"/>
  <c r="AG5" i="3"/>
  <c r="AE6" i="3"/>
  <c r="AC4" i="3"/>
  <c r="AK6" i="3"/>
  <c r="AG4" i="3"/>
  <c r="AV5" i="3"/>
  <c r="Z6" i="3"/>
  <c r="Q5" i="3"/>
  <c r="AX7" i="3"/>
  <c r="AQ6" i="3"/>
  <c r="P8" i="3"/>
  <c r="AI6" i="3"/>
  <c r="AO7" i="3"/>
  <c r="AV4" i="3"/>
  <c r="E4" i="3"/>
  <c r="G8" i="3"/>
  <c r="W6" i="3"/>
  <c r="U4" i="3"/>
  <c r="H5" i="3"/>
  <c r="AI5" i="3"/>
  <c r="Z8" i="3"/>
  <c r="AJ8" i="3"/>
  <c r="E6" i="3"/>
  <c r="U7" i="3"/>
  <c r="Z4" i="3"/>
  <c r="AI8" i="3"/>
  <c r="I7" i="3"/>
  <c r="O4" i="3"/>
  <c r="AH7" i="3"/>
  <c r="W7" i="3"/>
  <c r="AR7" i="3"/>
  <c r="Z5" i="3"/>
  <c r="AE3" i="3"/>
  <c r="AT5" i="3"/>
  <c r="AP6" i="3"/>
  <c r="Y5" i="3"/>
  <c r="AJ3" i="3"/>
  <c r="AC8" i="3"/>
  <c r="V6" i="3"/>
  <c r="AU8" i="3"/>
  <c r="AG3" i="3"/>
  <c r="AB4" i="3"/>
  <c r="W8" i="3"/>
  <c r="P3" i="3"/>
  <c r="V7" i="3"/>
  <c r="T7" i="3"/>
  <c r="I3" i="3"/>
  <c r="AH3" i="3"/>
  <c r="L7" i="3"/>
  <c r="M4" i="3"/>
  <c r="K4" i="3"/>
  <c r="Y7" i="3"/>
  <c r="C5" i="3"/>
  <c r="AA5" i="3"/>
  <c r="AT4" i="3"/>
  <c r="M6" i="3"/>
  <c r="AN6" i="3"/>
  <c r="AK4" i="3"/>
  <c r="W4" i="3"/>
  <c r="D3" i="3"/>
  <c r="W5" i="3"/>
  <c r="AW4" i="3"/>
  <c r="AA6" i="3"/>
  <c r="AM4" i="3"/>
  <c r="AV7" i="3"/>
  <c r="C6" i="3"/>
  <c r="R4" i="3"/>
  <c r="H6" i="3"/>
  <c r="J7" i="3"/>
  <c r="AX8" i="3"/>
  <c r="Y4" i="3"/>
  <c r="AS8" i="3"/>
  <c r="AU3" i="3"/>
  <c r="N3" i="3"/>
  <c r="H8" i="3"/>
  <c r="AO5" i="3"/>
  <c r="N8" i="3"/>
  <c r="AB8" i="3"/>
  <c r="AJ4" i="3"/>
  <c r="C8" i="3"/>
  <c r="Y8" i="3"/>
  <c r="T5" i="3"/>
  <c r="T3" i="3"/>
  <c r="AA7" i="3"/>
  <c r="D7" i="3"/>
  <c r="G7" i="3"/>
  <c r="AL6" i="3"/>
  <c r="AN4" i="3"/>
  <c r="AU4" i="3"/>
  <c r="AR5" i="3"/>
  <c r="S8" i="3"/>
  <c r="B6" i="3"/>
  <c r="AX5" i="3"/>
  <c r="T6" i="3"/>
  <c r="AM5" i="3"/>
  <c r="B7" i="3"/>
  <c r="AO3" i="3"/>
  <c r="AQ5" i="3"/>
  <c r="K5" i="3"/>
  <c r="AS5" i="3"/>
  <c r="AK5" i="3"/>
  <c r="M5" i="3"/>
  <c r="AB5" i="3"/>
  <c r="AG8" i="3"/>
  <c r="AC7" i="3"/>
  <c r="AL3" i="3"/>
  <c r="X5" i="3"/>
  <c r="L5" i="3"/>
  <c r="C4" i="3"/>
  <c r="E3" i="3"/>
  <c r="AF7" i="3"/>
  <c r="H4" i="3"/>
  <c r="AX4" i="3"/>
  <c r="X7" i="3"/>
  <c r="AE8" i="3"/>
  <c r="AK3" i="3"/>
  <c r="AQ7" i="3"/>
  <c r="AF3" i="3"/>
  <c r="G3" i="3"/>
  <c r="AP7" i="3"/>
  <c r="AN5" i="3"/>
  <c r="D4" i="3"/>
  <c r="AO6" i="3"/>
  <c r="AU6" i="3"/>
  <c r="AQ3" i="3"/>
  <c r="AC3" i="3"/>
  <c r="AB6" i="3"/>
  <c r="I6" i="3"/>
  <c r="I5" i="3"/>
  <c r="AM7" i="3"/>
  <c r="AM6" i="3"/>
  <c r="AT6" i="3"/>
  <c r="X8" i="3"/>
  <c r="AV8" i="3"/>
  <c r="AO4" i="3"/>
  <c r="AJ5" i="3"/>
  <c r="R3" i="3"/>
  <c r="AW7" i="3"/>
  <c r="AI3" i="3"/>
  <c r="AL8" i="3"/>
  <c r="O6" i="3"/>
  <c r="AB3" i="3"/>
  <c r="AD6" i="3"/>
  <c r="A9" i="3" l="1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L902" i="4"/>
  <c r="K902" i="4"/>
  <c r="J902" i="4"/>
  <c r="I902" i="4"/>
  <c r="H902" i="4"/>
  <c r="G902" i="4"/>
  <c r="F902" i="4"/>
  <c r="E902" i="4"/>
  <c r="D902" i="4"/>
  <c r="C902" i="4"/>
  <c r="L901" i="4"/>
  <c r="K901" i="4"/>
  <c r="J901" i="4"/>
  <c r="I901" i="4"/>
  <c r="H901" i="4"/>
  <c r="G901" i="4"/>
  <c r="F901" i="4"/>
  <c r="E901" i="4"/>
  <c r="D901" i="4"/>
  <c r="C901" i="4"/>
  <c r="L900" i="4"/>
  <c r="K900" i="4"/>
  <c r="J900" i="4"/>
  <c r="I900" i="4"/>
  <c r="H900" i="4"/>
  <c r="G900" i="4"/>
  <c r="F900" i="4"/>
  <c r="E900" i="4"/>
  <c r="D900" i="4"/>
  <c r="C900" i="4"/>
  <c r="L899" i="4"/>
  <c r="K899" i="4"/>
  <c r="J899" i="4"/>
  <c r="I899" i="4"/>
  <c r="H899" i="4"/>
  <c r="G899" i="4"/>
  <c r="F899" i="4"/>
  <c r="E899" i="4"/>
  <c r="D899" i="4"/>
  <c r="C899" i="4"/>
  <c r="L898" i="4"/>
  <c r="K898" i="4"/>
  <c r="J898" i="4"/>
  <c r="I898" i="4"/>
  <c r="H898" i="4"/>
  <c r="G898" i="4"/>
  <c r="F898" i="4"/>
  <c r="E898" i="4"/>
  <c r="D898" i="4"/>
  <c r="C898" i="4"/>
  <c r="L897" i="4"/>
  <c r="K897" i="4"/>
  <c r="J897" i="4"/>
  <c r="I897" i="4"/>
  <c r="H897" i="4"/>
  <c r="G897" i="4"/>
  <c r="F897" i="4"/>
  <c r="E897" i="4"/>
  <c r="D897" i="4"/>
  <c r="C897" i="4"/>
  <c r="L896" i="4"/>
  <c r="K896" i="4"/>
  <c r="J896" i="4"/>
  <c r="I896" i="4"/>
  <c r="H896" i="4"/>
  <c r="G896" i="4"/>
  <c r="F896" i="4"/>
  <c r="E896" i="4"/>
  <c r="D896" i="4"/>
  <c r="C896" i="4"/>
  <c r="L895" i="4"/>
  <c r="K895" i="4"/>
  <c r="J895" i="4"/>
  <c r="I895" i="4"/>
  <c r="H895" i="4"/>
  <c r="G895" i="4"/>
  <c r="F895" i="4"/>
  <c r="E895" i="4"/>
  <c r="D895" i="4"/>
  <c r="C895" i="4"/>
  <c r="L894" i="4"/>
  <c r="K894" i="4"/>
  <c r="J894" i="4"/>
  <c r="I894" i="4"/>
  <c r="H894" i="4"/>
  <c r="G894" i="4"/>
  <c r="F894" i="4"/>
  <c r="E894" i="4"/>
  <c r="D894" i="4"/>
  <c r="C894" i="4"/>
  <c r="L893" i="4"/>
  <c r="K893" i="4"/>
  <c r="J893" i="4"/>
  <c r="I893" i="4"/>
  <c r="H893" i="4"/>
  <c r="G893" i="4"/>
  <c r="F893" i="4"/>
  <c r="E893" i="4"/>
  <c r="D893" i="4"/>
  <c r="C893" i="4"/>
  <c r="L892" i="4"/>
  <c r="K892" i="4"/>
  <c r="J892" i="4"/>
  <c r="I892" i="4"/>
  <c r="H892" i="4"/>
  <c r="G892" i="4"/>
  <c r="F892" i="4"/>
  <c r="E892" i="4"/>
  <c r="D892" i="4"/>
  <c r="C892" i="4"/>
  <c r="L891" i="4"/>
  <c r="K891" i="4"/>
  <c r="J891" i="4"/>
  <c r="I891" i="4"/>
  <c r="H891" i="4"/>
  <c r="G891" i="4"/>
  <c r="F891" i="4"/>
  <c r="E891" i="4"/>
  <c r="D891" i="4"/>
  <c r="C891" i="4"/>
  <c r="L890" i="4"/>
  <c r="K890" i="4"/>
  <c r="J890" i="4"/>
  <c r="I890" i="4"/>
  <c r="H890" i="4"/>
  <c r="G890" i="4"/>
  <c r="F890" i="4"/>
  <c r="E890" i="4"/>
  <c r="D890" i="4"/>
  <c r="C890" i="4"/>
  <c r="L889" i="4"/>
  <c r="K889" i="4"/>
  <c r="J889" i="4"/>
  <c r="I889" i="4"/>
  <c r="H889" i="4"/>
  <c r="G889" i="4"/>
  <c r="F889" i="4"/>
  <c r="E889" i="4"/>
  <c r="D889" i="4"/>
  <c r="C889" i="4"/>
  <c r="L888" i="4"/>
  <c r="K888" i="4"/>
  <c r="J888" i="4"/>
  <c r="I888" i="4"/>
  <c r="H888" i="4"/>
  <c r="G888" i="4"/>
  <c r="F888" i="4"/>
  <c r="E888" i="4"/>
  <c r="D888" i="4"/>
  <c r="C888" i="4"/>
  <c r="L887" i="4"/>
  <c r="K887" i="4"/>
  <c r="J887" i="4"/>
  <c r="I887" i="4"/>
  <c r="H887" i="4"/>
  <c r="G887" i="4"/>
  <c r="F887" i="4"/>
  <c r="E887" i="4"/>
  <c r="D887" i="4"/>
  <c r="C887" i="4"/>
  <c r="L886" i="4"/>
  <c r="K886" i="4"/>
  <c r="J886" i="4"/>
  <c r="I886" i="4"/>
  <c r="H886" i="4"/>
  <c r="G886" i="4"/>
  <c r="F886" i="4"/>
  <c r="E886" i="4"/>
  <c r="D886" i="4"/>
  <c r="C886" i="4"/>
  <c r="L885" i="4"/>
  <c r="K885" i="4"/>
  <c r="J885" i="4"/>
  <c r="I885" i="4"/>
  <c r="H885" i="4"/>
  <c r="G885" i="4"/>
  <c r="F885" i="4"/>
  <c r="E885" i="4"/>
  <c r="D885" i="4"/>
  <c r="C885" i="4"/>
  <c r="L884" i="4"/>
  <c r="K884" i="4"/>
  <c r="J884" i="4"/>
  <c r="I884" i="4"/>
  <c r="H884" i="4"/>
  <c r="G884" i="4"/>
  <c r="F884" i="4"/>
  <c r="E884" i="4"/>
  <c r="D884" i="4"/>
  <c r="C884" i="4"/>
  <c r="L883" i="4"/>
  <c r="K883" i="4"/>
  <c r="J883" i="4"/>
  <c r="I883" i="4"/>
  <c r="H883" i="4"/>
  <c r="G883" i="4"/>
  <c r="F883" i="4"/>
  <c r="E883" i="4"/>
  <c r="D883" i="4"/>
  <c r="C883" i="4"/>
  <c r="L882" i="4"/>
  <c r="K882" i="4"/>
  <c r="J882" i="4"/>
  <c r="I882" i="4"/>
  <c r="H882" i="4"/>
  <c r="G882" i="4"/>
  <c r="F882" i="4"/>
  <c r="E882" i="4"/>
  <c r="D882" i="4"/>
  <c r="C882" i="4"/>
  <c r="L881" i="4"/>
  <c r="K881" i="4"/>
  <c r="J881" i="4"/>
  <c r="I881" i="4"/>
  <c r="H881" i="4"/>
  <c r="G881" i="4"/>
  <c r="F881" i="4"/>
  <c r="E881" i="4"/>
  <c r="D881" i="4"/>
  <c r="C881" i="4"/>
  <c r="L880" i="4"/>
  <c r="K880" i="4"/>
  <c r="J880" i="4"/>
  <c r="I880" i="4"/>
  <c r="H880" i="4"/>
  <c r="G880" i="4"/>
  <c r="F880" i="4"/>
  <c r="E880" i="4"/>
  <c r="D880" i="4"/>
  <c r="C880" i="4"/>
  <c r="L879" i="4"/>
  <c r="K879" i="4"/>
  <c r="J879" i="4"/>
  <c r="I879" i="4"/>
  <c r="H879" i="4"/>
  <c r="G879" i="4"/>
  <c r="F879" i="4"/>
  <c r="E879" i="4"/>
  <c r="D879" i="4"/>
  <c r="C879" i="4"/>
  <c r="L878" i="4"/>
  <c r="K878" i="4"/>
  <c r="J878" i="4"/>
  <c r="I878" i="4"/>
  <c r="H878" i="4"/>
  <c r="G878" i="4"/>
  <c r="F878" i="4"/>
  <c r="E878" i="4"/>
  <c r="D878" i="4"/>
  <c r="C878" i="4"/>
  <c r="L877" i="4"/>
  <c r="K877" i="4"/>
  <c r="J877" i="4"/>
  <c r="I877" i="4"/>
  <c r="H877" i="4"/>
  <c r="G877" i="4"/>
  <c r="F877" i="4"/>
  <c r="E877" i="4"/>
  <c r="D877" i="4"/>
  <c r="C877" i="4"/>
  <c r="L876" i="4"/>
  <c r="K876" i="4"/>
  <c r="J876" i="4"/>
  <c r="I876" i="4"/>
  <c r="H876" i="4"/>
  <c r="G876" i="4"/>
  <c r="F876" i="4"/>
  <c r="E876" i="4"/>
  <c r="D876" i="4"/>
  <c r="C876" i="4"/>
  <c r="L875" i="4"/>
  <c r="K875" i="4"/>
  <c r="J875" i="4"/>
  <c r="I875" i="4"/>
  <c r="H875" i="4"/>
  <c r="G875" i="4"/>
  <c r="F875" i="4"/>
  <c r="E875" i="4"/>
  <c r="D875" i="4"/>
  <c r="C875" i="4"/>
  <c r="L874" i="4"/>
  <c r="K874" i="4"/>
  <c r="J874" i="4"/>
  <c r="I874" i="4"/>
  <c r="H874" i="4"/>
  <c r="G874" i="4"/>
  <c r="F874" i="4"/>
  <c r="E874" i="4"/>
  <c r="D874" i="4"/>
  <c r="C874" i="4"/>
  <c r="L873" i="4"/>
  <c r="K873" i="4"/>
  <c r="J873" i="4"/>
  <c r="I873" i="4"/>
  <c r="H873" i="4"/>
  <c r="G873" i="4"/>
  <c r="F873" i="4"/>
  <c r="E873" i="4"/>
  <c r="D873" i="4"/>
  <c r="C873" i="4"/>
  <c r="L872" i="4"/>
  <c r="K872" i="4"/>
  <c r="J872" i="4"/>
  <c r="I872" i="4"/>
  <c r="H872" i="4"/>
  <c r="G872" i="4"/>
  <c r="F872" i="4"/>
  <c r="E872" i="4"/>
  <c r="D872" i="4"/>
  <c r="C872" i="4"/>
  <c r="L871" i="4"/>
  <c r="K871" i="4"/>
  <c r="J871" i="4"/>
  <c r="I871" i="4"/>
  <c r="H871" i="4"/>
  <c r="G871" i="4"/>
  <c r="F871" i="4"/>
  <c r="E871" i="4"/>
  <c r="D871" i="4"/>
  <c r="C871" i="4"/>
  <c r="L870" i="4"/>
  <c r="K870" i="4"/>
  <c r="J870" i="4"/>
  <c r="I870" i="4"/>
  <c r="H870" i="4"/>
  <c r="G870" i="4"/>
  <c r="F870" i="4"/>
  <c r="E870" i="4"/>
  <c r="D870" i="4"/>
  <c r="C870" i="4"/>
  <c r="L869" i="4"/>
  <c r="K869" i="4"/>
  <c r="J869" i="4"/>
  <c r="I869" i="4"/>
  <c r="H869" i="4"/>
  <c r="G869" i="4"/>
  <c r="F869" i="4"/>
  <c r="E869" i="4"/>
  <c r="D869" i="4"/>
  <c r="C869" i="4"/>
  <c r="L868" i="4"/>
  <c r="K868" i="4"/>
  <c r="J868" i="4"/>
  <c r="I868" i="4"/>
  <c r="H868" i="4"/>
  <c r="G868" i="4"/>
  <c r="F868" i="4"/>
  <c r="E868" i="4"/>
  <c r="D868" i="4"/>
  <c r="C868" i="4"/>
  <c r="L867" i="4"/>
  <c r="K867" i="4"/>
  <c r="J867" i="4"/>
  <c r="I867" i="4"/>
  <c r="H867" i="4"/>
  <c r="G867" i="4"/>
  <c r="F867" i="4"/>
  <c r="E867" i="4"/>
  <c r="D867" i="4"/>
  <c r="C867" i="4"/>
  <c r="L866" i="4"/>
  <c r="K866" i="4"/>
  <c r="J866" i="4"/>
  <c r="I866" i="4"/>
  <c r="H866" i="4"/>
  <c r="G866" i="4"/>
  <c r="F866" i="4"/>
  <c r="E866" i="4"/>
  <c r="D866" i="4"/>
  <c r="C866" i="4"/>
  <c r="L865" i="4"/>
  <c r="K865" i="4"/>
  <c r="J865" i="4"/>
  <c r="I865" i="4"/>
  <c r="H865" i="4"/>
  <c r="G865" i="4"/>
  <c r="F865" i="4"/>
  <c r="E865" i="4"/>
  <c r="D865" i="4"/>
  <c r="C865" i="4"/>
  <c r="L864" i="4"/>
  <c r="K864" i="4"/>
  <c r="J864" i="4"/>
  <c r="I864" i="4"/>
  <c r="H864" i="4"/>
  <c r="G864" i="4"/>
  <c r="F864" i="4"/>
  <c r="E864" i="4"/>
  <c r="D864" i="4"/>
  <c r="C864" i="4"/>
  <c r="L863" i="4"/>
  <c r="K863" i="4"/>
  <c r="J863" i="4"/>
  <c r="I863" i="4"/>
  <c r="H863" i="4"/>
  <c r="G863" i="4"/>
  <c r="F863" i="4"/>
  <c r="E863" i="4"/>
  <c r="D863" i="4"/>
  <c r="C863" i="4"/>
  <c r="L862" i="4"/>
  <c r="K862" i="4"/>
  <c r="J862" i="4"/>
  <c r="I862" i="4"/>
  <c r="H862" i="4"/>
  <c r="G862" i="4"/>
  <c r="F862" i="4"/>
  <c r="E862" i="4"/>
  <c r="D862" i="4"/>
  <c r="C862" i="4"/>
  <c r="L861" i="4"/>
  <c r="K861" i="4"/>
  <c r="J861" i="4"/>
  <c r="I861" i="4"/>
  <c r="H861" i="4"/>
  <c r="G861" i="4"/>
  <c r="F861" i="4"/>
  <c r="E861" i="4"/>
  <c r="D861" i="4"/>
  <c r="C861" i="4"/>
  <c r="L860" i="4"/>
  <c r="K860" i="4"/>
  <c r="J860" i="4"/>
  <c r="I860" i="4"/>
  <c r="H860" i="4"/>
  <c r="G860" i="4"/>
  <c r="F860" i="4"/>
  <c r="E860" i="4"/>
  <c r="D860" i="4"/>
  <c r="C860" i="4"/>
  <c r="L859" i="4"/>
  <c r="K859" i="4"/>
  <c r="J859" i="4"/>
  <c r="I859" i="4"/>
  <c r="H859" i="4"/>
  <c r="G859" i="4"/>
  <c r="F859" i="4"/>
  <c r="E859" i="4"/>
  <c r="D859" i="4"/>
  <c r="C859" i="4"/>
  <c r="L858" i="4"/>
  <c r="K858" i="4"/>
  <c r="J858" i="4"/>
  <c r="I858" i="4"/>
  <c r="H858" i="4"/>
  <c r="G858" i="4"/>
  <c r="F858" i="4"/>
  <c r="E858" i="4"/>
  <c r="D858" i="4"/>
  <c r="C858" i="4"/>
  <c r="L857" i="4"/>
  <c r="K857" i="4"/>
  <c r="J857" i="4"/>
  <c r="I857" i="4"/>
  <c r="H857" i="4"/>
  <c r="G857" i="4"/>
  <c r="F857" i="4"/>
  <c r="E857" i="4"/>
  <c r="D857" i="4"/>
  <c r="C857" i="4"/>
  <c r="L856" i="4"/>
  <c r="K856" i="4"/>
  <c r="J856" i="4"/>
  <c r="I856" i="4"/>
  <c r="H856" i="4"/>
  <c r="G856" i="4"/>
  <c r="F856" i="4"/>
  <c r="E856" i="4"/>
  <c r="D856" i="4"/>
  <c r="C856" i="4"/>
  <c r="L855" i="4"/>
  <c r="K855" i="4"/>
  <c r="J855" i="4"/>
  <c r="I855" i="4"/>
  <c r="H855" i="4"/>
  <c r="G855" i="4"/>
  <c r="F855" i="4"/>
  <c r="E855" i="4"/>
  <c r="D855" i="4"/>
  <c r="C855" i="4"/>
  <c r="L854" i="4"/>
  <c r="K854" i="4"/>
  <c r="J854" i="4"/>
  <c r="I854" i="4"/>
  <c r="H854" i="4"/>
  <c r="G854" i="4"/>
  <c r="F854" i="4"/>
  <c r="E854" i="4"/>
  <c r="D854" i="4"/>
  <c r="C854" i="4"/>
  <c r="L853" i="4"/>
  <c r="K853" i="4"/>
  <c r="J853" i="4"/>
  <c r="I853" i="4"/>
  <c r="H853" i="4"/>
  <c r="G853" i="4"/>
  <c r="F853" i="4"/>
  <c r="E853" i="4"/>
  <c r="D853" i="4"/>
  <c r="C853" i="4"/>
  <c r="L852" i="4"/>
  <c r="K852" i="4"/>
  <c r="J852" i="4"/>
  <c r="I852" i="4"/>
  <c r="H852" i="4"/>
  <c r="G852" i="4"/>
  <c r="F852" i="4"/>
  <c r="E852" i="4"/>
  <c r="D852" i="4"/>
  <c r="C852" i="4"/>
  <c r="L851" i="4"/>
  <c r="K851" i="4"/>
  <c r="J851" i="4"/>
  <c r="I851" i="4"/>
  <c r="H851" i="4"/>
  <c r="G851" i="4"/>
  <c r="F851" i="4"/>
  <c r="E851" i="4"/>
  <c r="D851" i="4"/>
  <c r="C851" i="4"/>
  <c r="L850" i="4"/>
  <c r="K850" i="4"/>
  <c r="J850" i="4"/>
  <c r="I850" i="4"/>
  <c r="H850" i="4"/>
  <c r="G850" i="4"/>
  <c r="F850" i="4"/>
  <c r="E850" i="4"/>
  <c r="D850" i="4"/>
  <c r="C850" i="4"/>
  <c r="L849" i="4"/>
  <c r="K849" i="4"/>
  <c r="J849" i="4"/>
  <c r="I849" i="4"/>
  <c r="H849" i="4"/>
  <c r="G849" i="4"/>
  <c r="F849" i="4"/>
  <c r="E849" i="4"/>
  <c r="D849" i="4"/>
  <c r="C849" i="4"/>
  <c r="L848" i="4"/>
  <c r="K848" i="4"/>
  <c r="J848" i="4"/>
  <c r="I848" i="4"/>
  <c r="H848" i="4"/>
  <c r="G848" i="4"/>
  <c r="F848" i="4"/>
  <c r="E848" i="4"/>
  <c r="D848" i="4"/>
  <c r="C848" i="4"/>
  <c r="L847" i="4"/>
  <c r="K847" i="4"/>
  <c r="J847" i="4"/>
  <c r="I847" i="4"/>
  <c r="H847" i="4"/>
  <c r="G847" i="4"/>
  <c r="F847" i="4"/>
  <c r="E847" i="4"/>
  <c r="D847" i="4"/>
  <c r="C847" i="4"/>
  <c r="L846" i="4"/>
  <c r="K846" i="4"/>
  <c r="J846" i="4"/>
  <c r="I846" i="4"/>
  <c r="H846" i="4"/>
  <c r="G846" i="4"/>
  <c r="F846" i="4"/>
  <c r="E846" i="4"/>
  <c r="D846" i="4"/>
  <c r="C846" i="4"/>
  <c r="L845" i="4"/>
  <c r="K845" i="4"/>
  <c r="J845" i="4"/>
  <c r="I845" i="4"/>
  <c r="H845" i="4"/>
  <c r="G845" i="4"/>
  <c r="F845" i="4"/>
  <c r="E845" i="4"/>
  <c r="D845" i="4"/>
  <c r="C845" i="4"/>
  <c r="L844" i="4"/>
  <c r="K844" i="4"/>
  <c r="J844" i="4"/>
  <c r="I844" i="4"/>
  <c r="H844" i="4"/>
  <c r="G844" i="4"/>
  <c r="F844" i="4"/>
  <c r="E844" i="4"/>
  <c r="D844" i="4"/>
  <c r="C844" i="4"/>
  <c r="L843" i="4"/>
  <c r="K843" i="4"/>
  <c r="J843" i="4"/>
  <c r="I843" i="4"/>
  <c r="H843" i="4"/>
  <c r="G843" i="4"/>
  <c r="F843" i="4"/>
  <c r="E843" i="4"/>
  <c r="D843" i="4"/>
  <c r="C843" i="4"/>
  <c r="L842" i="4"/>
  <c r="K842" i="4"/>
  <c r="J842" i="4"/>
  <c r="I842" i="4"/>
  <c r="H842" i="4"/>
  <c r="G842" i="4"/>
  <c r="F842" i="4"/>
  <c r="E842" i="4"/>
  <c r="D842" i="4"/>
  <c r="C842" i="4"/>
  <c r="L841" i="4"/>
  <c r="K841" i="4"/>
  <c r="J841" i="4"/>
  <c r="I841" i="4"/>
  <c r="H841" i="4"/>
  <c r="G841" i="4"/>
  <c r="F841" i="4"/>
  <c r="E841" i="4"/>
  <c r="D841" i="4"/>
  <c r="C841" i="4"/>
  <c r="L840" i="4"/>
  <c r="K840" i="4"/>
  <c r="J840" i="4"/>
  <c r="I840" i="4"/>
  <c r="H840" i="4"/>
  <c r="G840" i="4"/>
  <c r="F840" i="4"/>
  <c r="E840" i="4"/>
  <c r="D840" i="4"/>
  <c r="C840" i="4"/>
  <c r="L839" i="4"/>
  <c r="K839" i="4"/>
  <c r="J839" i="4"/>
  <c r="I839" i="4"/>
  <c r="H839" i="4"/>
  <c r="G839" i="4"/>
  <c r="F839" i="4"/>
  <c r="E839" i="4"/>
  <c r="D839" i="4"/>
  <c r="C839" i="4"/>
  <c r="L838" i="4"/>
  <c r="K838" i="4"/>
  <c r="J838" i="4"/>
  <c r="I838" i="4"/>
  <c r="H838" i="4"/>
  <c r="G838" i="4"/>
  <c r="F838" i="4"/>
  <c r="E838" i="4"/>
  <c r="D838" i="4"/>
  <c r="C838" i="4"/>
  <c r="L837" i="4"/>
  <c r="K837" i="4"/>
  <c r="J837" i="4"/>
  <c r="I837" i="4"/>
  <c r="H837" i="4"/>
  <c r="G837" i="4"/>
  <c r="F837" i="4"/>
  <c r="E837" i="4"/>
  <c r="D837" i="4"/>
  <c r="C837" i="4"/>
  <c r="L836" i="4"/>
  <c r="K836" i="4"/>
  <c r="J836" i="4"/>
  <c r="I836" i="4"/>
  <c r="H836" i="4"/>
  <c r="G836" i="4"/>
  <c r="F836" i="4"/>
  <c r="E836" i="4"/>
  <c r="D836" i="4"/>
  <c r="C836" i="4"/>
  <c r="L835" i="4"/>
  <c r="K835" i="4"/>
  <c r="J835" i="4"/>
  <c r="I835" i="4"/>
  <c r="H835" i="4"/>
  <c r="G835" i="4"/>
  <c r="F835" i="4"/>
  <c r="E835" i="4"/>
  <c r="D835" i="4"/>
  <c r="C835" i="4"/>
  <c r="L834" i="4"/>
  <c r="K834" i="4"/>
  <c r="J834" i="4"/>
  <c r="I834" i="4"/>
  <c r="H834" i="4"/>
  <c r="G834" i="4"/>
  <c r="F834" i="4"/>
  <c r="E834" i="4"/>
  <c r="D834" i="4"/>
  <c r="C834" i="4"/>
  <c r="L833" i="4"/>
  <c r="K833" i="4"/>
  <c r="J833" i="4"/>
  <c r="I833" i="4"/>
  <c r="H833" i="4"/>
  <c r="G833" i="4"/>
  <c r="F833" i="4"/>
  <c r="E833" i="4"/>
  <c r="D833" i="4"/>
  <c r="C833" i="4"/>
  <c r="L832" i="4"/>
  <c r="K832" i="4"/>
  <c r="J832" i="4"/>
  <c r="I832" i="4"/>
  <c r="H832" i="4"/>
  <c r="G832" i="4"/>
  <c r="F832" i="4"/>
  <c r="E832" i="4"/>
  <c r="D832" i="4"/>
  <c r="C832" i="4"/>
  <c r="L831" i="4"/>
  <c r="K831" i="4"/>
  <c r="J831" i="4"/>
  <c r="I831" i="4"/>
  <c r="H831" i="4"/>
  <c r="G831" i="4"/>
  <c r="F831" i="4"/>
  <c r="E831" i="4"/>
  <c r="D831" i="4"/>
  <c r="C831" i="4"/>
  <c r="L830" i="4"/>
  <c r="K830" i="4"/>
  <c r="J830" i="4"/>
  <c r="I830" i="4"/>
  <c r="H830" i="4"/>
  <c r="G830" i="4"/>
  <c r="F830" i="4"/>
  <c r="E830" i="4"/>
  <c r="D830" i="4"/>
  <c r="C830" i="4"/>
  <c r="L829" i="4"/>
  <c r="K829" i="4"/>
  <c r="J829" i="4"/>
  <c r="I829" i="4"/>
  <c r="H829" i="4"/>
  <c r="G829" i="4"/>
  <c r="F829" i="4"/>
  <c r="E829" i="4"/>
  <c r="D829" i="4"/>
  <c r="C829" i="4"/>
  <c r="L828" i="4"/>
  <c r="K828" i="4"/>
  <c r="J828" i="4"/>
  <c r="I828" i="4"/>
  <c r="H828" i="4"/>
  <c r="G828" i="4"/>
  <c r="F828" i="4"/>
  <c r="E828" i="4"/>
  <c r="D828" i="4"/>
  <c r="C828" i="4"/>
  <c r="L827" i="4"/>
  <c r="K827" i="4"/>
  <c r="J827" i="4"/>
  <c r="I827" i="4"/>
  <c r="H827" i="4"/>
  <c r="G827" i="4"/>
  <c r="F827" i="4"/>
  <c r="E827" i="4"/>
  <c r="D827" i="4"/>
  <c r="C827" i="4"/>
  <c r="L826" i="4"/>
  <c r="K826" i="4"/>
  <c r="J826" i="4"/>
  <c r="I826" i="4"/>
  <c r="H826" i="4"/>
  <c r="G826" i="4"/>
  <c r="F826" i="4"/>
  <c r="E826" i="4"/>
  <c r="D826" i="4"/>
  <c r="C826" i="4"/>
  <c r="L825" i="4"/>
  <c r="K825" i="4"/>
  <c r="J825" i="4"/>
  <c r="I825" i="4"/>
  <c r="H825" i="4"/>
  <c r="G825" i="4"/>
  <c r="F825" i="4"/>
  <c r="E825" i="4"/>
  <c r="D825" i="4"/>
  <c r="C825" i="4"/>
  <c r="L824" i="4"/>
  <c r="K824" i="4"/>
  <c r="J824" i="4"/>
  <c r="I824" i="4"/>
  <c r="H824" i="4"/>
  <c r="G824" i="4"/>
  <c r="F824" i="4"/>
  <c r="E824" i="4"/>
  <c r="D824" i="4"/>
  <c r="C824" i="4"/>
  <c r="L823" i="4"/>
  <c r="K823" i="4"/>
  <c r="J823" i="4"/>
  <c r="I823" i="4"/>
  <c r="H823" i="4"/>
  <c r="G823" i="4"/>
  <c r="F823" i="4"/>
  <c r="E823" i="4"/>
  <c r="D823" i="4"/>
  <c r="C823" i="4"/>
  <c r="L822" i="4"/>
  <c r="K822" i="4"/>
  <c r="J822" i="4"/>
  <c r="I822" i="4"/>
  <c r="H822" i="4"/>
  <c r="G822" i="4"/>
  <c r="F822" i="4"/>
  <c r="E822" i="4"/>
  <c r="D822" i="4"/>
  <c r="C822" i="4"/>
  <c r="L821" i="4"/>
  <c r="K821" i="4"/>
  <c r="J821" i="4"/>
  <c r="I821" i="4"/>
  <c r="H821" i="4"/>
  <c r="G821" i="4"/>
  <c r="F821" i="4"/>
  <c r="E821" i="4"/>
  <c r="D821" i="4"/>
  <c r="C821" i="4"/>
  <c r="L820" i="4"/>
  <c r="K820" i="4"/>
  <c r="J820" i="4"/>
  <c r="I820" i="4"/>
  <c r="H820" i="4"/>
  <c r="G820" i="4"/>
  <c r="F820" i="4"/>
  <c r="E820" i="4"/>
  <c r="D820" i="4"/>
  <c r="C820" i="4"/>
  <c r="L819" i="4"/>
  <c r="K819" i="4"/>
  <c r="J819" i="4"/>
  <c r="I819" i="4"/>
  <c r="H819" i="4"/>
  <c r="G819" i="4"/>
  <c r="F819" i="4"/>
  <c r="E819" i="4"/>
  <c r="D819" i="4"/>
  <c r="C819" i="4"/>
  <c r="L818" i="4"/>
  <c r="K818" i="4"/>
  <c r="J818" i="4"/>
  <c r="I818" i="4"/>
  <c r="H818" i="4"/>
  <c r="G818" i="4"/>
  <c r="F818" i="4"/>
  <c r="E818" i="4"/>
  <c r="D818" i="4"/>
  <c r="C818" i="4"/>
  <c r="L817" i="4"/>
  <c r="K817" i="4"/>
  <c r="J817" i="4"/>
  <c r="I817" i="4"/>
  <c r="H817" i="4"/>
  <c r="G817" i="4"/>
  <c r="F817" i="4"/>
  <c r="E817" i="4"/>
  <c r="D817" i="4"/>
  <c r="C817" i="4"/>
  <c r="L816" i="4"/>
  <c r="K816" i="4"/>
  <c r="J816" i="4"/>
  <c r="I816" i="4"/>
  <c r="H816" i="4"/>
  <c r="G816" i="4"/>
  <c r="F816" i="4"/>
  <c r="E816" i="4"/>
  <c r="D816" i="4"/>
  <c r="C816" i="4"/>
  <c r="L815" i="4"/>
  <c r="K815" i="4"/>
  <c r="J815" i="4"/>
  <c r="I815" i="4"/>
  <c r="H815" i="4"/>
  <c r="G815" i="4"/>
  <c r="F815" i="4"/>
  <c r="E815" i="4"/>
  <c r="D815" i="4"/>
  <c r="C815" i="4"/>
  <c r="L814" i="4"/>
  <c r="K814" i="4"/>
  <c r="J814" i="4"/>
  <c r="I814" i="4"/>
  <c r="H814" i="4"/>
  <c r="G814" i="4"/>
  <c r="F814" i="4"/>
  <c r="E814" i="4"/>
  <c r="D814" i="4"/>
  <c r="C814" i="4"/>
  <c r="L813" i="4"/>
  <c r="K813" i="4"/>
  <c r="J813" i="4"/>
  <c r="I813" i="4"/>
  <c r="H813" i="4"/>
  <c r="G813" i="4"/>
  <c r="F813" i="4"/>
  <c r="E813" i="4"/>
  <c r="D813" i="4"/>
  <c r="C813" i="4"/>
  <c r="L812" i="4"/>
  <c r="K812" i="4"/>
  <c r="J812" i="4"/>
  <c r="I812" i="4"/>
  <c r="H812" i="4"/>
  <c r="G812" i="4"/>
  <c r="F812" i="4"/>
  <c r="E812" i="4"/>
  <c r="D812" i="4"/>
  <c r="C812" i="4"/>
  <c r="L811" i="4"/>
  <c r="K811" i="4"/>
  <c r="J811" i="4"/>
  <c r="I811" i="4"/>
  <c r="H811" i="4"/>
  <c r="G811" i="4"/>
  <c r="F811" i="4"/>
  <c r="E811" i="4"/>
  <c r="D811" i="4"/>
  <c r="C811" i="4"/>
  <c r="L810" i="4"/>
  <c r="K810" i="4"/>
  <c r="J810" i="4"/>
  <c r="I810" i="4"/>
  <c r="H810" i="4"/>
  <c r="G810" i="4"/>
  <c r="F810" i="4"/>
  <c r="E810" i="4"/>
  <c r="D810" i="4"/>
  <c r="C810" i="4"/>
  <c r="L809" i="4"/>
  <c r="K809" i="4"/>
  <c r="J809" i="4"/>
  <c r="I809" i="4"/>
  <c r="H809" i="4"/>
  <c r="G809" i="4"/>
  <c r="F809" i="4"/>
  <c r="E809" i="4"/>
  <c r="D809" i="4"/>
  <c r="C809" i="4"/>
  <c r="L808" i="4"/>
  <c r="K808" i="4"/>
  <c r="J808" i="4"/>
  <c r="I808" i="4"/>
  <c r="H808" i="4"/>
  <c r="G808" i="4"/>
  <c r="F808" i="4"/>
  <c r="E808" i="4"/>
  <c r="D808" i="4"/>
  <c r="C808" i="4"/>
  <c r="L807" i="4"/>
  <c r="K807" i="4"/>
  <c r="J807" i="4"/>
  <c r="I807" i="4"/>
  <c r="H807" i="4"/>
  <c r="G807" i="4"/>
  <c r="F807" i="4"/>
  <c r="E807" i="4"/>
  <c r="D807" i="4"/>
  <c r="C807" i="4"/>
  <c r="L806" i="4"/>
  <c r="K806" i="4"/>
  <c r="J806" i="4"/>
  <c r="I806" i="4"/>
  <c r="H806" i="4"/>
  <c r="G806" i="4"/>
  <c r="F806" i="4"/>
  <c r="E806" i="4"/>
  <c r="D806" i="4"/>
  <c r="C806" i="4"/>
  <c r="L805" i="4"/>
  <c r="K805" i="4"/>
  <c r="J805" i="4"/>
  <c r="I805" i="4"/>
  <c r="H805" i="4"/>
  <c r="G805" i="4"/>
  <c r="F805" i="4"/>
  <c r="E805" i="4"/>
  <c r="D805" i="4"/>
  <c r="C805" i="4"/>
  <c r="L804" i="4"/>
  <c r="K804" i="4"/>
  <c r="J804" i="4"/>
  <c r="I804" i="4"/>
  <c r="H804" i="4"/>
  <c r="G804" i="4"/>
  <c r="F804" i="4"/>
  <c r="E804" i="4"/>
  <c r="D804" i="4"/>
  <c r="C804" i="4"/>
  <c r="L803" i="4"/>
  <c r="K803" i="4"/>
  <c r="J803" i="4"/>
  <c r="I803" i="4"/>
  <c r="H803" i="4"/>
  <c r="G803" i="4"/>
  <c r="F803" i="4"/>
  <c r="E803" i="4"/>
  <c r="D803" i="4"/>
  <c r="C803" i="4"/>
  <c r="L802" i="4"/>
  <c r="K802" i="4"/>
  <c r="J802" i="4"/>
  <c r="I802" i="4"/>
  <c r="H802" i="4"/>
  <c r="G802" i="4"/>
  <c r="F802" i="4"/>
  <c r="E802" i="4"/>
  <c r="D802" i="4"/>
  <c r="C802" i="4"/>
  <c r="L801" i="4"/>
  <c r="K801" i="4"/>
  <c r="J801" i="4"/>
  <c r="I801" i="4"/>
  <c r="H801" i="4"/>
  <c r="G801" i="4"/>
  <c r="F801" i="4"/>
  <c r="E801" i="4"/>
  <c r="D801" i="4"/>
  <c r="C801" i="4"/>
  <c r="L800" i="4"/>
  <c r="K800" i="4"/>
  <c r="J800" i="4"/>
  <c r="I800" i="4"/>
  <c r="H800" i="4"/>
  <c r="G800" i="4"/>
  <c r="F800" i="4"/>
  <c r="E800" i="4"/>
  <c r="D800" i="4"/>
  <c r="C800" i="4"/>
  <c r="L799" i="4"/>
  <c r="K799" i="4"/>
  <c r="J799" i="4"/>
  <c r="I799" i="4"/>
  <c r="H799" i="4"/>
  <c r="G799" i="4"/>
  <c r="F799" i="4"/>
  <c r="E799" i="4"/>
  <c r="D799" i="4"/>
  <c r="C799" i="4"/>
  <c r="L798" i="4"/>
  <c r="K798" i="4"/>
  <c r="J798" i="4"/>
  <c r="I798" i="4"/>
  <c r="H798" i="4"/>
  <c r="G798" i="4"/>
  <c r="F798" i="4"/>
  <c r="E798" i="4"/>
  <c r="D798" i="4"/>
  <c r="C798" i="4"/>
  <c r="L797" i="4"/>
  <c r="K797" i="4"/>
  <c r="J797" i="4"/>
  <c r="I797" i="4"/>
  <c r="H797" i="4"/>
  <c r="G797" i="4"/>
  <c r="F797" i="4"/>
  <c r="E797" i="4"/>
  <c r="D797" i="4"/>
  <c r="C797" i="4"/>
  <c r="L796" i="4"/>
  <c r="K796" i="4"/>
  <c r="J796" i="4"/>
  <c r="I796" i="4"/>
  <c r="H796" i="4"/>
  <c r="G796" i="4"/>
  <c r="F796" i="4"/>
  <c r="E796" i="4"/>
  <c r="D796" i="4"/>
  <c r="C796" i="4"/>
  <c r="L795" i="4"/>
  <c r="K795" i="4"/>
  <c r="J795" i="4"/>
  <c r="I795" i="4"/>
  <c r="H795" i="4"/>
  <c r="G795" i="4"/>
  <c r="F795" i="4"/>
  <c r="E795" i="4"/>
  <c r="D795" i="4"/>
  <c r="C795" i="4"/>
  <c r="L794" i="4"/>
  <c r="K794" i="4"/>
  <c r="J794" i="4"/>
  <c r="I794" i="4"/>
  <c r="H794" i="4"/>
  <c r="G794" i="4"/>
  <c r="F794" i="4"/>
  <c r="E794" i="4"/>
  <c r="D794" i="4"/>
  <c r="C794" i="4"/>
  <c r="L793" i="4"/>
  <c r="K793" i="4"/>
  <c r="J793" i="4"/>
  <c r="I793" i="4"/>
  <c r="H793" i="4"/>
  <c r="G793" i="4"/>
  <c r="F793" i="4"/>
  <c r="E793" i="4"/>
  <c r="D793" i="4"/>
  <c r="C793" i="4"/>
  <c r="L792" i="4"/>
  <c r="K792" i="4"/>
  <c r="J792" i="4"/>
  <c r="I792" i="4"/>
  <c r="H792" i="4"/>
  <c r="G792" i="4"/>
  <c r="F792" i="4"/>
  <c r="E792" i="4"/>
  <c r="D792" i="4"/>
  <c r="C792" i="4"/>
  <c r="L791" i="4"/>
  <c r="K791" i="4"/>
  <c r="J791" i="4"/>
  <c r="I791" i="4"/>
  <c r="H791" i="4"/>
  <c r="G791" i="4"/>
  <c r="F791" i="4"/>
  <c r="E791" i="4"/>
  <c r="D791" i="4"/>
  <c r="C791" i="4"/>
  <c r="L790" i="4"/>
  <c r="K790" i="4"/>
  <c r="J790" i="4"/>
  <c r="I790" i="4"/>
  <c r="H790" i="4"/>
  <c r="G790" i="4"/>
  <c r="F790" i="4"/>
  <c r="E790" i="4"/>
  <c r="D790" i="4"/>
  <c r="C790" i="4"/>
  <c r="L789" i="4"/>
  <c r="K789" i="4"/>
  <c r="J789" i="4"/>
  <c r="I789" i="4"/>
  <c r="H789" i="4"/>
  <c r="G789" i="4"/>
  <c r="F789" i="4"/>
  <c r="E789" i="4"/>
  <c r="D789" i="4"/>
  <c r="C789" i="4"/>
  <c r="L788" i="4"/>
  <c r="K788" i="4"/>
  <c r="J788" i="4"/>
  <c r="I788" i="4"/>
  <c r="H788" i="4"/>
  <c r="G788" i="4"/>
  <c r="F788" i="4"/>
  <c r="E788" i="4"/>
  <c r="D788" i="4"/>
  <c r="C788" i="4"/>
  <c r="L787" i="4"/>
  <c r="K787" i="4"/>
  <c r="J787" i="4"/>
  <c r="I787" i="4"/>
  <c r="H787" i="4"/>
  <c r="G787" i="4"/>
  <c r="F787" i="4"/>
  <c r="E787" i="4"/>
  <c r="D787" i="4"/>
  <c r="C787" i="4"/>
  <c r="L786" i="4"/>
  <c r="K786" i="4"/>
  <c r="J786" i="4"/>
  <c r="I786" i="4"/>
  <c r="H786" i="4"/>
  <c r="G786" i="4"/>
  <c r="F786" i="4"/>
  <c r="E786" i="4"/>
  <c r="D786" i="4"/>
  <c r="C786" i="4"/>
  <c r="L785" i="4"/>
  <c r="K785" i="4"/>
  <c r="J785" i="4"/>
  <c r="I785" i="4"/>
  <c r="H785" i="4"/>
  <c r="G785" i="4"/>
  <c r="F785" i="4"/>
  <c r="E785" i="4"/>
  <c r="D785" i="4"/>
  <c r="C785" i="4"/>
  <c r="L784" i="4"/>
  <c r="K784" i="4"/>
  <c r="J784" i="4"/>
  <c r="I784" i="4"/>
  <c r="H784" i="4"/>
  <c r="G784" i="4"/>
  <c r="F784" i="4"/>
  <c r="E784" i="4"/>
  <c r="D784" i="4"/>
  <c r="C784" i="4"/>
  <c r="L783" i="4"/>
  <c r="K783" i="4"/>
  <c r="J783" i="4"/>
  <c r="I783" i="4"/>
  <c r="H783" i="4"/>
  <c r="G783" i="4"/>
  <c r="F783" i="4"/>
  <c r="E783" i="4"/>
  <c r="D783" i="4"/>
  <c r="C783" i="4"/>
  <c r="L782" i="4"/>
  <c r="K782" i="4"/>
  <c r="J782" i="4"/>
  <c r="I782" i="4"/>
  <c r="H782" i="4"/>
  <c r="G782" i="4"/>
  <c r="F782" i="4"/>
  <c r="E782" i="4"/>
  <c r="D782" i="4"/>
  <c r="C782" i="4"/>
  <c r="L781" i="4"/>
  <c r="K781" i="4"/>
  <c r="J781" i="4"/>
  <c r="I781" i="4"/>
  <c r="H781" i="4"/>
  <c r="G781" i="4"/>
  <c r="F781" i="4"/>
  <c r="E781" i="4"/>
  <c r="D781" i="4"/>
  <c r="C781" i="4"/>
  <c r="L780" i="4"/>
  <c r="K780" i="4"/>
  <c r="J780" i="4"/>
  <c r="I780" i="4"/>
  <c r="H780" i="4"/>
  <c r="G780" i="4"/>
  <c r="F780" i="4"/>
  <c r="E780" i="4"/>
  <c r="D780" i="4"/>
  <c r="C780" i="4"/>
  <c r="L779" i="4"/>
  <c r="K779" i="4"/>
  <c r="J779" i="4"/>
  <c r="I779" i="4"/>
  <c r="H779" i="4"/>
  <c r="G779" i="4"/>
  <c r="F779" i="4"/>
  <c r="E779" i="4"/>
  <c r="D779" i="4"/>
  <c r="C779" i="4"/>
  <c r="L778" i="4"/>
  <c r="K778" i="4"/>
  <c r="J778" i="4"/>
  <c r="I778" i="4"/>
  <c r="H778" i="4"/>
  <c r="G778" i="4"/>
  <c r="F778" i="4"/>
  <c r="E778" i="4"/>
  <c r="D778" i="4"/>
  <c r="C778" i="4"/>
  <c r="L777" i="4"/>
  <c r="K777" i="4"/>
  <c r="J777" i="4"/>
  <c r="I777" i="4"/>
  <c r="H777" i="4"/>
  <c r="G777" i="4"/>
  <c r="F777" i="4"/>
  <c r="E777" i="4"/>
  <c r="D777" i="4"/>
  <c r="C777" i="4"/>
  <c r="L776" i="4"/>
  <c r="K776" i="4"/>
  <c r="J776" i="4"/>
  <c r="I776" i="4"/>
  <c r="H776" i="4"/>
  <c r="G776" i="4"/>
  <c r="F776" i="4"/>
  <c r="E776" i="4"/>
  <c r="D776" i="4"/>
  <c r="C776" i="4"/>
  <c r="L775" i="4"/>
  <c r="K775" i="4"/>
  <c r="J775" i="4"/>
  <c r="I775" i="4"/>
  <c r="H775" i="4"/>
  <c r="G775" i="4"/>
  <c r="F775" i="4"/>
  <c r="E775" i="4"/>
  <c r="D775" i="4"/>
  <c r="C775" i="4"/>
  <c r="L774" i="4"/>
  <c r="K774" i="4"/>
  <c r="J774" i="4"/>
  <c r="I774" i="4"/>
  <c r="H774" i="4"/>
  <c r="G774" i="4"/>
  <c r="F774" i="4"/>
  <c r="E774" i="4"/>
  <c r="D774" i="4"/>
  <c r="C774" i="4"/>
  <c r="L773" i="4"/>
  <c r="K773" i="4"/>
  <c r="J773" i="4"/>
  <c r="I773" i="4"/>
  <c r="H773" i="4"/>
  <c r="G773" i="4"/>
  <c r="F773" i="4"/>
  <c r="E773" i="4"/>
  <c r="D773" i="4"/>
  <c r="C773" i="4"/>
  <c r="L772" i="4"/>
  <c r="K772" i="4"/>
  <c r="J772" i="4"/>
  <c r="I772" i="4"/>
  <c r="H772" i="4"/>
  <c r="G772" i="4"/>
  <c r="F772" i="4"/>
  <c r="E772" i="4"/>
  <c r="D772" i="4"/>
  <c r="C772" i="4"/>
  <c r="L771" i="4"/>
  <c r="K771" i="4"/>
  <c r="J771" i="4"/>
  <c r="I771" i="4"/>
  <c r="H771" i="4"/>
  <c r="G771" i="4"/>
  <c r="F771" i="4"/>
  <c r="E771" i="4"/>
  <c r="D771" i="4"/>
  <c r="C771" i="4"/>
  <c r="L770" i="4"/>
  <c r="K770" i="4"/>
  <c r="J770" i="4"/>
  <c r="I770" i="4"/>
  <c r="H770" i="4"/>
  <c r="G770" i="4"/>
  <c r="F770" i="4"/>
  <c r="E770" i="4"/>
  <c r="D770" i="4"/>
  <c r="C770" i="4"/>
  <c r="L769" i="4"/>
  <c r="K769" i="4"/>
  <c r="J769" i="4"/>
  <c r="I769" i="4"/>
  <c r="H769" i="4"/>
  <c r="G769" i="4"/>
  <c r="F769" i="4"/>
  <c r="E769" i="4"/>
  <c r="D769" i="4"/>
  <c r="C769" i="4"/>
  <c r="L768" i="4"/>
  <c r="K768" i="4"/>
  <c r="J768" i="4"/>
  <c r="I768" i="4"/>
  <c r="H768" i="4"/>
  <c r="G768" i="4"/>
  <c r="F768" i="4"/>
  <c r="E768" i="4"/>
  <c r="D768" i="4"/>
  <c r="C768" i="4"/>
  <c r="L767" i="4"/>
  <c r="K767" i="4"/>
  <c r="J767" i="4"/>
  <c r="I767" i="4"/>
  <c r="H767" i="4"/>
  <c r="G767" i="4"/>
  <c r="F767" i="4"/>
  <c r="E767" i="4"/>
  <c r="D767" i="4"/>
  <c r="C767" i="4"/>
  <c r="L766" i="4"/>
  <c r="K766" i="4"/>
  <c r="J766" i="4"/>
  <c r="I766" i="4"/>
  <c r="H766" i="4"/>
  <c r="G766" i="4"/>
  <c r="F766" i="4"/>
  <c r="E766" i="4"/>
  <c r="D766" i="4"/>
  <c r="C766" i="4"/>
  <c r="L765" i="4"/>
  <c r="K765" i="4"/>
  <c r="J765" i="4"/>
  <c r="I765" i="4"/>
  <c r="H765" i="4"/>
  <c r="G765" i="4"/>
  <c r="F765" i="4"/>
  <c r="E765" i="4"/>
  <c r="D765" i="4"/>
  <c r="C765" i="4"/>
  <c r="L764" i="4"/>
  <c r="K764" i="4"/>
  <c r="J764" i="4"/>
  <c r="I764" i="4"/>
  <c r="H764" i="4"/>
  <c r="G764" i="4"/>
  <c r="F764" i="4"/>
  <c r="E764" i="4"/>
  <c r="D764" i="4"/>
  <c r="C764" i="4"/>
  <c r="L763" i="4"/>
  <c r="K763" i="4"/>
  <c r="J763" i="4"/>
  <c r="I763" i="4"/>
  <c r="H763" i="4"/>
  <c r="G763" i="4"/>
  <c r="F763" i="4"/>
  <c r="E763" i="4"/>
  <c r="D763" i="4"/>
  <c r="C763" i="4"/>
  <c r="L762" i="4"/>
  <c r="K762" i="4"/>
  <c r="J762" i="4"/>
  <c r="I762" i="4"/>
  <c r="H762" i="4"/>
  <c r="G762" i="4"/>
  <c r="F762" i="4"/>
  <c r="E762" i="4"/>
  <c r="D762" i="4"/>
  <c r="C762" i="4"/>
  <c r="L761" i="4"/>
  <c r="K761" i="4"/>
  <c r="J761" i="4"/>
  <c r="I761" i="4"/>
  <c r="H761" i="4"/>
  <c r="G761" i="4"/>
  <c r="F761" i="4"/>
  <c r="E761" i="4"/>
  <c r="D761" i="4"/>
  <c r="C761" i="4"/>
  <c r="L760" i="4"/>
  <c r="K760" i="4"/>
  <c r="J760" i="4"/>
  <c r="I760" i="4"/>
  <c r="H760" i="4"/>
  <c r="G760" i="4"/>
  <c r="F760" i="4"/>
  <c r="E760" i="4"/>
  <c r="D760" i="4"/>
  <c r="C760" i="4"/>
  <c r="L759" i="4"/>
  <c r="K759" i="4"/>
  <c r="J759" i="4"/>
  <c r="I759" i="4"/>
  <c r="H759" i="4"/>
  <c r="G759" i="4"/>
  <c r="F759" i="4"/>
  <c r="E759" i="4"/>
  <c r="D759" i="4"/>
  <c r="C759" i="4"/>
  <c r="L758" i="4"/>
  <c r="K758" i="4"/>
  <c r="J758" i="4"/>
  <c r="I758" i="4"/>
  <c r="H758" i="4"/>
  <c r="G758" i="4"/>
  <c r="F758" i="4"/>
  <c r="E758" i="4"/>
  <c r="D758" i="4"/>
  <c r="C758" i="4"/>
  <c r="L757" i="4"/>
  <c r="K757" i="4"/>
  <c r="J757" i="4"/>
  <c r="I757" i="4"/>
  <c r="H757" i="4"/>
  <c r="G757" i="4"/>
  <c r="F757" i="4"/>
  <c r="E757" i="4"/>
  <c r="D757" i="4"/>
  <c r="C757" i="4"/>
  <c r="L756" i="4"/>
  <c r="K756" i="4"/>
  <c r="J756" i="4"/>
  <c r="I756" i="4"/>
  <c r="H756" i="4"/>
  <c r="G756" i="4"/>
  <c r="F756" i="4"/>
  <c r="E756" i="4"/>
  <c r="D756" i="4"/>
  <c r="C756" i="4"/>
  <c r="L755" i="4"/>
  <c r="K755" i="4"/>
  <c r="J755" i="4"/>
  <c r="I755" i="4"/>
  <c r="H755" i="4"/>
  <c r="G755" i="4"/>
  <c r="F755" i="4"/>
  <c r="E755" i="4"/>
  <c r="D755" i="4"/>
  <c r="C755" i="4"/>
  <c r="L754" i="4"/>
  <c r="K754" i="4"/>
  <c r="J754" i="4"/>
  <c r="I754" i="4"/>
  <c r="H754" i="4"/>
  <c r="G754" i="4"/>
  <c r="F754" i="4"/>
  <c r="E754" i="4"/>
  <c r="D754" i="4"/>
  <c r="C754" i="4"/>
  <c r="L753" i="4"/>
  <c r="K753" i="4"/>
  <c r="J753" i="4"/>
  <c r="I753" i="4"/>
  <c r="H753" i="4"/>
  <c r="G753" i="4"/>
  <c r="F753" i="4"/>
  <c r="E753" i="4"/>
  <c r="D753" i="4"/>
  <c r="C753" i="4"/>
  <c r="L752" i="4"/>
  <c r="K752" i="4"/>
  <c r="J752" i="4"/>
  <c r="I752" i="4"/>
  <c r="H752" i="4"/>
  <c r="G752" i="4"/>
  <c r="F752" i="4"/>
  <c r="E752" i="4"/>
  <c r="D752" i="4"/>
  <c r="C752" i="4"/>
  <c r="L751" i="4"/>
  <c r="K751" i="4"/>
  <c r="J751" i="4"/>
  <c r="I751" i="4"/>
  <c r="H751" i="4"/>
  <c r="G751" i="4"/>
  <c r="F751" i="4"/>
  <c r="E751" i="4"/>
  <c r="D751" i="4"/>
  <c r="C751" i="4"/>
  <c r="L750" i="4"/>
  <c r="K750" i="4"/>
  <c r="J750" i="4"/>
  <c r="I750" i="4"/>
  <c r="H750" i="4"/>
  <c r="G750" i="4"/>
  <c r="F750" i="4"/>
  <c r="E750" i="4"/>
  <c r="D750" i="4"/>
  <c r="C750" i="4"/>
  <c r="L749" i="4"/>
  <c r="K749" i="4"/>
  <c r="J749" i="4"/>
  <c r="I749" i="4"/>
  <c r="H749" i="4"/>
  <c r="G749" i="4"/>
  <c r="F749" i="4"/>
  <c r="E749" i="4"/>
  <c r="D749" i="4"/>
  <c r="C749" i="4"/>
  <c r="L748" i="4"/>
  <c r="K748" i="4"/>
  <c r="J748" i="4"/>
  <c r="I748" i="4"/>
  <c r="H748" i="4"/>
  <c r="G748" i="4"/>
  <c r="F748" i="4"/>
  <c r="E748" i="4"/>
  <c r="D748" i="4"/>
  <c r="C748" i="4"/>
  <c r="L747" i="4"/>
  <c r="K747" i="4"/>
  <c r="J747" i="4"/>
  <c r="I747" i="4"/>
  <c r="H747" i="4"/>
  <c r="G747" i="4"/>
  <c r="F747" i="4"/>
  <c r="E747" i="4"/>
  <c r="D747" i="4"/>
  <c r="C747" i="4"/>
  <c r="L746" i="4"/>
  <c r="K746" i="4"/>
  <c r="J746" i="4"/>
  <c r="I746" i="4"/>
  <c r="H746" i="4"/>
  <c r="G746" i="4"/>
  <c r="F746" i="4"/>
  <c r="E746" i="4"/>
  <c r="D746" i="4"/>
  <c r="C746" i="4"/>
  <c r="L745" i="4"/>
  <c r="K745" i="4"/>
  <c r="J745" i="4"/>
  <c r="I745" i="4"/>
  <c r="H745" i="4"/>
  <c r="G745" i="4"/>
  <c r="F745" i="4"/>
  <c r="E745" i="4"/>
  <c r="D745" i="4"/>
  <c r="C745" i="4"/>
  <c r="L744" i="4"/>
  <c r="K744" i="4"/>
  <c r="J744" i="4"/>
  <c r="I744" i="4"/>
  <c r="H744" i="4"/>
  <c r="G744" i="4"/>
  <c r="F744" i="4"/>
  <c r="E744" i="4"/>
  <c r="D744" i="4"/>
  <c r="C744" i="4"/>
  <c r="L743" i="4"/>
  <c r="K743" i="4"/>
  <c r="J743" i="4"/>
  <c r="I743" i="4"/>
  <c r="H743" i="4"/>
  <c r="G743" i="4"/>
  <c r="F743" i="4"/>
  <c r="E743" i="4"/>
  <c r="D743" i="4"/>
  <c r="C743" i="4"/>
  <c r="L742" i="4"/>
  <c r="K742" i="4"/>
  <c r="J742" i="4"/>
  <c r="I742" i="4"/>
  <c r="H742" i="4"/>
  <c r="G742" i="4"/>
  <c r="F742" i="4"/>
  <c r="E742" i="4"/>
  <c r="D742" i="4"/>
  <c r="C742" i="4"/>
  <c r="L741" i="4"/>
  <c r="K741" i="4"/>
  <c r="J741" i="4"/>
  <c r="I741" i="4"/>
  <c r="H741" i="4"/>
  <c r="G741" i="4"/>
  <c r="F741" i="4"/>
  <c r="E741" i="4"/>
  <c r="D741" i="4"/>
  <c r="C741" i="4"/>
  <c r="L740" i="4"/>
  <c r="K740" i="4"/>
  <c r="J740" i="4"/>
  <c r="I740" i="4"/>
  <c r="H740" i="4"/>
  <c r="G740" i="4"/>
  <c r="F740" i="4"/>
  <c r="E740" i="4"/>
  <c r="D740" i="4"/>
  <c r="C740" i="4"/>
  <c r="L739" i="4"/>
  <c r="K739" i="4"/>
  <c r="J739" i="4"/>
  <c r="I739" i="4"/>
  <c r="H739" i="4"/>
  <c r="G739" i="4"/>
  <c r="F739" i="4"/>
  <c r="E739" i="4"/>
  <c r="D739" i="4"/>
  <c r="C739" i="4"/>
  <c r="L738" i="4"/>
  <c r="K738" i="4"/>
  <c r="J738" i="4"/>
  <c r="I738" i="4"/>
  <c r="H738" i="4"/>
  <c r="G738" i="4"/>
  <c r="F738" i="4"/>
  <c r="E738" i="4"/>
  <c r="D738" i="4"/>
  <c r="C738" i="4"/>
  <c r="L737" i="4"/>
  <c r="K737" i="4"/>
  <c r="J737" i="4"/>
  <c r="I737" i="4"/>
  <c r="H737" i="4"/>
  <c r="G737" i="4"/>
  <c r="F737" i="4"/>
  <c r="E737" i="4"/>
  <c r="D737" i="4"/>
  <c r="C737" i="4"/>
  <c r="L736" i="4"/>
  <c r="K736" i="4"/>
  <c r="J736" i="4"/>
  <c r="I736" i="4"/>
  <c r="H736" i="4"/>
  <c r="G736" i="4"/>
  <c r="F736" i="4"/>
  <c r="E736" i="4"/>
  <c r="D736" i="4"/>
  <c r="C736" i="4"/>
  <c r="L735" i="4"/>
  <c r="K735" i="4"/>
  <c r="J735" i="4"/>
  <c r="I735" i="4"/>
  <c r="H735" i="4"/>
  <c r="G735" i="4"/>
  <c r="F735" i="4"/>
  <c r="E735" i="4"/>
  <c r="D735" i="4"/>
  <c r="C735" i="4"/>
  <c r="L734" i="4"/>
  <c r="K734" i="4"/>
  <c r="J734" i="4"/>
  <c r="I734" i="4"/>
  <c r="H734" i="4"/>
  <c r="G734" i="4"/>
  <c r="F734" i="4"/>
  <c r="E734" i="4"/>
  <c r="D734" i="4"/>
  <c r="C734" i="4"/>
  <c r="L733" i="4"/>
  <c r="K733" i="4"/>
  <c r="J733" i="4"/>
  <c r="I733" i="4"/>
  <c r="H733" i="4"/>
  <c r="G733" i="4"/>
  <c r="F733" i="4"/>
  <c r="E733" i="4"/>
  <c r="D733" i="4"/>
  <c r="C733" i="4"/>
  <c r="L732" i="4"/>
  <c r="K732" i="4"/>
  <c r="J732" i="4"/>
  <c r="I732" i="4"/>
  <c r="H732" i="4"/>
  <c r="G732" i="4"/>
  <c r="F732" i="4"/>
  <c r="E732" i="4"/>
  <c r="D732" i="4"/>
  <c r="C732" i="4"/>
  <c r="L731" i="4"/>
  <c r="K731" i="4"/>
  <c r="J731" i="4"/>
  <c r="I731" i="4"/>
  <c r="H731" i="4"/>
  <c r="G731" i="4"/>
  <c r="F731" i="4"/>
  <c r="E731" i="4"/>
  <c r="D731" i="4"/>
  <c r="C731" i="4"/>
  <c r="L730" i="4"/>
  <c r="K730" i="4"/>
  <c r="J730" i="4"/>
  <c r="I730" i="4"/>
  <c r="H730" i="4"/>
  <c r="G730" i="4"/>
  <c r="F730" i="4"/>
  <c r="E730" i="4"/>
  <c r="D730" i="4"/>
  <c r="C730" i="4"/>
  <c r="L729" i="4"/>
  <c r="K729" i="4"/>
  <c r="J729" i="4"/>
  <c r="I729" i="4"/>
  <c r="H729" i="4"/>
  <c r="G729" i="4"/>
  <c r="F729" i="4"/>
  <c r="E729" i="4"/>
  <c r="D729" i="4"/>
  <c r="C729" i="4"/>
  <c r="L728" i="4"/>
  <c r="K728" i="4"/>
  <c r="J728" i="4"/>
  <c r="I728" i="4"/>
  <c r="H728" i="4"/>
  <c r="G728" i="4"/>
  <c r="F728" i="4"/>
  <c r="E728" i="4"/>
  <c r="D728" i="4"/>
  <c r="C728" i="4"/>
  <c r="L727" i="4"/>
  <c r="K727" i="4"/>
  <c r="J727" i="4"/>
  <c r="I727" i="4"/>
  <c r="H727" i="4"/>
  <c r="G727" i="4"/>
  <c r="F727" i="4"/>
  <c r="E727" i="4"/>
  <c r="D727" i="4"/>
  <c r="C727" i="4"/>
  <c r="L726" i="4"/>
  <c r="K726" i="4"/>
  <c r="J726" i="4"/>
  <c r="I726" i="4"/>
  <c r="H726" i="4"/>
  <c r="G726" i="4"/>
  <c r="F726" i="4"/>
  <c r="E726" i="4"/>
  <c r="D726" i="4"/>
  <c r="C726" i="4"/>
  <c r="L725" i="4"/>
  <c r="K725" i="4"/>
  <c r="J725" i="4"/>
  <c r="I725" i="4"/>
  <c r="H725" i="4"/>
  <c r="G725" i="4"/>
  <c r="F725" i="4"/>
  <c r="E725" i="4"/>
  <c r="D725" i="4"/>
  <c r="C725" i="4"/>
  <c r="L724" i="4"/>
  <c r="K724" i="4"/>
  <c r="J724" i="4"/>
  <c r="I724" i="4"/>
  <c r="H724" i="4"/>
  <c r="G724" i="4"/>
  <c r="F724" i="4"/>
  <c r="E724" i="4"/>
  <c r="D724" i="4"/>
  <c r="C724" i="4"/>
  <c r="L723" i="4"/>
  <c r="K723" i="4"/>
  <c r="J723" i="4"/>
  <c r="I723" i="4"/>
  <c r="H723" i="4"/>
  <c r="G723" i="4"/>
  <c r="F723" i="4"/>
  <c r="E723" i="4"/>
  <c r="D723" i="4"/>
  <c r="C723" i="4"/>
  <c r="L722" i="4"/>
  <c r="K722" i="4"/>
  <c r="J722" i="4"/>
  <c r="I722" i="4"/>
  <c r="H722" i="4"/>
  <c r="G722" i="4"/>
  <c r="F722" i="4"/>
  <c r="E722" i="4"/>
  <c r="D722" i="4"/>
  <c r="C722" i="4"/>
  <c r="L721" i="4"/>
  <c r="K721" i="4"/>
  <c r="J721" i="4"/>
  <c r="I721" i="4"/>
  <c r="H721" i="4"/>
  <c r="G721" i="4"/>
  <c r="F721" i="4"/>
  <c r="E721" i="4"/>
  <c r="D721" i="4"/>
  <c r="C721" i="4"/>
  <c r="L720" i="4"/>
  <c r="K720" i="4"/>
  <c r="J720" i="4"/>
  <c r="I720" i="4"/>
  <c r="H720" i="4"/>
  <c r="G720" i="4"/>
  <c r="F720" i="4"/>
  <c r="E720" i="4"/>
  <c r="D720" i="4"/>
  <c r="C720" i="4"/>
  <c r="L719" i="4"/>
  <c r="K719" i="4"/>
  <c r="J719" i="4"/>
  <c r="I719" i="4"/>
  <c r="H719" i="4"/>
  <c r="G719" i="4"/>
  <c r="F719" i="4"/>
  <c r="E719" i="4"/>
  <c r="D719" i="4"/>
  <c r="C719" i="4"/>
  <c r="L718" i="4"/>
  <c r="K718" i="4"/>
  <c r="J718" i="4"/>
  <c r="I718" i="4"/>
  <c r="H718" i="4"/>
  <c r="G718" i="4"/>
  <c r="F718" i="4"/>
  <c r="E718" i="4"/>
  <c r="D718" i="4"/>
  <c r="C718" i="4"/>
  <c r="L717" i="4"/>
  <c r="K717" i="4"/>
  <c r="J717" i="4"/>
  <c r="I717" i="4"/>
  <c r="H717" i="4"/>
  <c r="G717" i="4"/>
  <c r="F717" i="4"/>
  <c r="E717" i="4"/>
  <c r="D717" i="4"/>
  <c r="C717" i="4"/>
  <c r="L716" i="4"/>
  <c r="K716" i="4"/>
  <c r="J716" i="4"/>
  <c r="I716" i="4"/>
  <c r="H716" i="4"/>
  <c r="G716" i="4"/>
  <c r="F716" i="4"/>
  <c r="E716" i="4"/>
  <c r="D716" i="4"/>
  <c r="C716" i="4"/>
  <c r="L715" i="4"/>
  <c r="K715" i="4"/>
  <c r="J715" i="4"/>
  <c r="I715" i="4"/>
  <c r="H715" i="4"/>
  <c r="G715" i="4"/>
  <c r="F715" i="4"/>
  <c r="E715" i="4"/>
  <c r="D715" i="4"/>
  <c r="C715" i="4"/>
  <c r="L714" i="4"/>
  <c r="K714" i="4"/>
  <c r="J714" i="4"/>
  <c r="I714" i="4"/>
  <c r="H714" i="4"/>
  <c r="G714" i="4"/>
  <c r="F714" i="4"/>
  <c r="E714" i="4"/>
  <c r="D714" i="4"/>
  <c r="C714" i="4"/>
  <c r="L713" i="4"/>
  <c r="K713" i="4"/>
  <c r="J713" i="4"/>
  <c r="I713" i="4"/>
  <c r="H713" i="4"/>
  <c r="G713" i="4"/>
  <c r="F713" i="4"/>
  <c r="E713" i="4"/>
  <c r="D713" i="4"/>
  <c r="C713" i="4"/>
  <c r="L712" i="4"/>
  <c r="K712" i="4"/>
  <c r="J712" i="4"/>
  <c r="I712" i="4"/>
  <c r="H712" i="4"/>
  <c r="G712" i="4"/>
  <c r="F712" i="4"/>
  <c r="E712" i="4"/>
  <c r="D712" i="4"/>
  <c r="C712" i="4"/>
  <c r="L711" i="4"/>
  <c r="K711" i="4"/>
  <c r="J711" i="4"/>
  <c r="I711" i="4"/>
  <c r="H711" i="4"/>
  <c r="G711" i="4"/>
  <c r="F711" i="4"/>
  <c r="E711" i="4"/>
  <c r="D711" i="4"/>
  <c r="C711" i="4"/>
  <c r="L710" i="4"/>
  <c r="K710" i="4"/>
  <c r="J710" i="4"/>
  <c r="I710" i="4"/>
  <c r="H710" i="4"/>
  <c r="G710" i="4"/>
  <c r="F710" i="4"/>
  <c r="E710" i="4"/>
  <c r="D710" i="4"/>
  <c r="C710" i="4"/>
  <c r="L709" i="4"/>
  <c r="K709" i="4"/>
  <c r="J709" i="4"/>
  <c r="I709" i="4"/>
  <c r="H709" i="4"/>
  <c r="G709" i="4"/>
  <c r="F709" i="4"/>
  <c r="E709" i="4"/>
  <c r="D709" i="4"/>
  <c r="C709" i="4"/>
  <c r="L708" i="4"/>
  <c r="K708" i="4"/>
  <c r="J708" i="4"/>
  <c r="I708" i="4"/>
  <c r="H708" i="4"/>
  <c r="G708" i="4"/>
  <c r="F708" i="4"/>
  <c r="E708" i="4"/>
  <c r="D708" i="4"/>
  <c r="C708" i="4"/>
  <c r="L707" i="4"/>
  <c r="K707" i="4"/>
  <c r="J707" i="4"/>
  <c r="I707" i="4"/>
  <c r="H707" i="4"/>
  <c r="G707" i="4"/>
  <c r="F707" i="4"/>
  <c r="E707" i="4"/>
  <c r="D707" i="4"/>
  <c r="C707" i="4"/>
  <c r="L706" i="4"/>
  <c r="K706" i="4"/>
  <c r="J706" i="4"/>
  <c r="I706" i="4"/>
  <c r="H706" i="4"/>
  <c r="G706" i="4"/>
  <c r="F706" i="4"/>
  <c r="E706" i="4"/>
  <c r="D706" i="4"/>
  <c r="C706" i="4"/>
  <c r="L705" i="4"/>
  <c r="K705" i="4"/>
  <c r="J705" i="4"/>
  <c r="I705" i="4"/>
  <c r="H705" i="4"/>
  <c r="G705" i="4"/>
  <c r="F705" i="4"/>
  <c r="E705" i="4"/>
  <c r="D705" i="4"/>
  <c r="C705" i="4"/>
  <c r="L704" i="4"/>
  <c r="K704" i="4"/>
  <c r="J704" i="4"/>
  <c r="I704" i="4"/>
  <c r="H704" i="4"/>
  <c r="G704" i="4"/>
  <c r="F704" i="4"/>
  <c r="E704" i="4"/>
  <c r="D704" i="4"/>
  <c r="C704" i="4"/>
  <c r="L703" i="4"/>
  <c r="K703" i="4"/>
  <c r="J703" i="4"/>
  <c r="I703" i="4"/>
  <c r="H703" i="4"/>
  <c r="G703" i="4"/>
  <c r="F703" i="4"/>
  <c r="E703" i="4"/>
  <c r="D703" i="4"/>
  <c r="C703" i="4"/>
  <c r="L702" i="4"/>
  <c r="K702" i="4"/>
  <c r="J702" i="4"/>
  <c r="I702" i="4"/>
  <c r="H702" i="4"/>
  <c r="G702" i="4"/>
  <c r="F702" i="4"/>
  <c r="E702" i="4"/>
  <c r="D702" i="4"/>
  <c r="C702" i="4"/>
  <c r="L701" i="4"/>
  <c r="K701" i="4"/>
  <c r="J701" i="4"/>
  <c r="I701" i="4"/>
  <c r="H701" i="4"/>
  <c r="G701" i="4"/>
  <c r="F701" i="4"/>
  <c r="E701" i="4"/>
  <c r="D701" i="4"/>
  <c r="C701" i="4"/>
  <c r="L700" i="4"/>
  <c r="K700" i="4"/>
  <c r="J700" i="4"/>
  <c r="I700" i="4"/>
  <c r="H700" i="4"/>
  <c r="G700" i="4"/>
  <c r="F700" i="4"/>
  <c r="E700" i="4"/>
  <c r="D700" i="4"/>
  <c r="C700" i="4"/>
  <c r="L699" i="4"/>
  <c r="K699" i="4"/>
  <c r="J699" i="4"/>
  <c r="I699" i="4"/>
  <c r="H699" i="4"/>
  <c r="G699" i="4"/>
  <c r="F699" i="4"/>
  <c r="E699" i="4"/>
  <c r="D699" i="4"/>
  <c r="C699" i="4"/>
  <c r="L698" i="4"/>
  <c r="K698" i="4"/>
  <c r="J698" i="4"/>
  <c r="I698" i="4"/>
  <c r="H698" i="4"/>
  <c r="G698" i="4"/>
  <c r="F698" i="4"/>
  <c r="E698" i="4"/>
  <c r="D698" i="4"/>
  <c r="C698" i="4"/>
  <c r="L697" i="4"/>
  <c r="K697" i="4"/>
  <c r="J697" i="4"/>
  <c r="I697" i="4"/>
  <c r="H697" i="4"/>
  <c r="G697" i="4"/>
  <c r="F697" i="4"/>
  <c r="E697" i="4"/>
  <c r="D697" i="4"/>
  <c r="C697" i="4"/>
  <c r="L696" i="4"/>
  <c r="K696" i="4"/>
  <c r="J696" i="4"/>
  <c r="I696" i="4"/>
  <c r="H696" i="4"/>
  <c r="G696" i="4"/>
  <c r="F696" i="4"/>
  <c r="E696" i="4"/>
  <c r="D696" i="4"/>
  <c r="C696" i="4"/>
  <c r="L695" i="4"/>
  <c r="K695" i="4"/>
  <c r="J695" i="4"/>
  <c r="I695" i="4"/>
  <c r="H695" i="4"/>
  <c r="G695" i="4"/>
  <c r="F695" i="4"/>
  <c r="E695" i="4"/>
  <c r="D695" i="4"/>
  <c r="C695" i="4"/>
  <c r="L694" i="4"/>
  <c r="K694" i="4"/>
  <c r="J694" i="4"/>
  <c r="I694" i="4"/>
  <c r="H694" i="4"/>
  <c r="G694" i="4"/>
  <c r="F694" i="4"/>
  <c r="E694" i="4"/>
  <c r="D694" i="4"/>
  <c r="C694" i="4"/>
  <c r="L693" i="4"/>
  <c r="K693" i="4"/>
  <c r="J693" i="4"/>
  <c r="I693" i="4"/>
  <c r="H693" i="4"/>
  <c r="G693" i="4"/>
  <c r="F693" i="4"/>
  <c r="E693" i="4"/>
  <c r="D693" i="4"/>
  <c r="C693" i="4"/>
  <c r="L692" i="4"/>
  <c r="K692" i="4"/>
  <c r="J692" i="4"/>
  <c r="I692" i="4"/>
  <c r="H692" i="4"/>
  <c r="G692" i="4"/>
  <c r="F692" i="4"/>
  <c r="E692" i="4"/>
  <c r="D692" i="4"/>
  <c r="C692" i="4"/>
  <c r="L691" i="4"/>
  <c r="K691" i="4"/>
  <c r="J691" i="4"/>
  <c r="I691" i="4"/>
  <c r="H691" i="4"/>
  <c r="G691" i="4"/>
  <c r="F691" i="4"/>
  <c r="E691" i="4"/>
  <c r="D691" i="4"/>
  <c r="C691" i="4"/>
  <c r="L690" i="4"/>
  <c r="K690" i="4"/>
  <c r="J690" i="4"/>
  <c r="I690" i="4"/>
  <c r="H690" i="4"/>
  <c r="G690" i="4"/>
  <c r="F690" i="4"/>
  <c r="E690" i="4"/>
  <c r="D690" i="4"/>
  <c r="C690" i="4"/>
  <c r="L689" i="4"/>
  <c r="K689" i="4"/>
  <c r="J689" i="4"/>
  <c r="I689" i="4"/>
  <c r="H689" i="4"/>
  <c r="G689" i="4"/>
  <c r="F689" i="4"/>
  <c r="E689" i="4"/>
  <c r="D689" i="4"/>
  <c r="C689" i="4"/>
  <c r="L688" i="4"/>
  <c r="K688" i="4"/>
  <c r="J688" i="4"/>
  <c r="I688" i="4"/>
  <c r="H688" i="4"/>
  <c r="G688" i="4"/>
  <c r="F688" i="4"/>
  <c r="E688" i="4"/>
  <c r="D688" i="4"/>
  <c r="C688" i="4"/>
  <c r="L687" i="4"/>
  <c r="K687" i="4"/>
  <c r="J687" i="4"/>
  <c r="I687" i="4"/>
  <c r="H687" i="4"/>
  <c r="G687" i="4"/>
  <c r="F687" i="4"/>
  <c r="E687" i="4"/>
  <c r="D687" i="4"/>
  <c r="C687" i="4"/>
  <c r="L686" i="4"/>
  <c r="K686" i="4"/>
  <c r="J686" i="4"/>
  <c r="I686" i="4"/>
  <c r="H686" i="4"/>
  <c r="G686" i="4"/>
  <c r="F686" i="4"/>
  <c r="E686" i="4"/>
  <c r="D686" i="4"/>
  <c r="C686" i="4"/>
  <c r="L685" i="4"/>
  <c r="K685" i="4"/>
  <c r="J685" i="4"/>
  <c r="I685" i="4"/>
  <c r="H685" i="4"/>
  <c r="G685" i="4"/>
  <c r="F685" i="4"/>
  <c r="E685" i="4"/>
  <c r="D685" i="4"/>
  <c r="C685" i="4"/>
  <c r="L684" i="4"/>
  <c r="K684" i="4"/>
  <c r="J684" i="4"/>
  <c r="I684" i="4"/>
  <c r="H684" i="4"/>
  <c r="G684" i="4"/>
  <c r="F684" i="4"/>
  <c r="E684" i="4"/>
  <c r="D684" i="4"/>
  <c r="C684" i="4"/>
  <c r="L683" i="4"/>
  <c r="K683" i="4"/>
  <c r="J683" i="4"/>
  <c r="I683" i="4"/>
  <c r="H683" i="4"/>
  <c r="G683" i="4"/>
  <c r="F683" i="4"/>
  <c r="E683" i="4"/>
  <c r="D683" i="4"/>
  <c r="C683" i="4"/>
  <c r="L682" i="4"/>
  <c r="K682" i="4"/>
  <c r="J682" i="4"/>
  <c r="I682" i="4"/>
  <c r="H682" i="4"/>
  <c r="G682" i="4"/>
  <c r="F682" i="4"/>
  <c r="E682" i="4"/>
  <c r="D682" i="4"/>
  <c r="C682" i="4"/>
  <c r="L681" i="4"/>
  <c r="K681" i="4"/>
  <c r="J681" i="4"/>
  <c r="I681" i="4"/>
  <c r="H681" i="4"/>
  <c r="G681" i="4"/>
  <c r="F681" i="4"/>
  <c r="E681" i="4"/>
  <c r="D681" i="4"/>
  <c r="C681" i="4"/>
  <c r="L680" i="4"/>
  <c r="K680" i="4"/>
  <c r="J680" i="4"/>
  <c r="I680" i="4"/>
  <c r="H680" i="4"/>
  <c r="G680" i="4"/>
  <c r="F680" i="4"/>
  <c r="E680" i="4"/>
  <c r="D680" i="4"/>
  <c r="C680" i="4"/>
  <c r="L679" i="4"/>
  <c r="K679" i="4"/>
  <c r="J679" i="4"/>
  <c r="I679" i="4"/>
  <c r="H679" i="4"/>
  <c r="G679" i="4"/>
  <c r="F679" i="4"/>
  <c r="E679" i="4"/>
  <c r="D679" i="4"/>
  <c r="C679" i="4"/>
  <c r="L678" i="4"/>
  <c r="K678" i="4"/>
  <c r="J678" i="4"/>
  <c r="I678" i="4"/>
  <c r="H678" i="4"/>
  <c r="G678" i="4"/>
  <c r="F678" i="4"/>
  <c r="E678" i="4"/>
  <c r="D678" i="4"/>
  <c r="C678" i="4"/>
  <c r="L677" i="4"/>
  <c r="K677" i="4"/>
  <c r="J677" i="4"/>
  <c r="I677" i="4"/>
  <c r="H677" i="4"/>
  <c r="G677" i="4"/>
  <c r="F677" i="4"/>
  <c r="E677" i="4"/>
  <c r="D677" i="4"/>
  <c r="C677" i="4"/>
  <c r="L676" i="4"/>
  <c r="K676" i="4"/>
  <c r="J676" i="4"/>
  <c r="I676" i="4"/>
  <c r="H676" i="4"/>
  <c r="G676" i="4"/>
  <c r="F676" i="4"/>
  <c r="E676" i="4"/>
  <c r="D676" i="4"/>
  <c r="C676" i="4"/>
  <c r="L675" i="4"/>
  <c r="K675" i="4"/>
  <c r="J675" i="4"/>
  <c r="I675" i="4"/>
  <c r="H675" i="4"/>
  <c r="G675" i="4"/>
  <c r="F675" i="4"/>
  <c r="E675" i="4"/>
  <c r="D675" i="4"/>
  <c r="C675" i="4"/>
  <c r="L674" i="4"/>
  <c r="K674" i="4"/>
  <c r="J674" i="4"/>
  <c r="I674" i="4"/>
  <c r="H674" i="4"/>
  <c r="G674" i="4"/>
  <c r="F674" i="4"/>
  <c r="E674" i="4"/>
  <c r="D674" i="4"/>
  <c r="C674" i="4"/>
  <c r="L673" i="4"/>
  <c r="K673" i="4"/>
  <c r="J673" i="4"/>
  <c r="I673" i="4"/>
  <c r="H673" i="4"/>
  <c r="G673" i="4"/>
  <c r="F673" i="4"/>
  <c r="E673" i="4"/>
  <c r="D673" i="4"/>
  <c r="C673" i="4"/>
  <c r="L672" i="4"/>
  <c r="K672" i="4"/>
  <c r="J672" i="4"/>
  <c r="I672" i="4"/>
  <c r="H672" i="4"/>
  <c r="G672" i="4"/>
  <c r="F672" i="4"/>
  <c r="E672" i="4"/>
  <c r="D672" i="4"/>
  <c r="C672" i="4"/>
  <c r="L671" i="4"/>
  <c r="K671" i="4"/>
  <c r="J671" i="4"/>
  <c r="I671" i="4"/>
  <c r="H671" i="4"/>
  <c r="G671" i="4"/>
  <c r="F671" i="4"/>
  <c r="E671" i="4"/>
  <c r="D671" i="4"/>
  <c r="C671" i="4"/>
  <c r="L670" i="4"/>
  <c r="K670" i="4"/>
  <c r="J670" i="4"/>
  <c r="I670" i="4"/>
  <c r="H670" i="4"/>
  <c r="G670" i="4"/>
  <c r="F670" i="4"/>
  <c r="E670" i="4"/>
  <c r="D670" i="4"/>
  <c r="C670" i="4"/>
  <c r="L669" i="4"/>
  <c r="K669" i="4"/>
  <c r="J669" i="4"/>
  <c r="I669" i="4"/>
  <c r="H669" i="4"/>
  <c r="G669" i="4"/>
  <c r="F669" i="4"/>
  <c r="E669" i="4"/>
  <c r="D669" i="4"/>
  <c r="C669" i="4"/>
  <c r="L668" i="4"/>
  <c r="K668" i="4"/>
  <c r="J668" i="4"/>
  <c r="I668" i="4"/>
  <c r="H668" i="4"/>
  <c r="G668" i="4"/>
  <c r="F668" i="4"/>
  <c r="E668" i="4"/>
  <c r="D668" i="4"/>
  <c r="C668" i="4"/>
  <c r="L667" i="4"/>
  <c r="K667" i="4"/>
  <c r="J667" i="4"/>
  <c r="I667" i="4"/>
  <c r="H667" i="4"/>
  <c r="G667" i="4"/>
  <c r="F667" i="4"/>
  <c r="E667" i="4"/>
  <c r="D667" i="4"/>
  <c r="C667" i="4"/>
  <c r="L666" i="4"/>
  <c r="K666" i="4"/>
  <c r="J666" i="4"/>
  <c r="I666" i="4"/>
  <c r="H666" i="4"/>
  <c r="G666" i="4"/>
  <c r="F666" i="4"/>
  <c r="E666" i="4"/>
  <c r="D666" i="4"/>
  <c r="C666" i="4"/>
  <c r="L665" i="4"/>
  <c r="K665" i="4"/>
  <c r="J665" i="4"/>
  <c r="I665" i="4"/>
  <c r="H665" i="4"/>
  <c r="G665" i="4"/>
  <c r="F665" i="4"/>
  <c r="E665" i="4"/>
  <c r="D665" i="4"/>
  <c r="C665" i="4"/>
  <c r="L664" i="4"/>
  <c r="K664" i="4"/>
  <c r="J664" i="4"/>
  <c r="I664" i="4"/>
  <c r="H664" i="4"/>
  <c r="G664" i="4"/>
  <c r="F664" i="4"/>
  <c r="E664" i="4"/>
  <c r="D664" i="4"/>
  <c r="C664" i="4"/>
  <c r="L663" i="4"/>
  <c r="K663" i="4"/>
  <c r="J663" i="4"/>
  <c r="I663" i="4"/>
  <c r="H663" i="4"/>
  <c r="G663" i="4"/>
  <c r="F663" i="4"/>
  <c r="E663" i="4"/>
  <c r="D663" i="4"/>
  <c r="C663" i="4"/>
  <c r="L662" i="4"/>
  <c r="K662" i="4"/>
  <c r="J662" i="4"/>
  <c r="I662" i="4"/>
  <c r="H662" i="4"/>
  <c r="G662" i="4"/>
  <c r="F662" i="4"/>
  <c r="E662" i="4"/>
  <c r="D662" i="4"/>
  <c r="C662" i="4"/>
  <c r="L661" i="4"/>
  <c r="K661" i="4"/>
  <c r="J661" i="4"/>
  <c r="I661" i="4"/>
  <c r="H661" i="4"/>
  <c r="G661" i="4"/>
  <c r="F661" i="4"/>
  <c r="E661" i="4"/>
  <c r="D661" i="4"/>
  <c r="C661" i="4"/>
  <c r="L660" i="4"/>
  <c r="K660" i="4"/>
  <c r="J660" i="4"/>
  <c r="I660" i="4"/>
  <c r="H660" i="4"/>
  <c r="G660" i="4"/>
  <c r="F660" i="4"/>
  <c r="E660" i="4"/>
  <c r="D660" i="4"/>
  <c r="C660" i="4"/>
  <c r="L659" i="4"/>
  <c r="K659" i="4"/>
  <c r="J659" i="4"/>
  <c r="I659" i="4"/>
  <c r="H659" i="4"/>
  <c r="G659" i="4"/>
  <c r="F659" i="4"/>
  <c r="E659" i="4"/>
  <c r="D659" i="4"/>
  <c r="C659" i="4"/>
  <c r="L658" i="4"/>
  <c r="K658" i="4"/>
  <c r="J658" i="4"/>
  <c r="I658" i="4"/>
  <c r="H658" i="4"/>
  <c r="G658" i="4"/>
  <c r="F658" i="4"/>
  <c r="E658" i="4"/>
  <c r="D658" i="4"/>
  <c r="C658" i="4"/>
  <c r="L657" i="4"/>
  <c r="K657" i="4"/>
  <c r="J657" i="4"/>
  <c r="I657" i="4"/>
  <c r="H657" i="4"/>
  <c r="G657" i="4"/>
  <c r="F657" i="4"/>
  <c r="E657" i="4"/>
  <c r="D657" i="4"/>
  <c r="C657" i="4"/>
  <c r="L656" i="4"/>
  <c r="K656" i="4"/>
  <c r="J656" i="4"/>
  <c r="I656" i="4"/>
  <c r="H656" i="4"/>
  <c r="G656" i="4"/>
  <c r="F656" i="4"/>
  <c r="E656" i="4"/>
  <c r="D656" i="4"/>
  <c r="C656" i="4"/>
  <c r="L655" i="4"/>
  <c r="K655" i="4"/>
  <c r="J655" i="4"/>
  <c r="I655" i="4"/>
  <c r="H655" i="4"/>
  <c r="G655" i="4"/>
  <c r="F655" i="4"/>
  <c r="E655" i="4"/>
  <c r="D655" i="4"/>
  <c r="C655" i="4"/>
  <c r="L654" i="4"/>
  <c r="K654" i="4"/>
  <c r="J654" i="4"/>
  <c r="I654" i="4"/>
  <c r="H654" i="4"/>
  <c r="G654" i="4"/>
  <c r="F654" i="4"/>
  <c r="E654" i="4"/>
  <c r="D654" i="4"/>
  <c r="C654" i="4"/>
  <c r="L653" i="4"/>
  <c r="K653" i="4"/>
  <c r="J653" i="4"/>
  <c r="I653" i="4"/>
  <c r="H653" i="4"/>
  <c r="G653" i="4"/>
  <c r="F653" i="4"/>
  <c r="E653" i="4"/>
  <c r="D653" i="4"/>
  <c r="C653" i="4"/>
  <c r="L652" i="4"/>
  <c r="K652" i="4"/>
  <c r="J652" i="4"/>
  <c r="I652" i="4"/>
  <c r="H652" i="4"/>
  <c r="G652" i="4"/>
  <c r="F652" i="4"/>
  <c r="E652" i="4"/>
  <c r="D652" i="4"/>
  <c r="C652" i="4"/>
  <c r="L651" i="4"/>
  <c r="K651" i="4"/>
  <c r="J651" i="4"/>
  <c r="I651" i="4"/>
  <c r="H651" i="4"/>
  <c r="G651" i="4"/>
  <c r="F651" i="4"/>
  <c r="E651" i="4"/>
  <c r="D651" i="4"/>
  <c r="C651" i="4"/>
  <c r="L650" i="4"/>
  <c r="K650" i="4"/>
  <c r="J650" i="4"/>
  <c r="I650" i="4"/>
  <c r="H650" i="4"/>
  <c r="G650" i="4"/>
  <c r="F650" i="4"/>
  <c r="E650" i="4"/>
  <c r="D650" i="4"/>
  <c r="C650" i="4"/>
  <c r="L649" i="4"/>
  <c r="K649" i="4"/>
  <c r="J649" i="4"/>
  <c r="I649" i="4"/>
  <c r="H649" i="4"/>
  <c r="G649" i="4"/>
  <c r="F649" i="4"/>
  <c r="E649" i="4"/>
  <c r="D649" i="4"/>
  <c r="C649" i="4"/>
  <c r="L648" i="4"/>
  <c r="K648" i="4"/>
  <c r="J648" i="4"/>
  <c r="I648" i="4"/>
  <c r="H648" i="4"/>
  <c r="G648" i="4"/>
  <c r="F648" i="4"/>
  <c r="E648" i="4"/>
  <c r="D648" i="4"/>
  <c r="C648" i="4"/>
  <c r="L647" i="4"/>
  <c r="K647" i="4"/>
  <c r="J647" i="4"/>
  <c r="I647" i="4"/>
  <c r="H647" i="4"/>
  <c r="G647" i="4"/>
  <c r="F647" i="4"/>
  <c r="E647" i="4"/>
  <c r="D647" i="4"/>
  <c r="C647" i="4"/>
  <c r="L646" i="4"/>
  <c r="K646" i="4"/>
  <c r="J646" i="4"/>
  <c r="I646" i="4"/>
  <c r="H646" i="4"/>
  <c r="G646" i="4"/>
  <c r="F646" i="4"/>
  <c r="E646" i="4"/>
  <c r="D646" i="4"/>
  <c r="C646" i="4"/>
  <c r="L645" i="4"/>
  <c r="K645" i="4"/>
  <c r="J645" i="4"/>
  <c r="I645" i="4"/>
  <c r="H645" i="4"/>
  <c r="G645" i="4"/>
  <c r="F645" i="4"/>
  <c r="E645" i="4"/>
  <c r="D645" i="4"/>
  <c r="C645" i="4"/>
  <c r="L644" i="4"/>
  <c r="K644" i="4"/>
  <c r="J644" i="4"/>
  <c r="I644" i="4"/>
  <c r="H644" i="4"/>
  <c r="G644" i="4"/>
  <c r="F644" i="4"/>
  <c r="E644" i="4"/>
  <c r="D644" i="4"/>
  <c r="C644" i="4"/>
  <c r="L643" i="4"/>
  <c r="K643" i="4"/>
  <c r="J643" i="4"/>
  <c r="I643" i="4"/>
  <c r="H643" i="4"/>
  <c r="G643" i="4"/>
  <c r="F643" i="4"/>
  <c r="E643" i="4"/>
  <c r="D643" i="4"/>
  <c r="C643" i="4"/>
  <c r="L642" i="4"/>
  <c r="K642" i="4"/>
  <c r="J642" i="4"/>
  <c r="I642" i="4"/>
  <c r="H642" i="4"/>
  <c r="G642" i="4"/>
  <c r="F642" i="4"/>
  <c r="E642" i="4"/>
  <c r="D642" i="4"/>
  <c r="C642" i="4"/>
  <c r="L641" i="4"/>
  <c r="K641" i="4"/>
  <c r="J641" i="4"/>
  <c r="I641" i="4"/>
  <c r="H641" i="4"/>
  <c r="G641" i="4"/>
  <c r="F641" i="4"/>
  <c r="E641" i="4"/>
  <c r="D641" i="4"/>
  <c r="C641" i="4"/>
  <c r="L640" i="4"/>
  <c r="K640" i="4"/>
  <c r="J640" i="4"/>
  <c r="I640" i="4"/>
  <c r="H640" i="4"/>
  <c r="G640" i="4"/>
  <c r="F640" i="4"/>
  <c r="E640" i="4"/>
  <c r="D640" i="4"/>
  <c r="C640" i="4"/>
  <c r="L639" i="4"/>
  <c r="K639" i="4"/>
  <c r="J639" i="4"/>
  <c r="I639" i="4"/>
  <c r="H639" i="4"/>
  <c r="G639" i="4"/>
  <c r="F639" i="4"/>
  <c r="E639" i="4"/>
  <c r="D639" i="4"/>
  <c r="C639" i="4"/>
  <c r="L638" i="4"/>
  <c r="K638" i="4"/>
  <c r="J638" i="4"/>
  <c r="I638" i="4"/>
  <c r="H638" i="4"/>
  <c r="G638" i="4"/>
  <c r="F638" i="4"/>
  <c r="E638" i="4"/>
  <c r="D638" i="4"/>
  <c r="C638" i="4"/>
  <c r="L637" i="4"/>
  <c r="K637" i="4"/>
  <c r="J637" i="4"/>
  <c r="I637" i="4"/>
  <c r="H637" i="4"/>
  <c r="G637" i="4"/>
  <c r="F637" i="4"/>
  <c r="E637" i="4"/>
  <c r="D637" i="4"/>
  <c r="C637" i="4"/>
  <c r="L636" i="4"/>
  <c r="K636" i="4"/>
  <c r="J636" i="4"/>
  <c r="I636" i="4"/>
  <c r="H636" i="4"/>
  <c r="G636" i="4"/>
  <c r="F636" i="4"/>
  <c r="E636" i="4"/>
  <c r="D636" i="4"/>
  <c r="C636" i="4"/>
  <c r="L635" i="4"/>
  <c r="K635" i="4"/>
  <c r="J635" i="4"/>
  <c r="I635" i="4"/>
  <c r="H635" i="4"/>
  <c r="G635" i="4"/>
  <c r="F635" i="4"/>
  <c r="E635" i="4"/>
  <c r="D635" i="4"/>
  <c r="C635" i="4"/>
  <c r="L634" i="4"/>
  <c r="K634" i="4"/>
  <c r="J634" i="4"/>
  <c r="I634" i="4"/>
  <c r="H634" i="4"/>
  <c r="G634" i="4"/>
  <c r="F634" i="4"/>
  <c r="E634" i="4"/>
  <c r="D634" i="4"/>
  <c r="C634" i="4"/>
  <c r="L633" i="4"/>
  <c r="K633" i="4"/>
  <c r="J633" i="4"/>
  <c r="I633" i="4"/>
  <c r="H633" i="4"/>
  <c r="G633" i="4"/>
  <c r="F633" i="4"/>
  <c r="E633" i="4"/>
  <c r="D633" i="4"/>
  <c r="C633" i="4"/>
  <c r="L632" i="4"/>
  <c r="K632" i="4"/>
  <c r="J632" i="4"/>
  <c r="I632" i="4"/>
  <c r="H632" i="4"/>
  <c r="G632" i="4"/>
  <c r="F632" i="4"/>
  <c r="E632" i="4"/>
  <c r="D632" i="4"/>
  <c r="C632" i="4"/>
  <c r="L631" i="4"/>
  <c r="K631" i="4"/>
  <c r="J631" i="4"/>
  <c r="I631" i="4"/>
  <c r="H631" i="4"/>
  <c r="G631" i="4"/>
  <c r="F631" i="4"/>
  <c r="E631" i="4"/>
  <c r="D631" i="4"/>
  <c r="C631" i="4"/>
  <c r="L630" i="4"/>
  <c r="K630" i="4"/>
  <c r="J630" i="4"/>
  <c r="I630" i="4"/>
  <c r="H630" i="4"/>
  <c r="G630" i="4"/>
  <c r="F630" i="4"/>
  <c r="E630" i="4"/>
  <c r="D630" i="4"/>
  <c r="C630" i="4"/>
  <c r="L629" i="4"/>
  <c r="K629" i="4"/>
  <c r="J629" i="4"/>
  <c r="I629" i="4"/>
  <c r="H629" i="4"/>
  <c r="G629" i="4"/>
  <c r="F629" i="4"/>
  <c r="E629" i="4"/>
  <c r="D629" i="4"/>
  <c r="C629" i="4"/>
  <c r="L628" i="4"/>
  <c r="K628" i="4"/>
  <c r="J628" i="4"/>
  <c r="I628" i="4"/>
  <c r="H628" i="4"/>
  <c r="G628" i="4"/>
  <c r="F628" i="4"/>
  <c r="E628" i="4"/>
  <c r="D628" i="4"/>
  <c r="C628" i="4"/>
  <c r="L627" i="4"/>
  <c r="K627" i="4"/>
  <c r="J627" i="4"/>
  <c r="I627" i="4"/>
  <c r="H627" i="4"/>
  <c r="G627" i="4"/>
  <c r="F627" i="4"/>
  <c r="E627" i="4"/>
  <c r="D627" i="4"/>
  <c r="C627" i="4"/>
  <c r="L626" i="4"/>
  <c r="K626" i="4"/>
  <c r="J626" i="4"/>
  <c r="I626" i="4"/>
  <c r="H626" i="4"/>
  <c r="G626" i="4"/>
  <c r="F626" i="4"/>
  <c r="E626" i="4"/>
  <c r="D626" i="4"/>
  <c r="C626" i="4"/>
  <c r="L625" i="4"/>
  <c r="K625" i="4"/>
  <c r="J625" i="4"/>
  <c r="I625" i="4"/>
  <c r="H625" i="4"/>
  <c r="G625" i="4"/>
  <c r="F625" i="4"/>
  <c r="E625" i="4"/>
  <c r="D625" i="4"/>
  <c r="C625" i="4"/>
  <c r="L624" i="4"/>
  <c r="K624" i="4"/>
  <c r="J624" i="4"/>
  <c r="I624" i="4"/>
  <c r="H624" i="4"/>
  <c r="G624" i="4"/>
  <c r="F624" i="4"/>
  <c r="E624" i="4"/>
  <c r="D624" i="4"/>
  <c r="C624" i="4"/>
  <c r="L623" i="4"/>
  <c r="K623" i="4"/>
  <c r="J623" i="4"/>
  <c r="I623" i="4"/>
  <c r="H623" i="4"/>
  <c r="G623" i="4"/>
  <c r="F623" i="4"/>
  <c r="E623" i="4"/>
  <c r="D623" i="4"/>
  <c r="C623" i="4"/>
  <c r="L622" i="4"/>
  <c r="K622" i="4"/>
  <c r="J622" i="4"/>
  <c r="I622" i="4"/>
  <c r="H622" i="4"/>
  <c r="G622" i="4"/>
  <c r="F622" i="4"/>
  <c r="E622" i="4"/>
  <c r="D622" i="4"/>
  <c r="C622" i="4"/>
  <c r="L621" i="4"/>
  <c r="K621" i="4"/>
  <c r="J621" i="4"/>
  <c r="I621" i="4"/>
  <c r="H621" i="4"/>
  <c r="G621" i="4"/>
  <c r="F621" i="4"/>
  <c r="E621" i="4"/>
  <c r="D621" i="4"/>
  <c r="C621" i="4"/>
  <c r="L620" i="4"/>
  <c r="K620" i="4"/>
  <c r="J620" i="4"/>
  <c r="I620" i="4"/>
  <c r="H620" i="4"/>
  <c r="G620" i="4"/>
  <c r="F620" i="4"/>
  <c r="E620" i="4"/>
  <c r="D620" i="4"/>
  <c r="C620" i="4"/>
  <c r="L619" i="4"/>
  <c r="K619" i="4"/>
  <c r="J619" i="4"/>
  <c r="I619" i="4"/>
  <c r="H619" i="4"/>
  <c r="G619" i="4"/>
  <c r="F619" i="4"/>
  <c r="E619" i="4"/>
  <c r="D619" i="4"/>
  <c r="C619" i="4"/>
  <c r="L618" i="4"/>
  <c r="K618" i="4"/>
  <c r="J618" i="4"/>
  <c r="I618" i="4"/>
  <c r="H618" i="4"/>
  <c r="G618" i="4"/>
  <c r="F618" i="4"/>
  <c r="E618" i="4"/>
  <c r="D618" i="4"/>
  <c r="C618" i="4"/>
  <c r="L617" i="4"/>
  <c r="K617" i="4"/>
  <c r="J617" i="4"/>
  <c r="I617" i="4"/>
  <c r="H617" i="4"/>
  <c r="G617" i="4"/>
  <c r="F617" i="4"/>
  <c r="E617" i="4"/>
  <c r="D617" i="4"/>
  <c r="C617" i="4"/>
  <c r="L616" i="4"/>
  <c r="K616" i="4"/>
  <c r="J616" i="4"/>
  <c r="I616" i="4"/>
  <c r="H616" i="4"/>
  <c r="G616" i="4"/>
  <c r="F616" i="4"/>
  <c r="E616" i="4"/>
  <c r="D616" i="4"/>
  <c r="C616" i="4"/>
  <c r="L615" i="4"/>
  <c r="K615" i="4"/>
  <c r="J615" i="4"/>
  <c r="I615" i="4"/>
  <c r="H615" i="4"/>
  <c r="G615" i="4"/>
  <c r="F615" i="4"/>
  <c r="E615" i="4"/>
  <c r="D615" i="4"/>
  <c r="C615" i="4"/>
  <c r="L614" i="4"/>
  <c r="K614" i="4"/>
  <c r="J614" i="4"/>
  <c r="I614" i="4"/>
  <c r="H614" i="4"/>
  <c r="G614" i="4"/>
  <c r="F614" i="4"/>
  <c r="E614" i="4"/>
  <c r="D614" i="4"/>
  <c r="C614" i="4"/>
  <c r="L613" i="4"/>
  <c r="K613" i="4"/>
  <c r="J613" i="4"/>
  <c r="I613" i="4"/>
  <c r="H613" i="4"/>
  <c r="G613" i="4"/>
  <c r="F613" i="4"/>
  <c r="E613" i="4"/>
  <c r="D613" i="4"/>
  <c r="C613" i="4"/>
  <c r="L612" i="4"/>
  <c r="K612" i="4"/>
  <c r="J612" i="4"/>
  <c r="I612" i="4"/>
  <c r="H612" i="4"/>
  <c r="G612" i="4"/>
  <c r="F612" i="4"/>
  <c r="E612" i="4"/>
  <c r="D612" i="4"/>
  <c r="C612" i="4"/>
  <c r="L611" i="4"/>
  <c r="K611" i="4"/>
  <c r="J611" i="4"/>
  <c r="I611" i="4"/>
  <c r="H611" i="4"/>
  <c r="G611" i="4"/>
  <c r="F611" i="4"/>
  <c r="E611" i="4"/>
  <c r="D611" i="4"/>
  <c r="C611" i="4"/>
  <c r="L610" i="4"/>
  <c r="K610" i="4"/>
  <c r="J610" i="4"/>
  <c r="I610" i="4"/>
  <c r="H610" i="4"/>
  <c r="G610" i="4"/>
  <c r="F610" i="4"/>
  <c r="E610" i="4"/>
  <c r="D610" i="4"/>
  <c r="C610" i="4"/>
  <c r="L609" i="4"/>
  <c r="K609" i="4"/>
  <c r="J609" i="4"/>
  <c r="I609" i="4"/>
  <c r="H609" i="4"/>
  <c r="G609" i="4"/>
  <c r="F609" i="4"/>
  <c r="E609" i="4"/>
  <c r="D609" i="4"/>
  <c r="C609" i="4"/>
  <c r="L608" i="4"/>
  <c r="K608" i="4"/>
  <c r="J608" i="4"/>
  <c r="I608" i="4"/>
  <c r="H608" i="4"/>
  <c r="G608" i="4"/>
  <c r="F608" i="4"/>
  <c r="E608" i="4"/>
  <c r="D608" i="4"/>
  <c r="C608" i="4"/>
  <c r="L607" i="4"/>
  <c r="K607" i="4"/>
  <c r="J607" i="4"/>
  <c r="I607" i="4"/>
  <c r="H607" i="4"/>
  <c r="G607" i="4"/>
  <c r="F607" i="4"/>
  <c r="E607" i="4"/>
  <c r="D607" i="4"/>
  <c r="C607" i="4"/>
  <c r="L606" i="4"/>
  <c r="K606" i="4"/>
  <c r="J606" i="4"/>
  <c r="I606" i="4"/>
  <c r="H606" i="4"/>
  <c r="G606" i="4"/>
  <c r="F606" i="4"/>
  <c r="E606" i="4"/>
  <c r="D606" i="4"/>
  <c r="C606" i="4"/>
  <c r="L605" i="4"/>
  <c r="K605" i="4"/>
  <c r="J605" i="4"/>
  <c r="I605" i="4"/>
  <c r="H605" i="4"/>
  <c r="G605" i="4"/>
  <c r="F605" i="4"/>
  <c r="E605" i="4"/>
  <c r="D605" i="4"/>
  <c r="C605" i="4"/>
  <c r="L604" i="4"/>
  <c r="K604" i="4"/>
  <c r="J604" i="4"/>
  <c r="I604" i="4"/>
  <c r="H604" i="4"/>
  <c r="G604" i="4"/>
  <c r="F604" i="4"/>
  <c r="E604" i="4"/>
  <c r="D604" i="4"/>
  <c r="C604" i="4"/>
  <c r="L603" i="4"/>
  <c r="K603" i="4"/>
  <c r="J603" i="4"/>
  <c r="I603" i="4"/>
  <c r="H603" i="4"/>
  <c r="G603" i="4"/>
  <c r="F603" i="4"/>
  <c r="E603" i="4"/>
  <c r="D603" i="4"/>
  <c r="C603" i="4"/>
  <c r="L602" i="4"/>
  <c r="K602" i="4"/>
  <c r="J602" i="4"/>
  <c r="I602" i="4"/>
  <c r="H602" i="4"/>
  <c r="G602" i="4"/>
  <c r="F602" i="4"/>
  <c r="E602" i="4"/>
  <c r="D602" i="4"/>
  <c r="C602" i="4"/>
  <c r="L601" i="4"/>
  <c r="K601" i="4"/>
  <c r="J601" i="4"/>
  <c r="I601" i="4"/>
  <c r="H601" i="4"/>
  <c r="G601" i="4"/>
  <c r="F601" i="4"/>
  <c r="E601" i="4"/>
  <c r="D601" i="4"/>
  <c r="C601" i="4"/>
  <c r="L600" i="4"/>
  <c r="K600" i="4"/>
  <c r="J600" i="4"/>
  <c r="I600" i="4"/>
  <c r="H600" i="4"/>
  <c r="G600" i="4"/>
  <c r="F600" i="4"/>
  <c r="E600" i="4"/>
  <c r="D600" i="4"/>
  <c r="C600" i="4"/>
  <c r="L599" i="4"/>
  <c r="K599" i="4"/>
  <c r="J599" i="4"/>
  <c r="I599" i="4"/>
  <c r="H599" i="4"/>
  <c r="G599" i="4"/>
  <c r="F599" i="4"/>
  <c r="E599" i="4"/>
  <c r="D599" i="4"/>
  <c r="C599" i="4"/>
  <c r="L598" i="4"/>
  <c r="K598" i="4"/>
  <c r="J598" i="4"/>
  <c r="I598" i="4"/>
  <c r="H598" i="4"/>
  <c r="G598" i="4"/>
  <c r="F598" i="4"/>
  <c r="E598" i="4"/>
  <c r="D598" i="4"/>
  <c r="C598" i="4"/>
  <c r="L597" i="4"/>
  <c r="K597" i="4"/>
  <c r="J597" i="4"/>
  <c r="I597" i="4"/>
  <c r="H597" i="4"/>
  <c r="G597" i="4"/>
  <c r="F597" i="4"/>
  <c r="E597" i="4"/>
  <c r="D597" i="4"/>
  <c r="C597" i="4"/>
  <c r="L596" i="4"/>
  <c r="K596" i="4"/>
  <c r="J596" i="4"/>
  <c r="I596" i="4"/>
  <c r="H596" i="4"/>
  <c r="G596" i="4"/>
  <c r="F596" i="4"/>
  <c r="E596" i="4"/>
  <c r="D596" i="4"/>
  <c r="C596" i="4"/>
  <c r="L595" i="4"/>
  <c r="K595" i="4"/>
  <c r="J595" i="4"/>
  <c r="I595" i="4"/>
  <c r="H595" i="4"/>
  <c r="G595" i="4"/>
  <c r="F595" i="4"/>
  <c r="E595" i="4"/>
  <c r="D595" i="4"/>
  <c r="C595" i="4"/>
  <c r="L594" i="4"/>
  <c r="K594" i="4"/>
  <c r="J594" i="4"/>
  <c r="I594" i="4"/>
  <c r="H594" i="4"/>
  <c r="G594" i="4"/>
  <c r="F594" i="4"/>
  <c r="E594" i="4"/>
  <c r="D594" i="4"/>
  <c r="C594" i="4"/>
  <c r="L593" i="4"/>
  <c r="K593" i="4"/>
  <c r="J593" i="4"/>
  <c r="I593" i="4"/>
  <c r="H593" i="4"/>
  <c r="G593" i="4"/>
  <c r="F593" i="4"/>
  <c r="E593" i="4"/>
  <c r="D593" i="4"/>
  <c r="C593" i="4"/>
  <c r="L592" i="4"/>
  <c r="K592" i="4"/>
  <c r="J592" i="4"/>
  <c r="I592" i="4"/>
  <c r="H592" i="4"/>
  <c r="G592" i="4"/>
  <c r="F592" i="4"/>
  <c r="E592" i="4"/>
  <c r="D592" i="4"/>
  <c r="C592" i="4"/>
  <c r="L591" i="4"/>
  <c r="K591" i="4"/>
  <c r="J591" i="4"/>
  <c r="I591" i="4"/>
  <c r="H591" i="4"/>
  <c r="G591" i="4"/>
  <c r="F591" i="4"/>
  <c r="E591" i="4"/>
  <c r="D591" i="4"/>
  <c r="C591" i="4"/>
  <c r="L590" i="4"/>
  <c r="K590" i="4"/>
  <c r="J590" i="4"/>
  <c r="I590" i="4"/>
  <c r="H590" i="4"/>
  <c r="G590" i="4"/>
  <c r="F590" i="4"/>
  <c r="E590" i="4"/>
  <c r="D590" i="4"/>
  <c r="C590" i="4"/>
  <c r="L589" i="4"/>
  <c r="K589" i="4"/>
  <c r="J589" i="4"/>
  <c r="I589" i="4"/>
  <c r="H589" i="4"/>
  <c r="G589" i="4"/>
  <c r="F589" i="4"/>
  <c r="E589" i="4"/>
  <c r="D589" i="4"/>
  <c r="C589" i="4"/>
  <c r="L588" i="4"/>
  <c r="K588" i="4"/>
  <c r="J588" i="4"/>
  <c r="I588" i="4"/>
  <c r="H588" i="4"/>
  <c r="G588" i="4"/>
  <c r="F588" i="4"/>
  <c r="E588" i="4"/>
  <c r="D588" i="4"/>
  <c r="C588" i="4"/>
  <c r="L587" i="4"/>
  <c r="K587" i="4"/>
  <c r="J587" i="4"/>
  <c r="I587" i="4"/>
  <c r="H587" i="4"/>
  <c r="G587" i="4"/>
  <c r="F587" i="4"/>
  <c r="E587" i="4"/>
  <c r="D587" i="4"/>
  <c r="C587" i="4"/>
  <c r="L586" i="4"/>
  <c r="K586" i="4"/>
  <c r="J586" i="4"/>
  <c r="I586" i="4"/>
  <c r="H586" i="4"/>
  <c r="G586" i="4"/>
  <c r="F586" i="4"/>
  <c r="E586" i="4"/>
  <c r="D586" i="4"/>
  <c r="C586" i="4"/>
  <c r="L585" i="4"/>
  <c r="K585" i="4"/>
  <c r="J585" i="4"/>
  <c r="I585" i="4"/>
  <c r="H585" i="4"/>
  <c r="G585" i="4"/>
  <c r="F585" i="4"/>
  <c r="E585" i="4"/>
  <c r="D585" i="4"/>
  <c r="C585" i="4"/>
  <c r="L584" i="4"/>
  <c r="K584" i="4"/>
  <c r="J584" i="4"/>
  <c r="I584" i="4"/>
  <c r="H584" i="4"/>
  <c r="G584" i="4"/>
  <c r="F584" i="4"/>
  <c r="E584" i="4"/>
  <c r="D584" i="4"/>
  <c r="C584" i="4"/>
  <c r="L583" i="4"/>
  <c r="K583" i="4"/>
  <c r="J583" i="4"/>
  <c r="I583" i="4"/>
  <c r="H583" i="4"/>
  <c r="G583" i="4"/>
  <c r="F583" i="4"/>
  <c r="E583" i="4"/>
  <c r="D583" i="4"/>
  <c r="C583" i="4"/>
  <c r="L582" i="4"/>
  <c r="K582" i="4"/>
  <c r="J582" i="4"/>
  <c r="I582" i="4"/>
  <c r="H582" i="4"/>
  <c r="G582" i="4"/>
  <c r="F582" i="4"/>
  <c r="E582" i="4"/>
  <c r="D582" i="4"/>
  <c r="C582" i="4"/>
  <c r="L581" i="4"/>
  <c r="K581" i="4"/>
  <c r="J581" i="4"/>
  <c r="I581" i="4"/>
  <c r="H581" i="4"/>
  <c r="G581" i="4"/>
  <c r="F581" i="4"/>
  <c r="E581" i="4"/>
  <c r="D581" i="4"/>
  <c r="C581" i="4"/>
  <c r="L580" i="4"/>
  <c r="K580" i="4"/>
  <c r="J580" i="4"/>
  <c r="I580" i="4"/>
  <c r="H580" i="4"/>
  <c r="G580" i="4"/>
  <c r="F580" i="4"/>
  <c r="E580" i="4"/>
  <c r="D580" i="4"/>
  <c r="C580" i="4"/>
  <c r="L579" i="4"/>
  <c r="K579" i="4"/>
  <c r="J579" i="4"/>
  <c r="I579" i="4"/>
  <c r="H579" i="4"/>
  <c r="G579" i="4"/>
  <c r="F579" i="4"/>
  <c r="E579" i="4"/>
  <c r="D579" i="4"/>
  <c r="C579" i="4"/>
  <c r="L578" i="4"/>
  <c r="K578" i="4"/>
  <c r="J578" i="4"/>
  <c r="I578" i="4"/>
  <c r="H578" i="4"/>
  <c r="G578" i="4"/>
  <c r="F578" i="4"/>
  <c r="E578" i="4"/>
  <c r="D578" i="4"/>
  <c r="C578" i="4"/>
  <c r="L577" i="4"/>
  <c r="K577" i="4"/>
  <c r="J577" i="4"/>
  <c r="I577" i="4"/>
  <c r="H577" i="4"/>
  <c r="G577" i="4"/>
  <c r="F577" i="4"/>
  <c r="E577" i="4"/>
  <c r="D577" i="4"/>
  <c r="C577" i="4"/>
  <c r="L576" i="4"/>
  <c r="K576" i="4"/>
  <c r="J576" i="4"/>
  <c r="I576" i="4"/>
  <c r="H576" i="4"/>
  <c r="G576" i="4"/>
  <c r="F576" i="4"/>
  <c r="E576" i="4"/>
  <c r="D576" i="4"/>
  <c r="C576" i="4"/>
  <c r="L575" i="4"/>
  <c r="K575" i="4"/>
  <c r="J575" i="4"/>
  <c r="I575" i="4"/>
  <c r="H575" i="4"/>
  <c r="G575" i="4"/>
  <c r="F575" i="4"/>
  <c r="E575" i="4"/>
  <c r="D575" i="4"/>
  <c r="C575" i="4"/>
  <c r="L574" i="4"/>
  <c r="K574" i="4"/>
  <c r="J574" i="4"/>
  <c r="I574" i="4"/>
  <c r="H574" i="4"/>
  <c r="G574" i="4"/>
  <c r="F574" i="4"/>
  <c r="E574" i="4"/>
  <c r="D574" i="4"/>
  <c r="C574" i="4"/>
  <c r="L573" i="4"/>
  <c r="K573" i="4"/>
  <c r="J573" i="4"/>
  <c r="I573" i="4"/>
  <c r="H573" i="4"/>
  <c r="G573" i="4"/>
  <c r="F573" i="4"/>
  <c r="E573" i="4"/>
  <c r="D573" i="4"/>
  <c r="C573" i="4"/>
  <c r="L572" i="4"/>
  <c r="K572" i="4"/>
  <c r="J572" i="4"/>
  <c r="I572" i="4"/>
  <c r="H572" i="4"/>
  <c r="G572" i="4"/>
  <c r="F572" i="4"/>
  <c r="E572" i="4"/>
  <c r="D572" i="4"/>
  <c r="C572" i="4"/>
  <c r="L571" i="4"/>
  <c r="K571" i="4"/>
  <c r="J571" i="4"/>
  <c r="I571" i="4"/>
  <c r="H571" i="4"/>
  <c r="G571" i="4"/>
  <c r="F571" i="4"/>
  <c r="E571" i="4"/>
  <c r="D571" i="4"/>
  <c r="C571" i="4"/>
  <c r="L570" i="4"/>
  <c r="K570" i="4"/>
  <c r="J570" i="4"/>
  <c r="I570" i="4"/>
  <c r="H570" i="4"/>
  <c r="G570" i="4"/>
  <c r="F570" i="4"/>
  <c r="E570" i="4"/>
  <c r="D570" i="4"/>
  <c r="C570" i="4"/>
  <c r="L569" i="4"/>
  <c r="K569" i="4"/>
  <c r="J569" i="4"/>
  <c r="I569" i="4"/>
  <c r="H569" i="4"/>
  <c r="G569" i="4"/>
  <c r="F569" i="4"/>
  <c r="E569" i="4"/>
  <c r="D569" i="4"/>
  <c r="C569" i="4"/>
  <c r="L568" i="4"/>
  <c r="K568" i="4"/>
  <c r="J568" i="4"/>
  <c r="I568" i="4"/>
  <c r="H568" i="4"/>
  <c r="G568" i="4"/>
  <c r="F568" i="4"/>
  <c r="E568" i="4"/>
  <c r="D568" i="4"/>
  <c r="C568" i="4"/>
  <c r="L567" i="4"/>
  <c r="K567" i="4"/>
  <c r="J567" i="4"/>
  <c r="I567" i="4"/>
  <c r="H567" i="4"/>
  <c r="G567" i="4"/>
  <c r="F567" i="4"/>
  <c r="E567" i="4"/>
  <c r="D567" i="4"/>
  <c r="C567" i="4"/>
  <c r="L566" i="4"/>
  <c r="K566" i="4"/>
  <c r="J566" i="4"/>
  <c r="I566" i="4"/>
  <c r="H566" i="4"/>
  <c r="G566" i="4"/>
  <c r="F566" i="4"/>
  <c r="E566" i="4"/>
  <c r="D566" i="4"/>
  <c r="C566" i="4"/>
  <c r="L565" i="4"/>
  <c r="K565" i="4"/>
  <c r="J565" i="4"/>
  <c r="I565" i="4"/>
  <c r="H565" i="4"/>
  <c r="G565" i="4"/>
  <c r="F565" i="4"/>
  <c r="E565" i="4"/>
  <c r="D565" i="4"/>
  <c r="C565" i="4"/>
  <c r="L564" i="4"/>
  <c r="K564" i="4"/>
  <c r="J564" i="4"/>
  <c r="I564" i="4"/>
  <c r="H564" i="4"/>
  <c r="G564" i="4"/>
  <c r="F564" i="4"/>
  <c r="E564" i="4"/>
  <c r="D564" i="4"/>
  <c r="C564" i="4"/>
  <c r="L563" i="4"/>
  <c r="K563" i="4"/>
  <c r="J563" i="4"/>
  <c r="I563" i="4"/>
  <c r="H563" i="4"/>
  <c r="G563" i="4"/>
  <c r="F563" i="4"/>
  <c r="E563" i="4"/>
  <c r="D563" i="4"/>
  <c r="C563" i="4"/>
  <c r="L562" i="4"/>
  <c r="K562" i="4"/>
  <c r="J562" i="4"/>
  <c r="I562" i="4"/>
  <c r="H562" i="4"/>
  <c r="G562" i="4"/>
  <c r="F562" i="4"/>
  <c r="E562" i="4"/>
  <c r="D562" i="4"/>
  <c r="C562" i="4"/>
  <c r="L561" i="4"/>
  <c r="K561" i="4"/>
  <c r="J561" i="4"/>
  <c r="I561" i="4"/>
  <c r="H561" i="4"/>
  <c r="G561" i="4"/>
  <c r="F561" i="4"/>
  <c r="E561" i="4"/>
  <c r="D561" i="4"/>
  <c r="C561" i="4"/>
  <c r="L560" i="4"/>
  <c r="K560" i="4"/>
  <c r="J560" i="4"/>
  <c r="I560" i="4"/>
  <c r="H560" i="4"/>
  <c r="G560" i="4"/>
  <c r="F560" i="4"/>
  <c r="E560" i="4"/>
  <c r="D560" i="4"/>
  <c r="C560" i="4"/>
  <c r="L559" i="4"/>
  <c r="K559" i="4"/>
  <c r="J559" i="4"/>
  <c r="I559" i="4"/>
  <c r="H559" i="4"/>
  <c r="G559" i="4"/>
  <c r="F559" i="4"/>
  <c r="E559" i="4"/>
  <c r="D559" i="4"/>
  <c r="C559" i="4"/>
  <c r="L558" i="4"/>
  <c r="K558" i="4"/>
  <c r="J558" i="4"/>
  <c r="I558" i="4"/>
  <c r="H558" i="4"/>
  <c r="G558" i="4"/>
  <c r="F558" i="4"/>
  <c r="E558" i="4"/>
  <c r="D558" i="4"/>
  <c r="C558" i="4"/>
  <c r="L557" i="4"/>
  <c r="K557" i="4"/>
  <c r="J557" i="4"/>
  <c r="I557" i="4"/>
  <c r="H557" i="4"/>
  <c r="G557" i="4"/>
  <c r="F557" i="4"/>
  <c r="E557" i="4"/>
  <c r="D557" i="4"/>
  <c r="C557" i="4"/>
  <c r="L556" i="4"/>
  <c r="K556" i="4"/>
  <c r="J556" i="4"/>
  <c r="I556" i="4"/>
  <c r="H556" i="4"/>
  <c r="G556" i="4"/>
  <c r="F556" i="4"/>
  <c r="E556" i="4"/>
  <c r="D556" i="4"/>
  <c r="C556" i="4"/>
  <c r="L555" i="4"/>
  <c r="K555" i="4"/>
  <c r="J555" i="4"/>
  <c r="I555" i="4"/>
  <c r="H555" i="4"/>
  <c r="G555" i="4"/>
  <c r="F555" i="4"/>
  <c r="E555" i="4"/>
  <c r="D555" i="4"/>
  <c r="C555" i="4"/>
  <c r="L554" i="4"/>
  <c r="K554" i="4"/>
  <c r="J554" i="4"/>
  <c r="I554" i="4"/>
  <c r="H554" i="4"/>
  <c r="G554" i="4"/>
  <c r="F554" i="4"/>
  <c r="E554" i="4"/>
  <c r="D554" i="4"/>
  <c r="C554" i="4"/>
  <c r="L553" i="4"/>
  <c r="K553" i="4"/>
  <c r="J553" i="4"/>
  <c r="I553" i="4"/>
  <c r="H553" i="4"/>
  <c r="G553" i="4"/>
  <c r="F553" i="4"/>
  <c r="E553" i="4"/>
  <c r="D553" i="4"/>
  <c r="C553" i="4"/>
  <c r="L552" i="4"/>
  <c r="K552" i="4"/>
  <c r="J552" i="4"/>
  <c r="I552" i="4"/>
  <c r="H552" i="4"/>
  <c r="G552" i="4"/>
  <c r="F552" i="4"/>
  <c r="E552" i="4"/>
  <c r="D552" i="4"/>
  <c r="C552" i="4"/>
  <c r="L551" i="4"/>
  <c r="K551" i="4"/>
  <c r="J551" i="4"/>
  <c r="I551" i="4"/>
  <c r="H551" i="4"/>
  <c r="G551" i="4"/>
  <c r="F551" i="4"/>
  <c r="E551" i="4"/>
  <c r="D551" i="4"/>
  <c r="C551" i="4"/>
  <c r="L550" i="4"/>
  <c r="K550" i="4"/>
  <c r="J550" i="4"/>
  <c r="I550" i="4"/>
  <c r="H550" i="4"/>
  <c r="G550" i="4"/>
  <c r="F550" i="4"/>
  <c r="E550" i="4"/>
  <c r="D550" i="4"/>
  <c r="C550" i="4"/>
  <c r="L549" i="4"/>
  <c r="K549" i="4"/>
  <c r="J549" i="4"/>
  <c r="I549" i="4"/>
  <c r="H549" i="4"/>
  <c r="G549" i="4"/>
  <c r="F549" i="4"/>
  <c r="E549" i="4"/>
  <c r="D549" i="4"/>
  <c r="C549" i="4"/>
  <c r="L548" i="4"/>
  <c r="K548" i="4"/>
  <c r="J548" i="4"/>
  <c r="I548" i="4"/>
  <c r="H548" i="4"/>
  <c r="G548" i="4"/>
  <c r="F548" i="4"/>
  <c r="E548" i="4"/>
  <c r="D548" i="4"/>
  <c r="C548" i="4"/>
  <c r="L547" i="4"/>
  <c r="K547" i="4"/>
  <c r="J547" i="4"/>
  <c r="I547" i="4"/>
  <c r="H547" i="4"/>
  <c r="G547" i="4"/>
  <c r="F547" i="4"/>
  <c r="E547" i="4"/>
  <c r="D547" i="4"/>
  <c r="C547" i="4"/>
  <c r="L546" i="4"/>
  <c r="K546" i="4"/>
  <c r="J546" i="4"/>
  <c r="I546" i="4"/>
  <c r="H546" i="4"/>
  <c r="G546" i="4"/>
  <c r="F546" i="4"/>
  <c r="E546" i="4"/>
  <c r="D546" i="4"/>
  <c r="C546" i="4"/>
  <c r="L545" i="4"/>
  <c r="K545" i="4"/>
  <c r="J545" i="4"/>
  <c r="I545" i="4"/>
  <c r="H545" i="4"/>
  <c r="G545" i="4"/>
  <c r="F545" i="4"/>
  <c r="E545" i="4"/>
  <c r="D545" i="4"/>
  <c r="C545" i="4"/>
  <c r="L544" i="4"/>
  <c r="K544" i="4"/>
  <c r="J544" i="4"/>
  <c r="I544" i="4"/>
  <c r="H544" i="4"/>
  <c r="G544" i="4"/>
  <c r="F544" i="4"/>
  <c r="E544" i="4"/>
  <c r="D544" i="4"/>
  <c r="C544" i="4"/>
  <c r="L543" i="4"/>
  <c r="K543" i="4"/>
  <c r="J543" i="4"/>
  <c r="I543" i="4"/>
  <c r="H543" i="4"/>
  <c r="G543" i="4"/>
  <c r="F543" i="4"/>
  <c r="E543" i="4"/>
  <c r="D543" i="4"/>
  <c r="C543" i="4"/>
  <c r="L542" i="4"/>
  <c r="K542" i="4"/>
  <c r="J542" i="4"/>
  <c r="I542" i="4"/>
  <c r="H542" i="4"/>
  <c r="G542" i="4"/>
  <c r="F542" i="4"/>
  <c r="E542" i="4"/>
  <c r="D542" i="4"/>
  <c r="C542" i="4"/>
  <c r="L541" i="4"/>
  <c r="K541" i="4"/>
  <c r="J541" i="4"/>
  <c r="I541" i="4"/>
  <c r="H541" i="4"/>
  <c r="G541" i="4"/>
  <c r="F541" i="4"/>
  <c r="E541" i="4"/>
  <c r="D541" i="4"/>
  <c r="C541" i="4"/>
  <c r="L540" i="4"/>
  <c r="K540" i="4"/>
  <c r="J540" i="4"/>
  <c r="I540" i="4"/>
  <c r="H540" i="4"/>
  <c r="G540" i="4"/>
  <c r="F540" i="4"/>
  <c r="E540" i="4"/>
  <c r="D540" i="4"/>
  <c r="C540" i="4"/>
  <c r="L539" i="4"/>
  <c r="K539" i="4"/>
  <c r="J539" i="4"/>
  <c r="I539" i="4"/>
  <c r="H539" i="4"/>
  <c r="G539" i="4"/>
  <c r="F539" i="4"/>
  <c r="E539" i="4"/>
  <c r="D539" i="4"/>
  <c r="C539" i="4"/>
  <c r="L538" i="4"/>
  <c r="K538" i="4"/>
  <c r="J538" i="4"/>
  <c r="I538" i="4"/>
  <c r="H538" i="4"/>
  <c r="G538" i="4"/>
  <c r="F538" i="4"/>
  <c r="E538" i="4"/>
  <c r="D538" i="4"/>
  <c r="C538" i="4"/>
  <c r="L537" i="4"/>
  <c r="K537" i="4"/>
  <c r="J537" i="4"/>
  <c r="I537" i="4"/>
  <c r="H537" i="4"/>
  <c r="G537" i="4"/>
  <c r="F537" i="4"/>
  <c r="E537" i="4"/>
  <c r="D537" i="4"/>
  <c r="C537" i="4"/>
  <c r="L536" i="4"/>
  <c r="K536" i="4"/>
  <c r="J536" i="4"/>
  <c r="I536" i="4"/>
  <c r="H536" i="4"/>
  <c r="G536" i="4"/>
  <c r="F536" i="4"/>
  <c r="E536" i="4"/>
  <c r="D536" i="4"/>
  <c r="C536" i="4"/>
  <c r="L535" i="4"/>
  <c r="K535" i="4"/>
  <c r="J535" i="4"/>
  <c r="I535" i="4"/>
  <c r="H535" i="4"/>
  <c r="G535" i="4"/>
  <c r="F535" i="4"/>
  <c r="E535" i="4"/>
  <c r="D535" i="4"/>
  <c r="C535" i="4"/>
  <c r="L534" i="4"/>
  <c r="K534" i="4"/>
  <c r="J534" i="4"/>
  <c r="I534" i="4"/>
  <c r="H534" i="4"/>
  <c r="G534" i="4"/>
  <c r="F534" i="4"/>
  <c r="E534" i="4"/>
  <c r="D534" i="4"/>
  <c r="C534" i="4"/>
  <c r="L533" i="4"/>
  <c r="K533" i="4"/>
  <c r="J533" i="4"/>
  <c r="I533" i="4"/>
  <c r="H533" i="4"/>
  <c r="G533" i="4"/>
  <c r="F533" i="4"/>
  <c r="E533" i="4"/>
  <c r="D533" i="4"/>
  <c r="C533" i="4"/>
  <c r="L532" i="4"/>
  <c r="K532" i="4"/>
  <c r="J532" i="4"/>
  <c r="I532" i="4"/>
  <c r="H532" i="4"/>
  <c r="G532" i="4"/>
  <c r="F532" i="4"/>
  <c r="E532" i="4"/>
  <c r="D532" i="4"/>
  <c r="C532" i="4"/>
  <c r="L531" i="4"/>
  <c r="K531" i="4"/>
  <c r="J531" i="4"/>
  <c r="I531" i="4"/>
  <c r="H531" i="4"/>
  <c r="G531" i="4"/>
  <c r="F531" i="4"/>
  <c r="E531" i="4"/>
  <c r="D531" i="4"/>
  <c r="C531" i="4"/>
  <c r="L530" i="4"/>
  <c r="K530" i="4"/>
  <c r="J530" i="4"/>
  <c r="I530" i="4"/>
  <c r="H530" i="4"/>
  <c r="G530" i="4"/>
  <c r="F530" i="4"/>
  <c r="E530" i="4"/>
  <c r="D530" i="4"/>
  <c r="C530" i="4"/>
  <c r="L529" i="4"/>
  <c r="K529" i="4"/>
  <c r="J529" i="4"/>
  <c r="I529" i="4"/>
  <c r="H529" i="4"/>
  <c r="G529" i="4"/>
  <c r="F529" i="4"/>
  <c r="E529" i="4"/>
  <c r="D529" i="4"/>
  <c r="C529" i="4"/>
  <c r="L528" i="4"/>
  <c r="K528" i="4"/>
  <c r="J528" i="4"/>
  <c r="I528" i="4"/>
  <c r="H528" i="4"/>
  <c r="G528" i="4"/>
  <c r="F528" i="4"/>
  <c r="E528" i="4"/>
  <c r="D528" i="4"/>
  <c r="C528" i="4"/>
  <c r="L527" i="4"/>
  <c r="K527" i="4"/>
  <c r="J527" i="4"/>
  <c r="I527" i="4"/>
  <c r="H527" i="4"/>
  <c r="G527" i="4"/>
  <c r="F527" i="4"/>
  <c r="E527" i="4"/>
  <c r="D527" i="4"/>
  <c r="C527" i="4"/>
  <c r="L526" i="4"/>
  <c r="K526" i="4"/>
  <c r="J526" i="4"/>
  <c r="I526" i="4"/>
  <c r="H526" i="4"/>
  <c r="G526" i="4"/>
  <c r="F526" i="4"/>
  <c r="E526" i="4"/>
  <c r="D526" i="4"/>
  <c r="C526" i="4"/>
  <c r="L525" i="4"/>
  <c r="K525" i="4"/>
  <c r="J525" i="4"/>
  <c r="I525" i="4"/>
  <c r="H525" i="4"/>
  <c r="G525" i="4"/>
  <c r="F525" i="4"/>
  <c r="E525" i="4"/>
  <c r="D525" i="4"/>
  <c r="C525" i="4"/>
  <c r="L524" i="4"/>
  <c r="K524" i="4"/>
  <c r="J524" i="4"/>
  <c r="I524" i="4"/>
  <c r="H524" i="4"/>
  <c r="G524" i="4"/>
  <c r="F524" i="4"/>
  <c r="E524" i="4"/>
  <c r="D524" i="4"/>
  <c r="C524" i="4"/>
  <c r="L523" i="4"/>
  <c r="K523" i="4"/>
  <c r="J523" i="4"/>
  <c r="I523" i="4"/>
  <c r="H523" i="4"/>
  <c r="G523" i="4"/>
  <c r="F523" i="4"/>
  <c r="E523" i="4"/>
  <c r="D523" i="4"/>
  <c r="C523" i="4"/>
  <c r="L522" i="4"/>
  <c r="K522" i="4"/>
  <c r="J522" i="4"/>
  <c r="I522" i="4"/>
  <c r="H522" i="4"/>
  <c r="G522" i="4"/>
  <c r="F522" i="4"/>
  <c r="E522" i="4"/>
  <c r="D522" i="4"/>
  <c r="C522" i="4"/>
  <c r="L521" i="4"/>
  <c r="K521" i="4"/>
  <c r="J521" i="4"/>
  <c r="I521" i="4"/>
  <c r="H521" i="4"/>
  <c r="G521" i="4"/>
  <c r="F521" i="4"/>
  <c r="E521" i="4"/>
  <c r="D521" i="4"/>
  <c r="C521" i="4"/>
  <c r="L520" i="4"/>
  <c r="K520" i="4"/>
  <c r="J520" i="4"/>
  <c r="I520" i="4"/>
  <c r="H520" i="4"/>
  <c r="G520" i="4"/>
  <c r="F520" i="4"/>
  <c r="E520" i="4"/>
  <c r="D520" i="4"/>
  <c r="C520" i="4"/>
  <c r="L519" i="4"/>
  <c r="K519" i="4"/>
  <c r="J519" i="4"/>
  <c r="I519" i="4"/>
  <c r="H519" i="4"/>
  <c r="G519" i="4"/>
  <c r="F519" i="4"/>
  <c r="E519" i="4"/>
  <c r="D519" i="4"/>
  <c r="C519" i="4"/>
  <c r="L518" i="4"/>
  <c r="K518" i="4"/>
  <c r="J518" i="4"/>
  <c r="I518" i="4"/>
  <c r="H518" i="4"/>
  <c r="G518" i="4"/>
  <c r="F518" i="4"/>
  <c r="E518" i="4"/>
  <c r="D518" i="4"/>
  <c r="C518" i="4"/>
  <c r="L517" i="4"/>
  <c r="K517" i="4"/>
  <c r="J517" i="4"/>
  <c r="I517" i="4"/>
  <c r="H517" i="4"/>
  <c r="G517" i="4"/>
  <c r="F517" i="4"/>
  <c r="E517" i="4"/>
  <c r="D517" i="4"/>
  <c r="C517" i="4"/>
  <c r="L516" i="4"/>
  <c r="K516" i="4"/>
  <c r="J516" i="4"/>
  <c r="I516" i="4"/>
  <c r="H516" i="4"/>
  <c r="G516" i="4"/>
  <c r="F516" i="4"/>
  <c r="E516" i="4"/>
  <c r="D516" i="4"/>
  <c r="C516" i="4"/>
  <c r="L515" i="4"/>
  <c r="K515" i="4"/>
  <c r="J515" i="4"/>
  <c r="I515" i="4"/>
  <c r="H515" i="4"/>
  <c r="G515" i="4"/>
  <c r="F515" i="4"/>
  <c r="E515" i="4"/>
  <c r="D515" i="4"/>
  <c r="C515" i="4"/>
  <c r="L514" i="4"/>
  <c r="K514" i="4"/>
  <c r="J514" i="4"/>
  <c r="I514" i="4"/>
  <c r="H514" i="4"/>
  <c r="G514" i="4"/>
  <c r="F514" i="4"/>
  <c r="E514" i="4"/>
  <c r="D514" i="4"/>
  <c r="C514" i="4"/>
  <c r="L513" i="4"/>
  <c r="K513" i="4"/>
  <c r="J513" i="4"/>
  <c r="I513" i="4"/>
  <c r="H513" i="4"/>
  <c r="G513" i="4"/>
  <c r="F513" i="4"/>
  <c r="E513" i="4"/>
  <c r="D513" i="4"/>
  <c r="C513" i="4"/>
  <c r="L512" i="4"/>
  <c r="K512" i="4"/>
  <c r="J512" i="4"/>
  <c r="I512" i="4"/>
  <c r="H512" i="4"/>
  <c r="G512" i="4"/>
  <c r="F512" i="4"/>
  <c r="E512" i="4"/>
  <c r="D512" i="4"/>
  <c r="C512" i="4"/>
  <c r="L511" i="4"/>
  <c r="K511" i="4"/>
  <c r="J511" i="4"/>
  <c r="I511" i="4"/>
  <c r="H511" i="4"/>
  <c r="G511" i="4"/>
  <c r="F511" i="4"/>
  <c r="E511" i="4"/>
  <c r="D511" i="4"/>
  <c r="C511" i="4"/>
  <c r="L510" i="4"/>
  <c r="K510" i="4"/>
  <c r="J510" i="4"/>
  <c r="I510" i="4"/>
  <c r="H510" i="4"/>
  <c r="G510" i="4"/>
  <c r="F510" i="4"/>
  <c r="E510" i="4"/>
  <c r="D510" i="4"/>
  <c r="C510" i="4"/>
  <c r="L509" i="4"/>
  <c r="K509" i="4"/>
  <c r="J509" i="4"/>
  <c r="I509" i="4"/>
  <c r="H509" i="4"/>
  <c r="G509" i="4"/>
  <c r="F509" i="4"/>
  <c r="E509" i="4"/>
  <c r="D509" i="4"/>
  <c r="C509" i="4"/>
  <c r="L508" i="4"/>
  <c r="K508" i="4"/>
  <c r="J508" i="4"/>
  <c r="I508" i="4"/>
  <c r="H508" i="4"/>
  <c r="G508" i="4"/>
  <c r="F508" i="4"/>
  <c r="E508" i="4"/>
  <c r="D508" i="4"/>
  <c r="C508" i="4"/>
  <c r="L507" i="4"/>
  <c r="K507" i="4"/>
  <c r="J507" i="4"/>
  <c r="I507" i="4"/>
  <c r="H507" i="4"/>
  <c r="G507" i="4"/>
  <c r="F507" i="4"/>
  <c r="E507" i="4"/>
  <c r="D507" i="4"/>
  <c r="C507" i="4"/>
  <c r="L506" i="4"/>
  <c r="K506" i="4"/>
  <c r="J506" i="4"/>
  <c r="I506" i="4"/>
  <c r="H506" i="4"/>
  <c r="G506" i="4"/>
  <c r="F506" i="4"/>
  <c r="E506" i="4"/>
  <c r="D506" i="4"/>
  <c r="C506" i="4"/>
  <c r="L505" i="4"/>
  <c r="K505" i="4"/>
  <c r="J505" i="4"/>
  <c r="I505" i="4"/>
  <c r="H505" i="4"/>
  <c r="G505" i="4"/>
  <c r="F505" i="4"/>
  <c r="E505" i="4"/>
  <c r="D505" i="4"/>
  <c r="C505" i="4"/>
  <c r="L504" i="4"/>
  <c r="K504" i="4"/>
  <c r="J504" i="4"/>
  <c r="I504" i="4"/>
  <c r="H504" i="4"/>
  <c r="G504" i="4"/>
  <c r="F504" i="4"/>
  <c r="E504" i="4"/>
  <c r="D504" i="4"/>
  <c r="C504" i="4"/>
  <c r="L503" i="4"/>
  <c r="K503" i="4"/>
  <c r="J503" i="4"/>
  <c r="I503" i="4"/>
  <c r="H503" i="4"/>
  <c r="G503" i="4"/>
  <c r="F503" i="4"/>
  <c r="E503" i="4"/>
  <c r="D503" i="4"/>
  <c r="C503" i="4"/>
  <c r="L502" i="4"/>
  <c r="K502" i="4"/>
  <c r="J502" i="4"/>
  <c r="I502" i="4"/>
  <c r="H502" i="4"/>
  <c r="G502" i="4"/>
  <c r="F502" i="4"/>
  <c r="E502" i="4"/>
  <c r="D502" i="4"/>
  <c r="C502" i="4"/>
  <c r="L501" i="4"/>
  <c r="K501" i="4"/>
  <c r="J501" i="4"/>
  <c r="I501" i="4"/>
  <c r="H501" i="4"/>
  <c r="G501" i="4"/>
  <c r="F501" i="4"/>
  <c r="E501" i="4"/>
  <c r="D501" i="4"/>
  <c r="C501" i="4"/>
  <c r="L500" i="4"/>
  <c r="K500" i="4"/>
  <c r="J500" i="4"/>
  <c r="I500" i="4"/>
  <c r="H500" i="4"/>
  <c r="G500" i="4"/>
  <c r="F500" i="4"/>
  <c r="E500" i="4"/>
  <c r="D500" i="4"/>
  <c r="C500" i="4"/>
  <c r="L499" i="4"/>
  <c r="K499" i="4"/>
  <c r="J499" i="4"/>
  <c r="I499" i="4"/>
  <c r="H499" i="4"/>
  <c r="G499" i="4"/>
  <c r="F499" i="4"/>
  <c r="E499" i="4"/>
  <c r="D499" i="4"/>
  <c r="C499" i="4"/>
  <c r="L498" i="4"/>
  <c r="K498" i="4"/>
  <c r="J498" i="4"/>
  <c r="I498" i="4"/>
  <c r="H498" i="4"/>
  <c r="G498" i="4"/>
  <c r="F498" i="4"/>
  <c r="E498" i="4"/>
  <c r="D498" i="4"/>
  <c r="C498" i="4"/>
  <c r="L497" i="4"/>
  <c r="K497" i="4"/>
  <c r="J497" i="4"/>
  <c r="I497" i="4"/>
  <c r="H497" i="4"/>
  <c r="G497" i="4"/>
  <c r="F497" i="4"/>
  <c r="E497" i="4"/>
  <c r="D497" i="4"/>
  <c r="C497" i="4"/>
  <c r="L496" i="4"/>
  <c r="K496" i="4"/>
  <c r="J496" i="4"/>
  <c r="I496" i="4"/>
  <c r="H496" i="4"/>
  <c r="G496" i="4"/>
  <c r="F496" i="4"/>
  <c r="E496" i="4"/>
  <c r="D496" i="4"/>
  <c r="C496" i="4"/>
  <c r="L495" i="4"/>
  <c r="K495" i="4"/>
  <c r="J495" i="4"/>
  <c r="I495" i="4"/>
  <c r="H495" i="4"/>
  <c r="G495" i="4"/>
  <c r="F495" i="4"/>
  <c r="E495" i="4"/>
  <c r="D495" i="4"/>
  <c r="C495" i="4"/>
  <c r="L494" i="4"/>
  <c r="K494" i="4"/>
  <c r="J494" i="4"/>
  <c r="I494" i="4"/>
  <c r="H494" i="4"/>
  <c r="G494" i="4"/>
  <c r="F494" i="4"/>
  <c r="E494" i="4"/>
  <c r="D494" i="4"/>
  <c r="C494" i="4"/>
  <c r="L493" i="4"/>
  <c r="K493" i="4"/>
  <c r="J493" i="4"/>
  <c r="I493" i="4"/>
  <c r="H493" i="4"/>
  <c r="G493" i="4"/>
  <c r="F493" i="4"/>
  <c r="E493" i="4"/>
  <c r="D493" i="4"/>
  <c r="C493" i="4"/>
  <c r="L492" i="4"/>
  <c r="K492" i="4"/>
  <c r="J492" i="4"/>
  <c r="I492" i="4"/>
  <c r="H492" i="4"/>
  <c r="G492" i="4"/>
  <c r="F492" i="4"/>
  <c r="E492" i="4"/>
  <c r="D492" i="4"/>
  <c r="C492" i="4"/>
  <c r="L491" i="4"/>
  <c r="K491" i="4"/>
  <c r="J491" i="4"/>
  <c r="I491" i="4"/>
  <c r="H491" i="4"/>
  <c r="G491" i="4"/>
  <c r="F491" i="4"/>
  <c r="E491" i="4"/>
  <c r="D491" i="4"/>
  <c r="C491" i="4"/>
  <c r="L490" i="4"/>
  <c r="K490" i="4"/>
  <c r="J490" i="4"/>
  <c r="I490" i="4"/>
  <c r="H490" i="4"/>
  <c r="G490" i="4"/>
  <c r="F490" i="4"/>
  <c r="E490" i="4"/>
  <c r="D490" i="4"/>
  <c r="C490" i="4"/>
  <c r="L489" i="4"/>
  <c r="K489" i="4"/>
  <c r="J489" i="4"/>
  <c r="I489" i="4"/>
  <c r="H489" i="4"/>
  <c r="G489" i="4"/>
  <c r="F489" i="4"/>
  <c r="E489" i="4"/>
  <c r="D489" i="4"/>
  <c r="C489" i="4"/>
  <c r="L488" i="4"/>
  <c r="K488" i="4"/>
  <c r="J488" i="4"/>
  <c r="I488" i="4"/>
  <c r="H488" i="4"/>
  <c r="G488" i="4"/>
  <c r="F488" i="4"/>
  <c r="E488" i="4"/>
  <c r="D488" i="4"/>
  <c r="C488" i="4"/>
  <c r="L487" i="4"/>
  <c r="K487" i="4"/>
  <c r="J487" i="4"/>
  <c r="I487" i="4"/>
  <c r="H487" i="4"/>
  <c r="G487" i="4"/>
  <c r="F487" i="4"/>
  <c r="E487" i="4"/>
  <c r="D487" i="4"/>
  <c r="C487" i="4"/>
  <c r="L486" i="4"/>
  <c r="K486" i="4"/>
  <c r="J486" i="4"/>
  <c r="I486" i="4"/>
  <c r="H486" i="4"/>
  <c r="G486" i="4"/>
  <c r="F486" i="4"/>
  <c r="E486" i="4"/>
  <c r="D486" i="4"/>
  <c r="C486" i="4"/>
  <c r="L485" i="4"/>
  <c r="K485" i="4"/>
  <c r="J485" i="4"/>
  <c r="I485" i="4"/>
  <c r="H485" i="4"/>
  <c r="G485" i="4"/>
  <c r="F485" i="4"/>
  <c r="E485" i="4"/>
  <c r="D485" i="4"/>
  <c r="C485" i="4"/>
  <c r="L484" i="4"/>
  <c r="K484" i="4"/>
  <c r="J484" i="4"/>
  <c r="I484" i="4"/>
  <c r="H484" i="4"/>
  <c r="G484" i="4"/>
  <c r="F484" i="4"/>
  <c r="E484" i="4"/>
  <c r="D484" i="4"/>
  <c r="C484" i="4"/>
  <c r="L483" i="4"/>
  <c r="K483" i="4"/>
  <c r="J483" i="4"/>
  <c r="I483" i="4"/>
  <c r="H483" i="4"/>
  <c r="G483" i="4"/>
  <c r="F483" i="4"/>
  <c r="E483" i="4"/>
  <c r="D483" i="4"/>
  <c r="C483" i="4"/>
  <c r="L482" i="4"/>
  <c r="K482" i="4"/>
  <c r="J482" i="4"/>
  <c r="I482" i="4"/>
  <c r="H482" i="4"/>
  <c r="G482" i="4"/>
  <c r="F482" i="4"/>
  <c r="E482" i="4"/>
  <c r="D482" i="4"/>
  <c r="C482" i="4"/>
  <c r="L481" i="4"/>
  <c r="K481" i="4"/>
  <c r="J481" i="4"/>
  <c r="I481" i="4"/>
  <c r="H481" i="4"/>
  <c r="G481" i="4"/>
  <c r="F481" i="4"/>
  <c r="E481" i="4"/>
  <c r="D481" i="4"/>
  <c r="C481" i="4"/>
  <c r="L480" i="4"/>
  <c r="K480" i="4"/>
  <c r="J480" i="4"/>
  <c r="I480" i="4"/>
  <c r="H480" i="4"/>
  <c r="G480" i="4"/>
  <c r="F480" i="4"/>
  <c r="E480" i="4"/>
  <c r="D480" i="4"/>
  <c r="C480" i="4"/>
  <c r="L479" i="4"/>
  <c r="K479" i="4"/>
  <c r="J479" i="4"/>
  <c r="I479" i="4"/>
  <c r="H479" i="4"/>
  <c r="G479" i="4"/>
  <c r="F479" i="4"/>
  <c r="E479" i="4"/>
  <c r="D479" i="4"/>
  <c r="C479" i="4"/>
  <c r="L478" i="4"/>
  <c r="K478" i="4"/>
  <c r="J478" i="4"/>
  <c r="I478" i="4"/>
  <c r="H478" i="4"/>
  <c r="G478" i="4"/>
  <c r="F478" i="4"/>
  <c r="E478" i="4"/>
  <c r="D478" i="4"/>
  <c r="C478" i="4"/>
  <c r="L477" i="4"/>
  <c r="K477" i="4"/>
  <c r="J477" i="4"/>
  <c r="I477" i="4"/>
  <c r="H477" i="4"/>
  <c r="G477" i="4"/>
  <c r="F477" i="4"/>
  <c r="E477" i="4"/>
  <c r="D477" i="4"/>
  <c r="C477" i="4"/>
  <c r="L476" i="4"/>
  <c r="K476" i="4"/>
  <c r="J476" i="4"/>
  <c r="I476" i="4"/>
  <c r="H476" i="4"/>
  <c r="G476" i="4"/>
  <c r="F476" i="4"/>
  <c r="E476" i="4"/>
  <c r="D476" i="4"/>
  <c r="C476" i="4"/>
  <c r="L475" i="4"/>
  <c r="K475" i="4"/>
  <c r="J475" i="4"/>
  <c r="I475" i="4"/>
  <c r="H475" i="4"/>
  <c r="G475" i="4"/>
  <c r="F475" i="4"/>
  <c r="E475" i="4"/>
  <c r="D475" i="4"/>
  <c r="C475" i="4"/>
  <c r="L474" i="4"/>
  <c r="K474" i="4"/>
  <c r="J474" i="4"/>
  <c r="I474" i="4"/>
  <c r="H474" i="4"/>
  <c r="G474" i="4"/>
  <c r="F474" i="4"/>
  <c r="E474" i="4"/>
  <c r="D474" i="4"/>
  <c r="C474" i="4"/>
  <c r="L473" i="4"/>
  <c r="K473" i="4"/>
  <c r="J473" i="4"/>
  <c r="I473" i="4"/>
  <c r="H473" i="4"/>
  <c r="G473" i="4"/>
  <c r="F473" i="4"/>
  <c r="E473" i="4"/>
  <c r="D473" i="4"/>
  <c r="C473" i="4"/>
  <c r="L472" i="4"/>
  <c r="K472" i="4"/>
  <c r="J472" i="4"/>
  <c r="I472" i="4"/>
  <c r="H472" i="4"/>
  <c r="G472" i="4"/>
  <c r="F472" i="4"/>
  <c r="E472" i="4"/>
  <c r="D472" i="4"/>
  <c r="C472" i="4"/>
  <c r="L471" i="4"/>
  <c r="K471" i="4"/>
  <c r="J471" i="4"/>
  <c r="I471" i="4"/>
  <c r="H471" i="4"/>
  <c r="G471" i="4"/>
  <c r="F471" i="4"/>
  <c r="E471" i="4"/>
  <c r="D471" i="4"/>
  <c r="C471" i="4"/>
  <c r="L470" i="4"/>
  <c r="K470" i="4"/>
  <c r="J470" i="4"/>
  <c r="I470" i="4"/>
  <c r="H470" i="4"/>
  <c r="G470" i="4"/>
  <c r="F470" i="4"/>
  <c r="E470" i="4"/>
  <c r="D470" i="4"/>
  <c r="C470" i="4"/>
  <c r="L469" i="4"/>
  <c r="K469" i="4"/>
  <c r="J469" i="4"/>
  <c r="I469" i="4"/>
  <c r="H469" i="4"/>
  <c r="G469" i="4"/>
  <c r="F469" i="4"/>
  <c r="E469" i="4"/>
  <c r="D469" i="4"/>
  <c r="C469" i="4"/>
  <c r="L468" i="4"/>
  <c r="K468" i="4"/>
  <c r="J468" i="4"/>
  <c r="I468" i="4"/>
  <c r="H468" i="4"/>
  <c r="G468" i="4"/>
  <c r="F468" i="4"/>
  <c r="E468" i="4"/>
  <c r="D468" i="4"/>
  <c r="C468" i="4"/>
  <c r="L467" i="4"/>
  <c r="K467" i="4"/>
  <c r="J467" i="4"/>
  <c r="I467" i="4"/>
  <c r="H467" i="4"/>
  <c r="G467" i="4"/>
  <c r="F467" i="4"/>
  <c r="E467" i="4"/>
  <c r="D467" i="4"/>
  <c r="C467" i="4"/>
  <c r="L466" i="4"/>
  <c r="K466" i="4"/>
  <c r="J466" i="4"/>
  <c r="I466" i="4"/>
  <c r="H466" i="4"/>
  <c r="G466" i="4"/>
  <c r="F466" i="4"/>
  <c r="E466" i="4"/>
  <c r="D466" i="4"/>
  <c r="C466" i="4"/>
  <c r="L465" i="4"/>
  <c r="K465" i="4"/>
  <c r="J465" i="4"/>
  <c r="I465" i="4"/>
  <c r="H465" i="4"/>
  <c r="G465" i="4"/>
  <c r="F465" i="4"/>
  <c r="E465" i="4"/>
  <c r="D465" i="4"/>
  <c r="C465" i="4"/>
  <c r="L464" i="4"/>
  <c r="K464" i="4"/>
  <c r="J464" i="4"/>
  <c r="I464" i="4"/>
  <c r="H464" i="4"/>
  <c r="G464" i="4"/>
  <c r="F464" i="4"/>
  <c r="E464" i="4"/>
  <c r="D464" i="4"/>
  <c r="C464" i="4"/>
  <c r="L463" i="4"/>
  <c r="K463" i="4"/>
  <c r="J463" i="4"/>
  <c r="I463" i="4"/>
  <c r="H463" i="4"/>
  <c r="G463" i="4"/>
  <c r="F463" i="4"/>
  <c r="E463" i="4"/>
  <c r="D463" i="4"/>
  <c r="C463" i="4"/>
  <c r="L462" i="4"/>
  <c r="K462" i="4"/>
  <c r="J462" i="4"/>
  <c r="I462" i="4"/>
  <c r="H462" i="4"/>
  <c r="G462" i="4"/>
  <c r="F462" i="4"/>
  <c r="E462" i="4"/>
  <c r="D462" i="4"/>
  <c r="C462" i="4"/>
  <c r="L461" i="4"/>
  <c r="K461" i="4"/>
  <c r="J461" i="4"/>
  <c r="I461" i="4"/>
  <c r="H461" i="4"/>
  <c r="G461" i="4"/>
  <c r="F461" i="4"/>
  <c r="E461" i="4"/>
  <c r="D461" i="4"/>
  <c r="C461" i="4"/>
  <c r="L460" i="4"/>
  <c r="K460" i="4"/>
  <c r="J460" i="4"/>
  <c r="I460" i="4"/>
  <c r="H460" i="4"/>
  <c r="G460" i="4"/>
  <c r="F460" i="4"/>
  <c r="E460" i="4"/>
  <c r="D460" i="4"/>
  <c r="C460" i="4"/>
  <c r="L459" i="4"/>
  <c r="K459" i="4"/>
  <c r="J459" i="4"/>
  <c r="I459" i="4"/>
  <c r="H459" i="4"/>
  <c r="G459" i="4"/>
  <c r="F459" i="4"/>
  <c r="E459" i="4"/>
  <c r="D459" i="4"/>
  <c r="C459" i="4"/>
  <c r="L458" i="4"/>
  <c r="K458" i="4"/>
  <c r="J458" i="4"/>
  <c r="I458" i="4"/>
  <c r="H458" i="4"/>
  <c r="G458" i="4"/>
  <c r="F458" i="4"/>
  <c r="E458" i="4"/>
  <c r="D458" i="4"/>
  <c r="C458" i="4"/>
  <c r="L457" i="4"/>
  <c r="K457" i="4"/>
  <c r="J457" i="4"/>
  <c r="I457" i="4"/>
  <c r="H457" i="4"/>
  <c r="G457" i="4"/>
  <c r="F457" i="4"/>
  <c r="E457" i="4"/>
  <c r="D457" i="4"/>
  <c r="C457" i="4"/>
  <c r="L456" i="4"/>
  <c r="K456" i="4"/>
  <c r="J456" i="4"/>
  <c r="I456" i="4"/>
  <c r="H456" i="4"/>
  <c r="G456" i="4"/>
  <c r="F456" i="4"/>
  <c r="E456" i="4"/>
  <c r="D456" i="4"/>
  <c r="C456" i="4"/>
  <c r="L455" i="4"/>
  <c r="K455" i="4"/>
  <c r="J455" i="4"/>
  <c r="I455" i="4"/>
  <c r="H455" i="4"/>
  <c r="G455" i="4"/>
  <c r="F455" i="4"/>
  <c r="E455" i="4"/>
  <c r="D455" i="4"/>
  <c r="C455" i="4"/>
  <c r="L454" i="4"/>
  <c r="K454" i="4"/>
  <c r="J454" i="4"/>
  <c r="I454" i="4"/>
  <c r="H454" i="4"/>
  <c r="G454" i="4"/>
  <c r="F454" i="4"/>
  <c r="E454" i="4"/>
  <c r="D454" i="4"/>
  <c r="C454" i="4"/>
  <c r="L453" i="4"/>
  <c r="K453" i="4"/>
  <c r="J453" i="4"/>
  <c r="I453" i="4"/>
  <c r="H453" i="4"/>
  <c r="G453" i="4"/>
  <c r="F453" i="4"/>
  <c r="E453" i="4"/>
  <c r="D453" i="4"/>
  <c r="C453" i="4"/>
  <c r="L452" i="4"/>
  <c r="K452" i="4"/>
  <c r="J452" i="4"/>
  <c r="I452" i="4"/>
  <c r="H452" i="4"/>
  <c r="G452" i="4"/>
  <c r="F452" i="4"/>
  <c r="E452" i="4"/>
  <c r="D452" i="4"/>
  <c r="C452" i="4"/>
  <c r="L451" i="4"/>
  <c r="K451" i="4"/>
  <c r="J451" i="4"/>
  <c r="I451" i="4"/>
  <c r="H451" i="4"/>
  <c r="G451" i="4"/>
  <c r="F451" i="4"/>
  <c r="E451" i="4"/>
  <c r="D451" i="4"/>
  <c r="C451" i="4"/>
  <c r="L450" i="4"/>
  <c r="K450" i="4"/>
  <c r="J450" i="4"/>
  <c r="I450" i="4"/>
  <c r="H450" i="4"/>
  <c r="G450" i="4"/>
  <c r="F450" i="4"/>
  <c r="E450" i="4"/>
  <c r="D450" i="4"/>
  <c r="C450" i="4"/>
  <c r="L449" i="4"/>
  <c r="K449" i="4"/>
  <c r="J449" i="4"/>
  <c r="I449" i="4"/>
  <c r="H449" i="4"/>
  <c r="G449" i="4"/>
  <c r="F449" i="4"/>
  <c r="E449" i="4"/>
  <c r="D449" i="4"/>
  <c r="C449" i="4"/>
  <c r="L448" i="4"/>
  <c r="K448" i="4"/>
  <c r="J448" i="4"/>
  <c r="I448" i="4"/>
  <c r="H448" i="4"/>
  <c r="G448" i="4"/>
  <c r="F448" i="4"/>
  <c r="E448" i="4"/>
  <c r="D448" i="4"/>
  <c r="C448" i="4"/>
  <c r="L447" i="4"/>
  <c r="K447" i="4"/>
  <c r="J447" i="4"/>
  <c r="I447" i="4"/>
  <c r="H447" i="4"/>
  <c r="G447" i="4"/>
  <c r="F447" i="4"/>
  <c r="E447" i="4"/>
  <c r="D447" i="4"/>
  <c r="C447" i="4"/>
  <c r="L446" i="4"/>
  <c r="K446" i="4"/>
  <c r="J446" i="4"/>
  <c r="I446" i="4"/>
  <c r="H446" i="4"/>
  <c r="G446" i="4"/>
  <c r="F446" i="4"/>
  <c r="E446" i="4"/>
  <c r="D446" i="4"/>
  <c r="C446" i="4"/>
  <c r="L445" i="4"/>
  <c r="K445" i="4"/>
  <c r="J445" i="4"/>
  <c r="I445" i="4"/>
  <c r="H445" i="4"/>
  <c r="G445" i="4"/>
  <c r="F445" i="4"/>
  <c r="E445" i="4"/>
  <c r="D445" i="4"/>
  <c r="C445" i="4"/>
  <c r="L444" i="4"/>
  <c r="K444" i="4"/>
  <c r="J444" i="4"/>
  <c r="I444" i="4"/>
  <c r="H444" i="4"/>
  <c r="G444" i="4"/>
  <c r="F444" i="4"/>
  <c r="E444" i="4"/>
  <c r="D444" i="4"/>
  <c r="C444" i="4"/>
  <c r="L443" i="4"/>
  <c r="K443" i="4"/>
  <c r="J443" i="4"/>
  <c r="I443" i="4"/>
  <c r="H443" i="4"/>
  <c r="G443" i="4"/>
  <c r="F443" i="4"/>
  <c r="E443" i="4"/>
  <c r="D443" i="4"/>
  <c r="C443" i="4"/>
  <c r="L442" i="4"/>
  <c r="K442" i="4"/>
  <c r="J442" i="4"/>
  <c r="I442" i="4"/>
  <c r="H442" i="4"/>
  <c r="G442" i="4"/>
  <c r="F442" i="4"/>
  <c r="E442" i="4"/>
  <c r="D442" i="4"/>
  <c r="C442" i="4"/>
  <c r="L441" i="4"/>
  <c r="K441" i="4"/>
  <c r="J441" i="4"/>
  <c r="I441" i="4"/>
  <c r="H441" i="4"/>
  <c r="G441" i="4"/>
  <c r="F441" i="4"/>
  <c r="E441" i="4"/>
  <c r="D441" i="4"/>
  <c r="C441" i="4"/>
  <c r="L440" i="4"/>
  <c r="K440" i="4"/>
  <c r="J440" i="4"/>
  <c r="I440" i="4"/>
  <c r="H440" i="4"/>
  <c r="G440" i="4"/>
  <c r="F440" i="4"/>
  <c r="E440" i="4"/>
  <c r="D440" i="4"/>
  <c r="C440" i="4"/>
  <c r="L439" i="4"/>
  <c r="K439" i="4"/>
  <c r="J439" i="4"/>
  <c r="I439" i="4"/>
  <c r="H439" i="4"/>
  <c r="G439" i="4"/>
  <c r="F439" i="4"/>
  <c r="E439" i="4"/>
  <c r="D439" i="4"/>
  <c r="C439" i="4"/>
  <c r="L438" i="4"/>
  <c r="K438" i="4"/>
  <c r="J438" i="4"/>
  <c r="I438" i="4"/>
  <c r="H438" i="4"/>
  <c r="G438" i="4"/>
  <c r="F438" i="4"/>
  <c r="E438" i="4"/>
  <c r="D438" i="4"/>
  <c r="C438" i="4"/>
  <c r="L437" i="4"/>
  <c r="K437" i="4"/>
  <c r="J437" i="4"/>
  <c r="I437" i="4"/>
  <c r="H437" i="4"/>
  <c r="G437" i="4"/>
  <c r="F437" i="4"/>
  <c r="E437" i="4"/>
  <c r="D437" i="4"/>
  <c r="C437" i="4"/>
  <c r="L436" i="4"/>
  <c r="K436" i="4"/>
  <c r="J436" i="4"/>
  <c r="I436" i="4"/>
  <c r="H436" i="4"/>
  <c r="G436" i="4"/>
  <c r="F436" i="4"/>
  <c r="E436" i="4"/>
  <c r="D436" i="4"/>
  <c r="C436" i="4"/>
  <c r="L435" i="4"/>
  <c r="K435" i="4"/>
  <c r="J435" i="4"/>
  <c r="I435" i="4"/>
  <c r="H435" i="4"/>
  <c r="G435" i="4"/>
  <c r="F435" i="4"/>
  <c r="E435" i="4"/>
  <c r="D435" i="4"/>
  <c r="C435" i="4"/>
  <c r="L434" i="4"/>
  <c r="K434" i="4"/>
  <c r="J434" i="4"/>
  <c r="I434" i="4"/>
  <c r="H434" i="4"/>
  <c r="G434" i="4"/>
  <c r="F434" i="4"/>
  <c r="E434" i="4"/>
  <c r="D434" i="4"/>
  <c r="C434" i="4"/>
  <c r="L433" i="4"/>
  <c r="K433" i="4"/>
  <c r="J433" i="4"/>
  <c r="I433" i="4"/>
  <c r="H433" i="4"/>
  <c r="G433" i="4"/>
  <c r="F433" i="4"/>
  <c r="E433" i="4"/>
  <c r="D433" i="4"/>
  <c r="C433" i="4"/>
  <c r="L432" i="4"/>
  <c r="K432" i="4"/>
  <c r="J432" i="4"/>
  <c r="I432" i="4"/>
  <c r="H432" i="4"/>
  <c r="G432" i="4"/>
  <c r="F432" i="4"/>
  <c r="E432" i="4"/>
  <c r="D432" i="4"/>
  <c r="C432" i="4"/>
  <c r="L431" i="4"/>
  <c r="K431" i="4"/>
  <c r="J431" i="4"/>
  <c r="I431" i="4"/>
  <c r="H431" i="4"/>
  <c r="G431" i="4"/>
  <c r="F431" i="4"/>
  <c r="E431" i="4"/>
  <c r="D431" i="4"/>
  <c r="C431" i="4"/>
  <c r="L430" i="4"/>
  <c r="K430" i="4"/>
  <c r="J430" i="4"/>
  <c r="I430" i="4"/>
  <c r="H430" i="4"/>
  <c r="G430" i="4"/>
  <c r="F430" i="4"/>
  <c r="E430" i="4"/>
  <c r="D430" i="4"/>
  <c r="C430" i="4"/>
  <c r="L429" i="4"/>
  <c r="K429" i="4"/>
  <c r="J429" i="4"/>
  <c r="I429" i="4"/>
  <c r="H429" i="4"/>
  <c r="G429" i="4"/>
  <c r="F429" i="4"/>
  <c r="E429" i="4"/>
  <c r="D429" i="4"/>
  <c r="C429" i="4"/>
  <c r="L428" i="4"/>
  <c r="K428" i="4"/>
  <c r="J428" i="4"/>
  <c r="I428" i="4"/>
  <c r="H428" i="4"/>
  <c r="G428" i="4"/>
  <c r="F428" i="4"/>
  <c r="E428" i="4"/>
  <c r="D428" i="4"/>
  <c r="C428" i="4"/>
  <c r="L427" i="4"/>
  <c r="K427" i="4"/>
  <c r="J427" i="4"/>
  <c r="I427" i="4"/>
  <c r="H427" i="4"/>
  <c r="G427" i="4"/>
  <c r="F427" i="4"/>
  <c r="E427" i="4"/>
  <c r="D427" i="4"/>
  <c r="C427" i="4"/>
  <c r="L426" i="4"/>
  <c r="K426" i="4"/>
  <c r="J426" i="4"/>
  <c r="I426" i="4"/>
  <c r="H426" i="4"/>
  <c r="G426" i="4"/>
  <c r="F426" i="4"/>
  <c r="E426" i="4"/>
  <c r="D426" i="4"/>
  <c r="C426" i="4"/>
  <c r="L425" i="4"/>
  <c r="K425" i="4"/>
  <c r="J425" i="4"/>
  <c r="I425" i="4"/>
  <c r="H425" i="4"/>
  <c r="G425" i="4"/>
  <c r="F425" i="4"/>
  <c r="E425" i="4"/>
  <c r="D425" i="4"/>
  <c r="C425" i="4"/>
  <c r="L424" i="4"/>
  <c r="K424" i="4"/>
  <c r="J424" i="4"/>
  <c r="I424" i="4"/>
  <c r="H424" i="4"/>
  <c r="G424" i="4"/>
  <c r="F424" i="4"/>
  <c r="E424" i="4"/>
  <c r="D424" i="4"/>
  <c r="C424" i="4"/>
  <c r="L423" i="4"/>
  <c r="K423" i="4"/>
  <c r="J423" i="4"/>
  <c r="I423" i="4"/>
  <c r="H423" i="4"/>
  <c r="G423" i="4"/>
  <c r="F423" i="4"/>
  <c r="E423" i="4"/>
  <c r="D423" i="4"/>
  <c r="C423" i="4"/>
  <c r="L422" i="4"/>
  <c r="K422" i="4"/>
  <c r="J422" i="4"/>
  <c r="I422" i="4"/>
  <c r="H422" i="4"/>
  <c r="G422" i="4"/>
  <c r="F422" i="4"/>
  <c r="E422" i="4"/>
  <c r="D422" i="4"/>
  <c r="C422" i="4"/>
  <c r="L421" i="4"/>
  <c r="K421" i="4"/>
  <c r="J421" i="4"/>
  <c r="I421" i="4"/>
  <c r="H421" i="4"/>
  <c r="G421" i="4"/>
  <c r="F421" i="4"/>
  <c r="E421" i="4"/>
  <c r="D421" i="4"/>
  <c r="C421" i="4"/>
  <c r="L420" i="4"/>
  <c r="K420" i="4"/>
  <c r="J420" i="4"/>
  <c r="I420" i="4"/>
  <c r="H420" i="4"/>
  <c r="G420" i="4"/>
  <c r="F420" i="4"/>
  <c r="E420" i="4"/>
  <c r="D420" i="4"/>
  <c r="C420" i="4"/>
  <c r="L419" i="4"/>
  <c r="K419" i="4"/>
  <c r="J419" i="4"/>
  <c r="I419" i="4"/>
  <c r="H419" i="4"/>
  <c r="G419" i="4"/>
  <c r="F419" i="4"/>
  <c r="E419" i="4"/>
  <c r="D419" i="4"/>
  <c r="C419" i="4"/>
  <c r="L418" i="4"/>
  <c r="K418" i="4"/>
  <c r="J418" i="4"/>
  <c r="I418" i="4"/>
  <c r="H418" i="4"/>
  <c r="G418" i="4"/>
  <c r="F418" i="4"/>
  <c r="E418" i="4"/>
  <c r="D418" i="4"/>
  <c r="C418" i="4"/>
  <c r="L417" i="4"/>
  <c r="K417" i="4"/>
  <c r="J417" i="4"/>
  <c r="I417" i="4"/>
  <c r="H417" i="4"/>
  <c r="G417" i="4"/>
  <c r="F417" i="4"/>
  <c r="E417" i="4"/>
  <c r="D417" i="4"/>
  <c r="C417" i="4"/>
  <c r="L416" i="4"/>
  <c r="K416" i="4"/>
  <c r="J416" i="4"/>
  <c r="I416" i="4"/>
  <c r="H416" i="4"/>
  <c r="G416" i="4"/>
  <c r="F416" i="4"/>
  <c r="E416" i="4"/>
  <c r="D416" i="4"/>
  <c r="C416" i="4"/>
  <c r="L415" i="4"/>
  <c r="K415" i="4"/>
  <c r="J415" i="4"/>
  <c r="I415" i="4"/>
  <c r="H415" i="4"/>
  <c r="G415" i="4"/>
  <c r="F415" i="4"/>
  <c r="E415" i="4"/>
  <c r="D415" i="4"/>
  <c r="C415" i="4"/>
  <c r="L414" i="4"/>
  <c r="K414" i="4"/>
  <c r="J414" i="4"/>
  <c r="I414" i="4"/>
  <c r="H414" i="4"/>
  <c r="G414" i="4"/>
  <c r="F414" i="4"/>
  <c r="E414" i="4"/>
  <c r="D414" i="4"/>
  <c r="C414" i="4"/>
  <c r="L413" i="4"/>
  <c r="K413" i="4"/>
  <c r="J413" i="4"/>
  <c r="I413" i="4"/>
  <c r="H413" i="4"/>
  <c r="G413" i="4"/>
  <c r="F413" i="4"/>
  <c r="E413" i="4"/>
  <c r="D413" i="4"/>
  <c r="C413" i="4"/>
  <c r="L412" i="4"/>
  <c r="K412" i="4"/>
  <c r="J412" i="4"/>
  <c r="I412" i="4"/>
  <c r="H412" i="4"/>
  <c r="G412" i="4"/>
  <c r="F412" i="4"/>
  <c r="E412" i="4"/>
  <c r="D412" i="4"/>
  <c r="C412" i="4"/>
  <c r="L411" i="4"/>
  <c r="K411" i="4"/>
  <c r="J411" i="4"/>
  <c r="I411" i="4"/>
  <c r="H411" i="4"/>
  <c r="G411" i="4"/>
  <c r="F411" i="4"/>
  <c r="E411" i="4"/>
  <c r="D411" i="4"/>
  <c r="C411" i="4"/>
  <c r="L410" i="4"/>
  <c r="K410" i="4"/>
  <c r="J410" i="4"/>
  <c r="I410" i="4"/>
  <c r="H410" i="4"/>
  <c r="G410" i="4"/>
  <c r="F410" i="4"/>
  <c r="E410" i="4"/>
  <c r="D410" i="4"/>
  <c r="C410" i="4"/>
  <c r="L409" i="4"/>
  <c r="K409" i="4"/>
  <c r="J409" i="4"/>
  <c r="I409" i="4"/>
  <c r="H409" i="4"/>
  <c r="G409" i="4"/>
  <c r="F409" i="4"/>
  <c r="E409" i="4"/>
  <c r="D409" i="4"/>
  <c r="C409" i="4"/>
  <c r="L408" i="4"/>
  <c r="K408" i="4"/>
  <c r="J408" i="4"/>
  <c r="I408" i="4"/>
  <c r="H408" i="4"/>
  <c r="G408" i="4"/>
  <c r="F408" i="4"/>
  <c r="E408" i="4"/>
  <c r="D408" i="4"/>
  <c r="C408" i="4"/>
  <c r="L407" i="4"/>
  <c r="K407" i="4"/>
  <c r="J407" i="4"/>
  <c r="I407" i="4"/>
  <c r="H407" i="4"/>
  <c r="G407" i="4"/>
  <c r="F407" i="4"/>
  <c r="E407" i="4"/>
  <c r="D407" i="4"/>
  <c r="C407" i="4"/>
  <c r="L406" i="4"/>
  <c r="K406" i="4"/>
  <c r="J406" i="4"/>
  <c r="I406" i="4"/>
  <c r="H406" i="4"/>
  <c r="G406" i="4"/>
  <c r="F406" i="4"/>
  <c r="E406" i="4"/>
  <c r="D406" i="4"/>
  <c r="C406" i="4"/>
  <c r="L405" i="4"/>
  <c r="K405" i="4"/>
  <c r="J405" i="4"/>
  <c r="I405" i="4"/>
  <c r="H405" i="4"/>
  <c r="G405" i="4"/>
  <c r="F405" i="4"/>
  <c r="E405" i="4"/>
  <c r="D405" i="4"/>
  <c r="C405" i="4"/>
  <c r="L404" i="4"/>
  <c r="K404" i="4"/>
  <c r="J404" i="4"/>
  <c r="I404" i="4"/>
  <c r="H404" i="4"/>
  <c r="G404" i="4"/>
  <c r="F404" i="4"/>
  <c r="E404" i="4"/>
  <c r="D404" i="4"/>
  <c r="C404" i="4"/>
  <c r="L403" i="4"/>
  <c r="K403" i="4"/>
  <c r="J403" i="4"/>
  <c r="I403" i="4"/>
  <c r="H403" i="4"/>
  <c r="G403" i="4"/>
  <c r="F403" i="4"/>
  <c r="E403" i="4"/>
  <c r="D403" i="4"/>
  <c r="C403" i="4"/>
  <c r="L402" i="4"/>
  <c r="K402" i="4"/>
  <c r="J402" i="4"/>
  <c r="I402" i="4"/>
  <c r="H402" i="4"/>
  <c r="G402" i="4"/>
  <c r="F402" i="4"/>
  <c r="E402" i="4"/>
  <c r="D402" i="4"/>
  <c r="C402" i="4"/>
  <c r="L401" i="4"/>
  <c r="K401" i="4"/>
  <c r="J401" i="4"/>
  <c r="I401" i="4"/>
  <c r="H401" i="4"/>
  <c r="G401" i="4"/>
  <c r="F401" i="4"/>
  <c r="E401" i="4"/>
  <c r="D401" i="4"/>
  <c r="C401" i="4"/>
  <c r="L400" i="4"/>
  <c r="K400" i="4"/>
  <c r="J400" i="4"/>
  <c r="I400" i="4"/>
  <c r="H400" i="4"/>
  <c r="G400" i="4"/>
  <c r="F400" i="4"/>
  <c r="E400" i="4"/>
  <c r="D400" i="4"/>
  <c r="C400" i="4"/>
  <c r="L399" i="4"/>
  <c r="K399" i="4"/>
  <c r="J399" i="4"/>
  <c r="I399" i="4"/>
  <c r="H399" i="4"/>
  <c r="G399" i="4"/>
  <c r="F399" i="4"/>
  <c r="E399" i="4"/>
  <c r="D399" i="4"/>
  <c r="C399" i="4"/>
  <c r="L398" i="4"/>
  <c r="K398" i="4"/>
  <c r="J398" i="4"/>
  <c r="I398" i="4"/>
  <c r="H398" i="4"/>
  <c r="G398" i="4"/>
  <c r="F398" i="4"/>
  <c r="E398" i="4"/>
  <c r="D398" i="4"/>
  <c r="C398" i="4"/>
  <c r="L397" i="4"/>
  <c r="K397" i="4"/>
  <c r="J397" i="4"/>
  <c r="I397" i="4"/>
  <c r="H397" i="4"/>
  <c r="G397" i="4"/>
  <c r="F397" i="4"/>
  <c r="E397" i="4"/>
  <c r="D397" i="4"/>
  <c r="C397" i="4"/>
  <c r="L396" i="4"/>
  <c r="K396" i="4"/>
  <c r="J396" i="4"/>
  <c r="I396" i="4"/>
  <c r="H396" i="4"/>
  <c r="G396" i="4"/>
  <c r="F396" i="4"/>
  <c r="E396" i="4"/>
  <c r="D396" i="4"/>
  <c r="C396" i="4"/>
  <c r="L395" i="4"/>
  <c r="K395" i="4"/>
  <c r="J395" i="4"/>
  <c r="I395" i="4"/>
  <c r="H395" i="4"/>
  <c r="G395" i="4"/>
  <c r="F395" i="4"/>
  <c r="E395" i="4"/>
  <c r="D395" i="4"/>
  <c r="C395" i="4"/>
  <c r="L394" i="4"/>
  <c r="K394" i="4"/>
  <c r="J394" i="4"/>
  <c r="I394" i="4"/>
  <c r="H394" i="4"/>
  <c r="G394" i="4"/>
  <c r="F394" i="4"/>
  <c r="E394" i="4"/>
  <c r="D394" i="4"/>
  <c r="C394" i="4"/>
  <c r="L393" i="4"/>
  <c r="K393" i="4"/>
  <c r="J393" i="4"/>
  <c r="I393" i="4"/>
  <c r="H393" i="4"/>
  <c r="G393" i="4"/>
  <c r="F393" i="4"/>
  <c r="E393" i="4"/>
  <c r="D393" i="4"/>
  <c r="C393" i="4"/>
  <c r="L392" i="4"/>
  <c r="K392" i="4"/>
  <c r="J392" i="4"/>
  <c r="I392" i="4"/>
  <c r="H392" i="4"/>
  <c r="G392" i="4"/>
  <c r="F392" i="4"/>
  <c r="E392" i="4"/>
  <c r="D392" i="4"/>
  <c r="C392" i="4"/>
  <c r="L391" i="4"/>
  <c r="K391" i="4"/>
  <c r="J391" i="4"/>
  <c r="I391" i="4"/>
  <c r="H391" i="4"/>
  <c r="G391" i="4"/>
  <c r="F391" i="4"/>
  <c r="E391" i="4"/>
  <c r="D391" i="4"/>
  <c r="C391" i="4"/>
  <c r="L390" i="4"/>
  <c r="K390" i="4"/>
  <c r="J390" i="4"/>
  <c r="I390" i="4"/>
  <c r="H390" i="4"/>
  <c r="G390" i="4"/>
  <c r="F390" i="4"/>
  <c r="E390" i="4"/>
  <c r="D390" i="4"/>
  <c r="C390" i="4"/>
  <c r="L389" i="4"/>
  <c r="K389" i="4"/>
  <c r="J389" i="4"/>
  <c r="I389" i="4"/>
  <c r="H389" i="4"/>
  <c r="G389" i="4"/>
  <c r="F389" i="4"/>
  <c r="E389" i="4"/>
  <c r="D389" i="4"/>
  <c r="C389" i="4"/>
  <c r="L388" i="4"/>
  <c r="K388" i="4"/>
  <c r="J388" i="4"/>
  <c r="I388" i="4"/>
  <c r="H388" i="4"/>
  <c r="G388" i="4"/>
  <c r="F388" i="4"/>
  <c r="E388" i="4"/>
  <c r="D388" i="4"/>
  <c r="C388" i="4"/>
  <c r="L387" i="4"/>
  <c r="K387" i="4"/>
  <c r="J387" i="4"/>
  <c r="I387" i="4"/>
  <c r="H387" i="4"/>
  <c r="G387" i="4"/>
  <c r="F387" i="4"/>
  <c r="E387" i="4"/>
  <c r="D387" i="4"/>
  <c r="C387" i="4"/>
  <c r="L386" i="4"/>
  <c r="K386" i="4"/>
  <c r="J386" i="4"/>
  <c r="I386" i="4"/>
  <c r="H386" i="4"/>
  <c r="G386" i="4"/>
  <c r="F386" i="4"/>
  <c r="E386" i="4"/>
  <c r="D386" i="4"/>
  <c r="C386" i="4"/>
  <c r="L385" i="4"/>
  <c r="K385" i="4"/>
  <c r="J385" i="4"/>
  <c r="I385" i="4"/>
  <c r="H385" i="4"/>
  <c r="G385" i="4"/>
  <c r="F385" i="4"/>
  <c r="E385" i="4"/>
  <c r="D385" i="4"/>
  <c r="C385" i="4"/>
  <c r="L384" i="4"/>
  <c r="K384" i="4"/>
  <c r="J384" i="4"/>
  <c r="I384" i="4"/>
  <c r="H384" i="4"/>
  <c r="G384" i="4"/>
  <c r="F384" i="4"/>
  <c r="E384" i="4"/>
  <c r="D384" i="4"/>
  <c r="C384" i="4"/>
  <c r="L383" i="4"/>
  <c r="K383" i="4"/>
  <c r="J383" i="4"/>
  <c r="I383" i="4"/>
  <c r="H383" i="4"/>
  <c r="G383" i="4"/>
  <c r="F383" i="4"/>
  <c r="E383" i="4"/>
  <c r="D383" i="4"/>
  <c r="C383" i="4"/>
  <c r="L382" i="4"/>
  <c r="K382" i="4"/>
  <c r="J382" i="4"/>
  <c r="I382" i="4"/>
  <c r="H382" i="4"/>
  <c r="G382" i="4"/>
  <c r="F382" i="4"/>
  <c r="E382" i="4"/>
  <c r="D382" i="4"/>
  <c r="C382" i="4"/>
  <c r="L381" i="4"/>
  <c r="K381" i="4"/>
  <c r="J381" i="4"/>
  <c r="I381" i="4"/>
  <c r="H381" i="4"/>
  <c r="G381" i="4"/>
  <c r="F381" i="4"/>
  <c r="E381" i="4"/>
  <c r="D381" i="4"/>
  <c r="C381" i="4"/>
  <c r="L380" i="4"/>
  <c r="K380" i="4"/>
  <c r="J380" i="4"/>
  <c r="I380" i="4"/>
  <c r="H380" i="4"/>
  <c r="G380" i="4"/>
  <c r="F380" i="4"/>
  <c r="E380" i="4"/>
  <c r="D380" i="4"/>
  <c r="C380" i="4"/>
  <c r="L379" i="4"/>
  <c r="K379" i="4"/>
  <c r="J379" i="4"/>
  <c r="I379" i="4"/>
  <c r="H379" i="4"/>
  <c r="G379" i="4"/>
  <c r="F379" i="4"/>
  <c r="E379" i="4"/>
  <c r="D379" i="4"/>
  <c r="C379" i="4"/>
  <c r="L378" i="4"/>
  <c r="K378" i="4"/>
  <c r="J378" i="4"/>
  <c r="I378" i="4"/>
  <c r="H378" i="4"/>
  <c r="G378" i="4"/>
  <c r="F378" i="4"/>
  <c r="E378" i="4"/>
  <c r="D378" i="4"/>
  <c r="C378" i="4"/>
  <c r="L377" i="4"/>
  <c r="K377" i="4"/>
  <c r="J377" i="4"/>
  <c r="I377" i="4"/>
  <c r="H377" i="4"/>
  <c r="G377" i="4"/>
  <c r="F377" i="4"/>
  <c r="E377" i="4"/>
  <c r="D377" i="4"/>
  <c r="C377" i="4"/>
  <c r="L376" i="4"/>
  <c r="K376" i="4"/>
  <c r="J376" i="4"/>
  <c r="I376" i="4"/>
  <c r="H376" i="4"/>
  <c r="G376" i="4"/>
  <c r="F376" i="4"/>
  <c r="E376" i="4"/>
  <c r="D376" i="4"/>
  <c r="C376" i="4"/>
  <c r="L375" i="4"/>
  <c r="K375" i="4"/>
  <c r="J375" i="4"/>
  <c r="I375" i="4"/>
  <c r="H375" i="4"/>
  <c r="G375" i="4"/>
  <c r="F375" i="4"/>
  <c r="E375" i="4"/>
  <c r="D375" i="4"/>
  <c r="C375" i="4"/>
  <c r="L374" i="4"/>
  <c r="K374" i="4"/>
  <c r="J374" i="4"/>
  <c r="I374" i="4"/>
  <c r="H374" i="4"/>
  <c r="G374" i="4"/>
  <c r="F374" i="4"/>
  <c r="E374" i="4"/>
  <c r="D374" i="4"/>
  <c r="C374" i="4"/>
  <c r="L373" i="4"/>
  <c r="K373" i="4"/>
  <c r="J373" i="4"/>
  <c r="I373" i="4"/>
  <c r="H373" i="4"/>
  <c r="G373" i="4"/>
  <c r="F373" i="4"/>
  <c r="E373" i="4"/>
  <c r="D373" i="4"/>
  <c r="C373" i="4"/>
  <c r="L372" i="4"/>
  <c r="K372" i="4"/>
  <c r="J372" i="4"/>
  <c r="I372" i="4"/>
  <c r="H372" i="4"/>
  <c r="G372" i="4"/>
  <c r="F372" i="4"/>
  <c r="E372" i="4"/>
  <c r="D372" i="4"/>
  <c r="C372" i="4"/>
  <c r="L371" i="4"/>
  <c r="K371" i="4"/>
  <c r="J371" i="4"/>
  <c r="I371" i="4"/>
  <c r="H371" i="4"/>
  <c r="G371" i="4"/>
  <c r="F371" i="4"/>
  <c r="E371" i="4"/>
  <c r="D371" i="4"/>
  <c r="C371" i="4"/>
  <c r="L370" i="4"/>
  <c r="K370" i="4"/>
  <c r="J370" i="4"/>
  <c r="I370" i="4"/>
  <c r="H370" i="4"/>
  <c r="G370" i="4"/>
  <c r="F370" i="4"/>
  <c r="E370" i="4"/>
  <c r="D370" i="4"/>
  <c r="C370" i="4"/>
  <c r="L369" i="4"/>
  <c r="K369" i="4"/>
  <c r="J369" i="4"/>
  <c r="I369" i="4"/>
  <c r="H369" i="4"/>
  <c r="G369" i="4"/>
  <c r="F369" i="4"/>
  <c r="E369" i="4"/>
  <c r="D369" i="4"/>
  <c r="C369" i="4"/>
  <c r="L368" i="4"/>
  <c r="K368" i="4"/>
  <c r="J368" i="4"/>
  <c r="I368" i="4"/>
  <c r="H368" i="4"/>
  <c r="G368" i="4"/>
  <c r="F368" i="4"/>
  <c r="E368" i="4"/>
  <c r="D368" i="4"/>
  <c r="C368" i="4"/>
  <c r="L367" i="4"/>
  <c r="K367" i="4"/>
  <c r="J367" i="4"/>
  <c r="I367" i="4"/>
  <c r="H367" i="4"/>
  <c r="G367" i="4"/>
  <c r="F367" i="4"/>
  <c r="E367" i="4"/>
  <c r="D367" i="4"/>
  <c r="C367" i="4"/>
  <c r="L366" i="4"/>
  <c r="K366" i="4"/>
  <c r="J366" i="4"/>
  <c r="I366" i="4"/>
  <c r="H366" i="4"/>
  <c r="G366" i="4"/>
  <c r="F366" i="4"/>
  <c r="E366" i="4"/>
  <c r="D366" i="4"/>
  <c r="C366" i="4"/>
  <c r="L365" i="4"/>
  <c r="K365" i="4"/>
  <c r="J365" i="4"/>
  <c r="I365" i="4"/>
  <c r="H365" i="4"/>
  <c r="G365" i="4"/>
  <c r="F365" i="4"/>
  <c r="E365" i="4"/>
  <c r="D365" i="4"/>
  <c r="C365" i="4"/>
  <c r="L364" i="4"/>
  <c r="K364" i="4"/>
  <c r="J364" i="4"/>
  <c r="I364" i="4"/>
  <c r="H364" i="4"/>
  <c r="G364" i="4"/>
  <c r="F364" i="4"/>
  <c r="E364" i="4"/>
  <c r="D364" i="4"/>
  <c r="C364" i="4"/>
  <c r="L363" i="4"/>
  <c r="K363" i="4"/>
  <c r="J363" i="4"/>
  <c r="I363" i="4"/>
  <c r="H363" i="4"/>
  <c r="G363" i="4"/>
  <c r="F363" i="4"/>
  <c r="E363" i="4"/>
  <c r="D363" i="4"/>
  <c r="C363" i="4"/>
  <c r="L362" i="4"/>
  <c r="K362" i="4"/>
  <c r="J362" i="4"/>
  <c r="I362" i="4"/>
  <c r="H362" i="4"/>
  <c r="G362" i="4"/>
  <c r="F362" i="4"/>
  <c r="E362" i="4"/>
  <c r="D362" i="4"/>
  <c r="C362" i="4"/>
  <c r="L361" i="4"/>
  <c r="K361" i="4"/>
  <c r="J361" i="4"/>
  <c r="I361" i="4"/>
  <c r="H361" i="4"/>
  <c r="G361" i="4"/>
  <c r="F361" i="4"/>
  <c r="E361" i="4"/>
  <c r="D361" i="4"/>
  <c r="C361" i="4"/>
  <c r="L360" i="4"/>
  <c r="K360" i="4"/>
  <c r="J360" i="4"/>
  <c r="I360" i="4"/>
  <c r="H360" i="4"/>
  <c r="G360" i="4"/>
  <c r="F360" i="4"/>
  <c r="E360" i="4"/>
  <c r="D360" i="4"/>
  <c r="C360" i="4"/>
  <c r="L359" i="4"/>
  <c r="K359" i="4"/>
  <c r="J359" i="4"/>
  <c r="I359" i="4"/>
  <c r="H359" i="4"/>
  <c r="G359" i="4"/>
  <c r="F359" i="4"/>
  <c r="E359" i="4"/>
  <c r="D359" i="4"/>
  <c r="C359" i="4"/>
  <c r="L358" i="4"/>
  <c r="K358" i="4"/>
  <c r="J358" i="4"/>
  <c r="I358" i="4"/>
  <c r="H358" i="4"/>
  <c r="G358" i="4"/>
  <c r="F358" i="4"/>
  <c r="E358" i="4"/>
  <c r="D358" i="4"/>
  <c r="C358" i="4"/>
  <c r="L357" i="4"/>
  <c r="K357" i="4"/>
  <c r="J357" i="4"/>
  <c r="I357" i="4"/>
  <c r="H357" i="4"/>
  <c r="G357" i="4"/>
  <c r="F357" i="4"/>
  <c r="E357" i="4"/>
  <c r="D357" i="4"/>
  <c r="C357" i="4"/>
  <c r="L356" i="4"/>
  <c r="K356" i="4"/>
  <c r="J356" i="4"/>
  <c r="I356" i="4"/>
  <c r="H356" i="4"/>
  <c r="G356" i="4"/>
  <c r="F356" i="4"/>
  <c r="E356" i="4"/>
  <c r="D356" i="4"/>
  <c r="C356" i="4"/>
  <c r="L355" i="4"/>
  <c r="K355" i="4"/>
  <c r="J355" i="4"/>
  <c r="I355" i="4"/>
  <c r="H355" i="4"/>
  <c r="G355" i="4"/>
  <c r="F355" i="4"/>
  <c r="E355" i="4"/>
  <c r="D355" i="4"/>
  <c r="C355" i="4"/>
  <c r="L354" i="4"/>
  <c r="K354" i="4"/>
  <c r="J354" i="4"/>
  <c r="I354" i="4"/>
  <c r="H354" i="4"/>
  <c r="G354" i="4"/>
  <c r="F354" i="4"/>
  <c r="E354" i="4"/>
  <c r="D354" i="4"/>
  <c r="C354" i="4"/>
  <c r="L353" i="4"/>
  <c r="K353" i="4"/>
  <c r="J353" i="4"/>
  <c r="I353" i="4"/>
  <c r="H353" i="4"/>
  <c r="G353" i="4"/>
  <c r="F353" i="4"/>
  <c r="E353" i="4"/>
  <c r="D353" i="4"/>
  <c r="C353" i="4"/>
  <c r="L352" i="4"/>
  <c r="K352" i="4"/>
  <c r="J352" i="4"/>
  <c r="I352" i="4"/>
  <c r="H352" i="4"/>
  <c r="G352" i="4"/>
  <c r="F352" i="4"/>
  <c r="E352" i="4"/>
  <c r="D352" i="4"/>
  <c r="C352" i="4"/>
  <c r="L351" i="4"/>
  <c r="K351" i="4"/>
  <c r="J351" i="4"/>
  <c r="I351" i="4"/>
  <c r="H351" i="4"/>
  <c r="G351" i="4"/>
  <c r="F351" i="4"/>
  <c r="E351" i="4"/>
  <c r="D351" i="4"/>
  <c r="C351" i="4"/>
  <c r="L350" i="4"/>
  <c r="K350" i="4"/>
  <c r="J350" i="4"/>
  <c r="I350" i="4"/>
  <c r="H350" i="4"/>
  <c r="G350" i="4"/>
  <c r="F350" i="4"/>
  <c r="E350" i="4"/>
  <c r="D350" i="4"/>
  <c r="C350" i="4"/>
  <c r="L349" i="4"/>
  <c r="K349" i="4"/>
  <c r="J349" i="4"/>
  <c r="I349" i="4"/>
  <c r="H349" i="4"/>
  <c r="G349" i="4"/>
  <c r="F349" i="4"/>
  <c r="E349" i="4"/>
  <c r="D349" i="4"/>
  <c r="C349" i="4"/>
  <c r="L348" i="4"/>
  <c r="K348" i="4"/>
  <c r="J348" i="4"/>
  <c r="I348" i="4"/>
  <c r="H348" i="4"/>
  <c r="G348" i="4"/>
  <c r="F348" i="4"/>
  <c r="E348" i="4"/>
  <c r="D348" i="4"/>
  <c r="C348" i="4"/>
  <c r="L347" i="4"/>
  <c r="K347" i="4"/>
  <c r="J347" i="4"/>
  <c r="I347" i="4"/>
  <c r="H347" i="4"/>
  <c r="G347" i="4"/>
  <c r="F347" i="4"/>
  <c r="E347" i="4"/>
  <c r="D347" i="4"/>
  <c r="C347" i="4"/>
  <c r="L346" i="4"/>
  <c r="K346" i="4"/>
  <c r="J346" i="4"/>
  <c r="I346" i="4"/>
  <c r="H346" i="4"/>
  <c r="G346" i="4"/>
  <c r="F346" i="4"/>
  <c r="E346" i="4"/>
  <c r="D346" i="4"/>
  <c r="C346" i="4"/>
  <c r="L345" i="4"/>
  <c r="K345" i="4"/>
  <c r="J345" i="4"/>
  <c r="I345" i="4"/>
  <c r="H345" i="4"/>
  <c r="G345" i="4"/>
  <c r="F345" i="4"/>
  <c r="E345" i="4"/>
  <c r="D345" i="4"/>
  <c r="C345" i="4"/>
  <c r="L344" i="4"/>
  <c r="K344" i="4"/>
  <c r="J344" i="4"/>
  <c r="I344" i="4"/>
  <c r="H344" i="4"/>
  <c r="G344" i="4"/>
  <c r="F344" i="4"/>
  <c r="E344" i="4"/>
  <c r="D344" i="4"/>
  <c r="C344" i="4"/>
  <c r="L343" i="4"/>
  <c r="K343" i="4"/>
  <c r="J343" i="4"/>
  <c r="I343" i="4"/>
  <c r="H343" i="4"/>
  <c r="G343" i="4"/>
  <c r="F343" i="4"/>
  <c r="E343" i="4"/>
  <c r="D343" i="4"/>
  <c r="C343" i="4"/>
  <c r="L342" i="4"/>
  <c r="K342" i="4"/>
  <c r="J342" i="4"/>
  <c r="I342" i="4"/>
  <c r="H342" i="4"/>
  <c r="G342" i="4"/>
  <c r="F342" i="4"/>
  <c r="E342" i="4"/>
  <c r="D342" i="4"/>
  <c r="C342" i="4"/>
  <c r="L341" i="4"/>
  <c r="K341" i="4"/>
  <c r="J341" i="4"/>
  <c r="I341" i="4"/>
  <c r="H341" i="4"/>
  <c r="G341" i="4"/>
  <c r="F341" i="4"/>
  <c r="E341" i="4"/>
  <c r="D341" i="4"/>
  <c r="C341" i="4"/>
  <c r="L340" i="4"/>
  <c r="K340" i="4"/>
  <c r="J340" i="4"/>
  <c r="I340" i="4"/>
  <c r="H340" i="4"/>
  <c r="G340" i="4"/>
  <c r="F340" i="4"/>
  <c r="E340" i="4"/>
  <c r="D340" i="4"/>
  <c r="C340" i="4"/>
  <c r="L339" i="4"/>
  <c r="K339" i="4"/>
  <c r="J339" i="4"/>
  <c r="I339" i="4"/>
  <c r="H339" i="4"/>
  <c r="G339" i="4"/>
  <c r="F339" i="4"/>
  <c r="E339" i="4"/>
  <c r="D339" i="4"/>
  <c r="C339" i="4"/>
  <c r="L338" i="4"/>
  <c r="K338" i="4"/>
  <c r="J338" i="4"/>
  <c r="I338" i="4"/>
  <c r="H338" i="4"/>
  <c r="G338" i="4"/>
  <c r="F338" i="4"/>
  <c r="E338" i="4"/>
  <c r="D338" i="4"/>
  <c r="C338" i="4"/>
  <c r="L337" i="4"/>
  <c r="K337" i="4"/>
  <c r="J337" i="4"/>
  <c r="I337" i="4"/>
  <c r="H337" i="4"/>
  <c r="G337" i="4"/>
  <c r="F337" i="4"/>
  <c r="E337" i="4"/>
  <c r="D337" i="4"/>
  <c r="C337" i="4"/>
  <c r="L336" i="4"/>
  <c r="K336" i="4"/>
  <c r="J336" i="4"/>
  <c r="I336" i="4"/>
  <c r="H336" i="4"/>
  <c r="G336" i="4"/>
  <c r="F336" i="4"/>
  <c r="E336" i="4"/>
  <c r="D336" i="4"/>
  <c r="C336" i="4"/>
  <c r="L335" i="4"/>
  <c r="K335" i="4"/>
  <c r="J335" i="4"/>
  <c r="I335" i="4"/>
  <c r="H335" i="4"/>
  <c r="G335" i="4"/>
  <c r="F335" i="4"/>
  <c r="E335" i="4"/>
  <c r="D335" i="4"/>
  <c r="C335" i="4"/>
  <c r="L334" i="4"/>
  <c r="K334" i="4"/>
  <c r="J334" i="4"/>
  <c r="I334" i="4"/>
  <c r="H334" i="4"/>
  <c r="G334" i="4"/>
  <c r="F334" i="4"/>
  <c r="E334" i="4"/>
  <c r="D334" i="4"/>
  <c r="C334" i="4"/>
  <c r="L333" i="4"/>
  <c r="K333" i="4"/>
  <c r="J333" i="4"/>
  <c r="I333" i="4"/>
  <c r="H333" i="4"/>
  <c r="G333" i="4"/>
  <c r="F333" i="4"/>
  <c r="E333" i="4"/>
  <c r="D333" i="4"/>
  <c r="C333" i="4"/>
  <c r="L332" i="4"/>
  <c r="K332" i="4"/>
  <c r="J332" i="4"/>
  <c r="I332" i="4"/>
  <c r="H332" i="4"/>
  <c r="G332" i="4"/>
  <c r="F332" i="4"/>
  <c r="E332" i="4"/>
  <c r="D332" i="4"/>
  <c r="C332" i="4"/>
  <c r="L331" i="4"/>
  <c r="K331" i="4"/>
  <c r="J331" i="4"/>
  <c r="I331" i="4"/>
  <c r="H331" i="4"/>
  <c r="G331" i="4"/>
  <c r="F331" i="4"/>
  <c r="E331" i="4"/>
  <c r="D331" i="4"/>
  <c r="C331" i="4"/>
  <c r="L330" i="4"/>
  <c r="K330" i="4"/>
  <c r="J330" i="4"/>
  <c r="I330" i="4"/>
  <c r="H330" i="4"/>
  <c r="G330" i="4"/>
  <c r="F330" i="4"/>
  <c r="E330" i="4"/>
  <c r="D330" i="4"/>
  <c r="C330" i="4"/>
  <c r="L329" i="4"/>
  <c r="K329" i="4"/>
  <c r="J329" i="4"/>
  <c r="I329" i="4"/>
  <c r="H329" i="4"/>
  <c r="G329" i="4"/>
  <c r="F329" i="4"/>
  <c r="E329" i="4"/>
  <c r="D329" i="4"/>
  <c r="C329" i="4"/>
  <c r="L328" i="4"/>
  <c r="K328" i="4"/>
  <c r="J328" i="4"/>
  <c r="I328" i="4"/>
  <c r="H328" i="4"/>
  <c r="G328" i="4"/>
  <c r="F328" i="4"/>
  <c r="E328" i="4"/>
  <c r="D328" i="4"/>
  <c r="C328" i="4"/>
  <c r="L327" i="4"/>
  <c r="K327" i="4"/>
  <c r="J327" i="4"/>
  <c r="I327" i="4"/>
  <c r="H327" i="4"/>
  <c r="G327" i="4"/>
  <c r="F327" i="4"/>
  <c r="E327" i="4"/>
  <c r="D327" i="4"/>
  <c r="C327" i="4"/>
  <c r="L326" i="4"/>
  <c r="K326" i="4"/>
  <c r="J326" i="4"/>
  <c r="I326" i="4"/>
  <c r="H326" i="4"/>
  <c r="G326" i="4"/>
  <c r="F326" i="4"/>
  <c r="E326" i="4"/>
  <c r="D326" i="4"/>
  <c r="C326" i="4"/>
  <c r="L325" i="4"/>
  <c r="K325" i="4"/>
  <c r="J325" i="4"/>
  <c r="I325" i="4"/>
  <c r="H325" i="4"/>
  <c r="G325" i="4"/>
  <c r="F325" i="4"/>
  <c r="E325" i="4"/>
  <c r="D325" i="4"/>
  <c r="C325" i="4"/>
  <c r="L324" i="4"/>
  <c r="K324" i="4"/>
  <c r="J324" i="4"/>
  <c r="I324" i="4"/>
  <c r="H324" i="4"/>
  <c r="G324" i="4"/>
  <c r="F324" i="4"/>
  <c r="E324" i="4"/>
  <c r="D324" i="4"/>
  <c r="C324" i="4"/>
  <c r="L323" i="4"/>
  <c r="K323" i="4"/>
  <c r="J323" i="4"/>
  <c r="I323" i="4"/>
  <c r="H323" i="4"/>
  <c r="G323" i="4"/>
  <c r="F323" i="4"/>
  <c r="E323" i="4"/>
  <c r="D323" i="4"/>
  <c r="C323" i="4"/>
  <c r="L322" i="4"/>
  <c r="K322" i="4"/>
  <c r="J322" i="4"/>
  <c r="I322" i="4"/>
  <c r="H322" i="4"/>
  <c r="G322" i="4"/>
  <c r="F322" i="4"/>
  <c r="E322" i="4"/>
  <c r="D322" i="4"/>
  <c r="C322" i="4"/>
  <c r="L321" i="4"/>
  <c r="K321" i="4"/>
  <c r="J321" i="4"/>
  <c r="I321" i="4"/>
  <c r="H321" i="4"/>
  <c r="G321" i="4"/>
  <c r="F321" i="4"/>
  <c r="E321" i="4"/>
  <c r="D321" i="4"/>
  <c r="C321" i="4"/>
  <c r="L320" i="4"/>
  <c r="K320" i="4"/>
  <c r="J320" i="4"/>
  <c r="I320" i="4"/>
  <c r="H320" i="4"/>
  <c r="G320" i="4"/>
  <c r="F320" i="4"/>
  <c r="E320" i="4"/>
  <c r="D320" i="4"/>
  <c r="C320" i="4"/>
  <c r="L319" i="4"/>
  <c r="K319" i="4"/>
  <c r="J319" i="4"/>
  <c r="I319" i="4"/>
  <c r="H319" i="4"/>
  <c r="G319" i="4"/>
  <c r="F319" i="4"/>
  <c r="E319" i="4"/>
  <c r="D319" i="4"/>
  <c r="C319" i="4"/>
  <c r="L318" i="4"/>
  <c r="K318" i="4"/>
  <c r="J318" i="4"/>
  <c r="I318" i="4"/>
  <c r="H318" i="4"/>
  <c r="G318" i="4"/>
  <c r="F318" i="4"/>
  <c r="E318" i="4"/>
  <c r="D318" i="4"/>
  <c r="C318" i="4"/>
  <c r="L317" i="4"/>
  <c r="K317" i="4"/>
  <c r="J317" i="4"/>
  <c r="I317" i="4"/>
  <c r="H317" i="4"/>
  <c r="G317" i="4"/>
  <c r="F317" i="4"/>
  <c r="E317" i="4"/>
  <c r="D317" i="4"/>
  <c r="C317" i="4"/>
  <c r="L316" i="4"/>
  <c r="K316" i="4"/>
  <c r="J316" i="4"/>
  <c r="I316" i="4"/>
  <c r="H316" i="4"/>
  <c r="G316" i="4"/>
  <c r="F316" i="4"/>
  <c r="E316" i="4"/>
  <c r="D316" i="4"/>
  <c r="C316" i="4"/>
  <c r="L315" i="4"/>
  <c r="K315" i="4"/>
  <c r="J315" i="4"/>
  <c r="I315" i="4"/>
  <c r="H315" i="4"/>
  <c r="G315" i="4"/>
  <c r="F315" i="4"/>
  <c r="E315" i="4"/>
  <c r="D315" i="4"/>
  <c r="C315" i="4"/>
  <c r="L314" i="4"/>
  <c r="K314" i="4"/>
  <c r="J314" i="4"/>
  <c r="I314" i="4"/>
  <c r="H314" i="4"/>
  <c r="G314" i="4"/>
  <c r="F314" i="4"/>
  <c r="E314" i="4"/>
  <c r="D314" i="4"/>
  <c r="C314" i="4"/>
  <c r="L313" i="4"/>
  <c r="K313" i="4"/>
  <c r="J313" i="4"/>
  <c r="I313" i="4"/>
  <c r="H313" i="4"/>
  <c r="G313" i="4"/>
  <c r="F313" i="4"/>
  <c r="E313" i="4"/>
  <c r="D313" i="4"/>
  <c r="C313" i="4"/>
  <c r="L312" i="4"/>
  <c r="K312" i="4"/>
  <c r="J312" i="4"/>
  <c r="I312" i="4"/>
  <c r="H312" i="4"/>
  <c r="G312" i="4"/>
  <c r="F312" i="4"/>
  <c r="E312" i="4"/>
  <c r="D312" i="4"/>
  <c r="C312" i="4"/>
  <c r="L311" i="4"/>
  <c r="K311" i="4"/>
  <c r="J311" i="4"/>
  <c r="I311" i="4"/>
  <c r="H311" i="4"/>
  <c r="G311" i="4"/>
  <c r="F311" i="4"/>
  <c r="E311" i="4"/>
  <c r="D311" i="4"/>
  <c r="C311" i="4"/>
  <c r="L310" i="4"/>
  <c r="K310" i="4"/>
  <c r="J310" i="4"/>
  <c r="I310" i="4"/>
  <c r="H310" i="4"/>
  <c r="G310" i="4"/>
  <c r="F310" i="4"/>
  <c r="E310" i="4"/>
  <c r="D310" i="4"/>
  <c r="C310" i="4"/>
  <c r="L309" i="4"/>
  <c r="K309" i="4"/>
  <c r="J309" i="4"/>
  <c r="I309" i="4"/>
  <c r="H309" i="4"/>
  <c r="G309" i="4"/>
  <c r="F309" i="4"/>
  <c r="E309" i="4"/>
  <c r="D309" i="4"/>
  <c r="C309" i="4"/>
  <c r="L308" i="4"/>
  <c r="K308" i="4"/>
  <c r="J308" i="4"/>
  <c r="I308" i="4"/>
  <c r="H308" i="4"/>
  <c r="G308" i="4"/>
  <c r="F308" i="4"/>
  <c r="E308" i="4"/>
  <c r="D308" i="4"/>
  <c r="C308" i="4"/>
  <c r="L307" i="4"/>
  <c r="K307" i="4"/>
  <c r="J307" i="4"/>
  <c r="I307" i="4"/>
  <c r="H307" i="4"/>
  <c r="G307" i="4"/>
  <c r="F307" i="4"/>
  <c r="E307" i="4"/>
  <c r="D307" i="4"/>
  <c r="C307" i="4"/>
  <c r="L306" i="4"/>
  <c r="K306" i="4"/>
  <c r="J306" i="4"/>
  <c r="I306" i="4"/>
  <c r="H306" i="4"/>
  <c r="G306" i="4"/>
  <c r="F306" i="4"/>
  <c r="E306" i="4"/>
  <c r="D306" i="4"/>
  <c r="C306" i="4"/>
  <c r="L305" i="4"/>
  <c r="K305" i="4"/>
  <c r="J305" i="4"/>
  <c r="I305" i="4"/>
  <c r="H305" i="4"/>
  <c r="G305" i="4"/>
  <c r="F305" i="4"/>
  <c r="E305" i="4"/>
  <c r="D305" i="4"/>
  <c r="C305" i="4"/>
  <c r="L304" i="4"/>
  <c r="K304" i="4"/>
  <c r="J304" i="4"/>
  <c r="I304" i="4"/>
  <c r="H304" i="4"/>
  <c r="G304" i="4"/>
  <c r="F304" i="4"/>
  <c r="E304" i="4"/>
  <c r="D304" i="4"/>
  <c r="C304" i="4"/>
  <c r="L303" i="4"/>
  <c r="K303" i="4"/>
  <c r="J303" i="4"/>
  <c r="I303" i="4"/>
  <c r="H303" i="4"/>
  <c r="G303" i="4"/>
  <c r="F303" i="4"/>
  <c r="E303" i="4"/>
  <c r="D303" i="4"/>
  <c r="C303" i="4"/>
  <c r="L302" i="4"/>
  <c r="K302" i="4"/>
  <c r="J302" i="4"/>
  <c r="I302" i="4"/>
  <c r="H302" i="4"/>
  <c r="G302" i="4"/>
  <c r="F302" i="4"/>
  <c r="E302" i="4"/>
  <c r="D302" i="4"/>
  <c r="C302" i="4"/>
  <c r="L301" i="4"/>
  <c r="K301" i="4"/>
  <c r="J301" i="4"/>
  <c r="I301" i="4"/>
  <c r="H301" i="4"/>
  <c r="G301" i="4"/>
  <c r="F301" i="4"/>
  <c r="E301" i="4"/>
  <c r="D301" i="4"/>
  <c r="C301" i="4"/>
  <c r="L300" i="4"/>
  <c r="K300" i="4"/>
  <c r="J300" i="4"/>
  <c r="I300" i="4"/>
  <c r="H300" i="4"/>
  <c r="G300" i="4"/>
  <c r="F300" i="4"/>
  <c r="E300" i="4"/>
  <c r="D300" i="4"/>
  <c r="C300" i="4"/>
  <c r="L299" i="4"/>
  <c r="K299" i="4"/>
  <c r="J299" i="4"/>
  <c r="I299" i="4"/>
  <c r="H299" i="4"/>
  <c r="G299" i="4"/>
  <c r="F299" i="4"/>
  <c r="E299" i="4"/>
  <c r="D299" i="4"/>
  <c r="C299" i="4"/>
  <c r="L298" i="4"/>
  <c r="K298" i="4"/>
  <c r="J298" i="4"/>
  <c r="I298" i="4"/>
  <c r="H298" i="4"/>
  <c r="G298" i="4"/>
  <c r="F298" i="4"/>
  <c r="E298" i="4"/>
  <c r="D298" i="4"/>
  <c r="C298" i="4"/>
  <c r="L297" i="4"/>
  <c r="K297" i="4"/>
  <c r="J297" i="4"/>
  <c r="I297" i="4"/>
  <c r="H297" i="4"/>
  <c r="G297" i="4"/>
  <c r="F297" i="4"/>
  <c r="E297" i="4"/>
  <c r="D297" i="4"/>
  <c r="C297" i="4"/>
  <c r="L296" i="4"/>
  <c r="K296" i="4"/>
  <c r="J296" i="4"/>
  <c r="I296" i="4"/>
  <c r="H296" i="4"/>
  <c r="G296" i="4"/>
  <c r="F296" i="4"/>
  <c r="E296" i="4"/>
  <c r="D296" i="4"/>
  <c r="C296" i="4"/>
  <c r="L295" i="4"/>
  <c r="K295" i="4"/>
  <c r="J295" i="4"/>
  <c r="I295" i="4"/>
  <c r="H295" i="4"/>
  <c r="G295" i="4"/>
  <c r="F295" i="4"/>
  <c r="E295" i="4"/>
  <c r="D295" i="4"/>
  <c r="C295" i="4"/>
  <c r="L294" i="4"/>
  <c r="K294" i="4"/>
  <c r="J294" i="4"/>
  <c r="I294" i="4"/>
  <c r="H294" i="4"/>
  <c r="G294" i="4"/>
  <c r="F294" i="4"/>
  <c r="E294" i="4"/>
  <c r="D294" i="4"/>
  <c r="C294" i="4"/>
  <c r="L293" i="4"/>
  <c r="K293" i="4"/>
  <c r="J293" i="4"/>
  <c r="I293" i="4"/>
  <c r="H293" i="4"/>
  <c r="G293" i="4"/>
  <c r="F293" i="4"/>
  <c r="E293" i="4"/>
  <c r="D293" i="4"/>
  <c r="C293" i="4"/>
  <c r="L292" i="4"/>
  <c r="K292" i="4"/>
  <c r="J292" i="4"/>
  <c r="I292" i="4"/>
  <c r="H292" i="4"/>
  <c r="G292" i="4"/>
  <c r="F292" i="4"/>
  <c r="E292" i="4"/>
  <c r="D292" i="4"/>
  <c r="C292" i="4"/>
  <c r="L291" i="4"/>
  <c r="K291" i="4"/>
  <c r="J291" i="4"/>
  <c r="I291" i="4"/>
  <c r="H291" i="4"/>
  <c r="G291" i="4"/>
  <c r="F291" i="4"/>
  <c r="E291" i="4"/>
  <c r="D291" i="4"/>
  <c r="C291" i="4"/>
  <c r="L290" i="4"/>
  <c r="K290" i="4"/>
  <c r="J290" i="4"/>
  <c r="I290" i="4"/>
  <c r="H290" i="4"/>
  <c r="G290" i="4"/>
  <c r="F290" i="4"/>
  <c r="E290" i="4"/>
  <c r="D290" i="4"/>
  <c r="C290" i="4"/>
  <c r="L289" i="4"/>
  <c r="K289" i="4"/>
  <c r="J289" i="4"/>
  <c r="I289" i="4"/>
  <c r="H289" i="4"/>
  <c r="G289" i="4"/>
  <c r="F289" i="4"/>
  <c r="E289" i="4"/>
  <c r="D289" i="4"/>
  <c r="C289" i="4"/>
  <c r="L288" i="4"/>
  <c r="K288" i="4"/>
  <c r="J288" i="4"/>
  <c r="I288" i="4"/>
  <c r="H288" i="4"/>
  <c r="G288" i="4"/>
  <c r="F288" i="4"/>
  <c r="E288" i="4"/>
  <c r="D288" i="4"/>
  <c r="C288" i="4"/>
  <c r="L287" i="4"/>
  <c r="K287" i="4"/>
  <c r="J287" i="4"/>
  <c r="I287" i="4"/>
  <c r="H287" i="4"/>
  <c r="G287" i="4"/>
  <c r="F287" i="4"/>
  <c r="E287" i="4"/>
  <c r="D287" i="4"/>
  <c r="C287" i="4"/>
  <c r="L286" i="4"/>
  <c r="K286" i="4"/>
  <c r="J286" i="4"/>
  <c r="I286" i="4"/>
  <c r="H286" i="4"/>
  <c r="G286" i="4"/>
  <c r="F286" i="4"/>
  <c r="E286" i="4"/>
  <c r="D286" i="4"/>
  <c r="C286" i="4"/>
  <c r="L285" i="4"/>
  <c r="K285" i="4"/>
  <c r="J285" i="4"/>
  <c r="I285" i="4"/>
  <c r="H285" i="4"/>
  <c r="G285" i="4"/>
  <c r="F285" i="4"/>
  <c r="E285" i="4"/>
  <c r="D285" i="4"/>
  <c r="C285" i="4"/>
  <c r="L284" i="4"/>
  <c r="K284" i="4"/>
  <c r="J284" i="4"/>
  <c r="I284" i="4"/>
  <c r="H284" i="4"/>
  <c r="G284" i="4"/>
  <c r="F284" i="4"/>
  <c r="E284" i="4"/>
  <c r="D284" i="4"/>
  <c r="C284" i="4"/>
  <c r="L283" i="4"/>
  <c r="K283" i="4"/>
  <c r="J283" i="4"/>
  <c r="I283" i="4"/>
  <c r="H283" i="4"/>
  <c r="G283" i="4"/>
  <c r="F283" i="4"/>
  <c r="E283" i="4"/>
  <c r="D283" i="4"/>
  <c r="C283" i="4"/>
  <c r="L282" i="4"/>
  <c r="K282" i="4"/>
  <c r="J282" i="4"/>
  <c r="I282" i="4"/>
  <c r="H282" i="4"/>
  <c r="G282" i="4"/>
  <c r="F282" i="4"/>
  <c r="E282" i="4"/>
  <c r="D282" i="4"/>
  <c r="C282" i="4"/>
  <c r="L281" i="4"/>
  <c r="K281" i="4"/>
  <c r="J281" i="4"/>
  <c r="I281" i="4"/>
  <c r="H281" i="4"/>
  <c r="G281" i="4"/>
  <c r="F281" i="4"/>
  <c r="E281" i="4"/>
  <c r="D281" i="4"/>
  <c r="C281" i="4"/>
  <c r="L280" i="4"/>
  <c r="K280" i="4"/>
  <c r="J280" i="4"/>
  <c r="I280" i="4"/>
  <c r="H280" i="4"/>
  <c r="G280" i="4"/>
  <c r="F280" i="4"/>
  <c r="E280" i="4"/>
  <c r="D280" i="4"/>
  <c r="C280" i="4"/>
  <c r="L279" i="4"/>
  <c r="K279" i="4"/>
  <c r="J279" i="4"/>
  <c r="I279" i="4"/>
  <c r="H279" i="4"/>
  <c r="G279" i="4"/>
  <c r="F279" i="4"/>
  <c r="E279" i="4"/>
  <c r="D279" i="4"/>
  <c r="C279" i="4"/>
  <c r="L278" i="4"/>
  <c r="K278" i="4"/>
  <c r="J278" i="4"/>
  <c r="I278" i="4"/>
  <c r="H278" i="4"/>
  <c r="G278" i="4"/>
  <c r="F278" i="4"/>
  <c r="E278" i="4"/>
  <c r="D278" i="4"/>
  <c r="C278" i="4"/>
  <c r="L277" i="4"/>
  <c r="K277" i="4"/>
  <c r="J277" i="4"/>
  <c r="I277" i="4"/>
  <c r="H277" i="4"/>
  <c r="G277" i="4"/>
  <c r="F277" i="4"/>
  <c r="E277" i="4"/>
  <c r="D277" i="4"/>
  <c r="C277" i="4"/>
  <c r="L276" i="4"/>
  <c r="K276" i="4"/>
  <c r="J276" i="4"/>
  <c r="I276" i="4"/>
  <c r="H276" i="4"/>
  <c r="G276" i="4"/>
  <c r="F276" i="4"/>
  <c r="E276" i="4"/>
  <c r="D276" i="4"/>
  <c r="C276" i="4"/>
  <c r="L275" i="4"/>
  <c r="K275" i="4"/>
  <c r="J275" i="4"/>
  <c r="I275" i="4"/>
  <c r="H275" i="4"/>
  <c r="G275" i="4"/>
  <c r="F275" i="4"/>
  <c r="E275" i="4"/>
  <c r="D275" i="4"/>
  <c r="C275" i="4"/>
  <c r="L274" i="4"/>
  <c r="K274" i="4"/>
  <c r="J274" i="4"/>
  <c r="I274" i="4"/>
  <c r="H274" i="4"/>
  <c r="G274" i="4"/>
  <c r="F274" i="4"/>
  <c r="E274" i="4"/>
  <c r="D274" i="4"/>
  <c r="C274" i="4"/>
  <c r="L273" i="4"/>
  <c r="K273" i="4"/>
  <c r="J273" i="4"/>
  <c r="I273" i="4"/>
  <c r="H273" i="4"/>
  <c r="G273" i="4"/>
  <c r="F273" i="4"/>
  <c r="E273" i="4"/>
  <c r="D273" i="4"/>
  <c r="C273" i="4"/>
  <c r="L272" i="4"/>
  <c r="K272" i="4"/>
  <c r="J272" i="4"/>
  <c r="I272" i="4"/>
  <c r="H272" i="4"/>
  <c r="G272" i="4"/>
  <c r="F272" i="4"/>
  <c r="E272" i="4"/>
  <c r="D272" i="4"/>
  <c r="C272" i="4"/>
  <c r="L271" i="4"/>
  <c r="K271" i="4"/>
  <c r="J271" i="4"/>
  <c r="I271" i="4"/>
  <c r="H271" i="4"/>
  <c r="G271" i="4"/>
  <c r="F271" i="4"/>
  <c r="E271" i="4"/>
  <c r="D271" i="4"/>
  <c r="C271" i="4"/>
  <c r="L270" i="4"/>
  <c r="K270" i="4"/>
  <c r="J270" i="4"/>
  <c r="I270" i="4"/>
  <c r="H270" i="4"/>
  <c r="G270" i="4"/>
  <c r="F270" i="4"/>
  <c r="E270" i="4"/>
  <c r="D270" i="4"/>
  <c r="C270" i="4"/>
  <c r="L269" i="4"/>
  <c r="K269" i="4"/>
  <c r="J269" i="4"/>
  <c r="I269" i="4"/>
  <c r="H269" i="4"/>
  <c r="G269" i="4"/>
  <c r="F269" i="4"/>
  <c r="E269" i="4"/>
  <c r="D269" i="4"/>
  <c r="C269" i="4"/>
  <c r="L268" i="4"/>
  <c r="K268" i="4"/>
  <c r="J268" i="4"/>
  <c r="I268" i="4"/>
  <c r="H268" i="4"/>
  <c r="G268" i="4"/>
  <c r="F268" i="4"/>
  <c r="E268" i="4"/>
  <c r="D268" i="4"/>
  <c r="C268" i="4"/>
  <c r="L267" i="4"/>
  <c r="K267" i="4"/>
  <c r="J267" i="4"/>
  <c r="I267" i="4"/>
  <c r="H267" i="4"/>
  <c r="G267" i="4"/>
  <c r="F267" i="4"/>
  <c r="E267" i="4"/>
  <c r="D267" i="4"/>
  <c r="C267" i="4"/>
  <c r="L266" i="4"/>
  <c r="K266" i="4"/>
  <c r="J266" i="4"/>
  <c r="I266" i="4"/>
  <c r="H266" i="4"/>
  <c r="G266" i="4"/>
  <c r="F266" i="4"/>
  <c r="E266" i="4"/>
  <c r="D266" i="4"/>
  <c r="C266" i="4"/>
  <c r="L265" i="4"/>
  <c r="K265" i="4"/>
  <c r="J265" i="4"/>
  <c r="I265" i="4"/>
  <c r="H265" i="4"/>
  <c r="G265" i="4"/>
  <c r="F265" i="4"/>
  <c r="E265" i="4"/>
  <c r="D265" i="4"/>
  <c r="C265" i="4"/>
  <c r="L264" i="4"/>
  <c r="K264" i="4"/>
  <c r="J264" i="4"/>
  <c r="I264" i="4"/>
  <c r="H264" i="4"/>
  <c r="G264" i="4"/>
  <c r="F264" i="4"/>
  <c r="E264" i="4"/>
  <c r="D264" i="4"/>
  <c r="C264" i="4"/>
  <c r="L263" i="4"/>
  <c r="K263" i="4"/>
  <c r="J263" i="4"/>
  <c r="I263" i="4"/>
  <c r="H263" i="4"/>
  <c r="G263" i="4"/>
  <c r="F263" i="4"/>
  <c r="E263" i="4"/>
  <c r="D263" i="4"/>
  <c r="C263" i="4"/>
  <c r="L262" i="4"/>
  <c r="K262" i="4"/>
  <c r="J262" i="4"/>
  <c r="I262" i="4"/>
  <c r="H262" i="4"/>
  <c r="G262" i="4"/>
  <c r="F262" i="4"/>
  <c r="E262" i="4"/>
  <c r="D262" i="4"/>
  <c r="C262" i="4"/>
  <c r="L261" i="4"/>
  <c r="K261" i="4"/>
  <c r="J261" i="4"/>
  <c r="I261" i="4"/>
  <c r="H261" i="4"/>
  <c r="G261" i="4"/>
  <c r="F261" i="4"/>
  <c r="E261" i="4"/>
  <c r="D261" i="4"/>
  <c r="C261" i="4"/>
  <c r="L260" i="4"/>
  <c r="K260" i="4"/>
  <c r="J260" i="4"/>
  <c r="I260" i="4"/>
  <c r="H260" i="4"/>
  <c r="G260" i="4"/>
  <c r="F260" i="4"/>
  <c r="E260" i="4"/>
  <c r="D260" i="4"/>
  <c r="C260" i="4"/>
  <c r="L259" i="4"/>
  <c r="K259" i="4"/>
  <c r="J259" i="4"/>
  <c r="I259" i="4"/>
  <c r="H259" i="4"/>
  <c r="G259" i="4"/>
  <c r="F259" i="4"/>
  <c r="E259" i="4"/>
  <c r="D259" i="4"/>
  <c r="C259" i="4"/>
  <c r="L258" i="4"/>
  <c r="K258" i="4"/>
  <c r="J258" i="4"/>
  <c r="I258" i="4"/>
  <c r="H258" i="4"/>
  <c r="G258" i="4"/>
  <c r="F258" i="4"/>
  <c r="E258" i="4"/>
  <c r="D258" i="4"/>
  <c r="C258" i="4"/>
  <c r="L257" i="4"/>
  <c r="K257" i="4"/>
  <c r="J257" i="4"/>
  <c r="I257" i="4"/>
  <c r="H257" i="4"/>
  <c r="G257" i="4"/>
  <c r="F257" i="4"/>
  <c r="E257" i="4"/>
  <c r="D257" i="4"/>
  <c r="C257" i="4"/>
  <c r="L256" i="4"/>
  <c r="K256" i="4"/>
  <c r="J256" i="4"/>
  <c r="I256" i="4"/>
  <c r="H256" i="4"/>
  <c r="G256" i="4"/>
  <c r="F256" i="4"/>
  <c r="E256" i="4"/>
  <c r="D256" i="4"/>
  <c r="C256" i="4"/>
  <c r="L255" i="4"/>
  <c r="K255" i="4"/>
  <c r="J255" i="4"/>
  <c r="I255" i="4"/>
  <c r="H255" i="4"/>
  <c r="G255" i="4"/>
  <c r="F255" i="4"/>
  <c r="E255" i="4"/>
  <c r="D255" i="4"/>
  <c r="C255" i="4"/>
  <c r="L254" i="4"/>
  <c r="K254" i="4"/>
  <c r="J254" i="4"/>
  <c r="I254" i="4"/>
  <c r="H254" i="4"/>
  <c r="G254" i="4"/>
  <c r="F254" i="4"/>
  <c r="E254" i="4"/>
  <c r="D254" i="4"/>
  <c r="C254" i="4"/>
  <c r="L253" i="4"/>
  <c r="K253" i="4"/>
  <c r="J253" i="4"/>
  <c r="I253" i="4"/>
  <c r="H253" i="4"/>
  <c r="G253" i="4"/>
  <c r="F253" i="4"/>
  <c r="E253" i="4"/>
  <c r="D253" i="4"/>
  <c r="C253" i="4"/>
  <c r="L252" i="4"/>
  <c r="K252" i="4"/>
  <c r="J252" i="4"/>
  <c r="I252" i="4"/>
  <c r="H252" i="4"/>
  <c r="G252" i="4"/>
  <c r="F252" i="4"/>
  <c r="E252" i="4"/>
  <c r="D252" i="4"/>
  <c r="C252" i="4"/>
  <c r="L251" i="4"/>
  <c r="K251" i="4"/>
  <c r="J251" i="4"/>
  <c r="I251" i="4"/>
  <c r="H251" i="4"/>
  <c r="G251" i="4"/>
  <c r="F251" i="4"/>
  <c r="E251" i="4"/>
  <c r="D251" i="4"/>
  <c r="C251" i="4"/>
  <c r="L250" i="4"/>
  <c r="K250" i="4"/>
  <c r="J250" i="4"/>
  <c r="I250" i="4"/>
  <c r="H250" i="4"/>
  <c r="G250" i="4"/>
  <c r="F250" i="4"/>
  <c r="E250" i="4"/>
  <c r="D250" i="4"/>
  <c r="C250" i="4"/>
  <c r="L249" i="4"/>
  <c r="K249" i="4"/>
  <c r="J249" i="4"/>
  <c r="I249" i="4"/>
  <c r="H249" i="4"/>
  <c r="G249" i="4"/>
  <c r="F249" i="4"/>
  <c r="E249" i="4"/>
  <c r="D249" i="4"/>
  <c r="C249" i="4"/>
  <c r="L248" i="4"/>
  <c r="K248" i="4"/>
  <c r="J248" i="4"/>
  <c r="I248" i="4"/>
  <c r="H248" i="4"/>
  <c r="G248" i="4"/>
  <c r="F248" i="4"/>
  <c r="E248" i="4"/>
  <c r="D248" i="4"/>
  <c r="C248" i="4"/>
  <c r="L247" i="4"/>
  <c r="K247" i="4"/>
  <c r="J247" i="4"/>
  <c r="I247" i="4"/>
  <c r="H247" i="4"/>
  <c r="G247" i="4"/>
  <c r="F247" i="4"/>
  <c r="E247" i="4"/>
  <c r="D247" i="4"/>
  <c r="C247" i="4"/>
  <c r="L246" i="4"/>
  <c r="K246" i="4"/>
  <c r="J246" i="4"/>
  <c r="I246" i="4"/>
  <c r="H246" i="4"/>
  <c r="G246" i="4"/>
  <c r="F246" i="4"/>
  <c r="E246" i="4"/>
  <c r="D246" i="4"/>
  <c r="C246" i="4"/>
  <c r="L245" i="4"/>
  <c r="K245" i="4"/>
  <c r="J245" i="4"/>
  <c r="I245" i="4"/>
  <c r="H245" i="4"/>
  <c r="G245" i="4"/>
  <c r="F245" i="4"/>
  <c r="E245" i="4"/>
  <c r="D245" i="4"/>
  <c r="C245" i="4"/>
  <c r="L244" i="4"/>
  <c r="K244" i="4"/>
  <c r="J244" i="4"/>
  <c r="I244" i="4"/>
  <c r="H244" i="4"/>
  <c r="G244" i="4"/>
  <c r="F244" i="4"/>
  <c r="E244" i="4"/>
  <c r="D244" i="4"/>
  <c r="C244" i="4"/>
  <c r="L243" i="4"/>
  <c r="K243" i="4"/>
  <c r="J243" i="4"/>
  <c r="I243" i="4"/>
  <c r="H243" i="4"/>
  <c r="G243" i="4"/>
  <c r="F243" i="4"/>
  <c r="E243" i="4"/>
  <c r="D243" i="4"/>
  <c r="C243" i="4"/>
  <c r="L242" i="4"/>
  <c r="K242" i="4"/>
  <c r="J242" i="4"/>
  <c r="I242" i="4"/>
  <c r="H242" i="4"/>
  <c r="G242" i="4"/>
  <c r="F242" i="4"/>
  <c r="E242" i="4"/>
  <c r="D242" i="4"/>
  <c r="C242" i="4"/>
  <c r="L241" i="4"/>
  <c r="K241" i="4"/>
  <c r="J241" i="4"/>
  <c r="I241" i="4"/>
  <c r="H241" i="4"/>
  <c r="G241" i="4"/>
  <c r="F241" i="4"/>
  <c r="E241" i="4"/>
  <c r="D241" i="4"/>
  <c r="C241" i="4"/>
  <c r="L240" i="4"/>
  <c r="K240" i="4"/>
  <c r="J240" i="4"/>
  <c r="I240" i="4"/>
  <c r="H240" i="4"/>
  <c r="G240" i="4"/>
  <c r="F240" i="4"/>
  <c r="E240" i="4"/>
  <c r="D240" i="4"/>
  <c r="C240" i="4"/>
  <c r="L239" i="4"/>
  <c r="K239" i="4"/>
  <c r="J239" i="4"/>
  <c r="I239" i="4"/>
  <c r="H239" i="4"/>
  <c r="G239" i="4"/>
  <c r="F239" i="4"/>
  <c r="E239" i="4"/>
  <c r="D239" i="4"/>
  <c r="C239" i="4"/>
  <c r="L238" i="4"/>
  <c r="K238" i="4"/>
  <c r="J238" i="4"/>
  <c r="I238" i="4"/>
  <c r="H238" i="4"/>
  <c r="G238" i="4"/>
  <c r="F238" i="4"/>
  <c r="E238" i="4"/>
  <c r="D238" i="4"/>
  <c r="C238" i="4"/>
  <c r="L237" i="4"/>
  <c r="K237" i="4"/>
  <c r="J237" i="4"/>
  <c r="I237" i="4"/>
  <c r="H237" i="4"/>
  <c r="G237" i="4"/>
  <c r="F237" i="4"/>
  <c r="E237" i="4"/>
  <c r="D237" i="4"/>
  <c r="C237" i="4"/>
  <c r="L236" i="4"/>
  <c r="K236" i="4"/>
  <c r="J236" i="4"/>
  <c r="I236" i="4"/>
  <c r="H236" i="4"/>
  <c r="G236" i="4"/>
  <c r="F236" i="4"/>
  <c r="E236" i="4"/>
  <c r="D236" i="4"/>
  <c r="C236" i="4"/>
  <c r="L235" i="4"/>
  <c r="K235" i="4"/>
  <c r="J235" i="4"/>
  <c r="I235" i="4"/>
  <c r="H235" i="4"/>
  <c r="G235" i="4"/>
  <c r="F235" i="4"/>
  <c r="E235" i="4"/>
  <c r="D235" i="4"/>
  <c r="C235" i="4"/>
  <c r="L234" i="4"/>
  <c r="K234" i="4"/>
  <c r="J234" i="4"/>
  <c r="I234" i="4"/>
  <c r="H234" i="4"/>
  <c r="G234" i="4"/>
  <c r="F234" i="4"/>
  <c r="E234" i="4"/>
  <c r="D234" i="4"/>
  <c r="C234" i="4"/>
  <c r="L233" i="4"/>
  <c r="K233" i="4"/>
  <c r="J233" i="4"/>
  <c r="I233" i="4"/>
  <c r="H233" i="4"/>
  <c r="G233" i="4"/>
  <c r="F233" i="4"/>
  <c r="E233" i="4"/>
  <c r="D233" i="4"/>
  <c r="C233" i="4"/>
  <c r="L232" i="4"/>
  <c r="K232" i="4"/>
  <c r="J232" i="4"/>
  <c r="I232" i="4"/>
  <c r="H232" i="4"/>
  <c r="G232" i="4"/>
  <c r="F232" i="4"/>
  <c r="E232" i="4"/>
  <c r="D232" i="4"/>
  <c r="C232" i="4"/>
  <c r="L231" i="4"/>
  <c r="K231" i="4"/>
  <c r="J231" i="4"/>
  <c r="I231" i="4"/>
  <c r="H231" i="4"/>
  <c r="G231" i="4"/>
  <c r="F231" i="4"/>
  <c r="E231" i="4"/>
  <c r="D231" i="4"/>
  <c r="C231" i="4"/>
  <c r="L230" i="4"/>
  <c r="K230" i="4"/>
  <c r="J230" i="4"/>
  <c r="I230" i="4"/>
  <c r="H230" i="4"/>
  <c r="G230" i="4"/>
  <c r="F230" i="4"/>
  <c r="E230" i="4"/>
  <c r="D230" i="4"/>
  <c r="C230" i="4"/>
  <c r="L229" i="4"/>
  <c r="K229" i="4"/>
  <c r="J229" i="4"/>
  <c r="I229" i="4"/>
  <c r="H229" i="4"/>
  <c r="G229" i="4"/>
  <c r="F229" i="4"/>
  <c r="E229" i="4"/>
  <c r="D229" i="4"/>
  <c r="C229" i="4"/>
  <c r="L228" i="4"/>
  <c r="K228" i="4"/>
  <c r="J228" i="4"/>
  <c r="I228" i="4"/>
  <c r="H228" i="4"/>
  <c r="G228" i="4"/>
  <c r="F228" i="4"/>
  <c r="E228" i="4"/>
  <c r="D228" i="4"/>
  <c r="C228" i="4"/>
  <c r="L227" i="4"/>
  <c r="K227" i="4"/>
  <c r="J227" i="4"/>
  <c r="I227" i="4"/>
  <c r="H227" i="4"/>
  <c r="G227" i="4"/>
  <c r="F227" i="4"/>
  <c r="E227" i="4"/>
  <c r="D227" i="4"/>
  <c r="C227" i="4"/>
  <c r="L226" i="4"/>
  <c r="K226" i="4"/>
  <c r="J226" i="4"/>
  <c r="I226" i="4"/>
  <c r="H226" i="4"/>
  <c r="G226" i="4"/>
  <c r="F226" i="4"/>
  <c r="E226" i="4"/>
  <c r="D226" i="4"/>
  <c r="C226" i="4"/>
  <c r="L225" i="4"/>
  <c r="K225" i="4"/>
  <c r="J225" i="4"/>
  <c r="I225" i="4"/>
  <c r="H225" i="4"/>
  <c r="G225" i="4"/>
  <c r="F225" i="4"/>
  <c r="E225" i="4"/>
  <c r="D225" i="4"/>
  <c r="C225" i="4"/>
  <c r="L224" i="4"/>
  <c r="K224" i="4"/>
  <c r="J224" i="4"/>
  <c r="I224" i="4"/>
  <c r="H224" i="4"/>
  <c r="G224" i="4"/>
  <c r="F224" i="4"/>
  <c r="E224" i="4"/>
  <c r="D224" i="4"/>
  <c r="C224" i="4"/>
  <c r="L223" i="4"/>
  <c r="K223" i="4"/>
  <c r="J223" i="4"/>
  <c r="I223" i="4"/>
  <c r="H223" i="4"/>
  <c r="G223" i="4"/>
  <c r="F223" i="4"/>
  <c r="E223" i="4"/>
  <c r="D223" i="4"/>
  <c r="C223" i="4"/>
  <c r="L222" i="4"/>
  <c r="K222" i="4"/>
  <c r="J222" i="4"/>
  <c r="I222" i="4"/>
  <c r="H222" i="4"/>
  <c r="G222" i="4"/>
  <c r="F222" i="4"/>
  <c r="E222" i="4"/>
  <c r="D222" i="4"/>
  <c r="C222" i="4"/>
  <c r="L221" i="4"/>
  <c r="K221" i="4"/>
  <c r="J221" i="4"/>
  <c r="I221" i="4"/>
  <c r="H221" i="4"/>
  <c r="G221" i="4"/>
  <c r="F221" i="4"/>
  <c r="E221" i="4"/>
  <c r="D221" i="4"/>
  <c r="C221" i="4"/>
  <c r="L220" i="4"/>
  <c r="K220" i="4"/>
  <c r="J220" i="4"/>
  <c r="I220" i="4"/>
  <c r="H220" i="4"/>
  <c r="G220" i="4"/>
  <c r="F220" i="4"/>
  <c r="E220" i="4"/>
  <c r="D220" i="4"/>
  <c r="C220" i="4"/>
  <c r="L219" i="4"/>
  <c r="K219" i="4"/>
  <c r="J219" i="4"/>
  <c r="I219" i="4"/>
  <c r="H219" i="4"/>
  <c r="G219" i="4"/>
  <c r="F219" i="4"/>
  <c r="E219" i="4"/>
  <c r="D219" i="4"/>
  <c r="C219" i="4"/>
  <c r="L218" i="4"/>
  <c r="K218" i="4"/>
  <c r="J218" i="4"/>
  <c r="I218" i="4"/>
  <c r="H218" i="4"/>
  <c r="G218" i="4"/>
  <c r="F218" i="4"/>
  <c r="E218" i="4"/>
  <c r="D218" i="4"/>
  <c r="C218" i="4"/>
  <c r="L217" i="4"/>
  <c r="K217" i="4"/>
  <c r="J217" i="4"/>
  <c r="I217" i="4"/>
  <c r="H217" i="4"/>
  <c r="G217" i="4"/>
  <c r="F217" i="4"/>
  <c r="E217" i="4"/>
  <c r="D217" i="4"/>
  <c r="C217" i="4"/>
  <c r="L216" i="4"/>
  <c r="K216" i="4"/>
  <c r="J216" i="4"/>
  <c r="I216" i="4"/>
  <c r="H216" i="4"/>
  <c r="G216" i="4"/>
  <c r="F216" i="4"/>
  <c r="E216" i="4"/>
  <c r="D216" i="4"/>
  <c r="C216" i="4"/>
  <c r="L215" i="4"/>
  <c r="K215" i="4"/>
  <c r="J215" i="4"/>
  <c r="I215" i="4"/>
  <c r="H215" i="4"/>
  <c r="G215" i="4"/>
  <c r="F215" i="4"/>
  <c r="E215" i="4"/>
  <c r="D215" i="4"/>
  <c r="C215" i="4"/>
  <c r="L214" i="4"/>
  <c r="K214" i="4"/>
  <c r="J214" i="4"/>
  <c r="I214" i="4"/>
  <c r="H214" i="4"/>
  <c r="G214" i="4"/>
  <c r="F214" i="4"/>
  <c r="E214" i="4"/>
  <c r="D214" i="4"/>
  <c r="C214" i="4"/>
  <c r="L213" i="4"/>
  <c r="K213" i="4"/>
  <c r="J213" i="4"/>
  <c r="I213" i="4"/>
  <c r="H213" i="4"/>
  <c r="G213" i="4"/>
  <c r="F213" i="4"/>
  <c r="E213" i="4"/>
  <c r="D213" i="4"/>
  <c r="C213" i="4"/>
  <c r="L212" i="4"/>
  <c r="K212" i="4"/>
  <c r="J212" i="4"/>
  <c r="I212" i="4"/>
  <c r="H212" i="4"/>
  <c r="G212" i="4"/>
  <c r="F212" i="4"/>
  <c r="E212" i="4"/>
  <c r="D212" i="4"/>
  <c r="C212" i="4"/>
  <c r="L211" i="4"/>
  <c r="K211" i="4"/>
  <c r="J211" i="4"/>
  <c r="I211" i="4"/>
  <c r="H211" i="4"/>
  <c r="G211" i="4"/>
  <c r="F211" i="4"/>
  <c r="E211" i="4"/>
  <c r="D211" i="4"/>
  <c r="C211" i="4"/>
  <c r="L210" i="4"/>
  <c r="K210" i="4"/>
  <c r="J210" i="4"/>
  <c r="I210" i="4"/>
  <c r="H210" i="4"/>
  <c r="G210" i="4"/>
  <c r="F210" i="4"/>
  <c r="E210" i="4"/>
  <c r="D210" i="4"/>
  <c r="C210" i="4"/>
  <c r="L209" i="4"/>
  <c r="K209" i="4"/>
  <c r="J209" i="4"/>
  <c r="I209" i="4"/>
  <c r="H209" i="4"/>
  <c r="G209" i="4"/>
  <c r="F209" i="4"/>
  <c r="E209" i="4"/>
  <c r="D209" i="4"/>
  <c r="C209" i="4"/>
  <c r="L208" i="4"/>
  <c r="K208" i="4"/>
  <c r="J208" i="4"/>
  <c r="I208" i="4"/>
  <c r="H208" i="4"/>
  <c r="G208" i="4"/>
  <c r="F208" i="4"/>
  <c r="E208" i="4"/>
  <c r="D208" i="4"/>
  <c r="C208" i="4"/>
  <c r="L207" i="4"/>
  <c r="K207" i="4"/>
  <c r="J207" i="4"/>
  <c r="I207" i="4"/>
  <c r="H207" i="4"/>
  <c r="G207" i="4"/>
  <c r="F207" i="4"/>
  <c r="E207" i="4"/>
  <c r="D207" i="4"/>
  <c r="C207" i="4"/>
  <c r="L206" i="4"/>
  <c r="K206" i="4"/>
  <c r="J206" i="4"/>
  <c r="I206" i="4"/>
  <c r="H206" i="4"/>
  <c r="G206" i="4"/>
  <c r="F206" i="4"/>
  <c r="E206" i="4"/>
  <c r="D206" i="4"/>
  <c r="C206" i="4"/>
  <c r="L205" i="4"/>
  <c r="K205" i="4"/>
  <c r="J205" i="4"/>
  <c r="I205" i="4"/>
  <c r="H205" i="4"/>
  <c r="G205" i="4"/>
  <c r="F205" i="4"/>
  <c r="E205" i="4"/>
  <c r="D205" i="4"/>
  <c r="C205" i="4"/>
  <c r="L204" i="4"/>
  <c r="K204" i="4"/>
  <c r="J204" i="4"/>
  <c r="I204" i="4"/>
  <c r="H204" i="4"/>
  <c r="G204" i="4"/>
  <c r="F204" i="4"/>
  <c r="E204" i="4"/>
  <c r="D204" i="4"/>
  <c r="C204" i="4"/>
  <c r="L203" i="4"/>
  <c r="K203" i="4"/>
  <c r="J203" i="4"/>
  <c r="I203" i="4"/>
  <c r="H203" i="4"/>
  <c r="G203" i="4"/>
  <c r="F203" i="4"/>
  <c r="E203" i="4"/>
  <c r="D203" i="4"/>
  <c r="C203" i="4"/>
  <c r="L202" i="4"/>
  <c r="K202" i="4"/>
  <c r="J202" i="4"/>
  <c r="I202" i="4"/>
  <c r="H202" i="4"/>
  <c r="G202" i="4"/>
  <c r="F202" i="4"/>
  <c r="E202" i="4"/>
  <c r="D202" i="4"/>
  <c r="C202" i="4"/>
  <c r="L201" i="4"/>
  <c r="K201" i="4"/>
  <c r="J201" i="4"/>
  <c r="I201" i="4"/>
  <c r="H201" i="4"/>
  <c r="G201" i="4"/>
  <c r="F201" i="4"/>
  <c r="E201" i="4"/>
  <c r="D201" i="4"/>
  <c r="C201" i="4"/>
  <c r="L200" i="4"/>
  <c r="K200" i="4"/>
  <c r="J200" i="4"/>
  <c r="I200" i="4"/>
  <c r="H200" i="4"/>
  <c r="G200" i="4"/>
  <c r="F200" i="4"/>
  <c r="E200" i="4"/>
  <c r="D200" i="4"/>
  <c r="C200" i="4"/>
  <c r="L199" i="4"/>
  <c r="K199" i="4"/>
  <c r="J199" i="4"/>
  <c r="I199" i="4"/>
  <c r="H199" i="4"/>
  <c r="G199" i="4"/>
  <c r="F199" i="4"/>
  <c r="E199" i="4"/>
  <c r="D199" i="4"/>
  <c r="C199" i="4"/>
  <c r="L198" i="4"/>
  <c r="K198" i="4"/>
  <c r="J198" i="4"/>
  <c r="I198" i="4"/>
  <c r="H198" i="4"/>
  <c r="G198" i="4"/>
  <c r="F198" i="4"/>
  <c r="E198" i="4"/>
  <c r="D198" i="4"/>
  <c r="C198" i="4"/>
  <c r="L197" i="4"/>
  <c r="K197" i="4"/>
  <c r="J197" i="4"/>
  <c r="I197" i="4"/>
  <c r="H197" i="4"/>
  <c r="G197" i="4"/>
  <c r="F197" i="4"/>
  <c r="E197" i="4"/>
  <c r="D197" i="4"/>
  <c r="C197" i="4"/>
  <c r="L196" i="4"/>
  <c r="K196" i="4"/>
  <c r="J196" i="4"/>
  <c r="I196" i="4"/>
  <c r="H196" i="4"/>
  <c r="G196" i="4"/>
  <c r="F196" i="4"/>
  <c r="E196" i="4"/>
  <c r="D196" i="4"/>
  <c r="C196" i="4"/>
  <c r="L195" i="4"/>
  <c r="K195" i="4"/>
  <c r="J195" i="4"/>
  <c r="I195" i="4"/>
  <c r="H195" i="4"/>
  <c r="G195" i="4"/>
  <c r="F195" i="4"/>
  <c r="E195" i="4"/>
  <c r="D195" i="4"/>
  <c r="C195" i="4"/>
  <c r="L194" i="4"/>
  <c r="K194" i="4"/>
  <c r="J194" i="4"/>
  <c r="I194" i="4"/>
  <c r="H194" i="4"/>
  <c r="G194" i="4"/>
  <c r="F194" i="4"/>
  <c r="E194" i="4"/>
  <c r="D194" i="4"/>
  <c r="C194" i="4"/>
  <c r="L193" i="4"/>
  <c r="K193" i="4"/>
  <c r="J193" i="4"/>
  <c r="I193" i="4"/>
  <c r="H193" i="4"/>
  <c r="G193" i="4"/>
  <c r="F193" i="4"/>
  <c r="E193" i="4"/>
  <c r="D193" i="4"/>
  <c r="C193" i="4"/>
  <c r="L192" i="4"/>
  <c r="K192" i="4"/>
  <c r="J192" i="4"/>
  <c r="I192" i="4"/>
  <c r="H192" i="4"/>
  <c r="G192" i="4"/>
  <c r="F192" i="4"/>
  <c r="E192" i="4"/>
  <c r="D192" i="4"/>
  <c r="C192" i="4"/>
  <c r="L191" i="4"/>
  <c r="K191" i="4"/>
  <c r="J191" i="4"/>
  <c r="I191" i="4"/>
  <c r="H191" i="4"/>
  <c r="G191" i="4"/>
  <c r="F191" i="4"/>
  <c r="E191" i="4"/>
  <c r="D191" i="4"/>
  <c r="C191" i="4"/>
  <c r="L190" i="4"/>
  <c r="K190" i="4"/>
  <c r="J190" i="4"/>
  <c r="I190" i="4"/>
  <c r="H190" i="4"/>
  <c r="G190" i="4"/>
  <c r="F190" i="4"/>
  <c r="E190" i="4"/>
  <c r="D190" i="4"/>
  <c r="C190" i="4"/>
  <c r="L189" i="4"/>
  <c r="K189" i="4"/>
  <c r="J189" i="4"/>
  <c r="I189" i="4"/>
  <c r="H189" i="4"/>
  <c r="G189" i="4"/>
  <c r="F189" i="4"/>
  <c r="E189" i="4"/>
  <c r="D189" i="4"/>
  <c r="C189" i="4"/>
  <c r="L188" i="4"/>
  <c r="K188" i="4"/>
  <c r="J188" i="4"/>
  <c r="I188" i="4"/>
  <c r="H188" i="4"/>
  <c r="G188" i="4"/>
  <c r="F188" i="4"/>
  <c r="E188" i="4"/>
  <c r="D188" i="4"/>
  <c r="C188" i="4"/>
  <c r="L187" i="4"/>
  <c r="K187" i="4"/>
  <c r="J187" i="4"/>
  <c r="I187" i="4"/>
  <c r="H187" i="4"/>
  <c r="G187" i="4"/>
  <c r="F187" i="4"/>
  <c r="E187" i="4"/>
  <c r="D187" i="4"/>
  <c r="C187" i="4"/>
  <c r="L186" i="4"/>
  <c r="K186" i="4"/>
  <c r="J186" i="4"/>
  <c r="I186" i="4"/>
  <c r="H186" i="4"/>
  <c r="G186" i="4"/>
  <c r="F186" i="4"/>
  <c r="E186" i="4"/>
  <c r="D186" i="4"/>
  <c r="C186" i="4"/>
  <c r="L185" i="4"/>
  <c r="K185" i="4"/>
  <c r="J185" i="4"/>
  <c r="I185" i="4"/>
  <c r="H185" i="4"/>
  <c r="G185" i="4"/>
  <c r="F185" i="4"/>
  <c r="E185" i="4"/>
  <c r="D185" i="4"/>
  <c r="C185" i="4"/>
  <c r="L184" i="4"/>
  <c r="K184" i="4"/>
  <c r="J184" i="4"/>
  <c r="I184" i="4"/>
  <c r="H184" i="4"/>
  <c r="G184" i="4"/>
  <c r="F184" i="4"/>
  <c r="E184" i="4"/>
  <c r="D184" i="4"/>
  <c r="C184" i="4"/>
  <c r="L183" i="4"/>
  <c r="K183" i="4"/>
  <c r="J183" i="4"/>
  <c r="I183" i="4"/>
  <c r="H183" i="4"/>
  <c r="G183" i="4"/>
  <c r="F183" i="4"/>
  <c r="E183" i="4"/>
  <c r="D183" i="4"/>
  <c r="C183" i="4"/>
  <c r="L182" i="4"/>
  <c r="K182" i="4"/>
  <c r="J182" i="4"/>
  <c r="I182" i="4"/>
  <c r="H182" i="4"/>
  <c r="G182" i="4"/>
  <c r="F182" i="4"/>
  <c r="E182" i="4"/>
  <c r="D182" i="4"/>
  <c r="C182" i="4"/>
  <c r="L181" i="4"/>
  <c r="K181" i="4"/>
  <c r="J181" i="4"/>
  <c r="I181" i="4"/>
  <c r="H181" i="4"/>
  <c r="G181" i="4"/>
  <c r="F181" i="4"/>
  <c r="E181" i="4"/>
  <c r="D181" i="4"/>
  <c r="C181" i="4"/>
  <c r="L180" i="4"/>
  <c r="K180" i="4"/>
  <c r="J180" i="4"/>
  <c r="I180" i="4"/>
  <c r="H180" i="4"/>
  <c r="G180" i="4"/>
  <c r="F180" i="4"/>
  <c r="E180" i="4"/>
  <c r="D180" i="4"/>
  <c r="C180" i="4"/>
  <c r="L179" i="4"/>
  <c r="K179" i="4"/>
  <c r="J179" i="4"/>
  <c r="I179" i="4"/>
  <c r="H179" i="4"/>
  <c r="G179" i="4"/>
  <c r="F179" i="4"/>
  <c r="E179" i="4"/>
  <c r="D179" i="4"/>
  <c r="C179" i="4"/>
  <c r="L178" i="4"/>
  <c r="K178" i="4"/>
  <c r="J178" i="4"/>
  <c r="I178" i="4"/>
  <c r="H178" i="4"/>
  <c r="G178" i="4"/>
  <c r="F178" i="4"/>
  <c r="E178" i="4"/>
  <c r="D178" i="4"/>
  <c r="C178" i="4"/>
  <c r="L177" i="4"/>
  <c r="K177" i="4"/>
  <c r="J177" i="4"/>
  <c r="I177" i="4"/>
  <c r="H177" i="4"/>
  <c r="G177" i="4"/>
  <c r="F177" i="4"/>
  <c r="E177" i="4"/>
  <c r="D177" i="4"/>
  <c r="C177" i="4"/>
  <c r="L176" i="4"/>
  <c r="K176" i="4"/>
  <c r="J176" i="4"/>
  <c r="I176" i="4"/>
  <c r="H176" i="4"/>
  <c r="G176" i="4"/>
  <c r="F176" i="4"/>
  <c r="E176" i="4"/>
  <c r="D176" i="4"/>
  <c r="C176" i="4"/>
  <c r="L175" i="4"/>
  <c r="K175" i="4"/>
  <c r="J175" i="4"/>
  <c r="I175" i="4"/>
  <c r="H175" i="4"/>
  <c r="G175" i="4"/>
  <c r="F175" i="4"/>
  <c r="E175" i="4"/>
  <c r="D175" i="4"/>
  <c r="C175" i="4"/>
  <c r="L174" i="4"/>
  <c r="K174" i="4"/>
  <c r="J174" i="4"/>
  <c r="I174" i="4"/>
  <c r="H174" i="4"/>
  <c r="G174" i="4"/>
  <c r="F174" i="4"/>
  <c r="E174" i="4"/>
  <c r="D174" i="4"/>
  <c r="C174" i="4"/>
  <c r="L173" i="4"/>
  <c r="K173" i="4"/>
  <c r="J173" i="4"/>
  <c r="I173" i="4"/>
  <c r="H173" i="4"/>
  <c r="G173" i="4"/>
  <c r="F173" i="4"/>
  <c r="E173" i="4"/>
  <c r="D173" i="4"/>
  <c r="C173" i="4"/>
  <c r="L172" i="4"/>
  <c r="K172" i="4"/>
  <c r="J172" i="4"/>
  <c r="I172" i="4"/>
  <c r="H172" i="4"/>
  <c r="G172" i="4"/>
  <c r="F172" i="4"/>
  <c r="E172" i="4"/>
  <c r="D172" i="4"/>
  <c r="C172" i="4"/>
  <c r="L171" i="4"/>
  <c r="K171" i="4"/>
  <c r="J171" i="4"/>
  <c r="I171" i="4"/>
  <c r="H171" i="4"/>
  <c r="G171" i="4"/>
  <c r="F171" i="4"/>
  <c r="E171" i="4"/>
  <c r="D171" i="4"/>
  <c r="C171" i="4"/>
  <c r="L170" i="4"/>
  <c r="K170" i="4"/>
  <c r="J170" i="4"/>
  <c r="I170" i="4"/>
  <c r="H170" i="4"/>
  <c r="G170" i="4"/>
  <c r="F170" i="4"/>
  <c r="E170" i="4"/>
  <c r="D170" i="4"/>
  <c r="C170" i="4"/>
  <c r="L169" i="4"/>
  <c r="K169" i="4"/>
  <c r="J169" i="4"/>
  <c r="I169" i="4"/>
  <c r="H169" i="4"/>
  <c r="G169" i="4"/>
  <c r="F169" i="4"/>
  <c r="E169" i="4"/>
  <c r="D169" i="4"/>
  <c r="C169" i="4"/>
  <c r="L168" i="4"/>
  <c r="K168" i="4"/>
  <c r="J168" i="4"/>
  <c r="I168" i="4"/>
  <c r="H168" i="4"/>
  <c r="G168" i="4"/>
  <c r="F168" i="4"/>
  <c r="E168" i="4"/>
  <c r="D168" i="4"/>
  <c r="C168" i="4"/>
  <c r="L167" i="4"/>
  <c r="K167" i="4"/>
  <c r="J167" i="4"/>
  <c r="I167" i="4"/>
  <c r="H167" i="4"/>
  <c r="G167" i="4"/>
  <c r="F167" i="4"/>
  <c r="E167" i="4"/>
  <c r="D167" i="4"/>
  <c r="C167" i="4"/>
  <c r="L166" i="4"/>
  <c r="K166" i="4"/>
  <c r="J166" i="4"/>
  <c r="I166" i="4"/>
  <c r="H166" i="4"/>
  <c r="G166" i="4"/>
  <c r="F166" i="4"/>
  <c r="E166" i="4"/>
  <c r="D166" i="4"/>
  <c r="C166" i="4"/>
  <c r="L165" i="4"/>
  <c r="K165" i="4"/>
  <c r="J165" i="4"/>
  <c r="I165" i="4"/>
  <c r="H165" i="4"/>
  <c r="G165" i="4"/>
  <c r="F165" i="4"/>
  <c r="E165" i="4"/>
  <c r="D165" i="4"/>
  <c r="C165" i="4"/>
  <c r="L164" i="4"/>
  <c r="K164" i="4"/>
  <c r="J164" i="4"/>
  <c r="I164" i="4"/>
  <c r="H164" i="4"/>
  <c r="G164" i="4"/>
  <c r="F164" i="4"/>
  <c r="E164" i="4"/>
  <c r="D164" i="4"/>
  <c r="C164" i="4"/>
  <c r="L163" i="4"/>
  <c r="K163" i="4"/>
  <c r="J163" i="4"/>
  <c r="I163" i="4"/>
  <c r="H163" i="4"/>
  <c r="G163" i="4"/>
  <c r="F163" i="4"/>
  <c r="E163" i="4"/>
  <c r="D163" i="4"/>
  <c r="C163" i="4"/>
  <c r="L162" i="4"/>
  <c r="K162" i="4"/>
  <c r="J162" i="4"/>
  <c r="I162" i="4"/>
  <c r="H162" i="4"/>
  <c r="G162" i="4"/>
  <c r="F162" i="4"/>
  <c r="E162" i="4"/>
  <c r="D162" i="4"/>
  <c r="C162" i="4"/>
  <c r="L161" i="4"/>
  <c r="K161" i="4"/>
  <c r="J161" i="4"/>
  <c r="I161" i="4"/>
  <c r="H161" i="4"/>
  <c r="G161" i="4"/>
  <c r="F161" i="4"/>
  <c r="E161" i="4"/>
  <c r="D161" i="4"/>
  <c r="C161" i="4"/>
  <c r="L160" i="4"/>
  <c r="K160" i="4"/>
  <c r="J160" i="4"/>
  <c r="I160" i="4"/>
  <c r="H160" i="4"/>
  <c r="G160" i="4"/>
  <c r="F160" i="4"/>
  <c r="E160" i="4"/>
  <c r="D160" i="4"/>
  <c r="C160" i="4"/>
  <c r="L159" i="4"/>
  <c r="K159" i="4"/>
  <c r="J159" i="4"/>
  <c r="I159" i="4"/>
  <c r="H159" i="4"/>
  <c r="G159" i="4"/>
  <c r="F159" i="4"/>
  <c r="E159" i="4"/>
  <c r="D159" i="4"/>
  <c r="C159" i="4"/>
  <c r="L158" i="4"/>
  <c r="K158" i="4"/>
  <c r="J158" i="4"/>
  <c r="I158" i="4"/>
  <c r="H158" i="4"/>
  <c r="G158" i="4"/>
  <c r="F158" i="4"/>
  <c r="E158" i="4"/>
  <c r="D158" i="4"/>
  <c r="C158" i="4"/>
  <c r="L157" i="4"/>
  <c r="K157" i="4"/>
  <c r="J157" i="4"/>
  <c r="I157" i="4"/>
  <c r="H157" i="4"/>
  <c r="G157" i="4"/>
  <c r="F157" i="4"/>
  <c r="E157" i="4"/>
  <c r="D157" i="4"/>
  <c r="C157" i="4"/>
  <c r="L156" i="4"/>
  <c r="K156" i="4"/>
  <c r="J156" i="4"/>
  <c r="I156" i="4"/>
  <c r="H156" i="4"/>
  <c r="G156" i="4"/>
  <c r="F156" i="4"/>
  <c r="E156" i="4"/>
  <c r="D156" i="4"/>
  <c r="C156" i="4"/>
  <c r="L155" i="4"/>
  <c r="K155" i="4"/>
  <c r="J155" i="4"/>
  <c r="I155" i="4"/>
  <c r="H155" i="4"/>
  <c r="G155" i="4"/>
  <c r="F155" i="4"/>
  <c r="E155" i="4"/>
  <c r="D155" i="4"/>
  <c r="C155" i="4"/>
  <c r="L154" i="4"/>
  <c r="K154" i="4"/>
  <c r="J154" i="4"/>
  <c r="I154" i="4"/>
  <c r="H154" i="4"/>
  <c r="G154" i="4"/>
  <c r="F154" i="4"/>
  <c r="E154" i="4"/>
  <c r="D154" i="4"/>
  <c r="C154" i="4"/>
  <c r="L153" i="4"/>
  <c r="K153" i="4"/>
  <c r="J153" i="4"/>
  <c r="I153" i="4"/>
  <c r="H153" i="4"/>
  <c r="G153" i="4"/>
  <c r="F153" i="4"/>
  <c r="E153" i="4"/>
  <c r="D153" i="4"/>
  <c r="C153" i="4"/>
  <c r="L152" i="4"/>
  <c r="K152" i="4"/>
  <c r="J152" i="4"/>
  <c r="I152" i="4"/>
  <c r="H152" i="4"/>
  <c r="G152" i="4"/>
  <c r="F152" i="4"/>
  <c r="E152" i="4"/>
  <c r="D152" i="4"/>
  <c r="C152" i="4"/>
  <c r="L151" i="4"/>
  <c r="K151" i="4"/>
  <c r="J151" i="4"/>
  <c r="I151" i="4"/>
  <c r="H151" i="4"/>
  <c r="G151" i="4"/>
  <c r="F151" i="4"/>
  <c r="E151" i="4"/>
  <c r="D151" i="4"/>
  <c r="C151" i="4"/>
  <c r="L150" i="4"/>
  <c r="K150" i="4"/>
  <c r="J150" i="4"/>
  <c r="I150" i="4"/>
  <c r="H150" i="4"/>
  <c r="G150" i="4"/>
  <c r="F150" i="4"/>
  <c r="E150" i="4"/>
  <c r="D150" i="4"/>
  <c r="C150" i="4"/>
  <c r="L149" i="4"/>
  <c r="K149" i="4"/>
  <c r="J149" i="4"/>
  <c r="I149" i="4"/>
  <c r="H149" i="4"/>
  <c r="G149" i="4"/>
  <c r="F149" i="4"/>
  <c r="E149" i="4"/>
  <c r="D149" i="4"/>
  <c r="C149" i="4"/>
  <c r="L148" i="4"/>
  <c r="K148" i="4"/>
  <c r="J148" i="4"/>
  <c r="I148" i="4"/>
  <c r="H148" i="4"/>
  <c r="G148" i="4"/>
  <c r="F148" i="4"/>
  <c r="E148" i="4"/>
  <c r="D148" i="4"/>
  <c r="C148" i="4"/>
  <c r="L147" i="4"/>
  <c r="K147" i="4"/>
  <c r="J147" i="4"/>
  <c r="I147" i="4"/>
  <c r="H147" i="4"/>
  <c r="G147" i="4"/>
  <c r="F147" i="4"/>
  <c r="E147" i="4"/>
  <c r="D147" i="4"/>
  <c r="C147" i="4"/>
  <c r="L146" i="4"/>
  <c r="K146" i="4"/>
  <c r="J146" i="4"/>
  <c r="I146" i="4"/>
  <c r="H146" i="4"/>
  <c r="G146" i="4"/>
  <c r="F146" i="4"/>
  <c r="E146" i="4"/>
  <c r="D146" i="4"/>
  <c r="C146" i="4"/>
  <c r="L145" i="4"/>
  <c r="K145" i="4"/>
  <c r="J145" i="4"/>
  <c r="I145" i="4"/>
  <c r="H145" i="4"/>
  <c r="G145" i="4"/>
  <c r="F145" i="4"/>
  <c r="E145" i="4"/>
  <c r="D145" i="4"/>
  <c r="C145" i="4"/>
  <c r="L144" i="4"/>
  <c r="K144" i="4"/>
  <c r="J144" i="4"/>
  <c r="I144" i="4"/>
  <c r="H144" i="4"/>
  <c r="G144" i="4"/>
  <c r="F144" i="4"/>
  <c r="E144" i="4"/>
  <c r="D144" i="4"/>
  <c r="C144" i="4"/>
  <c r="L143" i="4"/>
  <c r="K143" i="4"/>
  <c r="J143" i="4"/>
  <c r="I143" i="4"/>
  <c r="H143" i="4"/>
  <c r="G143" i="4"/>
  <c r="F143" i="4"/>
  <c r="E143" i="4"/>
  <c r="D143" i="4"/>
  <c r="C143" i="4"/>
  <c r="L142" i="4"/>
  <c r="K142" i="4"/>
  <c r="J142" i="4"/>
  <c r="I142" i="4"/>
  <c r="H142" i="4"/>
  <c r="G142" i="4"/>
  <c r="F142" i="4"/>
  <c r="E142" i="4"/>
  <c r="D142" i="4"/>
  <c r="C142" i="4"/>
  <c r="L141" i="4"/>
  <c r="K141" i="4"/>
  <c r="J141" i="4"/>
  <c r="I141" i="4"/>
  <c r="H141" i="4"/>
  <c r="G141" i="4"/>
  <c r="F141" i="4"/>
  <c r="E141" i="4"/>
  <c r="D141" i="4"/>
  <c r="C141" i="4"/>
  <c r="L140" i="4"/>
  <c r="K140" i="4"/>
  <c r="J140" i="4"/>
  <c r="I140" i="4"/>
  <c r="H140" i="4"/>
  <c r="G140" i="4"/>
  <c r="F140" i="4"/>
  <c r="E140" i="4"/>
  <c r="D140" i="4"/>
  <c r="C140" i="4"/>
  <c r="L139" i="4"/>
  <c r="K139" i="4"/>
  <c r="J139" i="4"/>
  <c r="I139" i="4"/>
  <c r="H139" i="4"/>
  <c r="G139" i="4"/>
  <c r="F139" i="4"/>
  <c r="E139" i="4"/>
  <c r="D139" i="4"/>
  <c r="C139" i="4"/>
  <c r="L138" i="4"/>
  <c r="K138" i="4"/>
  <c r="J138" i="4"/>
  <c r="I138" i="4"/>
  <c r="H138" i="4"/>
  <c r="G138" i="4"/>
  <c r="F138" i="4"/>
  <c r="E138" i="4"/>
  <c r="D138" i="4"/>
  <c r="C138" i="4"/>
  <c r="L137" i="4"/>
  <c r="K137" i="4"/>
  <c r="J137" i="4"/>
  <c r="I137" i="4"/>
  <c r="H137" i="4"/>
  <c r="G137" i="4"/>
  <c r="F137" i="4"/>
  <c r="E137" i="4"/>
  <c r="D137" i="4"/>
  <c r="C137" i="4"/>
  <c r="L136" i="4"/>
  <c r="K136" i="4"/>
  <c r="J136" i="4"/>
  <c r="I136" i="4"/>
  <c r="H136" i="4"/>
  <c r="G136" i="4"/>
  <c r="F136" i="4"/>
  <c r="E136" i="4"/>
  <c r="D136" i="4"/>
  <c r="C136" i="4"/>
  <c r="L135" i="4"/>
  <c r="K135" i="4"/>
  <c r="J135" i="4"/>
  <c r="I135" i="4"/>
  <c r="H135" i="4"/>
  <c r="G135" i="4"/>
  <c r="F135" i="4"/>
  <c r="E135" i="4"/>
  <c r="D135" i="4"/>
  <c r="C135" i="4"/>
  <c r="L134" i="4"/>
  <c r="K134" i="4"/>
  <c r="J134" i="4"/>
  <c r="I134" i="4"/>
  <c r="H134" i="4"/>
  <c r="G134" i="4"/>
  <c r="F134" i="4"/>
  <c r="E134" i="4"/>
  <c r="D134" i="4"/>
  <c r="C134" i="4"/>
  <c r="L133" i="4"/>
  <c r="K133" i="4"/>
  <c r="J133" i="4"/>
  <c r="I133" i="4"/>
  <c r="H133" i="4"/>
  <c r="G133" i="4"/>
  <c r="F133" i="4"/>
  <c r="E133" i="4"/>
  <c r="D133" i="4"/>
  <c r="C133" i="4"/>
  <c r="L132" i="4"/>
  <c r="K132" i="4"/>
  <c r="J132" i="4"/>
  <c r="I132" i="4"/>
  <c r="H132" i="4"/>
  <c r="G132" i="4"/>
  <c r="F132" i="4"/>
  <c r="E132" i="4"/>
  <c r="D132" i="4"/>
  <c r="C132" i="4"/>
  <c r="L131" i="4"/>
  <c r="K131" i="4"/>
  <c r="J131" i="4"/>
  <c r="I131" i="4"/>
  <c r="H131" i="4"/>
  <c r="G131" i="4"/>
  <c r="F131" i="4"/>
  <c r="E131" i="4"/>
  <c r="D131" i="4"/>
  <c r="C131" i="4"/>
  <c r="L130" i="4"/>
  <c r="K130" i="4"/>
  <c r="J130" i="4"/>
  <c r="I130" i="4"/>
  <c r="H130" i="4"/>
  <c r="G130" i="4"/>
  <c r="F130" i="4"/>
  <c r="E130" i="4"/>
  <c r="D130" i="4"/>
  <c r="C130" i="4"/>
  <c r="L129" i="4"/>
  <c r="K129" i="4"/>
  <c r="J129" i="4"/>
  <c r="I129" i="4"/>
  <c r="H129" i="4"/>
  <c r="G129" i="4"/>
  <c r="F129" i="4"/>
  <c r="E129" i="4"/>
  <c r="D129" i="4"/>
  <c r="C129" i="4"/>
  <c r="L128" i="4"/>
  <c r="K128" i="4"/>
  <c r="J128" i="4"/>
  <c r="I128" i="4"/>
  <c r="H128" i="4"/>
  <c r="G128" i="4"/>
  <c r="F128" i="4"/>
  <c r="E128" i="4"/>
  <c r="D128" i="4"/>
  <c r="C128" i="4"/>
  <c r="L127" i="4"/>
  <c r="K127" i="4"/>
  <c r="J127" i="4"/>
  <c r="I127" i="4"/>
  <c r="H127" i="4"/>
  <c r="G127" i="4"/>
  <c r="F127" i="4"/>
  <c r="E127" i="4"/>
  <c r="D127" i="4"/>
  <c r="C127" i="4"/>
  <c r="L126" i="4"/>
  <c r="K126" i="4"/>
  <c r="J126" i="4"/>
  <c r="I126" i="4"/>
  <c r="H126" i="4"/>
  <c r="G126" i="4"/>
  <c r="F126" i="4"/>
  <c r="E126" i="4"/>
  <c r="D126" i="4"/>
  <c r="C126" i="4"/>
  <c r="L125" i="4"/>
  <c r="K125" i="4"/>
  <c r="J125" i="4"/>
  <c r="I125" i="4"/>
  <c r="H125" i="4"/>
  <c r="G125" i="4"/>
  <c r="F125" i="4"/>
  <c r="E125" i="4"/>
  <c r="D125" i="4"/>
  <c r="C125" i="4"/>
  <c r="L124" i="4"/>
  <c r="K124" i="4"/>
  <c r="J124" i="4"/>
  <c r="I124" i="4"/>
  <c r="H124" i="4"/>
  <c r="G124" i="4"/>
  <c r="F124" i="4"/>
  <c r="E124" i="4"/>
  <c r="D124" i="4"/>
  <c r="C124" i="4"/>
  <c r="L123" i="4"/>
  <c r="K123" i="4"/>
  <c r="J123" i="4"/>
  <c r="I123" i="4"/>
  <c r="H123" i="4"/>
  <c r="G123" i="4"/>
  <c r="F123" i="4"/>
  <c r="E123" i="4"/>
  <c r="D123" i="4"/>
  <c r="C123" i="4"/>
  <c r="L122" i="4"/>
  <c r="K122" i="4"/>
  <c r="J122" i="4"/>
  <c r="I122" i="4"/>
  <c r="H122" i="4"/>
  <c r="G122" i="4"/>
  <c r="F122" i="4"/>
  <c r="E122" i="4"/>
  <c r="D122" i="4"/>
  <c r="C122" i="4"/>
  <c r="L121" i="4"/>
  <c r="K121" i="4"/>
  <c r="J121" i="4"/>
  <c r="I121" i="4"/>
  <c r="H121" i="4"/>
  <c r="G121" i="4"/>
  <c r="F121" i="4"/>
  <c r="E121" i="4"/>
  <c r="D121" i="4"/>
  <c r="C121" i="4"/>
  <c r="L120" i="4"/>
  <c r="K120" i="4"/>
  <c r="J120" i="4"/>
  <c r="I120" i="4"/>
  <c r="H120" i="4"/>
  <c r="G120" i="4"/>
  <c r="F120" i="4"/>
  <c r="E120" i="4"/>
  <c r="D120" i="4"/>
  <c r="C120" i="4"/>
  <c r="L119" i="4"/>
  <c r="K119" i="4"/>
  <c r="J119" i="4"/>
  <c r="I119" i="4"/>
  <c r="H119" i="4"/>
  <c r="G119" i="4"/>
  <c r="F119" i="4"/>
  <c r="E119" i="4"/>
  <c r="D119" i="4"/>
  <c r="C119" i="4"/>
  <c r="L118" i="4"/>
  <c r="K118" i="4"/>
  <c r="J118" i="4"/>
  <c r="I118" i="4"/>
  <c r="H118" i="4"/>
  <c r="G118" i="4"/>
  <c r="F118" i="4"/>
  <c r="E118" i="4"/>
  <c r="D118" i="4"/>
  <c r="C118" i="4"/>
  <c r="L117" i="4"/>
  <c r="K117" i="4"/>
  <c r="J117" i="4"/>
  <c r="I117" i="4"/>
  <c r="H117" i="4"/>
  <c r="G117" i="4"/>
  <c r="F117" i="4"/>
  <c r="E117" i="4"/>
  <c r="D117" i="4"/>
  <c r="C117" i="4"/>
  <c r="L116" i="4"/>
  <c r="K116" i="4"/>
  <c r="J116" i="4"/>
  <c r="I116" i="4"/>
  <c r="H116" i="4"/>
  <c r="G116" i="4"/>
  <c r="F116" i="4"/>
  <c r="E116" i="4"/>
  <c r="D116" i="4"/>
  <c r="C116" i="4"/>
  <c r="L115" i="4"/>
  <c r="K115" i="4"/>
  <c r="J115" i="4"/>
  <c r="I115" i="4"/>
  <c r="H115" i="4"/>
  <c r="G115" i="4"/>
  <c r="F115" i="4"/>
  <c r="E115" i="4"/>
  <c r="D115" i="4"/>
  <c r="C115" i="4"/>
  <c r="L114" i="4"/>
  <c r="K114" i="4"/>
  <c r="J114" i="4"/>
  <c r="I114" i="4"/>
  <c r="H114" i="4"/>
  <c r="G114" i="4"/>
  <c r="F114" i="4"/>
  <c r="E114" i="4"/>
  <c r="D114" i="4"/>
  <c r="C114" i="4"/>
  <c r="L113" i="4"/>
  <c r="K113" i="4"/>
  <c r="J113" i="4"/>
  <c r="I113" i="4"/>
  <c r="H113" i="4"/>
  <c r="G113" i="4"/>
  <c r="F113" i="4"/>
  <c r="E113" i="4"/>
  <c r="D113" i="4"/>
  <c r="C113" i="4"/>
  <c r="L112" i="4"/>
  <c r="K112" i="4"/>
  <c r="J112" i="4"/>
  <c r="I112" i="4"/>
  <c r="H112" i="4"/>
  <c r="G112" i="4"/>
  <c r="F112" i="4"/>
  <c r="E112" i="4"/>
  <c r="D112" i="4"/>
  <c r="C112" i="4"/>
  <c r="L111" i="4"/>
  <c r="K111" i="4"/>
  <c r="J111" i="4"/>
  <c r="I111" i="4"/>
  <c r="H111" i="4"/>
  <c r="G111" i="4"/>
  <c r="F111" i="4"/>
  <c r="E111" i="4"/>
  <c r="D111" i="4"/>
  <c r="C111" i="4"/>
  <c r="L110" i="4"/>
  <c r="K110" i="4"/>
  <c r="J110" i="4"/>
  <c r="I110" i="4"/>
  <c r="H110" i="4"/>
  <c r="G110" i="4"/>
  <c r="F110" i="4"/>
  <c r="E110" i="4"/>
  <c r="D110" i="4"/>
  <c r="C110" i="4"/>
  <c r="L109" i="4"/>
  <c r="K109" i="4"/>
  <c r="J109" i="4"/>
  <c r="I109" i="4"/>
  <c r="H109" i="4"/>
  <c r="G109" i="4"/>
  <c r="F109" i="4"/>
  <c r="E109" i="4"/>
  <c r="D109" i="4"/>
  <c r="C109" i="4"/>
  <c r="L108" i="4"/>
  <c r="K108" i="4"/>
  <c r="J108" i="4"/>
  <c r="I108" i="4"/>
  <c r="H108" i="4"/>
  <c r="G108" i="4"/>
  <c r="F108" i="4"/>
  <c r="E108" i="4"/>
  <c r="D108" i="4"/>
  <c r="C108" i="4"/>
  <c r="L107" i="4"/>
  <c r="K107" i="4"/>
  <c r="J107" i="4"/>
  <c r="I107" i="4"/>
  <c r="H107" i="4"/>
  <c r="G107" i="4"/>
  <c r="F107" i="4"/>
  <c r="E107" i="4"/>
  <c r="D107" i="4"/>
  <c r="C107" i="4"/>
  <c r="L106" i="4"/>
  <c r="K106" i="4"/>
  <c r="J106" i="4"/>
  <c r="I106" i="4"/>
  <c r="H106" i="4"/>
  <c r="G106" i="4"/>
  <c r="F106" i="4"/>
  <c r="E106" i="4"/>
  <c r="D106" i="4"/>
  <c r="C106" i="4"/>
  <c r="L105" i="4"/>
  <c r="K105" i="4"/>
  <c r="J105" i="4"/>
  <c r="I105" i="4"/>
  <c r="H105" i="4"/>
  <c r="G105" i="4"/>
  <c r="F105" i="4"/>
  <c r="E105" i="4"/>
  <c r="D105" i="4"/>
  <c r="C105" i="4"/>
  <c r="L104" i="4"/>
  <c r="K104" i="4"/>
  <c r="J104" i="4"/>
  <c r="I104" i="4"/>
  <c r="H104" i="4"/>
  <c r="G104" i="4"/>
  <c r="F104" i="4"/>
  <c r="E104" i="4"/>
  <c r="D104" i="4"/>
  <c r="C104" i="4"/>
  <c r="L103" i="4"/>
  <c r="K103" i="4"/>
  <c r="J103" i="4"/>
  <c r="I103" i="4"/>
  <c r="H103" i="4"/>
  <c r="G103" i="4"/>
  <c r="F103" i="4"/>
  <c r="E103" i="4"/>
  <c r="D103" i="4"/>
  <c r="C103" i="4"/>
  <c r="L102" i="4"/>
  <c r="K102" i="4"/>
  <c r="J102" i="4"/>
  <c r="I102" i="4"/>
  <c r="H102" i="4"/>
  <c r="G102" i="4"/>
  <c r="F102" i="4"/>
  <c r="E102" i="4"/>
  <c r="D102" i="4"/>
  <c r="C102" i="4"/>
  <c r="L101" i="4"/>
  <c r="K101" i="4"/>
  <c r="J101" i="4"/>
  <c r="I101" i="4"/>
  <c r="H101" i="4"/>
  <c r="G101" i="4"/>
  <c r="F101" i="4"/>
  <c r="E101" i="4"/>
  <c r="D101" i="4"/>
  <c r="C101" i="4"/>
  <c r="L100" i="4"/>
  <c r="K100" i="4"/>
  <c r="J100" i="4"/>
  <c r="I100" i="4"/>
  <c r="H100" i="4"/>
  <c r="G100" i="4"/>
  <c r="F100" i="4"/>
  <c r="E100" i="4"/>
  <c r="D100" i="4"/>
  <c r="C100" i="4"/>
  <c r="L99" i="4"/>
  <c r="K99" i="4"/>
  <c r="J99" i="4"/>
  <c r="I99" i="4"/>
  <c r="H99" i="4"/>
  <c r="G99" i="4"/>
  <c r="F99" i="4"/>
  <c r="E99" i="4"/>
  <c r="D99" i="4"/>
  <c r="C99" i="4"/>
  <c r="L98" i="4"/>
  <c r="K98" i="4"/>
  <c r="J98" i="4"/>
  <c r="I98" i="4"/>
  <c r="H98" i="4"/>
  <c r="G98" i="4"/>
  <c r="F98" i="4"/>
  <c r="E98" i="4"/>
  <c r="D98" i="4"/>
  <c r="C98" i="4"/>
  <c r="L97" i="4"/>
  <c r="K97" i="4"/>
  <c r="J97" i="4"/>
  <c r="I97" i="4"/>
  <c r="H97" i="4"/>
  <c r="G97" i="4"/>
  <c r="F97" i="4"/>
  <c r="E97" i="4"/>
  <c r="D97" i="4"/>
  <c r="C97" i="4"/>
  <c r="L96" i="4"/>
  <c r="K96" i="4"/>
  <c r="J96" i="4"/>
  <c r="I96" i="4"/>
  <c r="H96" i="4"/>
  <c r="G96" i="4"/>
  <c r="F96" i="4"/>
  <c r="E96" i="4"/>
  <c r="D96" i="4"/>
  <c r="C96" i="4"/>
  <c r="L95" i="4"/>
  <c r="K95" i="4"/>
  <c r="J95" i="4"/>
  <c r="I95" i="4"/>
  <c r="H95" i="4"/>
  <c r="G95" i="4"/>
  <c r="F95" i="4"/>
  <c r="E95" i="4"/>
  <c r="D95" i="4"/>
  <c r="C95" i="4"/>
  <c r="L94" i="4"/>
  <c r="K94" i="4"/>
  <c r="J94" i="4"/>
  <c r="I94" i="4"/>
  <c r="H94" i="4"/>
  <c r="G94" i="4"/>
  <c r="F94" i="4"/>
  <c r="E94" i="4"/>
  <c r="D94" i="4"/>
  <c r="C94" i="4"/>
  <c r="L93" i="4"/>
  <c r="K93" i="4"/>
  <c r="J93" i="4"/>
  <c r="I93" i="4"/>
  <c r="H93" i="4"/>
  <c r="G93" i="4"/>
  <c r="F93" i="4"/>
  <c r="E93" i="4"/>
  <c r="D93" i="4"/>
  <c r="C93" i="4"/>
  <c r="L92" i="4"/>
  <c r="K92" i="4"/>
  <c r="J92" i="4"/>
  <c r="I92" i="4"/>
  <c r="H92" i="4"/>
  <c r="G92" i="4"/>
  <c r="F92" i="4"/>
  <c r="E92" i="4"/>
  <c r="D92" i="4"/>
  <c r="C92" i="4"/>
  <c r="L91" i="4"/>
  <c r="K91" i="4"/>
  <c r="J91" i="4"/>
  <c r="I91" i="4"/>
  <c r="H91" i="4"/>
  <c r="G91" i="4"/>
  <c r="F91" i="4"/>
  <c r="E91" i="4"/>
  <c r="D91" i="4"/>
  <c r="C91" i="4"/>
  <c r="L90" i="4"/>
  <c r="K90" i="4"/>
  <c r="J90" i="4"/>
  <c r="I90" i="4"/>
  <c r="H90" i="4"/>
  <c r="G90" i="4"/>
  <c r="F90" i="4"/>
  <c r="E90" i="4"/>
  <c r="D90" i="4"/>
  <c r="C90" i="4"/>
  <c r="L89" i="4"/>
  <c r="K89" i="4"/>
  <c r="J89" i="4"/>
  <c r="I89" i="4"/>
  <c r="H89" i="4"/>
  <c r="G89" i="4"/>
  <c r="F89" i="4"/>
  <c r="E89" i="4"/>
  <c r="D89" i="4"/>
  <c r="C89" i="4"/>
  <c r="L88" i="4"/>
  <c r="K88" i="4"/>
  <c r="J88" i="4"/>
  <c r="I88" i="4"/>
  <c r="H88" i="4"/>
  <c r="G88" i="4"/>
  <c r="F88" i="4"/>
  <c r="E88" i="4"/>
  <c r="D88" i="4"/>
  <c r="C88" i="4"/>
  <c r="L87" i="4"/>
  <c r="K87" i="4"/>
  <c r="J87" i="4"/>
  <c r="I87" i="4"/>
  <c r="H87" i="4"/>
  <c r="G87" i="4"/>
  <c r="F87" i="4"/>
  <c r="E87" i="4"/>
  <c r="D87" i="4"/>
  <c r="C87" i="4"/>
  <c r="L86" i="4"/>
  <c r="K86" i="4"/>
  <c r="J86" i="4"/>
  <c r="I86" i="4"/>
  <c r="H86" i="4"/>
  <c r="G86" i="4"/>
  <c r="F86" i="4"/>
  <c r="E86" i="4"/>
  <c r="D86" i="4"/>
  <c r="C86" i="4"/>
  <c r="L85" i="4"/>
  <c r="K85" i="4"/>
  <c r="J85" i="4"/>
  <c r="I85" i="4"/>
  <c r="H85" i="4"/>
  <c r="G85" i="4"/>
  <c r="F85" i="4"/>
  <c r="E85" i="4"/>
  <c r="D85" i="4"/>
  <c r="C85" i="4"/>
  <c r="L84" i="4"/>
  <c r="K84" i="4"/>
  <c r="J84" i="4"/>
  <c r="I84" i="4"/>
  <c r="H84" i="4"/>
  <c r="G84" i="4"/>
  <c r="F84" i="4"/>
  <c r="E84" i="4"/>
  <c r="D84" i="4"/>
  <c r="C84" i="4"/>
  <c r="L83" i="4"/>
  <c r="K83" i="4"/>
  <c r="J83" i="4"/>
  <c r="I83" i="4"/>
  <c r="H83" i="4"/>
  <c r="G83" i="4"/>
  <c r="F83" i="4"/>
  <c r="E83" i="4"/>
  <c r="D83" i="4"/>
  <c r="C83" i="4"/>
  <c r="L82" i="4"/>
  <c r="K82" i="4"/>
  <c r="J82" i="4"/>
  <c r="I82" i="4"/>
  <c r="H82" i="4"/>
  <c r="G82" i="4"/>
  <c r="F82" i="4"/>
  <c r="E82" i="4"/>
  <c r="D82" i="4"/>
  <c r="C82" i="4"/>
  <c r="L81" i="4"/>
  <c r="K81" i="4"/>
  <c r="J81" i="4"/>
  <c r="I81" i="4"/>
  <c r="H81" i="4"/>
  <c r="G81" i="4"/>
  <c r="F81" i="4"/>
  <c r="E81" i="4"/>
  <c r="D81" i="4"/>
  <c r="C81" i="4"/>
  <c r="L80" i="4"/>
  <c r="K80" i="4"/>
  <c r="J80" i="4"/>
  <c r="I80" i="4"/>
  <c r="H80" i="4"/>
  <c r="G80" i="4"/>
  <c r="F80" i="4"/>
  <c r="E80" i="4"/>
  <c r="D80" i="4"/>
  <c r="C80" i="4"/>
  <c r="L79" i="4"/>
  <c r="K79" i="4"/>
  <c r="J79" i="4"/>
  <c r="I79" i="4"/>
  <c r="H79" i="4"/>
  <c r="G79" i="4"/>
  <c r="F79" i="4"/>
  <c r="E79" i="4"/>
  <c r="D79" i="4"/>
  <c r="C79" i="4"/>
  <c r="L78" i="4"/>
  <c r="K78" i="4"/>
  <c r="J78" i="4"/>
  <c r="I78" i="4"/>
  <c r="H78" i="4"/>
  <c r="G78" i="4"/>
  <c r="F78" i="4"/>
  <c r="E78" i="4"/>
  <c r="D78" i="4"/>
  <c r="C78" i="4"/>
  <c r="L77" i="4"/>
  <c r="K77" i="4"/>
  <c r="J77" i="4"/>
  <c r="I77" i="4"/>
  <c r="H77" i="4"/>
  <c r="G77" i="4"/>
  <c r="F77" i="4"/>
  <c r="E77" i="4"/>
  <c r="D77" i="4"/>
  <c r="C77" i="4"/>
  <c r="L76" i="4"/>
  <c r="K76" i="4"/>
  <c r="J76" i="4"/>
  <c r="I76" i="4"/>
  <c r="H76" i="4"/>
  <c r="G76" i="4"/>
  <c r="F76" i="4"/>
  <c r="E76" i="4"/>
  <c r="D76" i="4"/>
  <c r="C76" i="4"/>
  <c r="L75" i="4"/>
  <c r="K75" i="4"/>
  <c r="J75" i="4"/>
  <c r="I75" i="4"/>
  <c r="H75" i="4"/>
  <c r="G75" i="4"/>
  <c r="F75" i="4"/>
  <c r="E75" i="4"/>
  <c r="D75" i="4"/>
  <c r="C75" i="4"/>
  <c r="L74" i="4"/>
  <c r="K74" i="4"/>
  <c r="J74" i="4"/>
  <c r="I74" i="4"/>
  <c r="H74" i="4"/>
  <c r="G74" i="4"/>
  <c r="F74" i="4"/>
  <c r="E74" i="4"/>
  <c r="D74" i="4"/>
  <c r="C74" i="4"/>
  <c r="L73" i="4"/>
  <c r="K73" i="4"/>
  <c r="J73" i="4"/>
  <c r="I73" i="4"/>
  <c r="H73" i="4"/>
  <c r="G73" i="4"/>
  <c r="F73" i="4"/>
  <c r="E73" i="4"/>
  <c r="D73" i="4"/>
  <c r="C73" i="4"/>
  <c r="L72" i="4"/>
  <c r="K72" i="4"/>
  <c r="J72" i="4"/>
  <c r="I72" i="4"/>
  <c r="H72" i="4"/>
  <c r="G72" i="4"/>
  <c r="F72" i="4"/>
  <c r="E72" i="4"/>
  <c r="D72" i="4"/>
  <c r="C72" i="4"/>
  <c r="L71" i="4"/>
  <c r="K71" i="4"/>
  <c r="J71" i="4"/>
  <c r="I71" i="4"/>
  <c r="H71" i="4"/>
  <c r="G71" i="4"/>
  <c r="F71" i="4"/>
  <c r="E71" i="4"/>
  <c r="D71" i="4"/>
  <c r="C71" i="4"/>
  <c r="L70" i="4"/>
  <c r="K70" i="4"/>
  <c r="J70" i="4"/>
  <c r="I70" i="4"/>
  <c r="H70" i="4"/>
  <c r="G70" i="4"/>
  <c r="F70" i="4"/>
  <c r="E70" i="4"/>
  <c r="D70" i="4"/>
  <c r="C70" i="4"/>
  <c r="L69" i="4"/>
  <c r="K69" i="4"/>
  <c r="J69" i="4"/>
  <c r="I69" i="4"/>
  <c r="H69" i="4"/>
  <c r="G69" i="4"/>
  <c r="F69" i="4"/>
  <c r="E69" i="4"/>
  <c r="D69" i="4"/>
  <c r="C69" i="4"/>
  <c r="L68" i="4"/>
  <c r="K68" i="4"/>
  <c r="J68" i="4"/>
  <c r="I68" i="4"/>
  <c r="H68" i="4"/>
  <c r="G68" i="4"/>
  <c r="F68" i="4"/>
  <c r="E68" i="4"/>
  <c r="D68" i="4"/>
  <c r="C68" i="4"/>
  <c r="L67" i="4"/>
  <c r="K67" i="4"/>
  <c r="J67" i="4"/>
  <c r="I67" i="4"/>
  <c r="H67" i="4"/>
  <c r="G67" i="4"/>
  <c r="F67" i="4"/>
  <c r="E67" i="4"/>
  <c r="D67" i="4"/>
  <c r="C67" i="4"/>
  <c r="L66" i="4"/>
  <c r="K66" i="4"/>
  <c r="J66" i="4"/>
  <c r="I66" i="4"/>
  <c r="H66" i="4"/>
  <c r="G66" i="4"/>
  <c r="F66" i="4"/>
  <c r="E66" i="4"/>
  <c r="D66" i="4"/>
  <c r="C66" i="4"/>
  <c r="L65" i="4"/>
  <c r="K65" i="4"/>
  <c r="J65" i="4"/>
  <c r="I65" i="4"/>
  <c r="H65" i="4"/>
  <c r="G65" i="4"/>
  <c r="F65" i="4"/>
  <c r="E65" i="4"/>
  <c r="D65" i="4"/>
  <c r="C65" i="4"/>
  <c r="L64" i="4"/>
  <c r="K64" i="4"/>
  <c r="J64" i="4"/>
  <c r="I64" i="4"/>
  <c r="H64" i="4"/>
  <c r="G64" i="4"/>
  <c r="F64" i="4"/>
  <c r="E64" i="4"/>
  <c r="D64" i="4"/>
  <c r="C64" i="4"/>
  <c r="L63" i="4"/>
  <c r="K63" i="4"/>
  <c r="J63" i="4"/>
  <c r="I63" i="4"/>
  <c r="H63" i="4"/>
  <c r="G63" i="4"/>
  <c r="F63" i="4"/>
  <c r="E63" i="4"/>
  <c r="D63" i="4"/>
  <c r="C63" i="4"/>
  <c r="L62" i="4"/>
  <c r="K62" i="4"/>
  <c r="J62" i="4"/>
  <c r="I62" i="4"/>
  <c r="H62" i="4"/>
  <c r="G62" i="4"/>
  <c r="F62" i="4"/>
  <c r="E62" i="4"/>
  <c r="D62" i="4"/>
  <c r="C62" i="4"/>
  <c r="L61" i="4"/>
  <c r="K61" i="4"/>
  <c r="J61" i="4"/>
  <c r="I61" i="4"/>
  <c r="H61" i="4"/>
  <c r="G61" i="4"/>
  <c r="F61" i="4"/>
  <c r="E61" i="4"/>
  <c r="D61" i="4"/>
  <c r="C61" i="4"/>
  <c r="L60" i="4"/>
  <c r="K60" i="4"/>
  <c r="J60" i="4"/>
  <c r="I60" i="4"/>
  <c r="H60" i="4"/>
  <c r="G60" i="4"/>
  <c r="F60" i="4"/>
  <c r="E60" i="4"/>
  <c r="D60" i="4"/>
  <c r="C60" i="4"/>
  <c r="L59" i="4"/>
  <c r="K59" i="4"/>
  <c r="J59" i="4"/>
  <c r="I59" i="4"/>
  <c r="H59" i="4"/>
  <c r="G59" i="4"/>
  <c r="F59" i="4"/>
  <c r="E59" i="4"/>
  <c r="D59" i="4"/>
  <c r="C59" i="4"/>
  <c r="L58" i="4"/>
  <c r="K58" i="4"/>
  <c r="J58" i="4"/>
  <c r="I58" i="4"/>
  <c r="H58" i="4"/>
  <c r="G58" i="4"/>
  <c r="F58" i="4"/>
  <c r="E58" i="4"/>
  <c r="D58" i="4"/>
  <c r="C58" i="4"/>
  <c r="L57" i="4"/>
  <c r="K57" i="4"/>
  <c r="J57" i="4"/>
  <c r="I57" i="4"/>
  <c r="H57" i="4"/>
  <c r="G57" i="4"/>
  <c r="F57" i="4"/>
  <c r="E57" i="4"/>
  <c r="D57" i="4"/>
  <c r="C57" i="4"/>
  <c r="L56" i="4"/>
  <c r="K56" i="4"/>
  <c r="J56" i="4"/>
  <c r="I56" i="4"/>
  <c r="H56" i="4"/>
  <c r="G56" i="4"/>
  <c r="F56" i="4"/>
  <c r="E56" i="4"/>
  <c r="D56" i="4"/>
  <c r="C56" i="4"/>
  <c r="L55" i="4"/>
  <c r="K55" i="4"/>
  <c r="J55" i="4"/>
  <c r="I55" i="4"/>
  <c r="H55" i="4"/>
  <c r="G55" i="4"/>
  <c r="F55" i="4"/>
  <c r="E55" i="4"/>
  <c r="D55" i="4"/>
  <c r="C55" i="4"/>
  <c r="L54" i="4"/>
  <c r="K54" i="4"/>
  <c r="J54" i="4"/>
  <c r="I54" i="4"/>
  <c r="H54" i="4"/>
  <c r="G54" i="4"/>
  <c r="F54" i="4"/>
  <c r="E54" i="4"/>
  <c r="D54" i="4"/>
  <c r="C54" i="4"/>
  <c r="L53" i="4"/>
  <c r="K53" i="4"/>
  <c r="J53" i="4"/>
  <c r="I53" i="4"/>
  <c r="H53" i="4"/>
  <c r="G53" i="4"/>
  <c r="F53" i="4"/>
  <c r="E53" i="4"/>
  <c r="D53" i="4"/>
  <c r="C53" i="4"/>
  <c r="L52" i="4"/>
  <c r="K52" i="4"/>
  <c r="J52" i="4"/>
  <c r="I52" i="4"/>
  <c r="H52" i="4"/>
  <c r="G52" i="4"/>
  <c r="F52" i="4"/>
  <c r="E52" i="4"/>
  <c r="D52" i="4"/>
  <c r="C52" i="4"/>
  <c r="L51" i="4"/>
  <c r="K51" i="4"/>
  <c r="J51" i="4"/>
  <c r="I51" i="4"/>
  <c r="H51" i="4"/>
  <c r="G51" i="4"/>
  <c r="F51" i="4"/>
  <c r="E51" i="4"/>
  <c r="D51" i="4"/>
  <c r="C51" i="4"/>
  <c r="L50" i="4"/>
  <c r="K50" i="4"/>
  <c r="J50" i="4"/>
  <c r="I50" i="4"/>
  <c r="H50" i="4"/>
  <c r="G50" i="4"/>
  <c r="F50" i="4"/>
  <c r="E50" i="4"/>
  <c r="D50" i="4"/>
  <c r="C50" i="4"/>
  <c r="L49" i="4"/>
  <c r="K49" i="4"/>
  <c r="J49" i="4"/>
  <c r="I49" i="4"/>
  <c r="H49" i="4"/>
  <c r="G49" i="4"/>
  <c r="F49" i="4"/>
  <c r="E49" i="4"/>
  <c r="D49" i="4"/>
  <c r="C49" i="4"/>
  <c r="L48" i="4"/>
  <c r="K48" i="4"/>
  <c r="J48" i="4"/>
  <c r="I48" i="4"/>
  <c r="H48" i="4"/>
  <c r="G48" i="4"/>
  <c r="F48" i="4"/>
  <c r="E48" i="4"/>
  <c r="D48" i="4"/>
  <c r="C48" i="4"/>
  <c r="L47" i="4"/>
  <c r="K47" i="4"/>
  <c r="J47" i="4"/>
  <c r="I47" i="4"/>
  <c r="H47" i="4"/>
  <c r="G47" i="4"/>
  <c r="F47" i="4"/>
  <c r="E47" i="4"/>
  <c r="D47" i="4"/>
  <c r="C47" i="4"/>
  <c r="L46" i="4"/>
  <c r="K46" i="4"/>
  <c r="J46" i="4"/>
  <c r="I46" i="4"/>
  <c r="H46" i="4"/>
  <c r="G46" i="4"/>
  <c r="F46" i="4"/>
  <c r="E46" i="4"/>
  <c r="D46" i="4"/>
  <c r="C46" i="4"/>
  <c r="L45" i="4"/>
  <c r="K45" i="4"/>
  <c r="J45" i="4"/>
  <c r="I45" i="4"/>
  <c r="H45" i="4"/>
  <c r="G45" i="4"/>
  <c r="F45" i="4"/>
  <c r="E45" i="4"/>
  <c r="D45" i="4"/>
  <c r="C45" i="4"/>
  <c r="L44" i="4"/>
  <c r="K44" i="4"/>
  <c r="J44" i="4"/>
  <c r="I44" i="4"/>
  <c r="H44" i="4"/>
  <c r="G44" i="4"/>
  <c r="F44" i="4"/>
  <c r="E44" i="4"/>
  <c r="D44" i="4"/>
  <c r="C44" i="4"/>
  <c r="L43" i="4"/>
  <c r="K43" i="4"/>
  <c r="J43" i="4"/>
  <c r="I43" i="4"/>
  <c r="H43" i="4"/>
  <c r="G43" i="4"/>
  <c r="F43" i="4"/>
  <c r="E43" i="4"/>
  <c r="D43" i="4"/>
  <c r="C43" i="4"/>
  <c r="L42" i="4"/>
  <c r="K42" i="4"/>
  <c r="J42" i="4"/>
  <c r="I42" i="4"/>
  <c r="H42" i="4"/>
  <c r="G42" i="4"/>
  <c r="F42" i="4"/>
  <c r="E42" i="4"/>
  <c r="D42" i="4"/>
  <c r="C42" i="4"/>
  <c r="L41" i="4"/>
  <c r="K41" i="4"/>
  <c r="J41" i="4"/>
  <c r="I41" i="4"/>
  <c r="H41" i="4"/>
  <c r="G41" i="4"/>
  <c r="F41" i="4"/>
  <c r="E41" i="4"/>
  <c r="D41" i="4"/>
  <c r="C41" i="4"/>
  <c r="L40" i="4"/>
  <c r="K40" i="4"/>
  <c r="J40" i="4"/>
  <c r="I40" i="4"/>
  <c r="H40" i="4"/>
  <c r="G40" i="4"/>
  <c r="F40" i="4"/>
  <c r="E40" i="4"/>
  <c r="D40" i="4"/>
  <c r="C40" i="4"/>
  <c r="L39" i="4"/>
  <c r="K39" i="4"/>
  <c r="J39" i="4"/>
  <c r="I39" i="4"/>
  <c r="H39" i="4"/>
  <c r="G39" i="4"/>
  <c r="F39" i="4"/>
  <c r="E39" i="4"/>
  <c r="D39" i="4"/>
  <c r="C39" i="4"/>
  <c r="L38" i="4"/>
  <c r="K38" i="4"/>
  <c r="J38" i="4"/>
  <c r="I38" i="4"/>
  <c r="H38" i="4"/>
  <c r="G38" i="4"/>
  <c r="F38" i="4"/>
  <c r="E38" i="4"/>
  <c r="D38" i="4"/>
  <c r="C38" i="4"/>
  <c r="L37" i="4"/>
  <c r="K37" i="4"/>
  <c r="J37" i="4"/>
  <c r="I37" i="4"/>
  <c r="H37" i="4"/>
  <c r="G37" i="4"/>
  <c r="F37" i="4"/>
  <c r="E37" i="4"/>
  <c r="D37" i="4"/>
  <c r="C37" i="4"/>
  <c r="L36" i="4"/>
  <c r="K36" i="4"/>
  <c r="J36" i="4"/>
  <c r="I36" i="4"/>
  <c r="H36" i="4"/>
  <c r="G36" i="4"/>
  <c r="F36" i="4"/>
  <c r="E36" i="4"/>
  <c r="D36" i="4"/>
  <c r="C36" i="4"/>
  <c r="L35" i="4"/>
  <c r="K35" i="4"/>
  <c r="J35" i="4"/>
  <c r="I35" i="4"/>
  <c r="H35" i="4"/>
  <c r="G35" i="4"/>
  <c r="F35" i="4"/>
  <c r="E35" i="4"/>
  <c r="D35" i="4"/>
  <c r="C35" i="4"/>
  <c r="L34" i="4"/>
  <c r="K34" i="4"/>
  <c r="J34" i="4"/>
  <c r="I34" i="4"/>
  <c r="H34" i="4"/>
  <c r="G34" i="4"/>
  <c r="F34" i="4"/>
  <c r="E34" i="4"/>
  <c r="D34" i="4"/>
  <c r="C34" i="4"/>
  <c r="L33" i="4"/>
  <c r="K33" i="4"/>
  <c r="J33" i="4"/>
  <c r="I33" i="4"/>
  <c r="H33" i="4"/>
  <c r="G33" i="4"/>
  <c r="F33" i="4"/>
  <c r="E33" i="4"/>
  <c r="D33" i="4"/>
  <c r="C33" i="4"/>
  <c r="L32" i="4"/>
  <c r="K32" i="4"/>
  <c r="J32" i="4"/>
  <c r="I32" i="4"/>
  <c r="H32" i="4"/>
  <c r="G32" i="4"/>
  <c r="F32" i="4"/>
  <c r="E32" i="4"/>
  <c r="D32" i="4"/>
  <c r="C32" i="4"/>
  <c r="L31" i="4"/>
  <c r="K31" i="4"/>
  <c r="J31" i="4"/>
  <c r="I31" i="4"/>
  <c r="H31" i="4"/>
  <c r="G31" i="4"/>
  <c r="F31" i="4"/>
  <c r="E31" i="4"/>
  <c r="D31" i="4"/>
  <c r="C31" i="4"/>
  <c r="L30" i="4"/>
  <c r="K30" i="4"/>
  <c r="J30" i="4"/>
  <c r="I30" i="4"/>
  <c r="H30" i="4"/>
  <c r="G30" i="4"/>
  <c r="F30" i="4"/>
  <c r="E30" i="4"/>
  <c r="D30" i="4"/>
  <c r="C30" i="4"/>
  <c r="L29" i="4"/>
  <c r="K29" i="4"/>
  <c r="J29" i="4"/>
  <c r="I29" i="4"/>
  <c r="H29" i="4"/>
  <c r="G29" i="4"/>
  <c r="F29" i="4"/>
  <c r="E29" i="4"/>
  <c r="D29" i="4"/>
  <c r="C29" i="4"/>
  <c r="L28" i="4"/>
  <c r="K28" i="4"/>
  <c r="J28" i="4"/>
  <c r="I28" i="4"/>
  <c r="H28" i="4"/>
  <c r="G28" i="4"/>
  <c r="F28" i="4"/>
  <c r="E28" i="4"/>
  <c r="D28" i="4"/>
  <c r="C28" i="4"/>
  <c r="L27" i="4"/>
  <c r="K27" i="4"/>
  <c r="J27" i="4"/>
  <c r="I27" i="4"/>
  <c r="H27" i="4"/>
  <c r="G27" i="4"/>
  <c r="F27" i="4"/>
  <c r="E27" i="4"/>
  <c r="D27" i="4"/>
  <c r="C27" i="4"/>
  <c r="L26" i="4"/>
  <c r="K26" i="4"/>
  <c r="J26" i="4"/>
  <c r="I26" i="4"/>
  <c r="H26" i="4"/>
  <c r="G26" i="4"/>
  <c r="F26" i="4"/>
  <c r="E26" i="4"/>
  <c r="D26" i="4"/>
  <c r="C26" i="4"/>
  <c r="L25" i="4"/>
  <c r="K25" i="4"/>
  <c r="J25" i="4"/>
  <c r="I25" i="4"/>
  <c r="H25" i="4"/>
  <c r="G25" i="4"/>
  <c r="F25" i="4"/>
  <c r="E25" i="4"/>
  <c r="D25" i="4"/>
  <c r="C25" i="4"/>
  <c r="L24" i="4"/>
  <c r="K24" i="4"/>
  <c r="J24" i="4"/>
  <c r="I24" i="4"/>
  <c r="H24" i="4"/>
  <c r="G24" i="4"/>
  <c r="F24" i="4"/>
  <c r="E24" i="4"/>
  <c r="D24" i="4"/>
  <c r="C24" i="4"/>
  <c r="L23" i="4"/>
  <c r="K23" i="4"/>
  <c r="J23" i="4"/>
  <c r="I23" i="4"/>
  <c r="H23" i="4"/>
  <c r="G23" i="4"/>
  <c r="F23" i="4"/>
  <c r="E23" i="4"/>
  <c r="D23" i="4"/>
  <c r="C23" i="4"/>
  <c r="L22" i="4"/>
  <c r="K22" i="4"/>
  <c r="J22" i="4"/>
  <c r="I22" i="4"/>
  <c r="H22" i="4"/>
  <c r="G22" i="4"/>
  <c r="F22" i="4"/>
  <c r="E22" i="4"/>
  <c r="D22" i="4"/>
  <c r="C22" i="4"/>
  <c r="L21" i="4"/>
  <c r="K21" i="4"/>
  <c r="J21" i="4"/>
  <c r="I21" i="4"/>
  <c r="H21" i="4"/>
  <c r="G21" i="4"/>
  <c r="F21" i="4"/>
  <c r="E21" i="4"/>
  <c r="D21" i="4"/>
  <c r="C21" i="4"/>
  <c r="L20" i="4"/>
  <c r="K20" i="4"/>
  <c r="J20" i="4"/>
  <c r="I20" i="4"/>
  <c r="H20" i="4"/>
  <c r="G20" i="4"/>
  <c r="F20" i="4"/>
  <c r="E20" i="4"/>
  <c r="D20" i="4"/>
  <c r="C20" i="4"/>
  <c r="L19" i="4"/>
  <c r="K19" i="4"/>
  <c r="J19" i="4"/>
  <c r="I19" i="4"/>
  <c r="H19" i="4"/>
  <c r="G19" i="4"/>
  <c r="F19" i="4"/>
  <c r="E19" i="4"/>
  <c r="D19" i="4"/>
  <c r="C19" i="4"/>
  <c r="L18" i="4"/>
  <c r="K18" i="4"/>
  <c r="J18" i="4"/>
  <c r="I18" i="4"/>
  <c r="H18" i="4"/>
  <c r="G18" i="4"/>
  <c r="F18" i="4"/>
  <c r="E18" i="4"/>
  <c r="D18" i="4"/>
  <c r="C18" i="4"/>
  <c r="L17" i="4"/>
  <c r="K17" i="4"/>
  <c r="J17" i="4"/>
  <c r="I17" i="4"/>
  <c r="H17" i="4"/>
  <c r="G17" i="4"/>
  <c r="F17" i="4"/>
  <c r="E17" i="4"/>
  <c r="D17" i="4"/>
  <c r="C17" i="4"/>
  <c r="L16" i="4"/>
  <c r="K16" i="4"/>
  <c r="J16" i="4"/>
  <c r="I16" i="4"/>
  <c r="H16" i="4"/>
  <c r="G16" i="4"/>
  <c r="F16" i="4"/>
  <c r="E16" i="4"/>
  <c r="D16" i="4"/>
  <c r="C16" i="4"/>
  <c r="L15" i="4"/>
  <c r="K15" i="4"/>
  <c r="J15" i="4"/>
  <c r="I15" i="4"/>
  <c r="H15" i="4"/>
  <c r="G15" i="4"/>
  <c r="F15" i="4"/>
  <c r="E15" i="4"/>
  <c r="D15" i="4"/>
  <c r="C15" i="4"/>
  <c r="L14" i="4"/>
  <c r="K14" i="4"/>
  <c r="J14" i="4"/>
  <c r="I14" i="4"/>
  <c r="H14" i="4"/>
  <c r="G14" i="4"/>
  <c r="F14" i="4"/>
  <c r="E14" i="4"/>
  <c r="D14" i="4"/>
  <c r="C14" i="4"/>
  <c r="L13" i="4"/>
  <c r="K13" i="4"/>
  <c r="J13" i="4"/>
  <c r="I13" i="4"/>
  <c r="H13" i="4"/>
  <c r="G13" i="4"/>
  <c r="F13" i="4"/>
  <c r="E13" i="4"/>
  <c r="D13" i="4"/>
  <c r="C13" i="4"/>
  <c r="L12" i="4"/>
  <c r="K12" i="4"/>
  <c r="J12" i="4"/>
  <c r="I12" i="4"/>
  <c r="H12" i="4"/>
  <c r="G12" i="4"/>
  <c r="F12" i="4"/>
  <c r="E12" i="4"/>
  <c r="D12" i="4"/>
  <c r="C12" i="4"/>
  <c r="L11" i="4"/>
  <c r="K11" i="4"/>
  <c r="J11" i="4"/>
  <c r="I11" i="4"/>
  <c r="H11" i="4"/>
  <c r="G11" i="4"/>
  <c r="F11" i="4"/>
  <c r="E11" i="4"/>
  <c r="D11" i="4"/>
  <c r="C11" i="4"/>
  <c r="L10" i="4"/>
  <c r="K10" i="4"/>
  <c r="J10" i="4"/>
  <c r="I10" i="4"/>
  <c r="H10" i="4"/>
  <c r="G10" i="4"/>
  <c r="F10" i="4"/>
  <c r="E10" i="4"/>
  <c r="D10" i="4"/>
  <c r="C10" i="4"/>
  <c r="L9" i="4"/>
  <c r="K9" i="4"/>
  <c r="J9" i="4"/>
  <c r="I9" i="4"/>
  <c r="H9" i="4"/>
  <c r="G9" i="4"/>
  <c r="F9" i="4"/>
  <c r="E9" i="4"/>
  <c r="D9" i="4"/>
  <c r="C9" i="4"/>
  <c r="L8" i="4"/>
  <c r="K8" i="4"/>
  <c r="J8" i="4"/>
  <c r="I8" i="4"/>
  <c r="H8" i="4"/>
  <c r="G8" i="4"/>
  <c r="F8" i="4"/>
  <c r="E8" i="4"/>
  <c r="D8" i="4"/>
  <c r="C8" i="4"/>
  <c r="L7" i="4"/>
  <c r="K7" i="4"/>
  <c r="J7" i="4"/>
  <c r="I7" i="4"/>
  <c r="H7" i="4"/>
  <c r="G7" i="4"/>
  <c r="F7" i="4"/>
  <c r="E7" i="4"/>
  <c r="D7" i="4"/>
  <c r="C7" i="4"/>
  <c r="L6" i="4"/>
  <c r="K6" i="4"/>
  <c r="J6" i="4"/>
  <c r="I6" i="4"/>
  <c r="H6" i="4"/>
  <c r="G6" i="4"/>
  <c r="F6" i="4"/>
  <c r="E6" i="4"/>
  <c r="D6" i="4"/>
  <c r="C6" i="4"/>
  <c r="L5" i="4"/>
  <c r="K5" i="4"/>
  <c r="J5" i="4"/>
  <c r="I5" i="4"/>
  <c r="H5" i="4"/>
  <c r="G5" i="4"/>
  <c r="F5" i="4"/>
  <c r="E5" i="4"/>
  <c r="D5" i="4"/>
  <c r="C5" i="4"/>
  <c r="L4" i="4"/>
  <c r="K4" i="4"/>
  <c r="J4" i="4"/>
  <c r="I4" i="4"/>
  <c r="H4" i="4"/>
  <c r="G4" i="4"/>
  <c r="F4" i="4"/>
  <c r="E4" i="4"/>
  <c r="D4" i="4"/>
  <c r="C4" i="4"/>
  <c r="L3" i="4"/>
  <c r="K3" i="4"/>
  <c r="I3" i="4"/>
  <c r="H3" i="4"/>
  <c r="G3" i="4"/>
  <c r="F3" i="4"/>
  <c r="E3" i="4"/>
  <c r="N11" i="4"/>
  <c r="N903" i="2"/>
  <c r="N902" i="2"/>
  <c r="N901" i="2"/>
  <c r="N900" i="2"/>
  <c r="N899" i="2"/>
  <c r="N898" i="2"/>
  <c r="N897" i="2"/>
  <c r="N896" i="2"/>
  <c r="N895" i="2"/>
  <c r="N894" i="2"/>
  <c r="N893" i="2"/>
  <c r="N892" i="2"/>
  <c r="N891" i="2"/>
  <c r="N890" i="2"/>
  <c r="N889" i="2"/>
  <c r="N888" i="2"/>
  <c r="N887" i="2"/>
  <c r="N886" i="2"/>
  <c r="N885" i="2"/>
  <c r="N884" i="2"/>
  <c r="N883" i="2"/>
  <c r="N882" i="2"/>
  <c r="N881" i="2"/>
  <c r="N880" i="2"/>
  <c r="N879" i="2"/>
  <c r="N878" i="2"/>
  <c r="N877" i="2"/>
  <c r="N876" i="2"/>
  <c r="N875" i="2"/>
  <c r="N874" i="2"/>
  <c r="N873" i="2"/>
  <c r="N872" i="2"/>
  <c r="N871" i="2"/>
  <c r="N870" i="2"/>
  <c r="N869" i="2"/>
  <c r="N868" i="2"/>
  <c r="N867" i="2"/>
  <c r="N866" i="2"/>
  <c r="N865" i="2"/>
  <c r="N864" i="2"/>
  <c r="N863" i="2"/>
  <c r="N862" i="2"/>
  <c r="N861" i="2"/>
  <c r="N860" i="2"/>
  <c r="N859" i="2"/>
  <c r="N858" i="2"/>
  <c r="N857" i="2"/>
  <c r="N856" i="2"/>
  <c r="N855" i="2"/>
  <c r="N854" i="2"/>
  <c r="N853" i="2"/>
  <c r="N852" i="2"/>
  <c r="N851" i="2"/>
  <c r="N850" i="2"/>
  <c r="N849" i="2"/>
  <c r="N848" i="2"/>
  <c r="N847" i="2"/>
  <c r="N846" i="2"/>
  <c r="N845" i="2"/>
  <c r="N844" i="2"/>
  <c r="N843" i="2"/>
  <c r="N842" i="2"/>
  <c r="N841" i="2"/>
  <c r="N840" i="2"/>
  <c r="N839" i="2"/>
  <c r="N838" i="2"/>
  <c r="N837" i="2"/>
  <c r="N836" i="2"/>
  <c r="N835" i="2"/>
  <c r="N834" i="2"/>
  <c r="N833" i="2"/>
  <c r="N832" i="2"/>
  <c r="N831" i="2"/>
  <c r="N830" i="2"/>
  <c r="N829" i="2"/>
  <c r="N828" i="2"/>
  <c r="N827" i="2"/>
  <c r="N826" i="2"/>
  <c r="N825" i="2"/>
  <c r="N824" i="2"/>
  <c r="N823" i="2"/>
  <c r="N822" i="2"/>
  <c r="N821" i="2"/>
  <c r="N820" i="2"/>
  <c r="N819" i="2"/>
  <c r="N818" i="2"/>
  <c r="N817" i="2"/>
  <c r="N816" i="2"/>
  <c r="N815" i="2"/>
  <c r="N814" i="2"/>
  <c r="N813" i="2"/>
  <c r="N812" i="2"/>
  <c r="N811" i="2"/>
  <c r="N810" i="2"/>
  <c r="N809" i="2"/>
  <c r="N808" i="2"/>
  <c r="N807" i="2"/>
  <c r="N806" i="2"/>
  <c r="N805" i="2"/>
  <c r="N804" i="2"/>
  <c r="N803" i="2"/>
  <c r="N802" i="2"/>
  <c r="N801" i="2"/>
  <c r="N800" i="2"/>
  <c r="N799" i="2"/>
  <c r="N798" i="2"/>
  <c r="N797" i="2"/>
  <c r="N796" i="2"/>
  <c r="N795" i="2"/>
  <c r="N794" i="2"/>
  <c r="N793" i="2"/>
  <c r="N792" i="2"/>
  <c r="N791" i="2"/>
  <c r="N790" i="2"/>
  <c r="N789" i="2"/>
  <c r="N788" i="2"/>
  <c r="N787" i="2"/>
  <c r="N786" i="2"/>
  <c r="N785" i="2"/>
  <c r="N784" i="2"/>
  <c r="N783" i="2"/>
  <c r="N782" i="2"/>
  <c r="N781" i="2"/>
  <c r="N780" i="2"/>
  <c r="N779" i="2"/>
  <c r="N778" i="2"/>
  <c r="N777" i="2"/>
  <c r="N776" i="2"/>
  <c r="N775" i="2"/>
  <c r="N774" i="2"/>
  <c r="N773" i="2"/>
  <c r="N772" i="2"/>
  <c r="N771" i="2"/>
  <c r="N770" i="2"/>
  <c r="N769" i="2"/>
  <c r="N768" i="2"/>
  <c r="N767" i="2"/>
  <c r="N766" i="2"/>
  <c r="N765" i="2"/>
  <c r="N764" i="2"/>
  <c r="N763" i="2"/>
  <c r="N762" i="2"/>
  <c r="N761" i="2"/>
  <c r="N760" i="2"/>
  <c r="N759" i="2"/>
  <c r="N758" i="2"/>
  <c r="N757" i="2"/>
  <c r="N756" i="2"/>
  <c r="N755" i="2"/>
  <c r="N754" i="2"/>
  <c r="N753" i="2"/>
  <c r="N752" i="2"/>
  <c r="N751" i="2"/>
  <c r="N750" i="2"/>
  <c r="N749" i="2"/>
  <c r="N748" i="2"/>
  <c r="N747" i="2"/>
  <c r="N746" i="2"/>
  <c r="N745" i="2"/>
  <c r="N744" i="2"/>
  <c r="N743" i="2"/>
  <c r="N742" i="2"/>
  <c r="N741" i="2"/>
  <c r="N740" i="2"/>
  <c r="N739" i="2"/>
  <c r="N738" i="2"/>
  <c r="N737" i="2"/>
  <c r="N736" i="2"/>
  <c r="N735" i="2"/>
  <c r="N734" i="2"/>
  <c r="N733" i="2"/>
  <c r="N732" i="2"/>
  <c r="N731" i="2"/>
  <c r="N730" i="2"/>
  <c r="N729" i="2"/>
  <c r="N728" i="2"/>
  <c r="N727" i="2"/>
  <c r="N726" i="2"/>
  <c r="N725" i="2"/>
  <c r="N724" i="2"/>
  <c r="N723" i="2"/>
  <c r="N722" i="2"/>
  <c r="N721" i="2"/>
  <c r="N720" i="2"/>
  <c r="N719" i="2"/>
  <c r="N718" i="2"/>
  <c r="N717" i="2"/>
  <c r="N716" i="2"/>
  <c r="N715" i="2"/>
  <c r="N714" i="2"/>
  <c r="N713" i="2"/>
  <c r="N712" i="2"/>
  <c r="N711" i="2"/>
  <c r="N710" i="2"/>
  <c r="N709" i="2"/>
  <c r="N708" i="2"/>
  <c r="N707" i="2"/>
  <c r="N706" i="2"/>
  <c r="N705" i="2"/>
  <c r="N704" i="2"/>
  <c r="N703" i="2"/>
  <c r="N702" i="2"/>
  <c r="N701" i="2"/>
  <c r="N700" i="2"/>
  <c r="N699" i="2"/>
  <c r="N698" i="2"/>
  <c r="N697" i="2"/>
  <c r="N696" i="2"/>
  <c r="N695" i="2"/>
  <c r="N694" i="2"/>
  <c r="N693" i="2"/>
  <c r="N692" i="2"/>
  <c r="N691" i="2"/>
  <c r="N690" i="2"/>
  <c r="N689" i="2"/>
  <c r="N688" i="2"/>
  <c r="N687" i="2"/>
  <c r="N686" i="2"/>
  <c r="N685" i="2"/>
  <c r="N684" i="2"/>
  <c r="N683" i="2"/>
  <c r="N682" i="2"/>
  <c r="N681" i="2"/>
  <c r="N680" i="2"/>
  <c r="N679" i="2"/>
  <c r="N678" i="2"/>
  <c r="N677" i="2"/>
  <c r="N676" i="2"/>
  <c r="N675" i="2"/>
  <c r="N674" i="2"/>
  <c r="N673" i="2"/>
  <c r="N672" i="2"/>
  <c r="N671" i="2"/>
  <c r="N670" i="2"/>
  <c r="N669" i="2"/>
  <c r="N668" i="2"/>
  <c r="N667" i="2"/>
  <c r="N666" i="2"/>
  <c r="N665" i="2"/>
  <c r="N664" i="2"/>
  <c r="N663" i="2"/>
  <c r="N662" i="2"/>
  <c r="N661" i="2"/>
  <c r="N660" i="2"/>
  <c r="N659" i="2"/>
  <c r="N658" i="2"/>
  <c r="N657" i="2"/>
  <c r="N656" i="2"/>
  <c r="N655" i="2"/>
  <c r="N654" i="2"/>
  <c r="N653" i="2"/>
  <c r="N652" i="2"/>
  <c r="N651" i="2"/>
  <c r="N650" i="2"/>
  <c r="N649" i="2"/>
  <c r="N648" i="2"/>
  <c r="N647" i="2"/>
  <c r="N646" i="2"/>
  <c r="N645" i="2"/>
  <c r="N644" i="2"/>
  <c r="N643" i="2"/>
  <c r="N642" i="2"/>
  <c r="N641" i="2"/>
  <c r="N640" i="2"/>
  <c r="N639" i="2"/>
  <c r="N638" i="2"/>
  <c r="N637" i="2"/>
  <c r="N636" i="2"/>
  <c r="N635" i="2"/>
  <c r="N634" i="2"/>
  <c r="N633" i="2"/>
  <c r="N632" i="2"/>
  <c r="N631" i="2"/>
  <c r="N630" i="2"/>
  <c r="N629" i="2"/>
  <c r="N628" i="2"/>
  <c r="N627" i="2"/>
  <c r="N626" i="2"/>
  <c r="N625" i="2"/>
  <c r="N624" i="2"/>
  <c r="N623" i="2"/>
  <c r="N622" i="2"/>
  <c r="N621" i="2"/>
  <c r="N620" i="2"/>
  <c r="N619" i="2"/>
  <c r="N618" i="2"/>
  <c r="N617" i="2"/>
  <c r="N616" i="2"/>
  <c r="N615" i="2"/>
  <c r="N614" i="2"/>
  <c r="N613" i="2"/>
  <c r="N612" i="2"/>
  <c r="N611" i="2"/>
  <c r="N610" i="2"/>
  <c r="N609" i="2"/>
  <c r="N608" i="2"/>
  <c r="N607" i="2"/>
  <c r="N606" i="2"/>
  <c r="N605" i="2"/>
  <c r="N604" i="2"/>
  <c r="N603" i="2"/>
  <c r="N602" i="2"/>
  <c r="N601" i="2"/>
  <c r="N600" i="2"/>
  <c r="N599" i="2"/>
  <c r="N598" i="2"/>
  <c r="N597" i="2"/>
  <c r="N596" i="2"/>
  <c r="N595" i="2"/>
  <c r="N594" i="2"/>
  <c r="N593" i="2"/>
  <c r="N592" i="2"/>
  <c r="N591" i="2"/>
  <c r="N590" i="2"/>
  <c r="N589" i="2"/>
  <c r="N588" i="2"/>
  <c r="N587" i="2"/>
  <c r="N586" i="2"/>
  <c r="N585" i="2"/>
  <c r="N584" i="2"/>
  <c r="N583" i="2"/>
  <c r="N582" i="2"/>
  <c r="N581" i="2"/>
  <c r="N580" i="2"/>
  <c r="N579" i="2"/>
  <c r="N578" i="2"/>
  <c r="N577" i="2"/>
  <c r="N576" i="2"/>
  <c r="N575" i="2"/>
  <c r="N574" i="2"/>
  <c r="N573" i="2"/>
  <c r="N572" i="2"/>
  <c r="N571" i="2"/>
  <c r="N570" i="2"/>
  <c r="N569" i="2"/>
  <c r="N568" i="2"/>
  <c r="N567" i="2"/>
  <c r="N566" i="2"/>
  <c r="N565" i="2"/>
  <c r="N564" i="2"/>
  <c r="N563" i="2"/>
  <c r="N562" i="2"/>
  <c r="N561" i="2"/>
  <c r="N560" i="2"/>
  <c r="N559" i="2"/>
  <c r="N558" i="2"/>
  <c r="N557" i="2"/>
  <c r="N556" i="2"/>
  <c r="N555" i="2"/>
  <c r="N554" i="2"/>
  <c r="N553" i="2"/>
  <c r="N552" i="2"/>
  <c r="N551" i="2"/>
  <c r="N550" i="2"/>
  <c r="N549" i="2"/>
  <c r="N548" i="2"/>
  <c r="N547" i="2"/>
  <c r="N546" i="2"/>
  <c r="N545" i="2"/>
  <c r="N544" i="2"/>
  <c r="N543" i="2"/>
  <c r="N542" i="2"/>
  <c r="N541" i="2"/>
  <c r="N540" i="2"/>
  <c r="N539" i="2"/>
  <c r="N538" i="2"/>
  <c r="N537" i="2"/>
  <c r="N536" i="2"/>
  <c r="N535" i="2"/>
  <c r="N534" i="2"/>
  <c r="N533" i="2"/>
  <c r="N532" i="2"/>
  <c r="N531" i="2"/>
  <c r="N530" i="2"/>
  <c r="N529" i="2"/>
  <c r="N528" i="2"/>
  <c r="N527" i="2"/>
  <c r="N526" i="2"/>
  <c r="N525" i="2"/>
  <c r="N524" i="2"/>
  <c r="N523" i="2"/>
  <c r="N522" i="2"/>
  <c r="N521" i="2"/>
  <c r="N520" i="2"/>
  <c r="N519" i="2"/>
  <c r="N518" i="2"/>
  <c r="N517" i="2"/>
  <c r="N516" i="2"/>
  <c r="N515" i="2"/>
  <c r="N514" i="2"/>
  <c r="N513" i="2"/>
  <c r="N512" i="2"/>
  <c r="N511" i="2"/>
  <c r="N510" i="2"/>
  <c r="N509" i="2"/>
  <c r="N508" i="2"/>
  <c r="N507" i="2"/>
  <c r="N506" i="2"/>
  <c r="N505" i="2"/>
  <c r="N504" i="2"/>
  <c r="N503" i="2"/>
  <c r="N502" i="2"/>
  <c r="N501" i="2"/>
  <c r="N500" i="2"/>
  <c r="N499" i="2"/>
  <c r="N498" i="2"/>
  <c r="N497" i="2"/>
  <c r="N496" i="2"/>
  <c r="N495" i="2"/>
  <c r="N494" i="2"/>
  <c r="N493" i="2"/>
  <c r="N492" i="2"/>
  <c r="N491" i="2"/>
  <c r="N490" i="2"/>
  <c r="N489" i="2"/>
  <c r="N488" i="2"/>
  <c r="N487" i="2"/>
  <c r="N486" i="2"/>
  <c r="N485" i="2"/>
  <c r="N484" i="2"/>
  <c r="N483" i="2"/>
  <c r="N482" i="2"/>
  <c r="N481" i="2"/>
  <c r="N480" i="2"/>
  <c r="N479" i="2"/>
  <c r="N478" i="2"/>
  <c r="N477" i="2"/>
  <c r="N476" i="2"/>
  <c r="N475" i="2"/>
  <c r="N474" i="2"/>
  <c r="N473" i="2"/>
  <c r="N472" i="2"/>
  <c r="N471" i="2"/>
  <c r="N470" i="2"/>
  <c r="N469" i="2"/>
  <c r="N468" i="2"/>
  <c r="N467" i="2"/>
  <c r="N466" i="2"/>
  <c r="N465" i="2"/>
  <c r="N464" i="2"/>
  <c r="N463" i="2"/>
  <c r="N462" i="2"/>
  <c r="N461" i="2"/>
  <c r="N460" i="2"/>
  <c r="N459" i="2"/>
  <c r="N458" i="2"/>
  <c r="N457" i="2"/>
  <c r="N456" i="2"/>
  <c r="N455" i="2"/>
  <c r="N454" i="2"/>
  <c r="N453" i="2"/>
  <c r="N452" i="2"/>
  <c r="N451" i="2"/>
  <c r="N450" i="2"/>
  <c r="N449" i="2"/>
  <c r="N448" i="2"/>
  <c r="N447" i="2"/>
  <c r="N446" i="2"/>
  <c r="N445" i="2"/>
  <c r="N444" i="2"/>
  <c r="N443" i="2"/>
  <c r="N442" i="2"/>
  <c r="N441" i="2"/>
  <c r="N440" i="2"/>
  <c r="N439" i="2"/>
  <c r="N438" i="2"/>
  <c r="N437" i="2"/>
  <c r="N436" i="2"/>
  <c r="N435" i="2"/>
  <c r="N434" i="2"/>
  <c r="N433" i="2"/>
  <c r="N432" i="2"/>
  <c r="N431" i="2"/>
  <c r="N430" i="2"/>
  <c r="N429" i="2"/>
  <c r="N428" i="2"/>
  <c r="N427" i="2"/>
  <c r="N426" i="2"/>
  <c r="N425" i="2"/>
  <c r="N424" i="2"/>
  <c r="N423" i="2"/>
  <c r="N422" i="2"/>
  <c r="N421" i="2"/>
  <c r="N420" i="2"/>
  <c r="N419" i="2"/>
  <c r="N418" i="2"/>
  <c r="N417" i="2"/>
  <c r="N416" i="2"/>
  <c r="N415" i="2"/>
  <c r="N414" i="2"/>
  <c r="N413" i="2"/>
  <c r="N412" i="2"/>
  <c r="N411" i="2"/>
  <c r="N410" i="2"/>
  <c r="N409" i="2"/>
  <c r="N408" i="2"/>
  <c r="N407" i="2"/>
  <c r="N406" i="2"/>
  <c r="N405" i="2"/>
  <c r="N404" i="2"/>
  <c r="N403" i="2"/>
  <c r="N402" i="2"/>
  <c r="N401" i="2"/>
  <c r="N400" i="2"/>
  <c r="N399" i="2"/>
  <c r="N398" i="2"/>
  <c r="N397" i="2"/>
  <c r="N396" i="2"/>
  <c r="N395" i="2"/>
  <c r="N394" i="2"/>
  <c r="N393" i="2"/>
  <c r="N392" i="2"/>
  <c r="N391" i="2"/>
  <c r="N390" i="2"/>
  <c r="N389" i="2"/>
  <c r="N388" i="2"/>
  <c r="N387" i="2"/>
  <c r="N386" i="2"/>
  <c r="N385" i="2"/>
  <c r="N384" i="2"/>
  <c r="N383" i="2"/>
  <c r="N382" i="2"/>
  <c r="N381" i="2"/>
  <c r="N380" i="2"/>
  <c r="N379" i="2"/>
  <c r="N378" i="2"/>
  <c r="N377" i="2"/>
  <c r="N376" i="2"/>
  <c r="N375" i="2"/>
  <c r="N374" i="2"/>
  <c r="N373" i="2"/>
  <c r="N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AG11" i="4" l="1"/>
  <c r="AG5" i="4"/>
  <c r="N5" i="4"/>
  <c r="AH5" i="4" l="1"/>
  <c r="AI5" i="4" s="1"/>
  <c r="AH11" i="4"/>
  <c r="AI11" i="4" s="1"/>
  <c r="AW173" i="3"/>
  <c r="AW106" i="3"/>
  <c r="AW225" i="3"/>
  <c r="AW158" i="3"/>
  <c r="AX229" i="3"/>
  <c r="AX162" i="3"/>
  <c r="AW117" i="3"/>
  <c r="AW50" i="3"/>
  <c r="AX121" i="3"/>
  <c r="AX54" i="3"/>
  <c r="AU125" i="3"/>
  <c r="AU58" i="3"/>
  <c r="AV125" i="3"/>
  <c r="AV58" i="3"/>
  <c r="AW121" i="3"/>
  <c r="AW54" i="3"/>
  <c r="AX125" i="3"/>
  <c r="AX58" i="3"/>
  <c r="AU129" i="3"/>
  <c r="AU62" i="3"/>
  <c r="AV129" i="3"/>
  <c r="AV62" i="3"/>
  <c r="AX30" i="3"/>
  <c r="AU178" i="3"/>
  <c r="AV178" i="3"/>
  <c r="AV163" i="3"/>
  <c r="AR53" i="3"/>
  <c r="AR196" i="3"/>
  <c r="AW19" i="3"/>
  <c r="AW40" i="3"/>
  <c r="AS165" i="3"/>
  <c r="AS102" i="3"/>
  <c r="AX23" i="3"/>
  <c r="AX44" i="3"/>
  <c r="AT169" i="3"/>
  <c r="AX113" i="3"/>
  <c r="AU54" i="3"/>
  <c r="AV54" i="3"/>
  <c r="AV103" i="3"/>
  <c r="AV212" i="3"/>
  <c r="AR249" i="3"/>
  <c r="AW242" i="3"/>
  <c r="AW215" i="3"/>
  <c r="AS105" i="3"/>
  <c r="AS42" i="3"/>
  <c r="AX246" i="3"/>
  <c r="AX219" i="3"/>
  <c r="AT109" i="3"/>
  <c r="AT46" i="3"/>
  <c r="AU83" i="3"/>
  <c r="AU229" i="3"/>
  <c r="AV229" i="3"/>
  <c r="AV27" i="3"/>
  <c r="AV48" i="3"/>
  <c r="AR173" i="3"/>
  <c r="AR110" i="3"/>
  <c r="AW139" i="3"/>
  <c r="AS29" i="3"/>
  <c r="AS128" i="3"/>
  <c r="AS222" i="3"/>
  <c r="AX143" i="3"/>
  <c r="AT33" i="3"/>
  <c r="AT140" i="3"/>
  <c r="AU236" i="3"/>
  <c r="AW16" i="3"/>
  <c r="AW49" i="3"/>
  <c r="AW184" i="3"/>
  <c r="AX53" i="3"/>
  <c r="AX192" i="3"/>
  <c r="AU57" i="3"/>
  <c r="AW197" i="3"/>
  <c r="AW130" i="3"/>
  <c r="AX201" i="3"/>
  <c r="AX134" i="3"/>
  <c r="AU205" i="3"/>
  <c r="AU138" i="3"/>
  <c r="AV205" i="3"/>
  <c r="AV138" i="3"/>
  <c r="AW201" i="3"/>
  <c r="AW134" i="3"/>
  <c r="AX205" i="3"/>
  <c r="AX138" i="3"/>
  <c r="AU209" i="3"/>
  <c r="AU142" i="3"/>
  <c r="AV209" i="3"/>
  <c r="AV142" i="3"/>
  <c r="AU149" i="3"/>
  <c r="AV149" i="3"/>
  <c r="AV168" i="3"/>
  <c r="AV243" i="3"/>
  <c r="AR133" i="3"/>
  <c r="AR70" i="3"/>
  <c r="AW99" i="3"/>
  <c r="AW200" i="3"/>
  <c r="AW77" i="3"/>
  <c r="AW10" i="3"/>
  <c r="AW129" i="3"/>
  <c r="AW62" i="3"/>
  <c r="AX133" i="3"/>
  <c r="AX66" i="3"/>
  <c r="AW21" i="3"/>
  <c r="AW108" i="3"/>
  <c r="AX25" i="3"/>
  <c r="AX120" i="3"/>
  <c r="AU29" i="3"/>
  <c r="AU128" i="3"/>
  <c r="AV29" i="3"/>
  <c r="AV128" i="3"/>
  <c r="AW25" i="3"/>
  <c r="AW120" i="3"/>
  <c r="AX29" i="3"/>
  <c r="AX128" i="3"/>
  <c r="AU33" i="3"/>
  <c r="AU140" i="3"/>
  <c r="AV33" i="3"/>
  <c r="AV140" i="3"/>
  <c r="AW154" i="3"/>
  <c r="AU192" i="3"/>
  <c r="AV192" i="3"/>
  <c r="AV67" i="3"/>
  <c r="AV116" i="3"/>
  <c r="AR213" i="3"/>
  <c r="AW206" i="3"/>
  <c r="AW179" i="3"/>
  <c r="AW237" i="3"/>
  <c r="AW33" i="3"/>
  <c r="AW140" i="3"/>
  <c r="AX37" i="3"/>
  <c r="AX148" i="3"/>
  <c r="AU41" i="3"/>
  <c r="AW181" i="3"/>
  <c r="AW114" i="3"/>
  <c r="AX185" i="3"/>
  <c r="AX118" i="3"/>
  <c r="AU189" i="3"/>
  <c r="AU122" i="3"/>
  <c r="AV189" i="3"/>
  <c r="AV122" i="3"/>
  <c r="AW185" i="3"/>
  <c r="AW118" i="3"/>
  <c r="AX189" i="3"/>
  <c r="AX122" i="3"/>
  <c r="AU193" i="3"/>
  <c r="AU126" i="3"/>
  <c r="AV193" i="3"/>
  <c r="AV126" i="3"/>
  <c r="AU101" i="3"/>
  <c r="AV117" i="3"/>
  <c r="AV20" i="3"/>
  <c r="AV227" i="3"/>
  <c r="AR117" i="3"/>
  <c r="AR54" i="3"/>
  <c r="AW83" i="3"/>
  <c r="AW156" i="3"/>
  <c r="AS229" i="3"/>
  <c r="AS166" i="3"/>
  <c r="AX87" i="3"/>
  <c r="AX164" i="3"/>
  <c r="AT233" i="3"/>
  <c r="AX46" i="3"/>
  <c r="AU182" i="3"/>
  <c r="AV182" i="3"/>
  <c r="AV167" i="3"/>
  <c r="AR57" i="3"/>
  <c r="AR208" i="3"/>
  <c r="AW23" i="3"/>
  <c r="AW44" i="3"/>
  <c r="AS169" i="3"/>
  <c r="AS106" i="3"/>
  <c r="AX27" i="3"/>
  <c r="AX48" i="3"/>
  <c r="AT173" i="3"/>
  <c r="AT110" i="3"/>
  <c r="AX65" i="3"/>
  <c r="AU34" i="3"/>
  <c r="AV34" i="3"/>
  <c r="AV91" i="3"/>
  <c r="AV176" i="3"/>
  <c r="AR237" i="3"/>
  <c r="AW230" i="3"/>
  <c r="AW203" i="3"/>
  <c r="AS93" i="3"/>
  <c r="AS30" i="3"/>
  <c r="AX234" i="3"/>
  <c r="AX207" i="3"/>
  <c r="AT97" i="3"/>
  <c r="AT34" i="3"/>
  <c r="AW61" i="3"/>
  <c r="AW216" i="3"/>
  <c r="AW113" i="3"/>
  <c r="AW46" i="3"/>
  <c r="AX117" i="3"/>
  <c r="AX50" i="3"/>
  <c r="AU121" i="3"/>
  <c r="AW72" i="3"/>
  <c r="AX9" i="3"/>
  <c r="AX80" i="3"/>
  <c r="AU13" i="3"/>
  <c r="AU88" i="3"/>
  <c r="AV13" i="3"/>
  <c r="AV88" i="3"/>
  <c r="AW9" i="3"/>
  <c r="AW80" i="3"/>
  <c r="AX13" i="3"/>
  <c r="AX88" i="3"/>
  <c r="AU17" i="3"/>
  <c r="AU96" i="3"/>
  <c r="AV17" i="3"/>
  <c r="AV96" i="3"/>
  <c r="AV206" i="3"/>
  <c r="AU108" i="3"/>
  <c r="AV108" i="3"/>
  <c r="AV51" i="3"/>
  <c r="AV84" i="3"/>
  <c r="AR197" i="3"/>
  <c r="AR134" i="3"/>
  <c r="AW163" i="3"/>
  <c r="AS53" i="3"/>
  <c r="AW141" i="3"/>
  <c r="AW74" i="3"/>
  <c r="AW193" i="3"/>
  <c r="AW126" i="3"/>
  <c r="AX197" i="3"/>
  <c r="AX130" i="3"/>
  <c r="AW85" i="3"/>
  <c r="AW18" i="3"/>
  <c r="AX89" i="3"/>
  <c r="AX22" i="3"/>
  <c r="AU93" i="3"/>
  <c r="AU26" i="3"/>
  <c r="AV93" i="3"/>
  <c r="AV26" i="3"/>
  <c r="AW89" i="3"/>
  <c r="AW22" i="3"/>
  <c r="AX93" i="3"/>
  <c r="AX26" i="3"/>
  <c r="AU97" i="3"/>
  <c r="AU30" i="3"/>
  <c r="AV97" i="3"/>
  <c r="AV30" i="3"/>
  <c r="AX225" i="3"/>
  <c r="AU114" i="3"/>
  <c r="AV114" i="3"/>
  <c r="AV131" i="3"/>
  <c r="AR21" i="3"/>
  <c r="AR112" i="3"/>
  <c r="AW168" i="3"/>
  <c r="AW243" i="3"/>
  <c r="AW45" i="3"/>
  <c r="AW172" i="3"/>
  <c r="AW97" i="3"/>
  <c r="AW30" i="3"/>
  <c r="AX101" i="3"/>
  <c r="AX34" i="3"/>
  <c r="AU105" i="3"/>
  <c r="AW245" i="3"/>
  <c r="AW178" i="3"/>
  <c r="AX249" i="3"/>
  <c r="AX182" i="3"/>
  <c r="AU16" i="3"/>
  <c r="AU186" i="3"/>
  <c r="AV16" i="3"/>
  <c r="AV186" i="3"/>
  <c r="AW249" i="3"/>
  <c r="AW182" i="3"/>
  <c r="AX16" i="3"/>
  <c r="AX186" i="3"/>
  <c r="AU60" i="3"/>
  <c r="AU190" i="3"/>
  <c r="AV60" i="3"/>
  <c r="AV190" i="3"/>
  <c r="AU245" i="3"/>
  <c r="AV245" i="3"/>
  <c r="AV35" i="3"/>
  <c r="AV56" i="3"/>
  <c r="AR181" i="3"/>
  <c r="AR118" i="3"/>
  <c r="AW147" i="3"/>
  <c r="AS37" i="3"/>
  <c r="AS152" i="3"/>
  <c r="AS230" i="3"/>
  <c r="AX151" i="3"/>
  <c r="AT41" i="3"/>
  <c r="AT164" i="3"/>
  <c r="AU117" i="3"/>
  <c r="AV121" i="3"/>
  <c r="AV112" i="3"/>
  <c r="AV231" i="3"/>
  <c r="AR121" i="3"/>
  <c r="AR58" i="3"/>
  <c r="AW87" i="3"/>
  <c r="AW164" i="3"/>
  <c r="AS233" i="3"/>
  <c r="AS170" i="3"/>
  <c r="AX91" i="3"/>
  <c r="AX176" i="3"/>
  <c r="AT237" i="3"/>
  <c r="AU238" i="3"/>
  <c r="AX228" i="3"/>
  <c r="AU162" i="3"/>
  <c r="AV162" i="3"/>
  <c r="AV155" i="3"/>
  <c r="AR45" i="3"/>
  <c r="AR176" i="3"/>
  <c r="AW11" i="3"/>
  <c r="AW32" i="3"/>
  <c r="AS157" i="3"/>
  <c r="AS94" i="3"/>
  <c r="AX15" i="3"/>
  <c r="AX36" i="3"/>
  <c r="AT161" i="3"/>
  <c r="AT98" i="3"/>
  <c r="AW125" i="3"/>
  <c r="AW58" i="3"/>
  <c r="AW177" i="3"/>
  <c r="AW110" i="3"/>
  <c r="AX181" i="3"/>
  <c r="AX114" i="3"/>
  <c r="AW69" i="3"/>
  <c r="AW240" i="3"/>
  <c r="AX73" i="3"/>
  <c r="AX248" i="3"/>
  <c r="AU77" i="3"/>
  <c r="AU10" i="3"/>
  <c r="AV77" i="3"/>
  <c r="AV10" i="3"/>
  <c r="AW73" i="3"/>
  <c r="AW248" i="3"/>
  <c r="AX77" i="3"/>
  <c r="AX10" i="3"/>
  <c r="AU81" i="3"/>
  <c r="AU14" i="3"/>
  <c r="AV81" i="3"/>
  <c r="AV14" i="3"/>
  <c r="AX161" i="3"/>
  <c r="AU82" i="3"/>
  <c r="AV82" i="3"/>
  <c r="AV115" i="3"/>
  <c r="AV244" i="3"/>
  <c r="AR76" i="3"/>
  <c r="AW20" i="3"/>
  <c r="AW227" i="3"/>
  <c r="AS117" i="3"/>
  <c r="AW205" i="3"/>
  <c r="AW138" i="3"/>
  <c r="AW60" i="3"/>
  <c r="AW190" i="3"/>
  <c r="AX72" i="3"/>
  <c r="AU9" i="3"/>
  <c r="AW149" i="3"/>
  <c r="AW82" i="3"/>
  <c r="AX153" i="3"/>
  <c r="AX86" i="3"/>
  <c r="AU157" i="3"/>
  <c r="AU90" i="3"/>
  <c r="AV157" i="3"/>
  <c r="AV90" i="3"/>
  <c r="AW153" i="3"/>
  <c r="AW86" i="3"/>
  <c r="AX157" i="3"/>
  <c r="AX90" i="3"/>
  <c r="AU161" i="3"/>
  <c r="AU94" i="3"/>
  <c r="AV161" i="3"/>
  <c r="AV94" i="3"/>
  <c r="AX158" i="3"/>
  <c r="AV53" i="3"/>
  <c r="AV222" i="3"/>
  <c r="AV195" i="3"/>
  <c r="AR85" i="3"/>
  <c r="AR22" i="3"/>
  <c r="AW51" i="3"/>
  <c r="AW84" i="3"/>
  <c r="AS197" i="3"/>
  <c r="AS134" i="3"/>
  <c r="AW109" i="3"/>
  <c r="AW42" i="3"/>
  <c r="AW161" i="3"/>
  <c r="AW94" i="3"/>
  <c r="AX165" i="3"/>
  <c r="AX98" i="3"/>
  <c r="AW53" i="3"/>
  <c r="AW192" i="3"/>
  <c r="AX57" i="3"/>
  <c r="AX204" i="3"/>
  <c r="AU61" i="3"/>
  <c r="AU216" i="3"/>
  <c r="AV61" i="3"/>
  <c r="AV216" i="3"/>
  <c r="AW57" i="3"/>
  <c r="AW204" i="3"/>
  <c r="AX61" i="3"/>
  <c r="AX216" i="3"/>
  <c r="AU65" i="3"/>
  <c r="AU228" i="3"/>
  <c r="AV65" i="3"/>
  <c r="AV228" i="3"/>
  <c r="AX97" i="3"/>
  <c r="AU50" i="3"/>
  <c r="AV50" i="3"/>
  <c r="AV99" i="3"/>
  <c r="AV200" i="3"/>
  <c r="AR245" i="3"/>
  <c r="AW238" i="3"/>
  <c r="AW211" i="3"/>
  <c r="AS101" i="3"/>
  <c r="AS38" i="3"/>
  <c r="AX242" i="3"/>
  <c r="AX215" i="3"/>
  <c r="AT105" i="3"/>
  <c r="AT42" i="3"/>
  <c r="AU249" i="3"/>
  <c r="AV249" i="3"/>
  <c r="AV39" i="3"/>
  <c r="AV64" i="3"/>
  <c r="AR185" i="3"/>
  <c r="AR122" i="3"/>
  <c r="AW151" i="3"/>
  <c r="AS41" i="3"/>
  <c r="AS164" i="3"/>
  <c r="AS234" i="3"/>
  <c r="AX155" i="3"/>
  <c r="AT45" i="3"/>
  <c r="AT176" i="3"/>
  <c r="AU19" i="3"/>
  <c r="AU69" i="3"/>
  <c r="AV101" i="3"/>
  <c r="AV246" i="3"/>
  <c r="AV219" i="3"/>
  <c r="AR109" i="3"/>
  <c r="AR46" i="3"/>
  <c r="AW75" i="3"/>
  <c r="AW132" i="3"/>
  <c r="AS221" i="3"/>
  <c r="AS158" i="3"/>
  <c r="AX79" i="3"/>
  <c r="AX144" i="3"/>
  <c r="AT225" i="3"/>
  <c r="AU226" i="3"/>
  <c r="AW189" i="3"/>
  <c r="AW122" i="3"/>
  <c r="AW241" i="3"/>
  <c r="AW174" i="3"/>
  <c r="AX245" i="3"/>
  <c r="AX178" i="3"/>
  <c r="AW133" i="3"/>
  <c r="AW66" i="3"/>
  <c r="AX137" i="3"/>
  <c r="AX70" i="3"/>
  <c r="AU141" i="3"/>
  <c r="AU74" i="3"/>
  <c r="AV141" i="3"/>
  <c r="AV74" i="3"/>
  <c r="AW137" i="3"/>
  <c r="AW70" i="3"/>
  <c r="AX141" i="3"/>
  <c r="AX74" i="3"/>
  <c r="AU145" i="3"/>
  <c r="AU78" i="3"/>
  <c r="AV145" i="3"/>
  <c r="AV78" i="3"/>
  <c r="AX94" i="3"/>
  <c r="AV21" i="3"/>
  <c r="AV202" i="3"/>
  <c r="AV179" i="3"/>
  <c r="AR69" i="3"/>
  <c r="AR240" i="3"/>
  <c r="AW35" i="3"/>
  <c r="AW56" i="3"/>
  <c r="AW13" i="3"/>
  <c r="AW88" i="3"/>
  <c r="AW65" i="3"/>
  <c r="AW228" i="3"/>
  <c r="AX69" i="3"/>
  <c r="AX240" i="3"/>
  <c r="AU73" i="3"/>
  <c r="AW213" i="3"/>
  <c r="AW146" i="3"/>
  <c r="AX217" i="3"/>
  <c r="AX150" i="3"/>
  <c r="AU221" i="3"/>
  <c r="AU154" i="3"/>
  <c r="AV221" i="3"/>
  <c r="AV154" i="3"/>
  <c r="AW217" i="3"/>
  <c r="AW150" i="3"/>
  <c r="AX221" i="3"/>
  <c r="AX154" i="3"/>
  <c r="AU225" i="3"/>
  <c r="AU158" i="3"/>
  <c r="AV225" i="3"/>
  <c r="AV158" i="3"/>
  <c r="AU181" i="3"/>
  <c r="AV181" i="3"/>
  <c r="AV224" i="3"/>
  <c r="AV24" i="3"/>
  <c r="AR149" i="3"/>
  <c r="AR86" i="3"/>
  <c r="AW115" i="3"/>
  <c r="AW244" i="3"/>
  <c r="AS76" i="3"/>
  <c r="AS198" i="3"/>
  <c r="AS69" i="3"/>
  <c r="AX210" i="3"/>
  <c r="AX183" i="3"/>
  <c r="AT73" i="3"/>
  <c r="AT10" i="3"/>
  <c r="AU185" i="3"/>
  <c r="AV185" i="3"/>
  <c r="AV236" i="3"/>
  <c r="AV28" i="3"/>
  <c r="AR153" i="3"/>
  <c r="AR90" i="3"/>
  <c r="AW119" i="3"/>
  <c r="AS9" i="3"/>
  <c r="AS84" i="3"/>
  <c r="AS202" i="3"/>
  <c r="AX123" i="3"/>
  <c r="AT13" i="3"/>
  <c r="AT92" i="3"/>
  <c r="AU168" i="3"/>
  <c r="AX126" i="3"/>
  <c r="AV37" i="3"/>
  <c r="AV214" i="3"/>
  <c r="AV187" i="3"/>
  <c r="AR77" i="3"/>
  <c r="AR14" i="3"/>
  <c r="AW43" i="3"/>
  <c r="AW68" i="3"/>
  <c r="AS189" i="3"/>
  <c r="AS126" i="3"/>
  <c r="AX47" i="3"/>
  <c r="AW128" i="3"/>
  <c r="AX18" i="3"/>
  <c r="AX233" i="3"/>
  <c r="AV237" i="3"/>
  <c r="AX237" i="3"/>
  <c r="AV241" i="3"/>
  <c r="AV19" i="3"/>
  <c r="AW131" i="3"/>
  <c r="AS150" i="3"/>
  <c r="AX124" i="3"/>
  <c r="AX184" i="3"/>
  <c r="AV150" i="3"/>
  <c r="AR41" i="3"/>
  <c r="AW236" i="3"/>
  <c r="AS153" i="3"/>
  <c r="AX11" i="3"/>
  <c r="AT157" i="3"/>
  <c r="AW186" i="3"/>
  <c r="AV240" i="3"/>
  <c r="AV132" i="3"/>
  <c r="AW214" i="3"/>
  <c r="AS77" i="3"/>
  <c r="AX218" i="3"/>
  <c r="AX232" i="3"/>
  <c r="AT18" i="3"/>
  <c r="AU119" i="3"/>
  <c r="AQ9" i="3"/>
  <c r="AX14" i="3"/>
  <c r="AU166" i="3"/>
  <c r="AV166" i="3"/>
  <c r="AV159" i="3"/>
  <c r="AR49" i="3"/>
  <c r="AR184" i="3"/>
  <c r="AW15" i="3"/>
  <c r="AW36" i="3"/>
  <c r="AS161" i="3"/>
  <c r="AS98" i="3"/>
  <c r="AX19" i="3"/>
  <c r="AX40" i="3"/>
  <c r="AT165" i="3"/>
  <c r="AT102" i="3"/>
  <c r="AU139" i="3"/>
  <c r="AQ29" i="3"/>
  <c r="AU179" i="3"/>
  <c r="AQ16" i="3"/>
  <c r="AQ190" i="3"/>
  <c r="AS99" i="3"/>
  <c r="AS204" i="3"/>
  <c r="AO197" i="3"/>
  <c r="AT250" i="3"/>
  <c r="AT219" i="3"/>
  <c r="AO89" i="3"/>
  <c r="AP139" i="3"/>
  <c r="AQ20" i="3"/>
  <c r="AQ223" i="3"/>
  <c r="AP89" i="3"/>
  <c r="AL151" i="3"/>
  <c r="AR91" i="3"/>
  <c r="AQ49" i="3"/>
  <c r="AQ50" i="3"/>
  <c r="AS246" i="3"/>
  <c r="AS215" i="3"/>
  <c r="AO85" i="3"/>
  <c r="AP131" i="3"/>
  <c r="AT79" i="3"/>
  <c r="AT144" i="3"/>
  <c r="AP181" i="3"/>
  <c r="AL128" i="3"/>
  <c r="AQ83" i="3"/>
  <c r="AQ156" i="3"/>
  <c r="AL185" i="3"/>
  <c r="AR230" i="3"/>
  <c r="AR207" i="3"/>
  <c r="AQ117" i="3"/>
  <c r="AQ86" i="3"/>
  <c r="AS200" i="3"/>
  <c r="AS251" i="3"/>
  <c r="AP113" i="3"/>
  <c r="AL203" i="3"/>
  <c r="AT115" i="3"/>
  <c r="AS133" i="3"/>
  <c r="AX180" i="3"/>
  <c r="AX247" i="3"/>
  <c r="AT137" i="3"/>
  <c r="AW170" i="3"/>
  <c r="AU204" i="3"/>
  <c r="AV204" i="3"/>
  <c r="AV71" i="3"/>
  <c r="AV124" i="3"/>
  <c r="AR217" i="3"/>
  <c r="AW210" i="3"/>
  <c r="AW183" i="3"/>
  <c r="AS73" i="3"/>
  <c r="AS10" i="3"/>
  <c r="AX214" i="3"/>
  <c r="AX187" i="3"/>
  <c r="AT77" i="3"/>
  <c r="AT14" i="3"/>
  <c r="AU51" i="3"/>
  <c r="AU165" i="3"/>
  <c r="AV165" i="3"/>
  <c r="AV196" i="3"/>
  <c r="AV251" i="3"/>
  <c r="AR141" i="3"/>
  <c r="AR78" i="3"/>
  <c r="AW107" i="3"/>
  <c r="AW220" i="3"/>
  <c r="AS16" i="3"/>
  <c r="AS190" i="3"/>
  <c r="AX111" i="3"/>
  <c r="AW81" i="3"/>
  <c r="AU89" i="3"/>
  <c r="AX166" i="3"/>
  <c r="AV170" i="3"/>
  <c r="AX170" i="3"/>
  <c r="AV174" i="3"/>
  <c r="AV40" i="3"/>
  <c r="AS21" i="3"/>
  <c r="AX226" i="3"/>
  <c r="AT89" i="3"/>
  <c r="AU217" i="3"/>
  <c r="AV23" i="3"/>
  <c r="AR169" i="3"/>
  <c r="AW135" i="3"/>
  <c r="AS120" i="3"/>
  <c r="AX139" i="3"/>
  <c r="AT128" i="3"/>
  <c r="AX190" i="3"/>
  <c r="AV230" i="3"/>
  <c r="AR93" i="3"/>
  <c r="AW59" i="3"/>
  <c r="AS205" i="3"/>
  <c r="AX63" i="3"/>
  <c r="AT81" i="3"/>
  <c r="AT114" i="3"/>
  <c r="AU183" i="3"/>
  <c r="AQ73" i="3"/>
  <c r="AU85" i="3"/>
  <c r="AV105" i="3"/>
  <c r="AV250" i="3"/>
  <c r="AV223" i="3"/>
  <c r="AR113" i="3"/>
  <c r="AR50" i="3"/>
  <c r="AW79" i="3"/>
  <c r="AW144" i="3"/>
  <c r="AS225" i="3"/>
  <c r="AS162" i="3"/>
  <c r="AX83" i="3"/>
  <c r="AX156" i="3"/>
  <c r="AT229" i="3"/>
  <c r="AU230" i="3"/>
  <c r="AU203" i="3"/>
  <c r="AQ93" i="3"/>
  <c r="AU84" i="3"/>
  <c r="AQ220" i="3"/>
  <c r="AT142" i="3"/>
  <c r="AS163" i="3"/>
  <c r="AM45" i="3"/>
  <c r="AN249" i="3"/>
  <c r="AT27" i="3"/>
  <c r="AT48" i="3"/>
  <c r="AN141" i="3"/>
  <c r="AO16" i="3"/>
  <c r="AQ31" i="3"/>
  <c r="AQ52" i="3"/>
  <c r="AO141" i="3"/>
  <c r="AP16" i="3"/>
  <c r="AU218" i="3"/>
  <c r="AQ177" i="3"/>
  <c r="AQ114" i="3"/>
  <c r="AS23" i="3"/>
  <c r="AS44" i="3"/>
  <c r="AN137" i="3"/>
  <c r="AO247" i="3"/>
  <c r="AT143" i="3"/>
  <c r="AN29" i="3"/>
  <c r="AO233" i="3"/>
  <c r="AP176" i="3"/>
  <c r="AQ147" i="3"/>
  <c r="AO29" i="3"/>
  <c r="AP233" i="3"/>
  <c r="AR15" i="3"/>
  <c r="AU79" i="3"/>
  <c r="AQ213" i="3"/>
  <c r="AQ150" i="3"/>
  <c r="AS59" i="3"/>
  <c r="AS96" i="3"/>
  <c r="AO165" i="3"/>
  <c r="AR178" i="3"/>
  <c r="AT179" i="3"/>
  <c r="AS240" i="3"/>
  <c r="AX55" i="3"/>
  <c r="AX92" i="3"/>
  <c r="AT201" i="3"/>
  <c r="AX241" i="3"/>
  <c r="AU118" i="3"/>
  <c r="AV118" i="3"/>
  <c r="AV135" i="3"/>
  <c r="AR25" i="3"/>
  <c r="AR120" i="3"/>
  <c r="AW180" i="3"/>
  <c r="AW247" i="3"/>
  <c r="AS137" i="3"/>
  <c r="AS74" i="3"/>
  <c r="AX196" i="3"/>
  <c r="AX251" i="3"/>
  <c r="AT141" i="3"/>
  <c r="AT78" i="3"/>
  <c r="AU115" i="3"/>
  <c r="AU148" i="3"/>
  <c r="AV148" i="3"/>
  <c r="AV59" i="3"/>
  <c r="AV100" i="3"/>
  <c r="AR205" i="3"/>
  <c r="AW198" i="3"/>
  <c r="AW171" i="3"/>
  <c r="AS61" i="3"/>
  <c r="AS220" i="3"/>
  <c r="AX202" i="3"/>
  <c r="AX175" i="3"/>
  <c r="AW14" i="3"/>
  <c r="AW229" i="3"/>
  <c r="AU237" i="3"/>
  <c r="AW233" i="3"/>
  <c r="AU241" i="3"/>
  <c r="AU213" i="3"/>
  <c r="AR165" i="3"/>
  <c r="AS213" i="3"/>
  <c r="AX71" i="3"/>
  <c r="AT217" i="3"/>
  <c r="AU150" i="3"/>
  <c r="AV151" i="3"/>
  <c r="AR164" i="3"/>
  <c r="AW28" i="3"/>
  <c r="AS90" i="3"/>
  <c r="AX32" i="3"/>
  <c r="AT94" i="3"/>
  <c r="AU240" i="3"/>
  <c r="AV75" i="3"/>
  <c r="AR221" i="3"/>
  <c r="AW187" i="3"/>
  <c r="AS14" i="3"/>
  <c r="AX191" i="3"/>
  <c r="AT177" i="3"/>
  <c r="AU112" i="3"/>
  <c r="AU247" i="3"/>
  <c r="AQ137" i="3"/>
  <c r="AU233" i="3"/>
  <c r="AV233" i="3"/>
  <c r="AV31" i="3"/>
  <c r="AV52" i="3"/>
  <c r="AR177" i="3"/>
  <c r="AR114" i="3"/>
  <c r="AW143" i="3"/>
  <c r="AS33" i="3"/>
  <c r="AS140" i="3"/>
  <c r="AS226" i="3"/>
  <c r="AX147" i="3"/>
  <c r="AT37" i="3"/>
  <c r="AT152" i="3"/>
  <c r="AU11" i="3"/>
  <c r="AU32" i="3"/>
  <c r="AQ157" i="3"/>
  <c r="AQ69" i="3"/>
  <c r="AQ62" i="3"/>
  <c r="AS108" i="3"/>
  <c r="AS227" i="3"/>
  <c r="AL97" i="3"/>
  <c r="AM159" i="3"/>
  <c r="AT91" i="3"/>
  <c r="AT180" i="3"/>
  <c r="AM193" i="3"/>
  <c r="AN136" i="3"/>
  <c r="AQ95" i="3"/>
  <c r="AQ192" i="3"/>
  <c r="AN193" i="3"/>
  <c r="AR250" i="3"/>
  <c r="AU159" i="3"/>
  <c r="AQ241" i="3"/>
  <c r="AQ178" i="3"/>
  <c r="AS87" i="3"/>
  <c r="AS168" i="3"/>
  <c r="AM189" i="3"/>
  <c r="AR234" i="3"/>
  <c r="AT207" i="3"/>
  <c r="AM81" i="3"/>
  <c r="AN123" i="3"/>
  <c r="AT234" i="3"/>
  <c r="AQ211" i="3"/>
  <c r="AN81" i="3"/>
  <c r="AO123" i="3"/>
  <c r="AR79" i="3"/>
  <c r="AU227" i="3"/>
  <c r="AQ112" i="3"/>
  <c r="AQ214" i="3"/>
  <c r="AS123" i="3"/>
  <c r="AM13" i="3"/>
  <c r="AN217" i="3"/>
  <c r="AT172" i="3"/>
  <c r="AT243" i="3"/>
  <c r="AN109" i="3"/>
  <c r="AO187" i="3"/>
  <c r="AQ188" i="3"/>
  <c r="AQ247" i="3"/>
  <c r="AO109" i="3"/>
  <c r="AP187" i="3"/>
  <c r="AR115" i="3"/>
  <c r="AU207" i="3"/>
  <c r="AQ84" i="3"/>
  <c r="AQ202" i="3"/>
  <c r="AS111" i="3"/>
  <c r="AS236" i="3"/>
  <c r="AL209" i="3"/>
  <c r="AT132" i="3"/>
  <c r="AT231" i="3"/>
  <c r="AL101" i="3"/>
  <c r="AM171" i="3"/>
  <c r="AQ148" i="3"/>
  <c r="AS70" i="3"/>
  <c r="AX119" i="3"/>
  <c r="AT9" i="3"/>
  <c r="AT84" i="3"/>
  <c r="AX174" i="3"/>
  <c r="AV57" i="3"/>
  <c r="AV226" i="3"/>
  <c r="AV199" i="3"/>
  <c r="AR89" i="3"/>
  <c r="AR26" i="3"/>
  <c r="AW55" i="3"/>
  <c r="AW92" i="3"/>
  <c r="AS201" i="3"/>
  <c r="AS138" i="3"/>
  <c r="AX59" i="3"/>
  <c r="AX100" i="3"/>
  <c r="AT205" i="3"/>
  <c r="AU206" i="3"/>
  <c r="AX193" i="3"/>
  <c r="AU98" i="3"/>
  <c r="AV98" i="3"/>
  <c r="AV123" i="3"/>
  <c r="AR13" i="3"/>
  <c r="AR92" i="3"/>
  <c r="AW136" i="3"/>
  <c r="AW235" i="3"/>
  <c r="AS125" i="3"/>
  <c r="AS62" i="3"/>
  <c r="AX152" i="3"/>
  <c r="AW29" i="3"/>
  <c r="AX85" i="3"/>
  <c r="AW162" i="3"/>
  <c r="AU170" i="3"/>
  <c r="AW166" i="3"/>
  <c r="AU174" i="3"/>
  <c r="AV213" i="3"/>
  <c r="AR102" i="3"/>
  <c r="AS22" i="3"/>
  <c r="AX199" i="3"/>
  <c r="AT26" i="3"/>
  <c r="AV217" i="3"/>
  <c r="AV44" i="3"/>
  <c r="AR106" i="3"/>
  <c r="AS25" i="3"/>
  <c r="AS218" i="3"/>
  <c r="AT29" i="3"/>
  <c r="AU224" i="3"/>
  <c r="AV69" i="3"/>
  <c r="AV203" i="3"/>
  <c r="AR30" i="3"/>
  <c r="AW100" i="3"/>
  <c r="AS142" i="3"/>
  <c r="AX52" i="3"/>
  <c r="AT68" i="3"/>
  <c r="AU55" i="3"/>
  <c r="AU92" i="3"/>
  <c r="AX81" i="3"/>
  <c r="AU38" i="3"/>
  <c r="AV38" i="3"/>
  <c r="AV95" i="3"/>
  <c r="AV188" i="3"/>
  <c r="AR241" i="3"/>
  <c r="AW234" i="3"/>
  <c r="AW207" i="3"/>
  <c r="AS97" i="3"/>
  <c r="AS34" i="3"/>
  <c r="AX238" i="3"/>
  <c r="AX211" i="3"/>
  <c r="AT101" i="3"/>
  <c r="AT38" i="3"/>
  <c r="AU75" i="3"/>
  <c r="AU132" i="3"/>
  <c r="AU152" i="3"/>
  <c r="AQ189" i="3"/>
  <c r="AQ126" i="3"/>
  <c r="AS35" i="3"/>
  <c r="AS56" i="3"/>
  <c r="AP145" i="3"/>
  <c r="AL92" i="3"/>
  <c r="AT155" i="3"/>
  <c r="AP37" i="3"/>
  <c r="AL245" i="3"/>
  <c r="AM192" i="3"/>
  <c r="AQ159" i="3"/>
  <c r="AL41" i="3"/>
  <c r="AM245" i="3"/>
  <c r="AR27" i="3"/>
  <c r="AU52" i="3"/>
  <c r="AQ184" i="3"/>
  <c r="AQ242" i="3"/>
  <c r="AS151" i="3"/>
  <c r="AP33" i="3"/>
  <c r="AL241" i="3"/>
  <c r="AT15" i="3"/>
  <c r="AT36" i="3"/>
  <c r="AL133" i="3"/>
  <c r="AM239" i="3"/>
  <c r="AQ19" i="3"/>
  <c r="AQ40" i="3"/>
  <c r="AM133" i="3"/>
  <c r="AN239" i="3"/>
  <c r="AR143" i="3"/>
  <c r="AU200" i="3"/>
  <c r="AQ22" i="3"/>
  <c r="AT190" i="3"/>
  <c r="AS187" i="3"/>
  <c r="AL65" i="3"/>
  <c r="AM83" i="3"/>
  <c r="AT51" i="3"/>
  <c r="AT80" i="3"/>
  <c r="AM161" i="3"/>
  <c r="AN104" i="3"/>
  <c r="AQ55" i="3"/>
  <c r="AQ88" i="3"/>
  <c r="AN161" i="3"/>
  <c r="AR174" i="3"/>
  <c r="AR179" i="3"/>
  <c r="AU144" i="3"/>
  <c r="AQ10" i="3"/>
  <c r="AT166" i="3"/>
  <c r="AS175" i="3"/>
  <c r="AO53" i="3"/>
  <c r="AP47" i="3"/>
  <c r="AT39" i="3"/>
  <c r="AT60" i="3"/>
  <c r="AP149" i="3"/>
  <c r="AL96" i="3"/>
  <c r="AT248" i="3"/>
  <c r="AM156" i="3"/>
  <c r="AL9" i="3"/>
  <c r="AR172" i="3"/>
  <c r="AQ97" i="3"/>
  <c r="AS160" i="3"/>
  <c r="AN105" i="3"/>
  <c r="AT103" i="3"/>
  <c r="AO201" i="3"/>
  <c r="AQ43" i="3"/>
  <c r="AQ64" i="3"/>
  <c r="AL153" i="3"/>
  <c r="AR150" i="3"/>
  <c r="AR167" i="3"/>
  <c r="AP45" i="3"/>
  <c r="AP61" i="3"/>
  <c r="AN107" i="3"/>
  <c r="AN156" i="3"/>
  <c r="AO142" i="3"/>
  <c r="AP147" i="3"/>
  <c r="AG77" i="3"/>
  <c r="AN164" i="3"/>
  <c r="AO146" i="3"/>
  <c r="AP155" i="3"/>
  <c r="AG81" i="3"/>
  <c r="AW93" i="3"/>
  <c r="AX149" i="3"/>
  <c r="AX41" i="3"/>
  <c r="AV45" i="3"/>
  <c r="AX45" i="3"/>
  <c r="AV49" i="3"/>
  <c r="AV18" i="3"/>
  <c r="AW222" i="3"/>
  <c r="AS54" i="3"/>
  <c r="AX231" i="3"/>
  <c r="AT58" i="3"/>
  <c r="AV120" i="3"/>
  <c r="AV92" i="3"/>
  <c r="AW194" i="3"/>
  <c r="AS57" i="3"/>
  <c r="AX198" i="3"/>
  <c r="AT61" i="3"/>
  <c r="AU35" i="3"/>
  <c r="AV133" i="3"/>
  <c r="AV235" i="3"/>
  <c r="AR62" i="3"/>
  <c r="AW176" i="3"/>
  <c r="AS174" i="3"/>
  <c r="AX76" i="3"/>
  <c r="AT100" i="3"/>
  <c r="AU71" i="3"/>
  <c r="AU124" i="3"/>
  <c r="AX145" i="3"/>
  <c r="AU70" i="3"/>
  <c r="AV70" i="3"/>
  <c r="AV111" i="3"/>
  <c r="AV232" i="3"/>
  <c r="AR68" i="3"/>
  <c r="AW250" i="3"/>
  <c r="AW223" i="3"/>
  <c r="AS113" i="3"/>
  <c r="AS50" i="3"/>
  <c r="AX20" i="3"/>
  <c r="AX227" i="3"/>
  <c r="AT117" i="3"/>
  <c r="AT54" i="3"/>
  <c r="AU91" i="3"/>
  <c r="AU176" i="3"/>
  <c r="AU47" i="3"/>
  <c r="AQ205" i="3"/>
  <c r="AQ142" i="3"/>
  <c r="AS51" i="3"/>
  <c r="AS80" i="3"/>
  <c r="AL161" i="3"/>
  <c r="AR162" i="3"/>
  <c r="AT171" i="3"/>
  <c r="AL53" i="3"/>
  <c r="AM47" i="3"/>
  <c r="AT162" i="3"/>
  <c r="AQ175" i="3"/>
  <c r="AM53" i="3"/>
  <c r="AN47" i="3"/>
  <c r="AR43" i="3"/>
  <c r="AU104" i="3"/>
  <c r="AQ232" i="3"/>
  <c r="AT150" i="3"/>
  <c r="AS167" i="3"/>
  <c r="AL49" i="3"/>
  <c r="AM15" i="3"/>
  <c r="AT31" i="3"/>
  <c r="AT52" i="3"/>
  <c r="AM145" i="3"/>
  <c r="AN88" i="3"/>
  <c r="AQ35" i="3"/>
  <c r="AQ56" i="3"/>
  <c r="AN145" i="3"/>
  <c r="AO88" i="3"/>
  <c r="AR159" i="3"/>
  <c r="AQ21" i="3"/>
  <c r="AQ38" i="3"/>
  <c r="AT222" i="3"/>
  <c r="AS203" i="3"/>
  <c r="AM77" i="3"/>
  <c r="AN115" i="3"/>
  <c r="AT67" i="3"/>
  <c r="AT116" i="3"/>
  <c r="AN173" i="3"/>
  <c r="AO116" i="3"/>
  <c r="AQ71" i="3"/>
  <c r="AQ124" i="3"/>
  <c r="AO173" i="3"/>
  <c r="AR206" i="3"/>
  <c r="AR195" i="3"/>
  <c r="AU232" i="3"/>
  <c r="AQ26" i="3"/>
  <c r="AT198" i="3"/>
  <c r="AS191" i="3"/>
  <c r="AP65" i="3"/>
  <c r="AL95" i="3"/>
  <c r="AT55" i="3"/>
  <c r="AT88" i="3"/>
  <c r="AL165" i="3"/>
  <c r="AM108" i="3"/>
  <c r="AQ59" i="3"/>
  <c r="AQ96" i="3"/>
  <c r="AM165" i="3"/>
  <c r="AR182" i="3"/>
  <c r="AR183" i="3"/>
  <c r="AL61" i="3"/>
  <c r="AP77" i="3"/>
  <c r="AO131" i="3"/>
  <c r="AP180" i="3"/>
  <c r="AP154" i="3"/>
  <c r="AL175" i="3"/>
  <c r="AH89" i="3"/>
  <c r="AO192" i="3"/>
  <c r="AP158" i="3"/>
  <c r="AL183" i="3"/>
  <c r="AH93" i="3"/>
  <c r="AI132" i="3"/>
  <c r="AO86" i="3"/>
  <c r="AP55" i="3"/>
  <c r="AG21" i="3"/>
  <c r="AH225" i="3"/>
  <c r="AO90" i="3"/>
  <c r="AN101" i="3"/>
  <c r="AO171" i="3"/>
  <c r="AO208" i="3"/>
  <c r="AP170" i="3"/>
  <c r="AL207" i="3"/>
  <c r="AH105" i="3"/>
  <c r="AO212" i="3"/>
  <c r="AP174" i="3"/>
  <c r="AW90" i="3"/>
  <c r="AX146" i="3"/>
  <c r="AX38" i="3"/>
  <c r="AV42" i="3"/>
  <c r="AX42" i="3"/>
  <c r="AV46" i="3"/>
  <c r="AV147" i="3"/>
  <c r="AW24" i="3"/>
  <c r="AS214" i="3"/>
  <c r="AT25" i="3"/>
  <c r="AU53" i="3"/>
  <c r="AV242" i="3"/>
  <c r="AR105" i="3"/>
  <c r="AW71" i="3"/>
  <c r="AS217" i="3"/>
  <c r="AX75" i="3"/>
  <c r="AT221" i="3"/>
  <c r="AX60" i="3"/>
  <c r="AV130" i="3"/>
  <c r="AR29" i="3"/>
  <c r="AW196" i="3"/>
  <c r="AS141" i="3"/>
  <c r="AX208" i="3"/>
  <c r="AT49" i="3"/>
  <c r="AT66" i="3"/>
  <c r="AU151" i="3"/>
  <c r="AQ41" i="3"/>
  <c r="AX142" i="3"/>
  <c r="AV41" i="3"/>
  <c r="AV218" i="3"/>
  <c r="AV191" i="3"/>
  <c r="AR81" i="3"/>
  <c r="AR18" i="3"/>
  <c r="AW47" i="3"/>
  <c r="AW76" i="3"/>
  <c r="AS193" i="3"/>
  <c r="AS130" i="3"/>
  <c r="AX51" i="3"/>
  <c r="AX84" i="3"/>
  <c r="AT197" i="3"/>
  <c r="AU198" i="3"/>
  <c r="AU171" i="3"/>
  <c r="AQ61" i="3"/>
  <c r="AU243" i="3"/>
  <c r="AQ128" i="3"/>
  <c r="AQ222" i="3"/>
  <c r="AS131" i="3"/>
  <c r="AP17" i="3"/>
  <c r="AL225" i="3"/>
  <c r="AT200" i="3"/>
  <c r="AT251" i="3"/>
  <c r="AL117" i="3"/>
  <c r="AM203" i="3"/>
  <c r="AQ212" i="3"/>
  <c r="AQ12" i="3"/>
  <c r="AM117" i="3"/>
  <c r="AN203" i="3"/>
  <c r="AR123" i="3"/>
  <c r="AX108" i="3"/>
  <c r="AV177" i="3"/>
  <c r="AX64" i="3"/>
  <c r="AW112" i="3"/>
  <c r="AU99" i="3"/>
  <c r="AS45" i="3"/>
  <c r="AU103" i="3"/>
  <c r="AV134" i="3"/>
  <c r="AW208" i="3"/>
  <c r="AX224" i="3"/>
  <c r="AU123" i="3"/>
  <c r="AQ174" i="3"/>
  <c r="AR226" i="3"/>
  <c r="AT226" i="3"/>
  <c r="AR75" i="3"/>
  <c r="AQ146" i="3"/>
  <c r="AS88" i="3"/>
  <c r="AR170" i="3"/>
  <c r="AP53" i="3"/>
  <c r="AT170" i="3"/>
  <c r="AL57" i="3"/>
  <c r="AO57" i="3"/>
  <c r="AT178" i="3"/>
  <c r="AP57" i="3"/>
  <c r="AR51" i="3"/>
  <c r="AQ201" i="3"/>
  <c r="AS47" i="3"/>
  <c r="AM157" i="3"/>
  <c r="AT167" i="3"/>
  <c r="AN15" i="3"/>
  <c r="AQ107" i="3"/>
  <c r="AQ224" i="3"/>
  <c r="AP201" i="3"/>
  <c r="AR132" i="3"/>
  <c r="AR231" i="3"/>
  <c r="AO97" i="3"/>
  <c r="AL125" i="3"/>
  <c r="AM223" i="3"/>
  <c r="AM232" i="3"/>
  <c r="AN194" i="3"/>
  <c r="AO243" i="3"/>
  <c r="AK125" i="3"/>
  <c r="AM236" i="3"/>
  <c r="AN198" i="3"/>
  <c r="AO251" i="3"/>
  <c r="AK129" i="3"/>
  <c r="AW26" i="3"/>
  <c r="AX82" i="3"/>
  <c r="AX160" i="3"/>
  <c r="AV172" i="3"/>
  <c r="AX172" i="3"/>
  <c r="AV184" i="3"/>
  <c r="AV83" i="3"/>
  <c r="AW195" i="3"/>
  <c r="AS182" i="3"/>
  <c r="AX212" i="3"/>
  <c r="AX110" i="3"/>
  <c r="AV210" i="3"/>
  <c r="AR73" i="3"/>
  <c r="AW39" i="3"/>
  <c r="AS185" i="3"/>
  <c r="AX43" i="3"/>
  <c r="AT189" i="3"/>
  <c r="AX129" i="3"/>
  <c r="AV66" i="3"/>
  <c r="AV220" i="3"/>
  <c r="AW246" i="3"/>
  <c r="AS109" i="3"/>
  <c r="AX250" i="3"/>
  <c r="AT17" i="3"/>
  <c r="AT50" i="3"/>
  <c r="AU135" i="3"/>
  <c r="AQ25" i="3"/>
  <c r="AX78" i="3"/>
  <c r="AV9" i="3"/>
  <c r="AV198" i="3"/>
  <c r="AV175" i="3"/>
  <c r="AR65" i="3"/>
  <c r="AR232" i="3"/>
  <c r="AW31" i="3"/>
  <c r="AW52" i="3"/>
  <c r="AS177" i="3"/>
  <c r="AS114" i="3"/>
  <c r="AX35" i="3"/>
  <c r="AX56" i="3"/>
  <c r="AT181" i="3"/>
  <c r="AT118" i="3"/>
  <c r="AU155" i="3"/>
  <c r="AQ45" i="3"/>
  <c r="AU211" i="3"/>
  <c r="AQ92" i="3"/>
  <c r="AQ206" i="3"/>
  <c r="AS115" i="3"/>
  <c r="AS248" i="3"/>
  <c r="AP209" i="3"/>
  <c r="AT148" i="3"/>
  <c r="AT235" i="3"/>
  <c r="AP101" i="3"/>
  <c r="AL179" i="3"/>
  <c r="AQ160" i="3"/>
  <c r="AQ239" i="3"/>
  <c r="AL105" i="3"/>
  <c r="AM179" i="3"/>
  <c r="AR107" i="3"/>
  <c r="AQ81" i="3"/>
  <c r="AQ66" i="3"/>
  <c r="AS132" i="3"/>
  <c r="AS231" i="3"/>
  <c r="AP97" i="3"/>
  <c r="AL171" i="3"/>
  <c r="AT95" i="3"/>
  <c r="AT192" i="3"/>
  <c r="AL197" i="3"/>
  <c r="AM140" i="3"/>
  <c r="AQ99" i="3"/>
  <c r="AQ204" i="3"/>
  <c r="AM197" i="3"/>
  <c r="AR20" i="3"/>
  <c r="AT106" i="3"/>
  <c r="AQ149" i="3"/>
  <c r="AQ102" i="3"/>
  <c r="AS11" i="3"/>
  <c r="AS32" i="3"/>
  <c r="AL129" i="3"/>
  <c r="AM231" i="3"/>
  <c r="AT131" i="3"/>
  <c r="AL21" i="3"/>
  <c r="AM225" i="3"/>
  <c r="AN168" i="3"/>
  <c r="AQ135" i="3"/>
  <c r="AM21" i="3"/>
  <c r="AN225" i="3"/>
  <c r="AR228" i="3"/>
  <c r="AR24" i="3"/>
  <c r="AQ129" i="3"/>
  <c r="AQ90" i="3"/>
  <c r="AS212" i="3"/>
  <c r="AS12" i="3"/>
  <c r="AO117" i="3"/>
  <c r="AP203" i="3"/>
  <c r="AT119" i="3"/>
  <c r="AO9" i="3"/>
  <c r="AP213" i="3"/>
  <c r="AL160" i="3"/>
  <c r="AQ123" i="3"/>
  <c r="AP9" i="3"/>
  <c r="AL217" i="3"/>
  <c r="AR188" i="3"/>
  <c r="AR247" i="3"/>
  <c r="AR139" i="3"/>
  <c r="AM137" i="3"/>
  <c r="AN247" i="3"/>
  <c r="AN244" i="3"/>
  <c r="AO206" i="3"/>
  <c r="AP20" i="3"/>
  <c r="AG141" i="3"/>
  <c r="AN248" i="3"/>
  <c r="AO210" i="3"/>
  <c r="AP24" i="3"/>
  <c r="AG145" i="3"/>
  <c r="AL148" i="3"/>
  <c r="AN138" i="3"/>
  <c r="AO143" i="3"/>
  <c r="AK69" i="3"/>
  <c r="AL156" i="3"/>
  <c r="AR219" i="3"/>
  <c r="AM153" i="3"/>
  <c r="AN96" i="3"/>
  <c r="AN18" i="3"/>
  <c r="AO222" i="3"/>
  <c r="AP36" i="3"/>
  <c r="AG157" i="3"/>
  <c r="AN22" i="3"/>
  <c r="AO226" i="3"/>
  <c r="AW209" i="3"/>
  <c r="AW101" i="3"/>
  <c r="AU109" i="3"/>
  <c r="AW105" i="3"/>
  <c r="AU113" i="3"/>
  <c r="AX140" i="3"/>
  <c r="AR37" i="3"/>
  <c r="AS149" i="3"/>
  <c r="AX236" i="3"/>
  <c r="AT153" i="3"/>
  <c r="AU22" i="3"/>
  <c r="AV87" i="3"/>
  <c r="AR233" i="3"/>
  <c r="AW199" i="3"/>
  <c r="AS26" i="3"/>
  <c r="AX203" i="3"/>
  <c r="AT30" i="3"/>
  <c r="AU197" i="3"/>
  <c r="AV11" i="3"/>
  <c r="AR157" i="3"/>
  <c r="AW123" i="3"/>
  <c r="AS92" i="3"/>
  <c r="AX127" i="3"/>
  <c r="AT129" i="3"/>
  <c r="AU210" i="3"/>
  <c r="AU215" i="3"/>
  <c r="AQ105" i="3"/>
  <c r="AU169" i="3"/>
  <c r="AV169" i="3"/>
  <c r="AV208" i="3"/>
  <c r="AV12" i="3"/>
  <c r="AR145" i="3"/>
  <c r="AR82" i="3"/>
  <c r="AW111" i="3"/>
  <c r="AW232" i="3"/>
  <c r="AS68" i="3"/>
  <c r="AS194" i="3"/>
  <c r="AX115" i="3"/>
  <c r="AX244" i="3"/>
  <c r="AT76" i="3"/>
  <c r="AU136" i="3"/>
  <c r="AU235" i="3"/>
  <c r="AQ125" i="3"/>
  <c r="AU244" i="3"/>
  <c r="AQ30" i="3"/>
  <c r="AT206" i="3"/>
  <c r="AS195" i="3"/>
  <c r="AO69" i="3"/>
  <c r="AP95" i="3"/>
  <c r="AT59" i="3"/>
  <c r="AT96" i="3"/>
  <c r="AP165" i="3"/>
  <c r="AL112" i="3"/>
  <c r="AQ63" i="3"/>
  <c r="AQ104" i="3"/>
  <c r="AL169" i="3"/>
  <c r="AR190" i="3"/>
  <c r="AU63" i="3"/>
  <c r="AX169" i="3"/>
  <c r="AV238" i="3"/>
  <c r="AX177" i="3"/>
  <c r="AS121" i="3"/>
  <c r="AV72" i="3"/>
  <c r="AS238" i="3"/>
  <c r="AU212" i="3"/>
  <c r="AV143" i="3"/>
  <c r="AW12" i="3"/>
  <c r="AX24" i="3"/>
  <c r="AQ13" i="3"/>
  <c r="AS83" i="3"/>
  <c r="AT203" i="3"/>
  <c r="AQ207" i="3"/>
  <c r="AU188" i="3"/>
  <c r="AT182" i="3"/>
  <c r="AM61" i="3"/>
  <c r="AT47" i="3"/>
  <c r="AN157" i="3"/>
  <c r="AQ51" i="3"/>
  <c r="AO157" i="3"/>
  <c r="AL213" i="3"/>
  <c r="AQ119" i="3"/>
  <c r="AM213" i="3"/>
  <c r="AR243" i="3"/>
  <c r="AQ74" i="3"/>
  <c r="AS239" i="3"/>
  <c r="AO179" i="3"/>
  <c r="AT216" i="3"/>
  <c r="AP144" i="3"/>
  <c r="AQ171" i="3"/>
  <c r="AN49" i="3"/>
  <c r="AO15" i="3"/>
  <c r="AR39" i="3"/>
  <c r="AR60" i="3"/>
  <c r="AR36" i="3"/>
  <c r="AP173" i="3"/>
  <c r="AL120" i="3"/>
  <c r="AL42" i="3"/>
  <c r="AM246" i="3"/>
  <c r="AN60" i="3"/>
  <c r="AJ177" i="3"/>
  <c r="AL46" i="3"/>
  <c r="AM250" i="3"/>
  <c r="AN64" i="3"/>
  <c r="AJ181" i="3"/>
  <c r="AW145" i="3"/>
  <c r="AW37" i="3"/>
  <c r="AU45" i="3"/>
  <c r="AW41" i="3"/>
  <c r="AU49" i="3"/>
  <c r="AX33" i="3"/>
  <c r="AV156" i="3"/>
  <c r="AS85" i="3"/>
  <c r="AX112" i="3"/>
  <c r="AT121" i="3"/>
  <c r="AU120" i="3"/>
  <c r="AV55" i="3"/>
  <c r="AR201" i="3"/>
  <c r="AW167" i="3"/>
  <c r="AS208" i="3"/>
  <c r="AX171" i="3"/>
  <c r="AT220" i="3"/>
  <c r="AU133" i="3"/>
  <c r="AV136" i="3"/>
  <c r="AR125" i="3"/>
  <c r="AW91" i="3"/>
  <c r="AS237" i="3"/>
  <c r="AX95" i="3"/>
  <c r="AT113" i="3"/>
  <c r="AT130" i="3"/>
  <c r="AU199" i="3"/>
  <c r="AQ89" i="3"/>
  <c r="AU137" i="3"/>
  <c r="AV137" i="3"/>
  <c r="AV152" i="3"/>
  <c r="AV239" i="3"/>
  <c r="AR129" i="3"/>
  <c r="AR66" i="3"/>
  <c r="AW95" i="3"/>
  <c r="AW188" i="3"/>
  <c r="AS241" i="3"/>
  <c r="AS178" i="3"/>
  <c r="AX99" i="3"/>
  <c r="AX200" i="3"/>
  <c r="AT245" i="3"/>
  <c r="AU246" i="3"/>
  <c r="AU219" i="3"/>
  <c r="AQ109" i="3"/>
  <c r="AU156" i="3"/>
  <c r="AQ14" i="3"/>
  <c r="AT174" i="3"/>
  <c r="AS179" i="3"/>
  <c r="AN57" i="3"/>
  <c r="AO63" i="3"/>
  <c r="AT43" i="3"/>
  <c r="AT64" i="3"/>
  <c r="AO153" i="3"/>
  <c r="AP96" i="3"/>
  <c r="AQ47" i="3"/>
  <c r="AQ72" i="3"/>
  <c r="AP153" i="3"/>
  <c r="AR158" i="3"/>
  <c r="AU208" i="3"/>
  <c r="AQ193" i="3"/>
  <c r="AQ130" i="3"/>
  <c r="AS39" i="3"/>
  <c r="AS60" i="3"/>
  <c r="AO149" i="3"/>
  <c r="AR138" i="3"/>
  <c r="AT159" i="3"/>
  <c r="AO41" i="3"/>
  <c r="AP245" i="3"/>
  <c r="AT138" i="3"/>
  <c r="AQ163" i="3"/>
  <c r="AP41" i="3"/>
  <c r="AL249" i="3"/>
  <c r="AR31" i="3"/>
  <c r="AU131" i="3"/>
  <c r="AQ229" i="3"/>
  <c r="AQ166" i="3"/>
  <c r="AS75" i="3"/>
  <c r="AS136" i="3"/>
  <c r="AP177" i="3"/>
  <c r="AR210" i="3"/>
  <c r="AT195" i="3"/>
  <c r="AP69" i="3"/>
  <c r="AL107" i="3"/>
  <c r="AT210" i="3"/>
  <c r="AQ199" i="3"/>
  <c r="AL73" i="3"/>
  <c r="AM107" i="3"/>
  <c r="AR67" i="3"/>
  <c r="AU95" i="3"/>
  <c r="AQ217" i="3"/>
  <c r="AQ154" i="3"/>
  <c r="AS63" i="3"/>
  <c r="AS104" i="3"/>
  <c r="AN169" i="3"/>
  <c r="AR186" i="3"/>
  <c r="AT183" i="3"/>
  <c r="AN61" i="3"/>
  <c r="AO71" i="3"/>
  <c r="AT186" i="3"/>
  <c r="AQ187" i="3"/>
  <c r="AO61" i="3"/>
  <c r="AP71" i="3"/>
  <c r="AR55" i="3"/>
  <c r="AR88" i="3"/>
  <c r="AR56" i="3"/>
  <c r="AL189" i="3"/>
  <c r="AM132" i="3"/>
  <c r="AM54" i="3"/>
  <c r="AN19" i="3"/>
  <c r="AO72" i="3"/>
  <c r="AK189" i="3"/>
  <c r="AM58" i="3"/>
  <c r="AN23" i="3"/>
  <c r="AO76" i="3"/>
  <c r="AK193" i="3"/>
  <c r="AL228" i="3"/>
  <c r="AM190" i="3"/>
  <c r="AN235" i="3"/>
  <c r="AJ121" i="3"/>
  <c r="AL232" i="3"/>
  <c r="AR104" i="3"/>
  <c r="AL205" i="3"/>
  <c r="AM148" i="3"/>
  <c r="AM70" i="3"/>
  <c r="AN35" i="3"/>
  <c r="AO188" i="3"/>
  <c r="AK205" i="3"/>
  <c r="AM74" i="3"/>
  <c r="AN39" i="3"/>
  <c r="AW142" i="3"/>
  <c r="AW34" i="3"/>
  <c r="AU42" i="3"/>
  <c r="AW38" i="3"/>
  <c r="AU46" i="3"/>
  <c r="AU146" i="3"/>
  <c r="AR152" i="3"/>
  <c r="AS112" i="3"/>
  <c r="AX135" i="3"/>
  <c r="AT120" i="3"/>
  <c r="AV89" i="3"/>
  <c r="AV215" i="3"/>
  <c r="AR42" i="3"/>
  <c r="AW124" i="3"/>
  <c r="AS154" i="3"/>
  <c r="AX132" i="3"/>
  <c r="AU222" i="3"/>
  <c r="AU130" i="3"/>
  <c r="AV139" i="3"/>
  <c r="AR128" i="3"/>
  <c r="AW251" i="3"/>
  <c r="AS78" i="3"/>
  <c r="AX239" i="3"/>
  <c r="AT209" i="3"/>
  <c r="AU23" i="3"/>
  <c r="AU44" i="3"/>
  <c r="AQ169" i="3"/>
  <c r="AU160" i="3"/>
  <c r="AV160" i="3"/>
  <c r="AV63" i="3"/>
  <c r="AV104" i="3"/>
  <c r="AR209" i="3"/>
  <c r="AW202" i="3"/>
  <c r="AW175" i="3"/>
  <c r="AS65" i="3"/>
  <c r="AS232" i="3"/>
  <c r="AX206" i="3"/>
  <c r="AX179" i="3"/>
  <c r="AT69" i="3"/>
  <c r="AT240" i="3"/>
  <c r="AU43" i="3"/>
  <c r="AU68" i="3"/>
  <c r="AT74" i="3"/>
  <c r="AQ133" i="3"/>
  <c r="AQ94" i="3"/>
  <c r="AS228" i="3"/>
  <c r="AS24" i="3"/>
  <c r="AN121" i="3"/>
  <c r="AO215" i="3"/>
  <c r="AT123" i="3"/>
  <c r="AN13" i="3"/>
  <c r="AO217" i="3"/>
  <c r="AP160" i="3"/>
  <c r="AQ127" i="3"/>
  <c r="AO13" i="3"/>
  <c r="AP217" i="3"/>
  <c r="AR200" i="3"/>
  <c r="AU223" i="3"/>
  <c r="AV173" i="3"/>
  <c r="AW67" i="3"/>
  <c r="AV86" i="3"/>
  <c r="AX136" i="3"/>
  <c r="AV68" i="3"/>
  <c r="AX188" i="3"/>
  <c r="AX96" i="3"/>
  <c r="AR33" i="3"/>
  <c r="AS145" i="3"/>
  <c r="AT149" i="3"/>
  <c r="AU147" i="3"/>
  <c r="AS156" i="3"/>
  <c r="AN77" i="3"/>
  <c r="AO77" i="3"/>
  <c r="AQ209" i="3"/>
  <c r="AS55" i="3"/>
  <c r="AP161" i="3"/>
  <c r="AT175" i="3"/>
  <c r="AL63" i="3"/>
  <c r="AQ179" i="3"/>
  <c r="AM63" i="3"/>
  <c r="AU163" i="3"/>
  <c r="AQ182" i="3"/>
  <c r="AS180" i="3"/>
  <c r="AR242" i="3"/>
  <c r="AL85" i="3"/>
  <c r="AT242" i="3"/>
  <c r="AM85" i="3"/>
  <c r="AR83" i="3"/>
  <c r="AQ233" i="3"/>
  <c r="AS79" i="3"/>
  <c r="AO181" i="3"/>
  <c r="AT199" i="3"/>
  <c r="AP107" i="3"/>
  <c r="AQ203" i="3"/>
  <c r="AL115" i="3"/>
  <c r="AR124" i="3"/>
  <c r="AM201" i="3"/>
  <c r="AN66" i="3"/>
  <c r="AP84" i="3"/>
  <c r="AN70" i="3"/>
  <c r="AP188" i="3"/>
  <c r="AN172" i="3"/>
  <c r="AO214" i="3"/>
  <c r="AP63" i="3"/>
  <c r="AQ183" i="3"/>
  <c r="AL71" i="3"/>
  <c r="AU31" i="3"/>
  <c r="AQ138" i="3"/>
  <c r="AS72" i="3"/>
  <c r="AR154" i="3"/>
  <c r="AM49" i="3"/>
  <c r="AT154" i="3"/>
  <c r="AQ235" i="3"/>
  <c r="AM101" i="3"/>
  <c r="AN171" i="3"/>
  <c r="AR103" i="3"/>
  <c r="AR216" i="3"/>
  <c r="AR204" i="3"/>
  <c r="AO225" i="3"/>
  <c r="AP168" i="3"/>
  <c r="AP90" i="3"/>
  <c r="AL67" i="3"/>
  <c r="AH25" i="3"/>
  <c r="AI229" i="3"/>
  <c r="AP94" i="3"/>
  <c r="AL75" i="3"/>
  <c r="AH29" i="3"/>
  <c r="AI233" i="3"/>
  <c r="AW78" i="3"/>
  <c r="AW148" i="3"/>
  <c r="AU172" i="3"/>
  <c r="AW160" i="3"/>
  <c r="AU184" i="3"/>
  <c r="AU18" i="3"/>
  <c r="AR229" i="3"/>
  <c r="AS245" i="3"/>
  <c r="AX103" i="3"/>
  <c r="AT249" i="3"/>
  <c r="AV25" i="3"/>
  <c r="AV183" i="3"/>
  <c r="AR10" i="3"/>
  <c r="AW64" i="3"/>
  <c r="AS122" i="3"/>
  <c r="AX68" i="3"/>
  <c r="AT126" i="3"/>
  <c r="AU66" i="3"/>
  <c r="AV107" i="3"/>
  <c r="AR16" i="3"/>
  <c r="AW219" i="3"/>
  <c r="AS46" i="3"/>
  <c r="AX223" i="3"/>
  <c r="AT193" i="3"/>
  <c r="AU180" i="3"/>
  <c r="AU28" i="3"/>
  <c r="AQ153" i="3"/>
  <c r="AU80" i="3"/>
  <c r="AV80" i="3"/>
  <c r="AV47" i="3"/>
  <c r="AV76" i="3"/>
  <c r="AR193" i="3"/>
  <c r="AR130" i="3"/>
  <c r="AW159" i="3"/>
  <c r="AS49" i="3"/>
  <c r="AS184" i="3"/>
  <c r="AS242" i="3"/>
  <c r="AX163" i="3"/>
  <c r="AT53" i="3"/>
  <c r="AT196" i="3"/>
  <c r="AU27" i="3"/>
  <c r="AU48" i="3"/>
  <c r="AQ173" i="3"/>
  <c r="AQ101" i="3"/>
  <c r="AQ78" i="3"/>
  <c r="AS172" i="3"/>
  <c r="AS243" i="3"/>
  <c r="AM109" i="3"/>
  <c r="AN187" i="3"/>
  <c r="AT107" i="3"/>
  <c r="AT224" i="3"/>
  <c r="AN205" i="3"/>
  <c r="AO148" i="3"/>
  <c r="AQ111" i="3"/>
  <c r="AQ236" i="3"/>
  <c r="AO205" i="3"/>
  <c r="AR148" i="3"/>
  <c r="AU191" i="3"/>
  <c r="AQ68" i="3"/>
  <c r="AQ194" i="3"/>
  <c r="AS103" i="3"/>
  <c r="AS216" i="3"/>
  <c r="AN201" i="3"/>
  <c r="AT20" i="3"/>
  <c r="AT223" i="3"/>
  <c r="AN93" i="3"/>
  <c r="AO151" i="3"/>
  <c r="AQ108" i="3"/>
  <c r="AQ227" i="3"/>
  <c r="AO93" i="3"/>
  <c r="AP151" i="3"/>
  <c r="AR95" i="3"/>
  <c r="AU24" i="3"/>
  <c r="AQ152" i="3"/>
  <c r="AQ230" i="3"/>
  <c r="AS139" i="3"/>
  <c r="AN25" i="3"/>
  <c r="AO229" i="3"/>
  <c r="AT228" i="3"/>
  <c r="AT24" i="3"/>
  <c r="AO121" i="3"/>
  <c r="AP215" i="3"/>
  <c r="AQ244" i="3"/>
  <c r="AQ28" i="3"/>
  <c r="AP121" i="3"/>
  <c r="AL223" i="3"/>
  <c r="AR131" i="3"/>
  <c r="AU239" i="3"/>
  <c r="AQ120" i="3"/>
  <c r="AQ218" i="3"/>
  <c r="AS127" i="3"/>
  <c r="AL17" i="3"/>
  <c r="AM221" i="3"/>
  <c r="AT188" i="3"/>
  <c r="AT247" i="3"/>
  <c r="AM113" i="3"/>
  <c r="AN195" i="3"/>
  <c r="AQ200" i="3"/>
  <c r="AQ251" i="3"/>
  <c r="AN113" i="3"/>
  <c r="AO195" i="3"/>
  <c r="AR119" i="3"/>
  <c r="AM9" i="3"/>
  <c r="AL13" i="3"/>
  <c r="AP237" i="3"/>
  <c r="AL184" i="3"/>
  <c r="AL106" i="3"/>
  <c r="AM87" i="3"/>
  <c r="AI37" i="3"/>
  <c r="AJ241" i="3"/>
  <c r="AL110" i="3"/>
  <c r="AM91" i="3"/>
  <c r="AI41" i="3"/>
  <c r="AJ245" i="3"/>
  <c r="AP34" i="3"/>
  <c r="AL242" i="3"/>
  <c r="AM56" i="3"/>
  <c r="AI173" i="3"/>
  <c r="AP38" i="3"/>
  <c r="AP29" i="3"/>
  <c r="AP15" i="3"/>
  <c r="AM112" i="3"/>
  <c r="AL122" i="3"/>
  <c r="AM111" i="3"/>
  <c r="AI53" i="3"/>
  <c r="AM120" i="3"/>
  <c r="AL126" i="3"/>
  <c r="AW157" i="3"/>
  <c r="AX213" i="3"/>
  <c r="AX105" i="3"/>
  <c r="AV109" i="3"/>
  <c r="AX109" i="3"/>
  <c r="AV113" i="3"/>
  <c r="AV146" i="3"/>
  <c r="AW224" i="3"/>
  <c r="AS86" i="3"/>
  <c r="AX28" i="3"/>
  <c r="AX49" i="3"/>
  <c r="AV22" i="3"/>
  <c r="AV164" i="3"/>
  <c r="AW226" i="3"/>
  <c r="AS89" i="3"/>
  <c r="AX230" i="3"/>
  <c r="AT93" i="3"/>
  <c r="AU67" i="3"/>
  <c r="AV197" i="3"/>
  <c r="AV32" i="3"/>
  <c r="AR94" i="3"/>
  <c r="AS13" i="3"/>
  <c r="AS206" i="3"/>
  <c r="AX104" i="3"/>
  <c r="AT184" i="3"/>
  <c r="AU87" i="3"/>
  <c r="AU164" i="3"/>
  <c r="AX209" i="3"/>
  <c r="AU102" i="3"/>
  <c r="AV102" i="3"/>
  <c r="AV127" i="3"/>
  <c r="AR17" i="3"/>
  <c r="AR100" i="3"/>
  <c r="AW152" i="3"/>
  <c r="AW239" i="3"/>
  <c r="AS129" i="3"/>
  <c r="AS66" i="3"/>
  <c r="AX168" i="3"/>
  <c r="AX243" i="3"/>
  <c r="AT133" i="3"/>
  <c r="AT70" i="3"/>
  <c r="AU107" i="3"/>
  <c r="AU220" i="3"/>
  <c r="AU111" i="3"/>
  <c r="AQ221" i="3"/>
  <c r="AQ158" i="3"/>
  <c r="AS67" i="3"/>
  <c r="AS116" i="3"/>
  <c r="AM173" i="3"/>
  <c r="AR194" i="3"/>
  <c r="AT187" i="3"/>
  <c r="AM65" i="3"/>
  <c r="AN83" i="3"/>
  <c r="AT194" i="3"/>
  <c r="AQ191" i="3"/>
  <c r="AN65" i="3"/>
  <c r="AO83" i="3"/>
  <c r="AR59" i="3"/>
  <c r="AW221" i="3"/>
  <c r="AX173" i="3"/>
  <c r="AS118" i="3"/>
  <c r="AR9" i="3"/>
  <c r="AT125" i="3"/>
  <c r="AR126" i="3"/>
  <c r="AT232" i="3"/>
  <c r="AU134" i="3"/>
  <c r="AR140" i="3"/>
  <c r="AS82" i="3"/>
  <c r="AT86" i="3"/>
  <c r="AQ237" i="3"/>
  <c r="AN185" i="3"/>
  <c r="AO115" i="3"/>
  <c r="AP115" i="3"/>
  <c r="AQ18" i="3"/>
  <c r="AS183" i="3"/>
  <c r="AN71" i="3"/>
  <c r="AT72" i="3"/>
  <c r="AO100" i="3"/>
  <c r="AQ80" i="3"/>
  <c r="AR166" i="3"/>
  <c r="AQ53" i="3"/>
  <c r="AS250" i="3"/>
  <c r="AN89" i="3"/>
  <c r="AT83" i="3"/>
  <c r="AO185" i="3"/>
  <c r="AQ87" i="3"/>
  <c r="AP185" i="3"/>
  <c r="AR211" i="3"/>
  <c r="AQ42" i="3"/>
  <c r="AS207" i="3"/>
  <c r="AM123" i="3"/>
  <c r="AT124" i="3"/>
  <c r="AN120" i="3"/>
  <c r="AQ136" i="3"/>
  <c r="AR214" i="3"/>
  <c r="AM73" i="3"/>
  <c r="AP159" i="3"/>
  <c r="AL170" i="3"/>
  <c r="AI101" i="3"/>
  <c r="AL174" i="3"/>
  <c r="AI105" i="3"/>
  <c r="AN10" i="3"/>
  <c r="AO39" i="3"/>
  <c r="AR47" i="3"/>
  <c r="AS91" i="3"/>
  <c r="AT211" i="3"/>
  <c r="AQ215" i="3"/>
  <c r="AU143" i="3"/>
  <c r="AS144" i="3"/>
  <c r="AO73" i="3"/>
  <c r="AP73" i="3"/>
  <c r="AR96" i="3"/>
  <c r="AO31" i="3"/>
  <c r="AO35" i="3"/>
  <c r="AN74" i="3"/>
  <c r="AP200" i="3"/>
  <c r="AN180" i="3"/>
  <c r="AR224" i="3"/>
  <c r="AN139" i="3"/>
  <c r="AO30" i="3"/>
  <c r="AP67" i="3"/>
  <c r="AG93" i="3"/>
  <c r="AO34" i="3"/>
  <c r="AP75" i="3"/>
  <c r="AG33" i="3"/>
  <c r="AH237" i="3"/>
  <c r="AN26" i="3"/>
  <c r="AO230" i="3"/>
  <c r="AP44" i="3"/>
  <c r="AG165" i="3"/>
  <c r="AN30" i="3"/>
  <c r="AO17" i="3"/>
  <c r="AN245" i="3"/>
  <c r="AN92" i="3"/>
  <c r="AO110" i="3"/>
  <c r="AP91" i="3"/>
  <c r="AG45" i="3"/>
  <c r="AN100" i="3"/>
  <c r="AO114" i="3"/>
  <c r="AP99" i="3"/>
  <c r="AG49" i="3"/>
  <c r="AH16" i="3"/>
  <c r="AN42" i="3"/>
  <c r="AO246" i="3"/>
  <c r="AP60" i="3"/>
  <c r="AG181" i="3"/>
  <c r="AN46" i="3"/>
  <c r="AO250" i="3"/>
  <c r="AP64" i="3"/>
  <c r="AG185" i="3"/>
  <c r="AL109" i="3"/>
  <c r="AM187" i="3"/>
  <c r="AM216" i="3"/>
  <c r="AN178" i="3"/>
  <c r="AO211" i="3"/>
  <c r="AK109" i="3"/>
  <c r="AM220" i="3"/>
  <c r="AN182" i="3"/>
  <c r="AO219" i="3"/>
  <c r="AK113" i="3"/>
  <c r="AG200" i="3"/>
  <c r="AM110" i="3"/>
  <c r="AL124" i="3"/>
  <c r="AO119" i="3"/>
  <c r="AJ125" i="3"/>
  <c r="AK144" i="3"/>
  <c r="AI186" i="3"/>
  <c r="AJ95" i="3"/>
  <c r="AK96" i="3"/>
  <c r="AH152" i="3"/>
  <c r="AJ186" i="3"/>
  <c r="AK95" i="3"/>
  <c r="AG104" i="3"/>
  <c r="AF18" i="3"/>
  <c r="AI114" i="3"/>
  <c r="AJ23" i="3"/>
  <c r="AK227" i="3"/>
  <c r="AE162" i="3"/>
  <c r="AI118" i="3"/>
  <c r="AP135" i="3"/>
  <c r="AL198" i="3"/>
  <c r="AP80" i="3"/>
  <c r="AJ16" i="3"/>
  <c r="AJ86" i="3"/>
  <c r="AK204" i="3"/>
  <c r="AG203" i="3"/>
  <c r="AE26" i="3"/>
  <c r="AK86" i="3"/>
  <c r="AG216" i="3"/>
  <c r="AH203" i="3"/>
  <c r="AE30" i="3"/>
  <c r="AJ14" i="3"/>
  <c r="AK218" i="3"/>
  <c r="AG131" i="3"/>
  <c r="AH196" i="3"/>
  <c r="AP251" i="3"/>
  <c r="AO218" i="3"/>
  <c r="AJ13" i="3"/>
  <c r="AW17" i="3"/>
  <c r="AX106" i="3"/>
  <c r="AX194" i="3"/>
  <c r="AR137" i="3"/>
  <c r="AT16" i="3"/>
  <c r="AW27" i="3"/>
  <c r="AT82" i="3"/>
  <c r="AV73" i="3"/>
  <c r="AR34" i="3"/>
  <c r="AS146" i="3"/>
  <c r="AU214" i="3"/>
  <c r="AQ176" i="3"/>
  <c r="AM237" i="3"/>
  <c r="AN231" i="3"/>
  <c r="AO231" i="3"/>
  <c r="AQ34" i="3"/>
  <c r="AS199" i="3"/>
  <c r="AO107" i="3"/>
  <c r="AT104" i="3"/>
  <c r="AP112" i="3"/>
  <c r="AQ116" i="3"/>
  <c r="AR198" i="3"/>
  <c r="AQ85" i="3"/>
  <c r="AS148" i="3"/>
  <c r="AO101" i="3"/>
  <c r="AT99" i="3"/>
  <c r="AP197" i="3"/>
  <c r="AQ103" i="3"/>
  <c r="AL201" i="3"/>
  <c r="AR227" i="3"/>
  <c r="AQ58" i="3"/>
  <c r="AS223" i="3"/>
  <c r="AN151" i="3"/>
  <c r="AT168" i="3"/>
  <c r="AO132" i="3"/>
  <c r="AQ180" i="3"/>
  <c r="AR246" i="3"/>
  <c r="AN85" i="3"/>
  <c r="AL195" i="3"/>
  <c r="AM182" i="3"/>
  <c r="AJ113" i="3"/>
  <c r="AM186" i="3"/>
  <c r="AJ117" i="3"/>
  <c r="AO22" i="3"/>
  <c r="AL79" i="3"/>
  <c r="AH97" i="3"/>
  <c r="AO26" i="3"/>
  <c r="AO113" i="3"/>
  <c r="AP120" i="3"/>
  <c r="AP106" i="3"/>
  <c r="AM227" i="3"/>
  <c r="AI181" i="3"/>
  <c r="AP110" i="3"/>
  <c r="AP183" i="3"/>
  <c r="AG97" i="3"/>
  <c r="AH144" i="3"/>
  <c r="AN90" i="3"/>
  <c r="AO59" i="3"/>
  <c r="AU177" i="3"/>
  <c r="AR84" i="3"/>
  <c r="AW155" i="3"/>
  <c r="AV201" i="3"/>
  <c r="AS210" i="3"/>
  <c r="AQ46" i="3"/>
  <c r="AM124" i="3"/>
  <c r="AQ82" i="3"/>
  <c r="AM195" i="3"/>
  <c r="AN152" i="3"/>
  <c r="AR160" i="3"/>
  <c r="AS27" i="3"/>
  <c r="AT147" i="3"/>
  <c r="AQ151" i="3"/>
  <c r="AT122" i="3"/>
  <c r="AS36" i="3"/>
  <c r="AP21" i="3"/>
  <c r="AL25" i="3"/>
  <c r="AR203" i="3"/>
  <c r="AP218" i="3"/>
  <c r="AP222" i="3"/>
  <c r="AL50" i="3"/>
  <c r="AI109" i="3"/>
  <c r="AP125" i="3"/>
  <c r="AM134" i="3"/>
  <c r="AJ193" i="3"/>
  <c r="AL211" i="3"/>
  <c r="AI176" i="3"/>
  <c r="AP79" i="3"/>
  <c r="AI125" i="3"/>
  <c r="AP54" i="3"/>
  <c r="AO129" i="3"/>
  <c r="AL152" i="3"/>
  <c r="AL138" i="3"/>
  <c r="AM12" i="3"/>
  <c r="AJ209" i="3"/>
  <c r="AL142" i="3"/>
  <c r="AM20" i="3"/>
  <c r="AJ213" i="3"/>
  <c r="AP66" i="3"/>
  <c r="AL135" i="3"/>
  <c r="AI141" i="3"/>
  <c r="AP70" i="3"/>
  <c r="AL143" i="3"/>
  <c r="AI145" i="3"/>
  <c r="AN133" i="3"/>
  <c r="AO140" i="3"/>
  <c r="AP138" i="3"/>
  <c r="AL20" i="3"/>
  <c r="AH201" i="3"/>
  <c r="AP142" i="3"/>
  <c r="AL24" i="3"/>
  <c r="AH205" i="3"/>
  <c r="AO70" i="3"/>
  <c r="AP22" i="3"/>
  <c r="AM60" i="3"/>
  <c r="AK176" i="3"/>
  <c r="AK210" i="3"/>
  <c r="AG187" i="3"/>
  <c r="AF69" i="3"/>
  <c r="AG214" i="3"/>
  <c r="AH187" i="3"/>
  <c r="AF73" i="3"/>
  <c r="AK138" i="3"/>
  <c r="AG115" i="3"/>
  <c r="AE217" i="3"/>
  <c r="AK142" i="3"/>
  <c r="AI221" i="3"/>
  <c r="AL32" i="3"/>
  <c r="AG88" i="3"/>
  <c r="AG178" i="3"/>
  <c r="AI163" i="3"/>
  <c r="AE154" i="3"/>
  <c r="AH178" i="3"/>
  <c r="AJ163" i="3"/>
  <c r="AE158" i="3"/>
  <c r="AG106" i="3"/>
  <c r="AI91" i="3"/>
  <c r="AE41" i="3"/>
  <c r="AP172" i="3"/>
  <c r="AP48" i="3"/>
  <c r="AR175" i="3"/>
  <c r="AS219" i="3"/>
  <c r="AT156" i="3"/>
  <c r="AQ168" i="3"/>
  <c r="AQ33" i="3"/>
  <c r="AL81" i="3"/>
  <c r="AM177" i="3"/>
  <c r="AN177" i="3"/>
  <c r="AP93" i="3"/>
  <c r="AM199" i="3"/>
  <c r="AM207" i="3"/>
  <c r="AO150" i="3"/>
  <c r="AG85" i="3"/>
  <c r="AN14" i="3"/>
  <c r="AO81" i="3"/>
  <c r="AO108" i="3"/>
  <c r="AO94" i="3"/>
  <c r="AP175" i="3"/>
  <c r="AH169" i="3"/>
  <c r="AO98" i="3"/>
  <c r="AO163" i="3"/>
  <c r="AK81" i="3"/>
  <c r="AG108" i="3"/>
  <c r="AM78" i="3"/>
  <c r="AN43" i="3"/>
  <c r="AJ9" i="3"/>
  <c r="AK213" i="3"/>
  <c r="AM82" i="3"/>
  <c r="AM89" i="3"/>
  <c r="AM151" i="3"/>
  <c r="AM196" i="3"/>
  <c r="AN162" i="3"/>
  <c r="AO183" i="3"/>
  <c r="AK93" i="3"/>
  <c r="AM204" i="3"/>
  <c r="AN166" i="3"/>
  <c r="AO191" i="3"/>
  <c r="AK97" i="3"/>
  <c r="AG152" i="3"/>
  <c r="AM94" i="3"/>
  <c r="AN67" i="3"/>
  <c r="AJ25" i="3"/>
  <c r="AK229" i="3"/>
  <c r="AM98" i="3"/>
  <c r="AN75" i="3"/>
  <c r="AJ29" i="3"/>
  <c r="AR235" i="3"/>
  <c r="AP157" i="3"/>
  <c r="AL104" i="3"/>
  <c r="AL26" i="3"/>
  <c r="AM230" i="3"/>
  <c r="AN44" i="3"/>
  <c r="AJ161" i="3"/>
  <c r="AL30" i="3"/>
  <c r="AM234" i="3"/>
  <c r="AN48" i="3"/>
  <c r="AJ165" i="3"/>
  <c r="AP192" i="3"/>
  <c r="AL162" i="3"/>
  <c r="AN126" i="3"/>
  <c r="AN243" i="3"/>
  <c r="AI193" i="3"/>
  <c r="AG34" i="3"/>
  <c r="AH238" i="3"/>
  <c r="AI147" i="3"/>
  <c r="AJ240" i="3"/>
  <c r="AH34" i="3"/>
  <c r="AI238" i="3"/>
  <c r="AJ147" i="3"/>
  <c r="AK240" i="3"/>
  <c r="AI44" i="3"/>
  <c r="AH166" i="3"/>
  <c r="AI75" i="3"/>
  <c r="AJ56" i="3"/>
  <c r="AI60" i="3"/>
  <c r="AH170" i="3"/>
  <c r="AG69" i="3"/>
  <c r="AO27" i="3"/>
  <c r="AJ61" i="3"/>
  <c r="AI152" i="3"/>
  <c r="AI138" i="3"/>
  <c r="AJ47" i="3"/>
  <c r="AK251" i="3"/>
  <c r="AF21" i="3"/>
  <c r="AJ138" i="3"/>
  <c r="AK47" i="3"/>
  <c r="AG12" i="3"/>
  <c r="AF25" i="3"/>
  <c r="AI66" i="3"/>
  <c r="AJ140" i="3"/>
  <c r="AK179" i="3"/>
  <c r="AE169" i="3"/>
  <c r="AG133" i="3"/>
  <c r="AN51" i="3"/>
  <c r="AH85" i="3"/>
  <c r="AU25" i="3"/>
  <c r="AV110" i="3"/>
  <c r="AT57" i="3"/>
  <c r="AW103" i="3"/>
  <c r="AX62" i="3"/>
  <c r="AS173" i="3"/>
  <c r="AU167" i="3"/>
  <c r="AV234" i="3"/>
  <c r="AW63" i="3"/>
  <c r="AX67" i="3"/>
  <c r="AU187" i="3"/>
  <c r="AQ238" i="3"/>
  <c r="AT11" i="3"/>
  <c r="AQ15" i="3"/>
  <c r="AT90" i="3"/>
  <c r="AQ162" i="3"/>
  <c r="AS124" i="3"/>
  <c r="AR202" i="3"/>
  <c r="AL69" i="3"/>
  <c r="AT202" i="3"/>
  <c r="AM69" i="3"/>
  <c r="AR63" i="3"/>
  <c r="AQ76" i="3"/>
  <c r="AS107" i="3"/>
  <c r="AM205" i="3"/>
  <c r="AT227" i="3"/>
  <c r="AN159" i="3"/>
  <c r="AQ231" i="3"/>
  <c r="AO159" i="3"/>
  <c r="AU175" i="3"/>
  <c r="AQ186" i="3"/>
  <c r="AS192" i="3"/>
  <c r="AT246" i="3"/>
  <c r="AP85" i="3"/>
  <c r="AQ250" i="3"/>
  <c r="AL89" i="3"/>
  <c r="AR87" i="3"/>
  <c r="AR144" i="3"/>
  <c r="AO156" i="3"/>
  <c r="AP43" i="3"/>
  <c r="AH217" i="3"/>
  <c r="AP51" i="3"/>
  <c r="AH221" i="3"/>
  <c r="AP98" i="3"/>
  <c r="AL191" i="3"/>
  <c r="AH161" i="3"/>
  <c r="AP102" i="3"/>
  <c r="AO177" i="3"/>
  <c r="AP184" i="3"/>
  <c r="AL186" i="3"/>
  <c r="AM64" i="3"/>
  <c r="AP92" i="3"/>
  <c r="AL190" i="3"/>
  <c r="AO28" i="3"/>
  <c r="AK145" i="3"/>
  <c r="AO152" i="3"/>
  <c r="AM142" i="3"/>
  <c r="AN147" i="3"/>
  <c r="AR101" i="3"/>
  <c r="AS58" i="3"/>
  <c r="AX159" i="3"/>
  <c r="AV36" i="3"/>
  <c r="AT21" i="3"/>
  <c r="AS211" i="3"/>
  <c r="AQ144" i="3"/>
  <c r="AS188" i="3"/>
  <c r="AT111" i="3"/>
  <c r="AQ115" i="3"/>
  <c r="AU234" i="3"/>
  <c r="AS48" i="3"/>
  <c r="AM33" i="3"/>
  <c r="AN33" i="3"/>
  <c r="AQ161" i="3"/>
  <c r="AP129" i="3"/>
  <c r="AL229" i="3"/>
  <c r="AM229" i="3"/>
  <c r="AN149" i="3"/>
  <c r="AL36" i="3"/>
  <c r="AL40" i="3"/>
  <c r="AL178" i="3"/>
  <c r="AM104" i="3"/>
  <c r="AL83" i="3"/>
  <c r="AM23" i="3"/>
  <c r="AL240" i="3"/>
  <c r="AO200" i="3"/>
  <c r="AL244" i="3"/>
  <c r="AM243" i="3"/>
  <c r="AI189" i="3"/>
  <c r="AP118" i="3"/>
  <c r="AP205" i="3"/>
  <c r="AM144" i="3"/>
  <c r="AL202" i="3"/>
  <c r="AN200" i="3"/>
  <c r="AM152" i="3"/>
  <c r="AL206" i="3"/>
  <c r="AI9" i="3"/>
  <c r="AJ80" i="3"/>
  <c r="AP130" i="3"/>
  <c r="AM24" i="3"/>
  <c r="AI205" i="3"/>
  <c r="AP134" i="3"/>
  <c r="AM28" i="3"/>
  <c r="AI209" i="3"/>
  <c r="AN197" i="3"/>
  <c r="AP148" i="3"/>
  <c r="AP202" i="3"/>
  <c r="AL84" i="3"/>
  <c r="AP156" i="3"/>
  <c r="AP206" i="3"/>
  <c r="AL188" i="3"/>
  <c r="AI88" i="3"/>
  <c r="AO134" i="3"/>
  <c r="AM178" i="3"/>
  <c r="AK73" i="3"/>
  <c r="AJ248" i="3"/>
  <c r="AK156" i="3"/>
  <c r="AH28" i="3"/>
  <c r="AK248" i="3"/>
  <c r="AG168" i="3"/>
  <c r="AI28" i="3"/>
  <c r="AF146" i="3"/>
  <c r="AK202" i="3"/>
  <c r="AH191" i="3"/>
  <c r="AF29" i="3"/>
  <c r="AK206" i="3"/>
  <c r="AM146" i="3"/>
  <c r="AK25" i="3"/>
  <c r="AG100" i="3"/>
  <c r="AH20" i="3"/>
  <c r="AI227" i="3"/>
  <c r="AI100" i="3"/>
  <c r="AI20" i="3"/>
  <c r="AJ227" i="3"/>
  <c r="AQ245" i="3"/>
  <c r="AL193" i="3"/>
  <c r="AM131" i="3"/>
  <c r="AN131" i="3"/>
  <c r="AQ170" i="3"/>
  <c r="AR218" i="3"/>
  <c r="AT218" i="3"/>
  <c r="AR71" i="3"/>
  <c r="AN144" i="3"/>
  <c r="AG205" i="3"/>
  <c r="AG209" i="3"/>
  <c r="AP163" i="3"/>
  <c r="AG149" i="3"/>
  <c r="AN78" i="3"/>
  <c r="AN165" i="3"/>
  <c r="AO172" i="3"/>
  <c r="AO158" i="3"/>
  <c r="AL52" i="3"/>
  <c r="AH233" i="3"/>
  <c r="AO162" i="3"/>
  <c r="AN12" i="3"/>
  <c r="AJ133" i="3"/>
  <c r="AM128" i="3"/>
  <c r="AL130" i="3"/>
  <c r="AM127" i="3"/>
  <c r="AI61" i="3"/>
  <c r="AM136" i="3"/>
  <c r="AR171" i="3"/>
  <c r="AP141" i="3"/>
  <c r="AL88" i="3"/>
  <c r="AL10" i="3"/>
  <c r="AM214" i="3"/>
  <c r="AN28" i="3"/>
  <c r="AJ145" i="3"/>
  <c r="AL14" i="3"/>
  <c r="AM218" i="3"/>
  <c r="AN32" i="3"/>
  <c r="AJ149" i="3"/>
  <c r="AM160" i="3"/>
  <c r="AL146" i="3"/>
  <c r="AM155" i="3"/>
  <c r="AI77" i="3"/>
  <c r="AM168" i="3"/>
  <c r="AL150" i="3"/>
  <c r="AM163" i="3"/>
  <c r="AI81" i="3"/>
  <c r="AR136" i="3"/>
  <c r="AO209" i="3"/>
  <c r="AP152" i="3"/>
  <c r="AP74" i="3"/>
  <c r="AL43" i="3"/>
  <c r="AH9" i="3"/>
  <c r="AI213" i="3"/>
  <c r="AP78" i="3"/>
  <c r="AL51" i="3"/>
  <c r="AH13" i="3"/>
  <c r="AI217" i="3"/>
  <c r="AO248" i="3"/>
  <c r="AO111" i="3"/>
  <c r="AM194" i="3"/>
  <c r="AM76" i="3"/>
  <c r="AK249" i="3"/>
  <c r="AK82" i="3"/>
  <c r="AG204" i="3"/>
  <c r="AH199" i="3"/>
  <c r="AE10" i="3"/>
  <c r="AG86" i="3"/>
  <c r="AH204" i="3"/>
  <c r="AI199" i="3"/>
  <c r="AE14" i="3"/>
  <c r="AK10" i="3"/>
  <c r="AG218" i="3"/>
  <c r="AH127" i="3"/>
  <c r="AI184" i="3"/>
  <c r="AK14" i="3"/>
  <c r="AG222" i="3"/>
  <c r="AN148" i="3"/>
  <c r="AN127" i="3"/>
  <c r="AI129" i="3"/>
  <c r="AI164" i="3"/>
  <c r="AH190" i="3"/>
  <c r="AI99" i="3"/>
  <c r="AJ104" i="3"/>
  <c r="AK164" i="3"/>
  <c r="AI190" i="3"/>
  <c r="AJ99" i="3"/>
  <c r="AK104" i="3"/>
  <c r="AF34" i="3"/>
  <c r="AH118" i="3"/>
  <c r="AI27" i="3"/>
  <c r="AJ231" i="3"/>
  <c r="AE178" i="3"/>
  <c r="AN240" i="3"/>
  <c r="AL167" i="3"/>
  <c r="AG153" i="3"/>
  <c r="AX102" i="3"/>
  <c r="AV211" i="3"/>
  <c r="AU153" i="3"/>
  <c r="AS249" i="3"/>
  <c r="AV194" i="3"/>
  <c r="AX31" i="3"/>
  <c r="AQ57" i="3"/>
  <c r="AV207" i="3"/>
  <c r="AW104" i="3"/>
  <c r="AX116" i="3"/>
  <c r="AQ77" i="3"/>
  <c r="AS147" i="3"/>
  <c r="AT32" i="3"/>
  <c r="AQ36" i="3"/>
  <c r="AQ17" i="3"/>
  <c r="AT214" i="3"/>
  <c r="AN73" i="3"/>
  <c r="AT63" i="3"/>
  <c r="AO169" i="3"/>
  <c r="AQ67" i="3"/>
  <c r="AP169" i="3"/>
  <c r="AR191" i="3"/>
  <c r="AQ70" i="3"/>
  <c r="AS235" i="3"/>
  <c r="AP171" i="3"/>
  <c r="AT204" i="3"/>
  <c r="AL144" i="3"/>
  <c r="AQ216" i="3"/>
  <c r="AR108" i="3"/>
  <c r="AQ65" i="3"/>
  <c r="AS20" i="3"/>
  <c r="AM93" i="3"/>
  <c r="AT87" i="3"/>
  <c r="AN189" i="3"/>
  <c r="AQ91" i="3"/>
  <c r="AO189" i="3"/>
  <c r="AR215" i="3"/>
  <c r="AP109" i="3"/>
  <c r="AL220" i="3"/>
  <c r="AN219" i="3"/>
  <c r="AL224" i="3"/>
  <c r="AN227" i="3"/>
  <c r="AJ164" i="3"/>
  <c r="AP162" i="3"/>
  <c r="AL44" i="3"/>
  <c r="AI237" i="3"/>
  <c r="AR40" i="3"/>
  <c r="AO241" i="3"/>
  <c r="AP220" i="3"/>
  <c r="AL250" i="3"/>
  <c r="AH41" i="3"/>
  <c r="AP224" i="3"/>
  <c r="AL11" i="3"/>
  <c r="AN80" i="3"/>
  <c r="AJ197" i="3"/>
  <c r="AP228" i="3"/>
  <c r="AL194" i="3"/>
  <c r="AW96" i="3"/>
  <c r="AX39" i="3"/>
  <c r="AT62" i="3"/>
  <c r="AU242" i="3"/>
  <c r="AR98" i="3"/>
  <c r="AU196" i="3"/>
  <c r="AL131" i="3"/>
  <c r="AR222" i="3"/>
  <c r="AS247" i="3"/>
  <c r="AT236" i="3"/>
  <c r="AQ248" i="3"/>
  <c r="AQ181" i="3"/>
  <c r="AM141" i="3"/>
  <c r="AN237" i="3"/>
  <c r="AO237" i="3"/>
  <c r="AQ106" i="3"/>
  <c r="AL239" i="3"/>
  <c r="AM172" i="3"/>
  <c r="AR244" i="3"/>
  <c r="AO92" i="3"/>
  <c r="AH153" i="3"/>
  <c r="AH157" i="3"/>
  <c r="AM99" i="3"/>
  <c r="AL54" i="3"/>
  <c r="AL136" i="3"/>
  <c r="AN251" i="3"/>
  <c r="AM138" i="3"/>
  <c r="AH109" i="3"/>
  <c r="AO102" i="3"/>
  <c r="AM72" i="3"/>
  <c r="AP108" i="3"/>
  <c r="AR116" i="3"/>
  <c r="AP83" i="3"/>
  <c r="AP236" i="3"/>
  <c r="AM39" i="3"/>
  <c r="AI69" i="3"/>
  <c r="AP240" i="3"/>
  <c r="AM43" i="3"/>
  <c r="AI73" i="3"/>
  <c r="AP132" i="3"/>
  <c r="AL210" i="3"/>
  <c r="AM188" i="3"/>
  <c r="AP140" i="3"/>
  <c r="AL214" i="3"/>
  <c r="AM200" i="3"/>
  <c r="AR80" i="3"/>
  <c r="AO95" i="3"/>
  <c r="AO240" i="3"/>
  <c r="AP27" i="3"/>
  <c r="AH73" i="3"/>
  <c r="AO244" i="3"/>
  <c r="AP31" i="3"/>
  <c r="AH77" i="3"/>
  <c r="AN140" i="3"/>
  <c r="AP35" i="3"/>
  <c r="AP39" i="3"/>
  <c r="AI161" i="3"/>
  <c r="AJ70" i="3"/>
  <c r="AG59" i="3"/>
  <c r="AH172" i="3"/>
  <c r="AK70" i="3"/>
  <c r="AH59" i="3"/>
  <c r="AI172" i="3"/>
  <c r="AJ224" i="3"/>
  <c r="AG180" i="3"/>
  <c r="AH12" i="3"/>
  <c r="AJ236" i="3"/>
  <c r="AN186" i="3"/>
  <c r="AP230" i="3"/>
  <c r="AI113" i="3"/>
  <c r="AG50" i="3"/>
  <c r="AH23" i="3"/>
  <c r="AI76" i="3"/>
  <c r="AH50" i="3"/>
  <c r="AI23" i="3"/>
  <c r="AJ76" i="3"/>
  <c r="AI120" i="3"/>
  <c r="AH246" i="3"/>
  <c r="AI219" i="3"/>
  <c r="AN250" i="3"/>
  <c r="AN11" i="3"/>
  <c r="AG137" i="3"/>
  <c r="AH14" i="3"/>
  <c r="AI218" i="3"/>
  <c r="AJ127" i="3"/>
  <c r="AK184" i="3"/>
  <c r="AI14" i="3"/>
  <c r="AJ218" i="3"/>
  <c r="AK127" i="3"/>
  <c r="AG196" i="3"/>
  <c r="AF178" i="3"/>
  <c r="AI146" i="3"/>
  <c r="AJ55" i="3"/>
  <c r="AK24" i="3"/>
  <c r="AF61" i="3"/>
  <c r="AI150" i="3"/>
  <c r="AO23" i="3"/>
  <c r="AO170" i="3"/>
  <c r="AN56" i="3"/>
  <c r="AK233" i="3"/>
  <c r="AK66" i="3"/>
  <c r="AG156" i="3"/>
  <c r="AH183" i="3"/>
  <c r="AE177" i="3"/>
  <c r="AQ54" i="3"/>
  <c r="AO139" i="3"/>
  <c r="AP128" i="3"/>
  <c r="AR238" i="3"/>
  <c r="AT230" i="3"/>
  <c r="AT71" i="3"/>
  <c r="AQ75" i="3"/>
  <c r="AR199" i="3"/>
  <c r="AP204" i="3"/>
  <c r="AP208" i="3"/>
  <c r="AH100" i="3"/>
  <c r="AP28" i="3"/>
  <c r="AG213" i="3"/>
  <c r="AR251" i="3"/>
  <c r="AN229" i="3"/>
  <c r="AN192" i="3"/>
  <c r="AP234" i="3"/>
  <c r="AG29" i="3"/>
  <c r="AN196" i="3"/>
  <c r="AP238" i="3"/>
  <c r="AM68" i="3"/>
  <c r="AI185" i="3"/>
  <c r="AO216" i="3"/>
  <c r="AP178" i="3"/>
  <c r="AL219" i="3"/>
  <c r="AH113" i="3"/>
  <c r="AO220" i="3"/>
  <c r="AR72" i="3"/>
  <c r="AO193" i="3"/>
  <c r="AP136" i="3"/>
  <c r="AP58" i="3"/>
  <c r="AL27" i="3"/>
  <c r="AM80" i="3"/>
  <c r="AI197" i="3"/>
  <c r="AP62" i="3"/>
  <c r="AL31" i="3"/>
  <c r="AM84" i="3"/>
  <c r="AI201" i="3"/>
  <c r="AO232" i="3"/>
  <c r="AP194" i="3"/>
  <c r="AL251" i="3"/>
  <c r="AH129" i="3"/>
  <c r="AO236" i="3"/>
  <c r="AP198" i="3"/>
  <c r="AL12" i="3"/>
  <c r="AH133" i="3"/>
  <c r="AM41" i="3"/>
  <c r="AN63" i="3"/>
  <c r="AN124" i="3"/>
  <c r="AO126" i="3"/>
  <c r="AP119" i="3"/>
  <c r="AG61" i="3"/>
  <c r="AN132" i="3"/>
  <c r="AO130" i="3"/>
  <c r="AP127" i="3"/>
  <c r="AG65" i="3"/>
  <c r="AH60" i="3"/>
  <c r="AN58" i="3"/>
  <c r="AK53" i="3"/>
  <c r="AL23" i="3"/>
  <c r="AK57" i="3"/>
  <c r="AJ144" i="3"/>
  <c r="AJ134" i="3"/>
  <c r="AK43" i="3"/>
  <c r="AG251" i="3"/>
  <c r="AE28" i="3"/>
  <c r="AK134" i="3"/>
  <c r="AG47" i="3"/>
  <c r="AH251" i="3"/>
  <c r="AF9" i="3"/>
  <c r="AJ62" i="3"/>
  <c r="AK124" i="3"/>
  <c r="AG179" i="3"/>
  <c r="AE153" i="3"/>
  <c r="AJ66" i="3"/>
  <c r="AK140" i="3"/>
  <c r="AM130" i="3"/>
  <c r="AM251" i="3"/>
  <c r="AG201" i="3"/>
  <c r="AK34" i="3"/>
  <c r="AG242" i="3"/>
  <c r="AH151" i="3"/>
  <c r="AE17" i="3"/>
  <c r="AG38" i="3"/>
  <c r="AH242" i="3"/>
  <c r="AI151" i="3"/>
  <c r="AE21" i="3"/>
  <c r="AG60" i="3"/>
  <c r="AG170" i="3"/>
  <c r="AH79" i="3"/>
  <c r="AI64" i="3"/>
  <c r="AO198" i="3"/>
  <c r="AP150" i="3"/>
  <c r="AP32" i="3"/>
  <c r="AK217" i="3"/>
  <c r="AV106" i="3"/>
  <c r="AW116" i="3"/>
  <c r="AV180" i="3"/>
  <c r="AX107" i="3"/>
  <c r="AR61" i="3"/>
  <c r="AT65" i="3"/>
  <c r="AU21" i="3"/>
  <c r="AR97" i="3"/>
  <c r="AS209" i="3"/>
  <c r="AT213" i="3"/>
  <c r="AU40" i="3"/>
  <c r="AL33" i="3"/>
  <c r="AM129" i="3"/>
  <c r="AN129" i="3"/>
  <c r="AQ225" i="3"/>
  <c r="AS71" i="3"/>
  <c r="AL177" i="3"/>
  <c r="AT191" i="3"/>
  <c r="AM95" i="3"/>
  <c r="AQ195" i="3"/>
  <c r="AN95" i="3"/>
  <c r="AU195" i="3"/>
  <c r="AQ198" i="3"/>
  <c r="AS224" i="3"/>
  <c r="AT108" i="3"/>
  <c r="AM97" i="3"/>
  <c r="AQ132" i="3"/>
  <c r="AN97" i="3"/>
  <c r="AR99" i="3"/>
  <c r="AQ249" i="3"/>
  <c r="AS95" i="3"/>
  <c r="AP193" i="3"/>
  <c r="AT215" i="3"/>
  <c r="AL139" i="3"/>
  <c r="AQ219" i="3"/>
  <c r="AM139" i="3"/>
  <c r="AR168" i="3"/>
  <c r="AN213" i="3"/>
  <c r="AO78" i="3"/>
  <c r="AG13" i="3"/>
  <c r="AO82" i="3"/>
  <c r="AG17" i="3"/>
  <c r="AO196" i="3"/>
  <c r="AP226" i="3"/>
  <c r="AH33" i="3"/>
  <c r="AO204" i="3"/>
  <c r="AP13" i="3"/>
  <c r="AP195" i="3"/>
  <c r="AP42" i="3"/>
  <c r="AL91" i="3"/>
  <c r="AI117" i="3"/>
  <c r="AP46" i="3"/>
  <c r="AL99" i="3"/>
  <c r="AH45" i="3"/>
  <c r="AI249" i="3"/>
  <c r="AO38" i="3"/>
  <c r="AP242" i="3"/>
  <c r="AU173" i="3"/>
  <c r="AU86" i="3"/>
  <c r="AV43" i="3"/>
  <c r="AQ121" i="3"/>
  <c r="AS17" i="3"/>
  <c r="AQ141" i="3"/>
  <c r="AT136" i="3"/>
  <c r="AQ113" i="3"/>
  <c r="AL113" i="3"/>
  <c r="AM209" i="3"/>
  <c r="AN209" i="3"/>
  <c r="AQ118" i="3"/>
  <c r="AN16" i="3"/>
  <c r="AO180" i="3"/>
  <c r="AR19" i="3"/>
  <c r="AS15" i="3"/>
  <c r="AT135" i="3"/>
  <c r="AQ139" i="3"/>
  <c r="AR28" i="3"/>
  <c r="AO14" i="3"/>
  <c r="AO18" i="3"/>
  <c r="AM96" i="3"/>
  <c r="AN68" i="3"/>
  <c r="AR64" i="3"/>
  <c r="AL236" i="3"/>
  <c r="AJ65" i="3"/>
  <c r="AM27" i="3"/>
  <c r="AK209" i="3"/>
  <c r="AM206" i="3"/>
  <c r="AH49" i="3"/>
  <c r="AP232" i="3"/>
  <c r="AN53" i="3"/>
  <c r="AP231" i="3"/>
  <c r="AL74" i="3"/>
  <c r="AM143" i="3"/>
  <c r="AI133" i="3"/>
  <c r="AL78" i="3"/>
  <c r="AM147" i="3"/>
  <c r="AI137" i="3"/>
  <c r="AP244" i="3"/>
  <c r="AL35" i="3"/>
  <c r="AH65" i="3"/>
  <c r="AP248" i="3"/>
  <c r="AL39" i="3"/>
  <c r="AH69" i="3"/>
  <c r="AM57" i="3"/>
  <c r="AO239" i="3"/>
  <c r="AO62" i="3"/>
  <c r="AL147" i="3"/>
  <c r="AH137" i="3"/>
  <c r="AO66" i="3"/>
  <c r="AL155" i="3"/>
  <c r="AH141" i="3"/>
  <c r="AN236" i="3"/>
  <c r="AJ105" i="3"/>
  <c r="AO175" i="3"/>
  <c r="AJ237" i="3"/>
  <c r="AK146" i="3"/>
  <c r="AG123" i="3"/>
  <c r="AE193" i="3"/>
  <c r="AG150" i="3"/>
  <c r="AH123" i="3"/>
  <c r="AE197" i="3"/>
  <c r="AK74" i="3"/>
  <c r="AG51" i="3"/>
  <c r="AH148" i="3"/>
  <c r="AK78" i="3"/>
  <c r="AN52" i="3"/>
  <c r="AN99" i="3"/>
  <c r="AG217" i="3"/>
  <c r="AG114" i="3"/>
  <c r="AH87" i="3"/>
  <c r="AE81" i="3"/>
  <c r="AH114" i="3"/>
  <c r="AI87" i="3"/>
  <c r="AE85" i="3"/>
  <c r="AG42" i="3"/>
  <c r="AH15" i="3"/>
  <c r="AJ84" i="3"/>
  <c r="AI29" i="3"/>
  <c r="AM135" i="3"/>
  <c r="AG233" i="3"/>
  <c r="AG66" i="3"/>
  <c r="AH140" i="3"/>
  <c r="AI179" i="3"/>
  <c r="AE161" i="3"/>
  <c r="AH66" i="3"/>
  <c r="AI140" i="3"/>
  <c r="AJ179" i="3"/>
  <c r="AE165" i="3"/>
  <c r="AG212" i="3"/>
  <c r="AH198" i="3"/>
  <c r="AI107" i="3"/>
  <c r="AJ128" i="3"/>
  <c r="AG224" i="3"/>
  <c r="AH202" i="3"/>
  <c r="AP76" i="3"/>
  <c r="AM242" i="3"/>
  <c r="AH37" i="3"/>
  <c r="AJ100" i="3"/>
  <c r="AJ118" i="3"/>
  <c r="AK27" i="3"/>
  <c r="AG235" i="3"/>
  <c r="AF217" i="3"/>
  <c r="AP166" i="3"/>
  <c r="AK114" i="3"/>
  <c r="AH231" i="3"/>
  <c r="AG118" i="3"/>
  <c r="AI231" i="3"/>
  <c r="AK42" i="3"/>
  <c r="AH159" i="3"/>
  <c r="AK46" i="3"/>
  <c r="AG197" i="3"/>
  <c r="AG105" i="3"/>
  <c r="AI170" i="3"/>
  <c r="AK64" i="3"/>
  <c r="AH18" i="3"/>
  <c r="AI222" i="3"/>
  <c r="AJ131" i="3"/>
  <c r="AK196" i="3"/>
  <c r="AF194" i="3"/>
  <c r="AH150" i="3"/>
  <c r="AI59" i="3"/>
  <c r="AJ28" i="3"/>
  <c r="AF77" i="3"/>
  <c r="AH154" i="3"/>
  <c r="AI63" i="3"/>
  <c r="AJ32" i="3"/>
  <c r="AI31" i="3"/>
  <c r="AG128" i="3"/>
  <c r="AF122" i="3"/>
  <c r="AD192" i="3"/>
  <c r="AF27" i="3"/>
  <c r="AF30" i="3"/>
  <c r="AD179" i="3"/>
  <c r="AF223" i="3"/>
  <c r="AC175" i="3"/>
  <c r="AD72" i="3"/>
  <c r="AF168" i="3"/>
  <c r="AF197" i="3"/>
  <c r="AD139" i="3"/>
  <c r="AK30" i="3"/>
  <c r="AH195" i="3"/>
  <c r="AE198" i="3"/>
  <c r="AC54" i="3"/>
  <c r="AE67" i="3"/>
  <c r="AC235" i="3"/>
  <c r="AC250" i="3"/>
  <c r="AD117" i="3"/>
  <c r="AC32" i="3"/>
  <c r="AC245" i="3"/>
  <c r="AE11" i="3"/>
  <c r="AC11" i="3"/>
  <c r="AC210" i="3"/>
  <c r="AE223" i="3"/>
  <c r="AJ146" i="3"/>
  <c r="AK231" i="3"/>
  <c r="AF81" i="3"/>
  <c r="AC198" i="3"/>
  <c r="AE211" i="3"/>
  <c r="AF180" i="3"/>
  <c r="AF246" i="3"/>
  <c r="AF92" i="3"/>
  <c r="AE148" i="3"/>
  <c r="AC142" i="3"/>
  <c r="AE155" i="3"/>
  <c r="AD204" i="3"/>
  <c r="AD102" i="3"/>
  <c r="AF20" i="3"/>
  <c r="AE76" i="3"/>
  <c r="AC92" i="3"/>
  <c r="AJ27" i="3"/>
  <c r="AI104" i="3"/>
  <c r="AF106" i="3"/>
  <c r="AD160" i="3"/>
  <c r="AF11" i="3"/>
  <c r="AF245" i="3"/>
  <c r="AD163" i="3"/>
  <c r="AF207" i="3"/>
  <c r="AC47" i="3"/>
  <c r="AD40" i="3"/>
  <c r="AF132" i="3"/>
  <c r="AF165" i="3"/>
  <c r="AD123" i="3"/>
  <c r="AF167" i="3"/>
  <c r="AF248" i="3"/>
  <c r="AF224" i="3"/>
  <c r="S125" i="3"/>
  <c r="Y122" i="3"/>
  <c r="Y138" i="3"/>
  <c r="Z107" i="3"/>
  <c r="X83" i="3"/>
  <c r="U61" i="3"/>
  <c r="U81" i="3"/>
  <c r="T140" i="3"/>
  <c r="AA177" i="3"/>
  <c r="Z174" i="3"/>
  <c r="Z190" i="3"/>
  <c r="S194" i="3"/>
  <c r="S135" i="3"/>
  <c r="U141" i="3"/>
  <c r="X22" i="3"/>
  <c r="AB117" i="3"/>
  <c r="S118" i="3"/>
  <c r="S86" i="3"/>
  <c r="U168" i="3"/>
  <c r="V137" i="3"/>
  <c r="V80" i="3"/>
  <c r="V100" i="3"/>
  <c r="S81" i="3"/>
  <c r="W229" i="3"/>
  <c r="N17" i="3"/>
  <c r="D33" i="3"/>
  <c r="X37" i="3"/>
  <c r="AA169" i="3"/>
  <c r="Z166" i="3"/>
  <c r="X210" i="3"/>
  <c r="V213" i="3"/>
  <c r="AB144" i="3"/>
  <c r="W221" i="3"/>
  <c r="W241" i="3"/>
  <c r="S89" i="3"/>
  <c r="X225" i="3"/>
  <c r="AB218" i="3"/>
  <c r="S20" i="3"/>
  <c r="V60" i="3"/>
  <c r="Y119" i="3"/>
  <c r="W14" i="3"/>
  <c r="AB157" i="3"/>
  <c r="S158" i="3"/>
  <c r="S174" i="3"/>
  <c r="AB224" i="3"/>
  <c r="AA118" i="3"/>
  <c r="AA115" i="3"/>
  <c r="X131" i="3"/>
  <c r="R81" i="3"/>
  <c r="Y158" i="3"/>
  <c r="AA120" i="3"/>
  <c r="C241" i="3"/>
  <c r="L38" i="3"/>
  <c r="X181" i="3"/>
  <c r="AA74" i="3"/>
  <c r="Y192" i="3"/>
  <c r="U223" i="3"/>
  <c r="S186" i="3"/>
  <c r="V189" i="3"/>
  <c r="AX21" i="3"/>
  <c r="AX167" i="3"/>
  <c r="AU20" i="3"/>
  <c r="AU39" i="3"/>
  <c r="AW218" i="3"/>
  <c r="AU59" i="3"/>
  <c r="AP239" i="3"/>
  <c r="AR11" i="3"/>
  <c r="AS28" i="3"/>
  <c r="AM17" i="3"/>
  <c r="AN17" i="3"/>
  <c r="AQ197" i="3"/>
  <c r="AN153" i="3"/>
  <c r="AO249" i="3"/>
  <c r="AP249" i="3"/>
  <c r="AQ122" i="3"/>
  <c r="AM88" i="3"/>
  <c r="AN184" i="3"/>
  <c r="AR23" i="3"/>
  <c r="AP104" i="3"/>
  <c r="AI165" i="3"/>
  <c r="AI169" i="3"/>
  <c r="AN119" i="3"/>
  <c r="AM66" i="3"/>
  <c r="AN160" i="3"/>
  <c r="AO24" i="3"/>
  <c r="AN150" i="3"/>
  <c r="AI121" i="3"/>
  <c r="AP114" i="3"/>
  <c r="AN84" i="3"/>
  <c r="AO160" i="3"/>
  <c r="AR180" i="3"/>
  <c r="AL123" i="3"/>
  <c r="AM22" i="3"/>
  <c r="AN55" i="3"/>
  <c r="AJ81" i="3"/>
  <c r="AM26" i="3"/>
  <c r="AN59" i="3"/>
  <c r="AJ85" i="3"/>
  <c r="AO184" i="3"/>
  <c r="AM222" i="3"/>
  <c r="AI13" i="3"/>
  <c r="AL196" i="3"/>
  <c r="AM226" i="3"/>
  <c r="AI17" i="3"/>
  <c r="AR192" i="3"/>
  <c r="AP123" i="3"/>
  <c r="AP10" i="3"/>
  <c r="AM59" i="3"/>
  <c r="AI85" i="3"/>
  <c r="AP14" i="3"/>
  <c r="AM67" i="3"/>
  <c r="AI89" i="3"/>
  <c r="AP164" i="3"/>
  <c r="AN207" i="3"/>
  <c r="AP59" i="3"/>
  <c r="AI177" i="3"/>
  <c r="AG98" i="3"/>
  <c r="AH71" i="3"/>
  <c r="AI208" i="3"/>
  <c r="AH98" i="3"/>
  <c r="AI71" i="3"/>
  <c r="AJ208" i="3"/>
  <c r="AG26" i="3"/>
  <c r="AH216" i="3"/>
  <c r="AI32" i="3"/>
  <c r="AG30" i="3"/>
  <c r="AM238" i="3"/>
  <c r="AP246" i="3"/>
  <c r="AH149" i="3"/>
  <c r="AH62" i="3"/>
  <c r="AI35" i="3"/>
  <c r="AK136" i="3"/>
  <c r="AI62" i="3"/>
  <c r="AJ35" i="3"/>
  <c r="AG148" i="3"/>
  <c r="AK188" i="3"/>
  <c r="AI92" i="3"/>
  <c r="AK243" i="3"/>
  <c r="AM75" i="3"/>
  <c r="AN31" i="3"/>
  <c r="AG169" i="3"/>
  <c r="AI26" i="3"/>
  <c r="AJ230" i="3"/>
  <c r="AK139" i="3"/>
  <c r="AG228" i="3"/>
  <c r="AJ26" i="3"/>
  <c r="AK230" i="3"/>
  <c r="AG143" i="3"/>
  <c r="AH228" i="3"/>
  <c r="AH249" i="3"/>
  <c r="AJ158" i="3"/>
  <c r="AK67" i="3"/>
  <c r="AG48" i="3"/>
  <c r="AH36" i="3"/>
  <c r="AJ162" i="3"/>
  <c r="AN91" i="3"/>
  <c r="AN190" i="3"/>
  <c r="AN72" i="3"/>
  <c r="AG249" i="3"/>
  <c r="AG82" i="3"/>
  <c r="AH192" i="3"/>
  <c r="AI195" i="3"/>
  <c r="AE241" i="3"/>
  <c r="AH82" i="3"/>
  <c r="AI192" i="3"/>
  <c r="AJ195" i="3"/>
  <c r="AE245" i="3"/>
  <c r="AG10" i="3"/>
  <c r="AH214" i="3"/>
  <c r="AI123" i="3"/>
  <c r="AJ172" i="3"/>
  <c r="AG14" i="3"/>
  <c r="AH218" i="3"/>
  <c r="AI127" i="3"/>
  <c r="AJ184" i="3"/>
  <c r="AK119" i="3"/>
  <c r="AE173" i="3"/>
  <c r="AC29" i="3"/>
  <c r="AD129" i="3"/>
  <c r="AC55" i="3"/>
  <c r="AC225" i="3"/>
  <c r="AE208" i="3"/>
  <c r="AC84" i="3"/>
  <c r="AF166" i="3"/>
  <c r="AD247" i="3"/>
  <c r="AD18" i="3"/>
  <c r="AC185" i="3"/>
  <c r="AD158" i="3"/>
  <c r="AG192" i="3"/>
  <c r="AG56" i="3"/>
  <c r="AF10" i="3"/>
  <c r="AD182" i="3"/>
  <c r="AF48" i="3"/>
  <c r="AE247" i="3"/>
  <c r="AD67" i="3"/>
  <c r="AF111" i="3"/>
  <c r="AE16" i="3"/>
  <c r="AD205" i="3"/>
  <c r="AD142" i="3"/>
  <c r="AD57" i="3"/>
  <c r="AD27" i="3"/>
  <c r="AF71" i="3"/>
  <c r="AJ43" i="3"/>
  <c r="AJ136" i="3"/>
  <c r="AF154" i="3"/>
  <c r="AD15" i="3"/>
  <c r="AF59" i="3"/>
  <c r="AF94" i="3"/>
  <c r="AD211" i="3"/>
  <c r="AF16" i="3"/>
  <c r="AE96" i="3"/>
  <c r="AD140" i="3"/>
  <c r="AF236" i="3"/>
  <c r="AF14" i="3"/>
  <c r="AD171" i="3"/>
  <c r="AF215" i="3"/>
  <c r="AC207" i="3"/>
  <c r="AD34" i="3"/>
  <c r="AG119" i="3"/>
  <c r="AE157" i="3"/>
  <c r="AC13" i="3"/>
  <c r="AD65" i="3"/>
  <c r="AC208" i="3"/>
  <c r="AC209" i="3"/>
  <c r="AE176" i="3"/>
  <c r="AD162" i="3"/>
  <c r="AF134" i="3"/>
  <c r="AD231" i="3"/>
  <c r="AD9" i="3"/>
  <c r="AC169" i="3"/>
  <c r="AE92" i="3"/>
  <c r="AC224" i="3"/>
  <c r="AE15" i="3"/>
  <c r="X77" i="3"/>
  <c r="S18" i="3"/>
  <c r="Z154" i="3"/>
  <c r="Z35" i="3"/>
  <c r="U118" i="3"/>
  <c r="Y139" i="3"/>
  <c r="V30" i="3"/>
  <c r="V50" i="3"/>
  <c r="S129" i="3"/>
  <c r="AA70" i="3"/>
  <c r="Y20" i="3"/>
  <c r="X57" i="3"/>
  <c r="U198" i="3"/>
  <c r="X203" i="3"/>
  <c r="V110" i="3"/>
  <c r="Y189" i="3"/>
  <c r="Z80" i="3"/>
  <c r="X87" i="3"/>
  <c r="X158" i="3"/>
  <c r="W21" i="3"/>
  <c r="S139" i="3"/>
  <c r="AB145" i="3"/>
  <c r="W20" i="3"/>
  <c r="AH182" i="3"/>
  <c r="AI49" i="3"/>
  <c r="AJ166" i="3"/>
  <c r="AG64" i="3"/>
  <c r="AK166" i="3"/>
  <c r="AH64" i="3"/>
  <c r="AJ94" i="3"/>
  <c r="AG211" i="3"/>
  <c r="AJ98" i="3"/>
  <c r="AN62" i="3"/>
  <c r="AJ173" i="3"/>
  <c r="AH222" i="3"/>
  <c r="AJ196" i="3"/>
  <c r="AG70" i="3"/>
  <c r="AH156" i="3"/>
  <c r="AI183" i="3"/>
  <c r="AE181" i="3"/>
  <c r="AK212" i="3"/>
  <c r="AG202" i="3"/>
  <c r="AH111" i="3"/>
  <c r="AI136" i="3"/>
  <c r="AK224" i="3"/>
  <c r="AG206" i="3"/>
  <c r="AH115" i="3"/>
  <c r="AI148" i="3"/>
  <c r="AK103" i="3"/>
  <c r="AE109" i="3"/>
  <c r="AF150" i="3"/>
  <c r="AD239" i="3"/>
  <c r="AD137" i="3"/>
  <c r="AC161" i="3"/>
  <c r="AE72" i="3"/>
  <c r="AC204" i="3"/>
  <c r="AF38" i="3"/>
  <c r="AD183" i="3"/>
  <c r="AF227" i="3"/>
  <c r="AC121" i="3"/>
  <c r="AE143" i="3"/>
  <c r="AG238" i="3"/>
  <c r="AG28" i="3"/>
  <c r="AF193" i="3"/>
  <c r="AD173" i="3"/>
  <c r="AD110" i="3"/>
  <c r="AE204" i="3"/>
  <c r="AD236" i="3"/>
  <c r="AF47" i="3"/>
  <c r="AC19" i="3"/>
  <c r="AC12" i="3"/>
  <c r="AD133" i="3"/>
  <c r="AC111" i="3"/>
  <c r="AD152" i="3"/>
  <c r="AF244" i="3"/>
  <c r="AH19" i="3"/>
  <c r="AJ96" i="3"/>
  <c r="AF90" i="3"/>
  <c r="AD124" i="3"/>
  <c r="AF220" i="3"/>
  <c r="AF213" i="3"/>
  <c r="AD147" i="3"/>
  <c r="AF191" i="3"/>
  <c r="AC56" i="3"/>
  <c r="AF12" i="3"/>
  <c r="AF100" i="3"/>
  <c r="AF133" i="3"/>
  <c r="AD107" i="3"/>
  <c r="AF151" i="3"/>
  <c r="AF204" i="3"/>
  <c r="AF52" i="3"/>
  <c r="AH99" i="3"/>
  <c r="AE93" i="3"/>
  <c r="AF118" i="3"/>
  <c r="AD223" i="3"/>
  <c r="AF60" i="3"/>
  <c r="AC145" i="3"/>
  <c r="AE40" i="3"/>
  <c r="AC172" i="3"/>
  <c r="AF212" i="3"/>
  <c r="AD167" i="3"/>
  <c r="AF211" i="3"/>
  <c r="AC105" i="3"/>
  <c r="AD186" i="3"/>
  <c r="AC96" i="3"/>
  <c r="AD241" i="3"/>
  <c r="AF136" i="3"/>
  <c r="AA93" i="3"/>
  <c r="X153" i="3"/>
  <c r="S100" i="3"/>
  <c r="U149" i="3"/>
  <c r="U92" i="3"/>
  <c r="V61" i="3"/>
  <c r="V81" i="3"/>
  <c r="K13" i="3"/>
  <c r="X149" i="3"/>
  <c r="AA10" i="3"/>
  <c r="Y156" i="3"/>
  <c r="U229" i="3"/>
  <c r="U172" i="3"/>
  <c r="V141" i="3"/>
  <c r="Z17" i="3"/>
  <c r="AB150" i="3"/>
  <c r="S152" i="3"/>
  <c r="Z214" i="3"/>
  <c r="AB176" i="3"/>
  <c r="W233" i="3"/>
  <c r="W176" i="3"/>
  <c r="W196" i="3"/>
  <c r="AA121" i="3"/>
  <c r="AB31" i="3"/>
  <c r="L61" i="3"/>
  <c r="E105" i="3"/>
  <c r="AA133" i="3"/>
  <c r="S229" i="3"/>
  <c r="S14" i="3"/>
  <c r="X248" i="3"/>
  <c r="W22" i="3"/>
  <c r="Z91" i="3"/>
  <c r="AB103" i="3"/>
  <c r="V228" i="3"/>
  <c r="X189" i="3"/>
  <c r="X90" i="3"/>
  <c r="Y97" i="3"/>
  <c r="S59" i="3"/>
  <c r="W102" i="3"/>
  <c r="S130" i="3"/>
  <c r="AA182" i="3"/>
  <c r="AB190" i="3"/>
  <c r="S196" i="3"/>
  <c r="S212" i="3"/>
  <c r="AA60" i="3"/>
  <c r="U201" i="3"/>
  <c r="U144" i="3"/>
  <c r="U164" i="3"/>
  <c r="T207" i="3"/>
  <c r="S123" i="3"/>
  <c r="V12" i="3"/>
  <c r="I45" i="3"/>
  <c r="AA77" i="3"/>
  <c r="S213" i="3"/>
  <c r="Y210" i="3"/>
  <c r="AA250" i="3"/>
  <c r="V223" i="3"/>
  <c r="Z79" i="3"/>
  <c r="W243" i="3"/>
  <c r="AU106" i="3"/>
  <c r="AV153" i="3"/>
  <c r="AV171" i="3"/>
  <c r="AX17" i="3"/>
  <c r="AS81" i="3"/>
  <c r="AU202" i="3"/>
  <c r="AO25" i="3"/>
  <c r="AQ145" i="3"/>
  <c r="AM125" i="3"/>
  <c r="AN221" i="3"/>
  <c r="AO221" i="3"/>
  <c r="AQ134" i="3"/>
  <c r="AR146" i="3"/>
  <c r="AT146" i="3"/>
  <c r="AR35" i="3"/>
  <c r="AS31" i="3"/>
  <c r="AT151" i="3"/>
  <c r="AQ155" i="3"/>
  <c r="AR44" i="3"/>
  <c r="AP26" i="3"/>
  <c r="AP30" i="3"/>
  <c r="AO120" i="3"/>
  <c r="AO80" i="3"/>
  <c r="AR156" i="3"/>
  <c r="AM248" i="3"/>
  <c r="AK77" i="3"/>
  <c r="AO55" i="3"/>
  <c r="AG225" i="3"/>
  <c r="AN218" i="3"/>
  <c r="AJ73" i="3"/>
  <c r="AL248" i="3"/>
  <c r="AN69" i="3"/>
  <c r="AM100" i="3"/>
  <c r="AM86" i="3"/>
  <c r="AN163" i="3"/>
  <c r="AK157" i="3"/>
  <c r="AM90" i="3"/>
  <c r="AN167" i="3"/>
  <c r="AK161" i="3"/>
  <c r="AL18" i="3"/>
  <c r="AM51" i="3"/>
  <c r="AJ89" i="3"/>
  <c r="AL22" i="3"/>
  <c r="AM55" i="3"/>
  <c r="AJ93" i="3"/>
  <c r="AL77" i="3"/>
  <c r="AP88" i="3"/>
  <c r="AL90" i="3"/>
  <c r="AM167" i="3"/>
  <c r="AI149" i="3"/>
  <c r="AL94" i="3"/>
  <c r="AM175" i="3"/>
  <c r="AI153" i="3"/>
  <c r="AP18" i="3"/>
  <c r="AI157" i="3"/>
  <c r="AN211" i="3"/>
  <c r="AG52" i="3"/>
  <c r="AG162" i="3"/>
  <c r="AH135" i="3"/>
  <c r="AE74" i="3"/>
  <c r="AH162" i="3"/>
  <c r="AI135" i="3"/>
  <c r="AE78" i="3"/>
  <c r="AG90" i="3"/>
  <c r="AH63" i="3"/>
  <c r="AJ220" i="3"/>
  <c r="AG94" i="3"/>
  <c r="AH17" i="3"/>
  <c r="AN155" i="3"/>
  <c r="AH229" i="3"/>
  <c r="AH126" i="3"/>
  <c r="AJ111" i="3"/>
  <c r="AE145" i="3"/>
  <c r="AI126" i="3"/>
  <c r="AK111" i="3"/>
  <c r="AE149" i="3"/>
  <c r="AH54" i="3"/>
  <c r="AJ39" i="3"/>
  <c r="AK116" i="3"/>
  <c r="AH81" i="3"/>
  <c r="AL199" i="3"/>
  <c r="AH245" i="3"/>
  <c r="AH78" i="3"/>
  <c r="AI180" i="3"/>
  <c r="AJ191" i="3"/>
  <c r="AE225" i="3"/>
  <c r="AI78" i="3"/>
  <c r="AJ180" i="3"/>
  <c r="AK191" i="3"/>
  <c r="AE229" i="3"/>
  <c r="AH248" i="3"/>
  <c r="AI210" i="3"/>
  <c r="AJ119" i="3"/>
  <c r="AK160" i="3"/>
  <c r="AH10" i="3"/>
  <c r="AI214" i="3"/>
  <c r="AJ41" i="3"/>
  <c r="AM19" i="3"/>
  <c r="AH53" i="3"/>
  <c r="AK132" i="3"/>
  <c r="AK130" i="3"/>
  <c r="AG43" i="3"/>
  <c r="AH247" i="3"/>
  <c r="AE250" i="3"/>
  <c r="AG134" i="3"/>
  <c r="AH43" i="3"/>
  <c r="AI247" i="3"/>
  <c r="AE12" i="3"/>
  <c r="AK58" i="3"/>
  <c r="AG124" i="3"/>
  <c r="AH175" i="3"/>
  <c r="AE137" i="3"/>
  <c r="AI155" i="3"/>
  <c r="AK88" i="3"/>
  <c r="AG27" i="3"/>
  <c r="AE170" i="3"/>
  <c r="AH27" i="3"/>
  <c r="AE174" i="3"/>
  <c r="AG250" i="3"/>
  <c r="AE57" i="3"/>
  <c r="AG20" i="3"/>
  <c r="AL87" i="3"/>
  <c r="AK60" i="3"/>
  <c r="AJ79" i="3"/>
  <c r="AE186" i="3"/>
  <c r="AK118" i="3"/>
  <c r="AG31" i="3"/>
  <c r="AH235" i="3"/>
  <c r="AE190" i="3"/>
  <c r="AJ46" i="3"/>
  <c r="AK250" i="3"/>
  <c r="AG163" i="3"/>
  <c r="AE73" i="3"/>
  <c r="AJ50" i="3"/>
  <c r="AK20" i="3"/>
  <c r="AG167" i="3"/>
  <c r="AG80" i="3"/>
  <c r="AJ171" i="3"/>
  <c r="AE118" i="3"/>
  <c r="AC221" i="3"/>
  <c r="AE200" i="3"/>
  <c r="AC48" i="3"/>
  <c r="AC170" i="3"/>
  <c r="AE183" i="3"/>
  <c r="AF80" i="3"/>
  <c r="AC165" i="3"/>
  <c r="AE84" i="3"/>
  <c r="AC216" i="3"/>
  <c r="AC130" i="3"/>
  <c r="AD180" i="3"/>
  <c r="AK55" i="3"/>
  <c r="AK172" i="3"/>
  <c r="AF202" i="3"/>
  <c r="AD63" i="3"/>
  <c r="AF107" i="3"/>
  <c r="AF190" i="3"/>
  <c r="AD44" i="3"/>
  <c r="AD210" i="3"/>
  <c r="AD66" i="3"/>
  <c r="AD244" i="3"/>
  <c r="AF51" i="3"/>
  <c r="AF110" i="3"/>
  <c r="AD219" i="3"/>
  <c r="AC176" i="3"/>
  <c r="AI95" i="3"/>
  <c r="AE77" i="3"/>
  <c r="AF86" i="3"/>
  <c r="AD207" i="3"/>
  <c r="AF251" i="3"/>
  <c r="AC129" i="3"/>
  <c r="AD20" i="3"/>
  <c r="AC144" i="3"/>
  <c r="AF221" i="3"/>
  <c r="AD151" i="3"/>
  <c r="AF195" i="3"/>
  <c r="AC89" i="3"/>
  <c r="AD122" i="3"/>
  <c r="AC60" i="3"/>
  <c r="AD60" i="3"/>
  <c r="AC79" i="3"/>
  <c r="AK167" i="3"/>
  <c r="AE102" i="3"/>
  <c r="AC205" i="3"/>
  <c r="AE168" i="3"/>
  <c r="AD98" i="3"/>
  <c r="AC154" i="3"/>
  <c r="AE167" i="3"/>
  <c r="AD232" i="3"/>
  <c r="AC149" i="3"/>
  <c r="AE48" i="3"/>
  <c r="AC180" i="3"/>
  <c r="AC114" i="3"/>
  <c r="AE127" i="3"/>
  <c r="AD148" i="3"/>
  <c r="AF119" i="3"/>
  <c r="Z249" i="3"/>
  <c r="X129" i="3"/>
  <c r="AB122" i="3"/>
  <c r="S166" i="3"/>
  <c r="V149" i="3"/>
  <c r="V92" i="3"/>
  <c r="W157" i="3"/>
  <c r="W177" i="3"/>
  <c r="AA45" i="3"/>
  <c r="S181" i="3"/>
  <c r="Y178" i="3"/>
  <c r="AA218" i="3"/>
  <c r="V229" i="3"/>
  <c r="Z192" i="3"/>
  <c r="W237" i="3"/>
  <c r="Y117" i="3"/>
  <c r="AA114" i="3"/>
  <c r="AA130" i="3"/>
  <c r="Y184" i="3"/>
  <c r="Z99" i="3"/>
  <c r="X75" i="3"/>
  <c r="S87" i="3"/>
  <c r="Q65" i="3"/>
  <c r="AA153" i="3"/>
  <c r="Z51" i="3"/>
  <c r="G225" i="3"/>
  <c r="Q22" i="3"/>
  <c r="X169" i="3"/>
  <c r="AB162" i="3"/>
  <c r="AB178" i="3"/>
  <c r="AA150" i="3"/>
  <c r="AA123" i="3"/>
  <c r="U125" i="3"/>
  <c r="U145" i="3"/>
  <c r="W232" i="3"/>
  <c r="S221" i="3"/>
  <c r="Y218" i="3"/>
  <c r="Y234" i="3"/>
  <c r="AA100" i="3"/>
  <c r="S92" i="3"/>
  <c r="U205" i="3"/>
  <c r="AA62" i="3"/>
  <c r="Z161" i="3"/>
  <c r="X162" i="3"/>
  <c r="AB50" i="3"/>
  <c r="S72" i="3"/>
  <c r="V201" i="3"/>
  <c r="AB112" i="3"/>
  <c r="Y168" i="3"/>
  <c r="X180" i="3"/>
  <c r="AA135" i="3"/>
  <c r="B49" i="3"/>
  <c r="P45" i="3"/>
  <c r="S177" i="3"/>
  <c r="AA66" i="3"/>
  <c r="AB9" i="3"/>
  <c r="AA47" i="3"/>
  <c r="W86" i="3"/>
  <c r="AB74" i="3"/>
  <c r="X142" i="3"/>
  <c r="AU110" i="3"/>
  <c r="AR74" i="3"/>
  <c r="AW48" i="3"/>
  <c r="AV248" i="3"/>
  <c r="AX222" i="3"/>
  <c r="AQ110" i="3"/>
  <c r="AL176" i="3"/>
  <c r="AQ98" i="3"/>
  <c r="AN223" i="3"/>
  <c r="AO164" i="3"/>
  <c r="AR212" i="3"/>
  <c r="AS43" i="3"/>
  <c r="AT163" i="3"/>
  <c r="AQ167" i="3"/>
  <c r="AU250" i="3"/>
  <c r="AS52" i="3"/>
  <c r="AL37" i="3"/>
  <c r="AM37" i="3"/>
  <c r="AR239" i="3"/>
  <c r="AL234" i="3"/>
  <c r="AL238" i="3"/>
  <c r="AM62" i="3"/>
  <c r="AK133" i="3"/>
  <c r="AL141" i="3"/>
  <c r="AN146" i="3"/>
  <c r="AG221" i="3"/>
  <c r="AM235" i="3"/>
  <c r="AP100" i="3"/>
  <c r="AL103" i="3"/>
  <c r="AJ137" i="3"/>
  <c r="AL70" i="3"/>
  <c r="AL157" i="3"/>
  <c r="AM164" i="3"/>
  <c r="AM150" i="3"/>
  <c r="AO40" i="3"/>
  <c r="AK221" i="3"/>
  <c r="AM154" i="3"/>
  <c r="AO44" i="3"/>
  <c r="AK225" i="3"/>
  <c r="AL82" i="3"/>
  <c r="AN175" i="3"/>
  <c r="AJ153" i="3"/>
  <c r="AL86" i="3"/>
  <c r="AN183" i="3"/>
  <c r="AJ157" i="3"/>
  <c r="AO145" i="3"/>
  <c r="AL168" i="3"/>
  <c r="AL154" i="3"/>
  <c r="AM32" i="3"/>
  <c r="AJ225" i="3"/>
  <c r="AL158" i="3"/>
  <c r="AM36" i="3"/>
  <c r="AJ229" i="3"/>
  <c r="AP82" i="3"/>
  <c r="AO74" i="3"/>
  <c r="AG9" i="3"/>
  <c r="AG16" i="3"/>
  <c r="AG226" i="3"/>
  <c r="AI211" i="3"/>
  <c r="AI16" i="3"/>
  <c r="AH226" i="3"/>
  <c r="AJ211" i="3"/>
  <c r="AF137" i="3"/>
  <c r="AG154" i="3"/>
  <c r="AI139" i="3"/>
  <c r="AE34" i="3"/>
  <c r="AG158" i="3"/>
  <c r="AM228" i="3"/>
  <c r="AL48" i="3"/>
  <c r="AH120" i="3"/>
  <c r="AI202" i="3"/>
  <c r="AJ175" i="3"/>
  <c r="AE218" i="3"/>
  <c r="AJ202" i="3"/>
  <c r="AK175" i="3"/>
  <c r="AE222" i="3"/>
  <c r="AI130" i="3"/>
  <c r="AJ103" i="3"/>
  <c r="AE105" i="3"/>
  <c r="AM50" i="3"/>
  <c r="AO68" i="3"/>
  <c r="AG132" i="3"/>
  <c r="AG130" i="3"/>
  <c r="AH39" i="3"/>
  <c r="AI243" i="3"/>
  <c r="AE234" i="3"/>
  <c r="AH130" i="3"/>
  <c r="AI39" i="3"/>
  <c r="AJ243" i="3"/>
  <c r="AE238" i="3"/>
  <c r="AG58" i="3"/>
  <c r="AH112" i="3"/>
  <c r="AI171" i="3"/>
  <c r="AE121" i="3"/>
  <c r="AG62" i="3"/>
  <c r="AH124" i="3"/>
  <c r="AO96" i="3"/>
  <c r="AL111" i="3"/>
  <c r="AK121" i="3"/>
  <c r="AH132" i="3"/>
  <c r="AJ182" i="3"/>
  <c r="AK91" i="3"/>
  <c r="AG96" i="3"/>
  <c r="AJ132" i="3"/>
  <c r="AK182" i="3"/>
  <c r="AG95" i="3"/>
  <c r="AH96" i="3"/>
  <c r="AF249" i="3"/>
  <c r="AJ110" i="3"/>
  <c r="AK19" i="3"/>
  <c r="AG227" i="3"/>
  <c r="AE146" i="3"/>
  <c r="AJ114" i="3"/>
  <c r="AK23" i="3"/>
  <c r="AG231" i="3"/>
  <c r="AK222" i="3"/>
  <c r="AH24" i="3"/>
  <c r="AF177" i="3"/>
  <c r="AD109" i="3"/>
  <c r="AD46" i="3"/>
  <c r="AE144" i="3"/>
  <c r="AD200" i="3"/>
  <c r="AF31" i="3"/>
  <c r="AC132" i="3"/>
  <c r="AC238" i="3"/>
  <c r="AD69" i="3"/>
  <c r="AC192" i="3"/>
  <c r="AD116" i="3"/>
  <c r="AD130" i="3"/>
  <c r="AI143" i="3"/>
  <c r="AE212" i="3"/>
  <c r="AC109" i="3"/>
  <c r="AD202" i="3"/>
  <c r="AC104" i="3"/>
  <c r="AC58" i="3"/>
  <c r="AE71" i="3"/>
  <c r="AE243" i="3"/>
  <c r="AC53" i="3"/>
  <c r="AD225" i="3"/>
  <c r="AC151" i="3"/>
  <c r="AC18" i="3"/>
  <c r="AE31" i="3"/>
  <c r="AH212" i="3"/>
  <c r="AG183" i="3"/>
  <c r="AE150" i="3"/>
  <c r="AC212" i="3"/>
  <c r="AE19" i="3"/>
  <c r="AC43" i="3"/>
  <c r="AC202" i="3"/>
  <c r="AE215" i="3"/>
  <c r="AF196" i="3"/>
  <c r="AC197" i="3"/>
  <c r="AE152" i="3"/>
  <c r="AD217" i="3"/>
  <c r="AC162" i="3"/>
  <c r="AE175" i="3"/>
  <c r="AD248" i="3"/>
  <c r="AF247" i="3"/>
  <c r="AJ210" i="3"/>
  <c r="AJ251" i="3"/>
  <c r="AF161" i="3"/>
  <c r="AD45" i="3"/>
  <c r="AD229" i="3"/>
  <c r="AE80" i="3"/>
  <c r="AD168" i="3"/>
  <c r="AF15" i="3"/>
  <c r="AD246" i="3"/>
  <c r="AC222" i="3"/>
  <c r="AE235" i="3"/>
  <c r="AD114" i="3"/>
  <c r="AD84" i="3"/>
  <c r="AF176" i="3"/>
  <c r="AE232" i="3"/>
  <c r="AC191" i="3"/>
  <c r="AA14" i="3"/>
  <c r="Z146" i="3"/>
  <c r="Z178" i="3"/>
  <c r="X135" i="3"/>
  <c r="X159" i="3"/>
  <c r="X120" i="3"/>
  <c r="S132" i="3"/>
  <c r="V195" i="3"/>
  <c r="X70" i="3"/>
  <c r="Y12" i="3"/>
  <c r="Y44" i="3"/>
  <c r="AE114" i="3"/>
  <c r="AG79" i="3"/>
  <c r="AK244" i="3"/>
  <c r="AH68" i="3"/>
  <c r="AF185" i="3"/>
  <c r="AE82" i="3"/>
  <c r="AG174" i="3"/>
  <c r="AD37" i="3"/>
  <c r="AE216" i="3"/>
  <c r="AD230" i="3"/>
  <c r="AC45" i="3"/>
  <c r="AE244" i="3"/>
  <c r="AD12" i="3"/>
  <c r="AH163" i="3"/>
  <c r="AD89" i="3"/>
  <c r="AC133" i="3"/>
  <c r="AE111" i="3"/>
  <c r="AJ235" i="3"/>
  <c r="AD233" i="3"/>
  <c r="AC158" i="3"/>
  <c r="AF40" i="3"/>
  <c r="X145" i="3"/>
  <c r="AB47" i="3"/>
  <c r="AA249" i="3"/>
  <c r="Y103" i="3"/>
  <c r="AA164" i="3"/>
  <c r="U100" i="3"/>
  <c r="P29" i="3"/>
  <c r="Z144" i="3"/>
  <c r="V145" i="3"/>
  <c r="AB200" i="3"/>
  <c r="Y61" i="3"/>
  <c r="Z111" i="3"/>
  <c r="Y126" i="3"/>
  <c r="AA209" i="3"/>
  <c r="AA174" i="3"/>
  <c r="AS186" i="3"/>
  <c r="AS40" i="3"/>
  <c r="AQ131" i="3"/>
  <c r="AO45" i="3"/>
  <c r="AN241" i="3"/>
  <c r="AN202" i="3"/>
  <c r="AM10" i="3"/>
  <c r="AJ201" i="3"/>
  <c r="AN226" i="3"/>
  <c r="AJ21" i="3"/>
  <c r="AJ217" i="3"/>
  <c r="AP221" i="3"/>
  <c r="AM184" i="3"/>
  <c r="AP146" i="3"/>
  <c r="AH244" i="3"/>
  <c r="AJ48" i="3"/>
  <c r="AF93" i="3"/>
  <c r="AH224" i="3"/>
  <c r="AJ124" i="3"/>
  <c r="AJ167" i="3"/>
  <c r="AJ108" i="3"/>
  <c r="AG120" i="3"/>
  <c r="AF233" i="3"/>
  <c r="AE130" i="3"/>
  <c r="AO235" i="3"/>
  <c r="AJ143" i="3"/>
  <c r="AK143" i="3"/>
  <c r="AJ71" i="3"/>
  <c r="AI166" i="3"/>
  <c r="AK56" i="3"/>
  <c r="AG172" i="3"/>
  <c r="AD47" i="3"/>
  <c r="AF158" i="3"/>
  <c r="AD201" i="3"/>
  <c r="AD208" i="3"/>
  <c r="AF78" i="3"/>
  <c r="AJ82" i="3"/>
  <c r="AE24" i="3"/>
  <c r="AE131" i="3"/>
  <c r="AD189" i="3"/>
  <c r="AC159" i="3"/>
  <c r="AE75" i="3"/>
  <c r="AD29" i="3"/>
  <c r="AI198" i="3"/>
  <c r="AF145" i="3"/>
  <c r="AD165" i="3"/>
  <c r="AD132" i="3"/>
  <c r="AD249" i="3"/>
  <c r="AE219" i="3"/>
  <c r="AD48" i="3"/>
  <c r="AE196" i="3"/>
  <c r="AI47" i="3"/>
  <c r="AF170" i="3"/>
  <c r="AF75" i="3"/>
  <c r="AD227" i="3"/>
  <c r="AE156" i="3"/>
  <c r="AF19" i="3"/>
  <c r="AD187" i="3"/>
  <c r="AC16" i="3"/>
  <c r="X50" i="3"/>
  <c r="AB64" i="3"/>
  <c r="AB135" i="3"/>
  <c r="U50" i="3"/>
  <c r="Z21" i="3"/>
  <c r="Z221" i="3"/>
  <c r="V198" i="3"/>
  <c r="S172" i="3"/>
  <c r="Y101" i="3"/>
  <c r="S44" i="3"/>
  <c r="S99" i="3"/>
  <c r="S199" i="3"/>
  <c r="AB119" i="3"/>
  <c r="AB147" i="3"/>
  <c r="AA113" i="3"/>
  <c r="S71" i="3"/>
  <c r="S243" i="3"/>
  <c r="T126" i="3"/>
  <c r="AA205" i="3"/>
  <c r="S94" i="3"/>
  <c r="Y96" i="3"/>
  <c r="Y241" i="3"/>
  <c r="V182" i="3"/>
  <c r="W9" i="3"/>
  <c r="W190" i="3"/>
  <c r="W210" i="3"/>
  <c r="X14" i="3"/>
  <c r="AB201" i="3"/>
  <c r="S178" i="3"/>
  <c r="Z118" i="3"/>
  <c r="V20" i="3"/>
  <c r="W89" i="3"/>
  <c r="W28" i="3"/>
  <c r="AA17" i="3"/>
  <c r="Z37" i="3"/>
  <c r="Z101" i="3"/>
  <c r="Y200" i="3"/>
  <c r="S216" i="3"/>
  <c r="Y183" i="3"/>
  <c r="Z195" i="3"/>
  <c r="T57" i="3"/>
  <c r="Y56" i="3"/>
  <c r="U33" i="3"/>
  <c r="T144" i="3"/>
  <c r="S161" i="3"/>
  <c r="Y13" i="3"/>
  <c r="Y84" i="3"/>
  <c r="X121" i="3"/>
  <c r="U246" i="3"/>
  <c r="X235" i="3"/>
  <c r="V158" i="3"/>
  <c r="V178" i="3"/>
  <c r="AA213" i="3"/>
  <c r="Z65" i="3"/>
  <c r="Z237" i="3"/>
  <c r="AA225" i="3"/>
  <c r="U88" i="3"/>
  <c r="V57" i="3"/>
  <c r="V238" i="3"/>
  <c r="X29" i="3"/>
  <c r="X17" i="3"/>
  <c r="X49" i="3"/>
  <c r="S136" i="3"/>
  <c r="W149" i="3"/>
  <c r="Y164" i="3"/>
  <c r="Z196" i="3"/>
  <c r="T37" i="3"/>
  <c r="AA116" i="3"/>
  <c r="U28" i="3"/>
  <c r="U203" i="3"/>
  <c r="J109" i="3"/>
  <c r="Q117" i="3"/>
  <c r="P161" i="3"/>
  <c r="AW165" i="3"/>
  <c r="AU72" i="3"/>
  <c r="AW127" i="3"/>
  <c r="AT75" i="3"/>
  <c r="AN9" i="3"/>
  <c r="AP105" i="3"/>
  <c r="AP241" i="3"/>
  <c r="AM247" i="3"/>
  <c r="AT244" i="3"/>
  <c r="AR135" i="3"/>
  <c r="AO112" i="3"/>
  <c r="AM211" i="3"/>
  <c r="AO136" i="3"/>
  <c r="AM202" i="3"/>
  <c r="AN154" i="3"/>
  <c r="AL192" i="3"/>
  <c r="AN179" i="3"/>
  <c r="AO75" i="3"/>
  <c r="AN38" i="3"/>
  <c r="AG113" i="3"/>
  <c r="AN234" i="3"/>
  <c r="AM212" i="3"/>
  <c r="AK41" i="3"/>
  <c r="AL159" i="3"/>
  <c r="AN79" i="3"/>
  <c r="AM42" i="3"/>
  <c r="AJ101" i="3"/>
  <c r="AM40" i="3"/>
  <c r="AH213" i="3"/>
  <c r="AI83" i="3"/>
  <c r="AI110" i="3"/>
  <c r="AE69" i="3"/>
  <c r="AI11" i="3"/>
  <c r="AH42" i="3"/>
  <c r="AO43" i="3"/>
  <c r="AI74" i="3"/>
  <c r="AG184" i="3"/>
  <c r="AG63" i="3"/>
  <c r="AI236" i="3"/>
  <c r="AG24" i="3"/>
  <c r="AM79" i="3"/>
  <c r="AJ38" i="3"/>
  <c r="AG155" i="3"/>
  <c r="AK38" i="3"/>
  <c r="AH155" i="3"/>
  <c r="AJ68" i="3"/>
  <c r="AG83" i="3"/>
  <c r="AJ88" i="3"/>
  <c r="AM183" i="3"/>
  <c r="AN188" i="3"/>
  <c r="AH94" i="3"/>
  <c r="AJ207" i="3"/>
  <c r="AI94" i="3"/>
  <c r="AK207" i="3"/>
  <c r="AH22" i="3"/>
  <c r="AJ135" i="3"/>
  <c r="AH26" i="3"/>
  <c r="AJ139" i="3"/>
  <c r="AK135" i="3"/>
  <c r="AC93" i="3"/>
  <c r="AC76" i="3"/>
  <c r="AE55" i="3"/>
  <c r="AC37" i="3"/>
  <c r="AC87" i="3"/>
  <c r="AF183" i="3"/>
  <c r="AK84" i="3"/>
  <c r="AD92" i="3"/>
  <c r="AF181" i="3"/>
  <c r="AF175" i="3"/>
  <c r="AD214" i="3"/>
  <c r="AF188" i="3"/>
  <c r="AF135" i="3"/>
  <c r="AI196" i="3"/>
  <c r="AD79" i="3"/>
  <c r="AF222" i="3"/>
  <c r="AC108" i="3"/>
  <c r="AD23" i="3"/>
  <c r="AF142" i="3"/>
  <c r="AD73" i="3"/>
  <c r="AD216" i="3"/>
  <c r="AE221" i="3"/>
  <c r="AD74" i="3"/>
  <c r="AC26" i="3"/>
  <c r="AC123" i="3"/>
  <c r="AD97" i="3"/>
  <c r="AC233" i="3"/>
  <c r="AC152" i="3"/>
  <c r="AA245" i="3"/>
  <c r="Z94" i="3"/>
  <c r="U136" i="3"/>
  <c r="V44" i="3"/>
  <c r="X54" i="3"/>
  <c r="S150" i="3"/>
  <c r="AA142" i="3"/>
  <c r="AA238" i="3"/>
  <c r="AA185" i="3"/>
  <c r="AA224" i="3"/>
  <c r="Y71" i="3"/>
  <c r="V192" i="3"/>
  <c r="V45" i="3"/>
  <c r="O145" i="3"/>
  <c r="X138" i="3"/>
  <c r="Z204" i="3"/>
  <c r="S95" i="3"/>
  <c r="O73" i="3"/>
  <c r="S190" i="3"/>
  <c r="AB15" i="3"/>
  <c r="AA147" i="3"/>
  <c r="AA157" i="3"/>
  <c r="AB164" i="3"/>
  <c r="U188" i="3"/>
  <c r="V177" i="3"/>
  <c r="U102" i="3"/>
  <c r="T170" i="3"/>
  <c r="AB214" i="3"/>
  <c r="Z36" i="3"/>
  <c r="W42" i="3"/>
  <c r="W49" i="3"/>
  <c r="AA229" i="3"/>
  <c r="X31" i="3"/>
  <c r="AW212" i="3"/>
  <c r="AV79" i="3"/>
  <c r="AS19" i="3"/>
  <c r="AQ226" i="3"/>
  <c r="AQ228" i="3"/>
  <c r="AS171" i="3"/>
  <c r="AQ60" i="3"/>
  <c r="AN41" i="3"/>
  <c r="AP137" i="3"/>
  <c r="AO127" i="3"/>
  <c r="AM126" i="3"/>
  <c r="AM217" i="3"/>
  <c r="AL172" i="3"/>
  <c r="AN204" i="3"/>
  <c r="AH177" i="3"/>
  <c r="AN181" i="3"/>
  <c r="AP186" i="3"/>
  <c r="AP124" i="3"/>
  <c r="AL72" i="3"/>
  <c r="AO118" i="3"/>
  <c r="AH193" i="3"/>
  <c r="AP227" i="3"/>
  <c r="AM185" i="3"/>
  <c r="AO190" i="3"/>
  <c r="AL108" i="3"/>
  <c r="AP72" i="3"/>
  <c r="AN122" i="3"/>
  <c r="AG41" i="3"/>
  <c r="AJ112" i="3"/>
  <c r="AJ212" i="3"/>
  <c r="AG239" i="3"/>
  <c r="AJ190" i="3"/>
  <c r="AE226" i="3"/>
  <c r="AP86" i="3"/>
  <c r="AJ36" i="3"/>
  <c r="AH215" i="3"/>
  <c r="AG230" i="3"/>
  <c r="AF153" i="3"/>
  <c r="AH143" i="3"/>
  <c r="AL134" i="3"/>
  <c r="AI200" i="3"/>
  <c r="AJ63" i="3"/>
  <c r="AF101" i="3"/>
  <c r="AK63" i="3"/>
  <c r="AF105" i="3"/>
  <c r="AJ192" i="3"/>
  <c r="AE249" i="3"/>
  <c r="AJ204" i="3"/>
  <c r="AP167" i="3"/>
  <c r="AK236" i="3"/>
  <c r="AH119" i="3"/>
  <c r="AG248" i="3"/>
  <c r="AI119" i="3"/>
  <c r="AF130" i="3"/>
  <c r="AH47" i="3"/>
  <c r="AF13" i="3"/>
  <c r="AH51" i="3"/>
  <c r="AG244" i="3"/>
  <c r="AF58" i="3"/>
  <c r="AF152" i="3"/>
  <c r="AD115" i="3"/>
  <c r="AF240" i="3"/>
  <c r="AF36" i="3"/>
  <c r="AD75" i="3"/>
  <c r="AI175" i="3"/>
  <c r="AC237" i="3"/>
  <c r="AC184" i="3"/>
  <c r="AE199" i="3"/>
  <c r="AC181" i="3"/>
  <c r="AC248" i="3"/>
  <c r="AE159" i="3"/>
  <c r="AG215" i="3"/>
  <c r="AC134" i="3"/>
  <c r="AD188" i="3"/>
  <c r="AD190" i="3"/>
  <c r="AC78" i="3"/>
  <c r="AD80" i="3"/>
  <c r="AD30" i="3"/>
  <c r="AE44" i="3"/>
  <c r="AI72" i="3"/>
  <c r="AD32" i="3"/>
  <c r="AF117" i="3"/>
  <c r="AF143" i="3"/>
  <c r="AD86" i="3"/>
  <c r="AC99" i="3"/>
  <c r="AF103" i="3"/>
  <c r="AC124" i="3"/>
  <c r="X24" i="3"/>
  <c r="AA222" i="3"/>
  <c r="Y43" i="3"/>
  <c r="C121" i="3"/>
  <c r="S76" i="3"/>
  <c r="AB172" i="3"/>
  <c r="Z171" i="3"/>
  <c r="AA38" i="3"/>
  <c r="AB54" i="3"/>
  <c r="X171" i="3"/>
  <c r="V82" i="3"/>
  <c r="V133" i="3"/>
  <c r="W67" i="3"/>
  <c r="AB62" i="3"/>
  <c r="AB129" i="3"/>
  <c r="V138" i="3"/>
  <c r="Z239" i="3"/>
  <c r="S53" i="3"/>
  <c r="AB82" i="3"/>
  <c r="V218" i="3"/>
  <c r="AA78" i="3"/>
  <c r="Z64" i="3"/>
  <c r="Y140" i="3"/>
  <c r="S200" i="3"/>
  <c r="AB40" i="3"/>
  <c r="P177" i="3"/>
  <c r="S9" i="3"/>
  <c r="Z61" i="3"/>
  <c r="U202" i="3"/>
  <c r="X219" i="3"/>
  <c r="X133" i="3"/>
  <c r="X234" i="3"/>
  <c r="S234" i="3"/>
  <c r="V70" i="3"/>
  <c r="Y152" i="3"/>
  <c r="AA22" i="3"/>
  <c r="X202" i="3"/>
  <c r="Z212" i="3"/>
  <c r="V36" i="3"/>
  <c r="Y169" i="3"/>
  <c r="V241" i="3"/>
  <c r="AB118" i="3"/>
  <c r="S55" i="3"/>
  <c r="T148" i="3"/>
  <c r="Q77" i="3"/>
  <c r="E85" i="3"/>
  <c r="Y92" i="3"/>
  <c r="AB17" i="3"/>
  <c r="AV119" i="3"/>
  <c r="AU201" i="3"/>
  <c r="AQ37" i="3"/>
  <c r="AQ100" i="3"/>
  <c r="AP179" i="3"/>
  <c r="AQ246" i="3"/>
  <c r="AQ23" i="3"/>
  <c r="AS143" i="3"/>
  <c r="AQ32" i="3"/>
  <c r="AM118" i="3"/>
  <c r="AP212" i="3"/>
  <c r="AO49" i="3"/>
  <c r="AJ129" i="3"/>
  <c r="AJ44" i="3"/>
  <c r="AK85" i="3"/>
  <c r="AM105" i="3"/>
  <c r="AN98" i="3"/>
  <c r="AG173" i="3"/>
  <c r="AP211" i="3"/>
  <c r="AM30" i="3"/>
  <c r="AK101" i="3"/>
  <c r="AO91" i="3"/>
  <c r="AL93" i="3"/>
  <c r="AM102" i="3"/>
  <c r="AK173" i="3"/>
  <c r="AN199" i="3"/>
  <c r="AL34" i="3"/>
  <c r="AN24" i="3"/>
  <c r="AH52" i="3"/>
  <c r="AF169" i="3"/>
  <c r="AP199" i="3"/>
  <c r="AJ170" i="3"/>
  <c r="AI98" i="3"/>
  <c r="AI102" i="3"/>
  <c r="AI239" i="3"/>
  <c r="AD238" i="3"/>
  <c r="AC174" i="3"/>
  <c r="AF232" i="3"/>
  <c r="AD193" i="3"/>
  <c r="AC220" i="3"/>
  <c r="AC201" i="3"/>
  <c r="AE86" i="3"/>
  <c r="AC138" i="3"/>
  <c r="AD28" i="3"/>
  <c r="AD120" i="3"/>
  <c r="AF97" i="3"/>
  <c r="AD36" i="3"/>
  <c r="AE171" i="3"/>
  <c r="AE104" i="3"/>
  <c r="X177" i="3"/>
  <c r="Y63" i="3"/>
  <c r="AA34" i="3"/>
  <c r="Z29" i="3"/>
  <c r="AA131" i="3"/>
  <c r="T13" i="3"/>
  <c r="P33" i="3"/>
  <c r="U213" i="3"/>
  <c r="J29" i="3"/>
  <c r="U60" i="3"/>
  <c r="Z194" i="3"/>
  <c r="W10" i="3"/>
  <c r="S108" i="3"/>
  <c r="Z206" i="3"/>
  <c r="U189" i="3"/>
  <c r="AX12" i="3"/>
  <c r="AP25" i="3"/>
  <c r="AU15" i="3"/>
  <c r="AQ185" i="3"/>
  <c r="AO161" i="3"/>
  <c r="AO128" i="3"/>
  <c r="AK17" i="3"/>
  <c r="AR223" i="3"/>
  <c r="AJ17" i="3"/>
  <c r="AK108" i="3"/>
  <c r="AM162" i="3"/>
  <c r="AM176" i="3"/>
  <c r="AL222" i="3"/>
  <c r="AM210" i="3"/>
  <c r="AI48" i="3"/>
  <c r="AF210" i="3"/>
  <c r="AH234" i="3"/>
  <c r="AI124" i="3"/>
  <c r="AK239" i="3"/>
  <c r="AE242" i="3"/>
  <c r="AK178" i="3"/>
  <c r="AG182" i="3"/>
  <c r="AK106" i="3"/>
  <c r="AK110" i="3"/>
  <c r="AJ189" i="3"/>
  <c r="AK228" i="3"/>
  <c r="AG240" i="3"/>
  <c r="AK48" i="3"/>
  <c r="AG140" i="3"/>
  <c r="AJ18" i="3"/>
  <c r="AE182" i="3"/>
  <c r="AE51" i="3"/>
  <c r="AC234" i="3"/>
  <c r="AD50" i="3"/>
  <c r="AE220" i="3"/>
  <c r="AC194" i="3"/>
  <c r="AK71" i="3"/>
  <c r="AF173" i="3"/>
  <c r="AF171" i="3"/>
  <c r="AD209" i="3"/>
  <c r="AE52" i="3"/>
  <c r="AF115" i="3"/>
  <c r="AD49" i="3"/>
  <c r="AI111" i="3"/>
  <c r="AF214" i="3"/>
  <c r="AC72" i="3"/>
  <c r="AE140" i="3"/>
  <c r="AF102" i="3"/>
  <c r="AF44" i="3"/>
  <c r="AE56" i="3"/>
  <c r="AE79" i="3"/>
  <c r="AK183" i="3"/>
  <c r="AC22" i="3"/>
  <c r="AC107" i="3"/>
  <c r="AE231" i="3"/>
  <c r="AC213" i="3"/>
  <c r="AD226" i="3"/>
  <c r="AE191" i="3"/>
  <c r="AC40" i="3"/>
  <c r="AA50" i="3"/>
  <c r="Z69" i="3"/>
  <c r="AB211" i="3"/>
  <c r="W146" i="3"/>
  <c r="Y33" i="3"/>
  <c r="AB34" i="3"/>
  <c r="AB116" i="3"/>
  <c r="U110" i="3"/>
  <c r="AB38" i="3"/>
  <c r="S83" i="3"/>
  <c r="AB92" i="3"/>
  <c r="AA168" i="3"/>
  <c r="Y123" i="3"/>
  <c r="Y219" i="3"/>
  <c r="Z110" i="3"/>
  <c r="U45" i="3"/>
  <c r="I121" i="3"/>
  <c r="K49" i="3"/>
  <c r="S58" i="3"/>
  <c r="AB230" i="3"/>
  <c r="AB20" i="3"/>
  <c r="AB26" i="3"/>
  <c r="AA88" i="3"/>
  <c r="AA160" i="3"/>
  <c r="X176" i="3"/>
  <c r="N13" i="3"/>
  <c r="Y21" i="3"/>
  <c r="Z96" i="3"/>
  <c r="Z109" i="3"/>
  <c r="AA44" i="3"/>
  <c r="Y208" i="3"/>
  <c r="X220" i="3"/>
  <c r="S232" i="3"/>
  <c r="Z77" i="3"/>
  <c r="X127" i="3"/>
  <c r="X143" i="3"/>
  <c r="AB239" i="3"/>
  <c r="U170" i="3"/>
  <c r="S183" i="3"/>
  <c r="AA195" i="3"/>
  <c r="T87" i="3"/>
  <c r="X168" i="3"/>
  <c r="W129" i="3"/>
  <c r="L105" i="3"/>
  <c r="S249" i="3"/>
  <c r="Y161" i="3"/>
  <c r="AA134" i="3"/>
  <c r="AB106" i="3"/>
  <c r="V246" i="3"/>
  <c r="W73" i="3"/>
  <c r="W15" i="3"/>
  <c r="W32" i="3"/>
  <c r="AA54" i="3"/>
  <c r="Z98" i="3"/>
  <c r="AA92" i="3"/>
  <c r="Y162" i="3"/>
  <c r="V88" i="3"/>
  <c r="W153" i="3"/>
  <c r="W96" i="3"/>
  <c r="S61" i="3"/>
  <c r="Y209" i="3"/>
  <c r="Y26" i="3"/>
  <c r="Z43" i="3"/>
  <c r="X19" i="3"/>
  <c r="AB223" i="3"/>
  <c r="Y239" i="3"/>
  <c r="T26" i="3"/>
  <c r="AA132" i="3"/>
  <c r="U161" i="3"/>
  <c r="W202" i="3"/>
  <c r="W246" i="3"/>
  <c r="T86" i="3"/>
  <c r="M141" i="3"/>
  <c r="AU37" i="3"/>
  <c r="AS176" i="3"/>
  <c r="AX131" i="3"/>
  <c r="AQ79" i="3"/>
  <c r="AT160" i="3"/>
  <c r="AR111" i="3"/>
  <c r="AT40" i="3"/>
  <c r="AU36" i="3"/>
  <c r="AN125" i="3"/>
  <c r="AL29" i="3"/>
  <c r="AN111" i="3"/>
  <c r="AJ185" i="3"/>
  <c r="AM198" i="3"/>
  <c r="AP40" i="3"/>
  <c r="AO167" i="3"/>
  <c r="AN94" i="3"/>
  <c r="AN176" i="3"/>
  <c r="AP52" i="3"/>
  <c r="AO178" i="3"/>
  <c r="AG241" i="3"/>
  <c r="AO199" i="3"/>
  <c r="AN110" i="3"/>
  <c r="AK169" i="3"/>
  <c r="AM180" i="3"/>
  <c r="AO56" i="3"/>
  <c r="AM170" i="3"/>
  <c r="AK241" i="3"/>
  <c r="AN142" i="3"/>
  <c r="AI80" i="3"/>
  <c r="AJ223" i="3"/>
  <c r="AJ250" i="3"/>
  <c r="AF201" i="3"/>
  <c r="AJ151" i="3"/>
  <c r="AI182" i="3"/>
  <c r="AL64" i="3"/>
  <c r="AJ214" i="3"/>
  <c r="AF85" i="3"/>
  <c r="AG191" i="3"/>
  <c r="AJ142" i="3"/>
  <c r="AE233" i="3"/>
  <c r="AO84" i="3"/>
  <c r="AH142" i="3"/>
  <c r="AJ12" i="3"/>
  <c r="AI142" i="3"/>
  <c r="AK12" i="3"/>
  <c r="AH70" i="3"/>
  <c r="AJ183" i="3"/>
  <c r="AH74" i="3"/>
  <c r="AP196" i="3"/>
  <c r="AK137" i="3"/>
  <c r="AK194" i="3"/>
  <c r="AH128" i="3"/>
  <c r="AG198" i="3"/>
  <c r="AI128" i="3"/>
  <c r="AK122" i="3"/>
  <c r="AH239" i="3"/>
  <c r="AK126" i="3"/>
  <c r="AH243" i="3"/>
  <c r="AH48" i="3"/>
  <c r="AD118" i="3"/>
  <c r="AC131" i="3"/>
  <c r="AF95" i="3"/>
  <c r="AD141" i="3"/>
  <c r="AE188" i="3"/>
  <c r="AE172" i="3"/>
  <c r="AE70" i="3"/>
  <c r="AE100" i="3"/>
  <c r="AC122" i="3"/>
  <c r="AD164" i="3"/>
  <c r="AD234" i="3"/>
  <c r="AC82" i="3"/>
  <c r="AG46" i="3"/>
  <c r="AE214" i="3"/>
  <c r="AE83" i="3"/>
  <c r="AC28" i="3"/>
  <c r="AC160" i="3"/>
  <c r="AE27" i="3"/>
  <c r="AC226" i="3"/>
  <c r="AD169" i="3"/>
  <c r="AI112" i="3"/>
  <c r="AF225" i="3"/>
  <c r="AF234" i="3"/>
  <c r="AD35" i="3"/>
  <c r="AC147" i="3"/>
  <c r="AD14" i="3"/>
  <c r="AD220" i="3"/>
  <c r="AC200" i="3"/>
  <c r="AB93" i="3"/>
  <c r="S110" i="3"/>
  <c r="Y79" i="3"/>
  <c r="X67" i="3"/>
  <c r="Y149" i="3"/>
  <c r="AA162" i="3"/>
  <c r="Z38" i="3"/>
  <c r="S119" i="3"/>
  <c r="AA193" i="3"/>
  <c r="U181" i="3"/>
  <c r="V93" i="3"/>
  <c r="F21" i="3"/>
  <c r="W226" i="3"/>
  <c r="S42" i="3"/>
  <c r="AA138" i="3"/>
  <c r="U200" i="3"/>
  <c r="Z180" i="3"/>
  <c r="AA94" i="3"/>
  <c r="X194" i="3"/>
  <c r="AB220" i="3"/>
  <c r="AB244" i="3"/>
  <c r="X26" i="3"/>
  <c r="S27" i="3"/>
  <c r="AB111" i="3"/>
  <c r="V27" i="3"/>
  <c r="V14" i="3"/>
  <c r="H161" i="3"/>
  <c r="AA216" i="3"/>
  <c r="Z172" i="3"/>
  <c r="U176" i="3"/>
  <c r="V59" i="3"/>
  <c r="Z24" i="3"/>
  <c r="AW98" i="3"/>
  <c r="AU194" i="3"/>
  <c r="AW191" i="3"/>
  <c r="AT139" i="3"/>
  <c r="AO21" i="3"/>
  <c r="AL121" i="3"/>
  <c r="AL47" i="3"/>
  <c r="AR142" i="3"/>
  <c r="AT23" i="3"/>
  <c r="AR151" i="3"/>
  <c r="AL140" i="3"/>
  <c r="AO12" i="3"/>
  <c r="AL164" i="3"/>
  <c r="AN214" i="3"/>
  <c r="AO166" i="3"/>
  <c r="AN208" i="3"/>
  <c r="AO203" i="3"/>
  <c r="AL119" i="3"/>
  <c r="AO50" i="3"/>
  <c r="AH125" i="3"/>
  <c r="AP19" i="3"/>
  <c r="AN224" i="3"/>
  <c r="AG57" i="3"/>
  <c r="AN215" i="3"/>
  <c r="AO99" i="3"/>
  <c r="AN54" i="3"/>
  <c r="AG129" i="3"/>
  <c r="AL200" i="3"/>
  <c r="AI225" i="3"/>
  <c r="AK107" i="3"/>
  <c r="AJ122" i="3"/>
  <c r="AE133" i="3"/>
  <c r="AK35" i="3"/>
  <c r="AI54" i="3"/>
  <c r="AO67" i="3"/>
  <c r="AK98" i="3"/>
  <c r="AH220" i="3"/>
  <c r="AH75" i="3"/>
  <c r="AK26" i="3"/>
  <c r="AH40" i="3"/>
  <c r="AM103" i="3"/>
  <c r="AK50" i="3"/>
  <c r="AH167" i="3"/>
  <c r="AG54" i="3"/>
  <c r="AI167" i="3"/>
  <c r="AG144" i="3"/>
  <c r="AH95" i="3"/>
  <c r="AG164" i="3"/>
  <c r="AL28" i="3"/>
  <c r="AH21" i="3"/>
  <c r="AI106" i="3"/>
  <c r="AK219" i="3"/>
  <c r="AJ106" i="3"/>
  <c r="AG223" i="3"/>
  <c r="AI34" i="3"/>
  <c r="AK147" i="3"/>
  <c r="AI38" i="3"/>
  <c r="AK151" i="3"/>
  <c r="AJ155" i="3"/>
  <c r="AC157" i="3"/>
  <c r="AC196" i="3"/>
  <c r="AE119" i="3"/>
  <c r="AC101" i="3"/>
  <c r="AC88" i="3"/>
  <c r="AC167" i="3"/>
  <c r="AK128" i="3"/>
  <c r="AD228" i="3"/>
  <c r="AF62" i="3"/>
  <c r="AF239" i="3"/>
  <c r="AD108" i="3"/>
  <c r="AF229" i="3"/>
  <c r="AF199" i="3"/>
  <c r="AI240" i="3"/>
  <c r="AD143" i="3"/>
  <c r="AC65" i="3"/>
  <c r="AC199" i="3"/>
  <c r="AD87" i="3"/>
  <c r="AC25" i="3"/>
  <c r="AC39" i="3"/>
  <c r="AE164" i="3"/>
  <c r="AE38" i="3"/>
  <c r="AE36" i="3"/>
  <c r="AC90" i="3"/>
  <c r="AD104" i="3"/>
  <c r="AD106" i="3"/>
  <c r="AC50" i="3"/>
  <c r="AC219" i="3"/>
  <c r="AB77" i="3"/>
  <c r="AA24" i="3"/>
  <c r="X179" i="3"/>
  <c r="Z183" i="3"/>
  <c r="Y133" i="3"/>
  <c r="X80" i="3"/>
  <c r="S231" i="3"/>
  <c r="AB235" i="3"/>
  <c r="Y190" i="3"/>
  <c r="S155" i="3"/>
  <c r="S140" i="3"/>
  <c r="V16" i="3"/>
  <c r="W141" i="3"/>
  <c r="I205" i="3"/>
  <c r="AA64" i="3"/>
  <c r="Z152" i="3"/>
  <c r="AB159" i="3"/>
  <c r="AA199" i="3"/>
  <c r="Z165" i="3"/>
  <c r="Y23" i="3"/>
  <c r="Y215" i="3"/>
  <c r="S82" i="3"/>
  <c r="S77" i="3"/>
  <c r="AA211" i="3"/>
  <c r="V146" i="3"/>
  <c r="V102" i="3"/>
  <c r="W131" i="3"/>
  <c r="Y38" i="3"/>
  <c r="X116" i="3"/>
  <c r="Z120" i="3"/>
  <c r="W18" i="3"/>
  <c r="Z233" i="3"/>
  <c r="X89" i="3"/>
  <c r="X64" i="3"/>
  <c r="S116" i="3"/>
  <c r="V13" i="3"/>
  <c r="Z201" i="3"/>
  <c r="Z85" i="3"/>
  <c r="Y130" i="3"/>
  <c r="S48" i="3"/>
  <c r="V221" i="3"/>
  <c r="W68" i="3"/>
  <c r="AA98" i="3"/>
  <c r="AA175" i="3"/>
  <c r="M73" i="3"/>
  <c r="U204" i="3"/>
  <c r="F169" i="3"/>
  <c r="AA95" i="3"/>
  <c r="AA126" i="3"/>
  <c r="AX235" i="3"/>
  <c r="AR161" i="3"/>
  <c r="AP81" i="3"/>
  <c r="AS119" i="3"/>
  <c r="AQ243" i="3"/>
  <c r="AO37" i="3"/>
  <c r="AL137" i="3"/>
  <c r="AN233" i="3"/>
  <c r="AP223" i="3"/>
  <c r="AJ49" i="3"/>
  <c r="AM11" i="3"/>
  <c r="AL231" i="3"/>
  <c r="AL62" i="3"/>
  <c r="AP50" i="3"/>
  <c r="AG229" i="3"/>
  <c r="AM233" i="3"/>
  <c r="AO238" i="3"/>
  <c r="AN216" i="3"/>
  <c r="AK33" i="3"/>
  <c r="AN170" i="3"/>
  <c r="AG245" i="3"/>
  <c r="AO52" i="3"/>
  <c r="AL237" i="3"/>
  <c r="AN242" i="3"/>
  <c r="AL208" i="3"/>
  <c r="AJ37" i="3"/>
  <c r="AM174" i="3"/>
  <c r="AJ109" i="3"/>
  <c r="AK75" i="3"/>
  <c r="AK232" i="3"/>
  <c r="AG18" i="3"/>
  <c r="AK79" i="3"/>
  <c r="AJ244" i="3"/>
  <c r="AJ11" i="3"/>
  <c r="AF113" i="3"/>
  <c r="AD64" i="3"/>
  <c r="AE187" i="3"/>
  <c r="AJ123" i="3"/>
  <c r="AC119" i="3"/>
  <c r="AF198" i="3"/>
  <c r="AE160" i="3"/>
  <c r="AC189" i="3"/>
  <c r="AE151" i="3"/>
  <c r="AC148" i="3"/>
  <c r="AF55" i="3"/>
  <c r="AC214" i="3"/>
  <c r="AF124" i="3"/>
  <c r="AD240" i="3"/>
  <c r="AF164" i="3"/>
  <c r="S204" i="3"/>
  <c r="V128" i="3"/>
  <c r="AA15" i="3"/>
  <c r="Y150" i="3"/>
  <c r="U137" i="3"/>
  <c r="AA192" i="3"/>
  <c r="S137" i="3"/>
  <c r="U156" i="3"/>
  <c r="AA189" i="3"/>
  <c r="AA96" i="3"/>
  <c r="X200" i="3"/>
  <c r="X167" i="3"/>
  <c r="K77" i="3"/>
  <c r="Z222" i="3"/>
  <c r="U209" i="3"/>
  <c r="AV144" i="3"/>
  <c r="AS244" i="3"/>
  <c r="AS64" i="3"/>
  <c r="AL145" i="3"/>
  <c r="AM48" i="3"/>
  <c r="AM115" i="3"/>
  <c r="AM14" i="3"/>
  <c r="AL221" i="3"/>
  <c r="AO176" i="3"/>
  <c r="AM158" i="3"/>
  <c r="AN40" i="3"/>
  <c r="AL218" i="3"/>
  <c r="AI25" i="3"/>
  <c r="AK89" i="3"/>
  <c r="AG22" i="3"/>
  <c r="AH230" i="3"/>
  <c r="AL166" i="3"/>
  <c r="AJ239" i="3"/>
  <c r="AF98" i="3"/>
  <c r="AP182" i="3"/>
  <c r="AG91" i="3"/>
  <c r="AH91" i="3"/>
  <c r="AG19" i="3"/>
  <c r="AG23" i="3"/>
  <c r="AH30" i="3"/>
  <c r="AI30" i="3"/>
  <c r="AK16" i="3"/>
  <c r="AK44" i="3"/>
  <c r="AJ75" i="3"/>
  <c r="AG55" i="3"/>
  <c r="AF186" i="3"/>
  <c r="AF91" i="3"/>
  <c r="AD243" i="3"/>
  <c r="AE224" i="3"/>
  <c r="AF35" i="3"/>
  <c r="AD203" i="3"/>
  <c r="AH211" i="3"/>
  <c r="AC118" i="3"/>
  <c r="AD156" i="3"/>
  <c r="AD126" i="3"/>
  <c r="AC62" i="3"/>
  <c r="AE251" i="3"/>
  <c r="AD213" i="3"/>
  <c r="AK247" i="3"/>
  <c r="AC24" i="3"/>
  <c r="AC143" i="3"/>
  <c r="AF228" i="3"/>
  <c r="AC206" i="3"/>
  <c r="AD105" i="3"/>
  <c r="AF140" i="3"/>
  <c r="AE136" i="3"/>
  <c r="AH160" i="3"/>
  <c r="AD31" i="3"/>
  <c r="AF126" i="3"/>
  <c r="AF68" i="3"/>
  <c r="AD176" i="3"/>
  <c r="AF46" i="3"/>
  <c r="AF231" i="3"/>
  <c r="AC231" i="3"/>
  <c r="AB48" i="3"/>
  <c r="AA176" i="3"/>
  <c r="U30" i="3"/>
  <c r="W203" i="3"/>
  <c r="Y104" i="3"/>
  <c r="X118" i="3"/>
  <c r="AB199" i="3"/>
  <c r="W206" i="3"/>
  <c r="AB76" i="3"/>
  <c r="X48" i="3"/>
  <c r="AB108" i="3"/>
  <c r="U106" i="3"/>
  <c r="AB203" i="3"/>
  <c r="AB27" i="3"/>
  <c r="Z126" i="3"/>
  <c r="AB183" i="3"/>
  <c r="D42" i="3"/>
  <c r="M49" i="3"/>
  <c r="AA90" i="3"/>
  <c r="Z92" i="3"/>
  <c r="AB49" i="3"/>
  <c r="S224" i="3"/>
  <c r="Y191" i="3"/>
  <c r="U94" i="3"/>
  <c r="U114" i="3"/>
  <c r="G17" i="3"/>
  <c r="Y193" i="3"/>
  <c r="AA166" i="3"/>
  <c r="AA230" i="3"/>
  <c r="AA35" i="3"/>
  <c r="Z243" i="3"/>
  <c r="U174" i="3"/>
  <c r="AB141" i="3"/>
  <c r="S21" i="3"/>
  <c r="Y49" i="3"/>
  <c r="Y217" i="3"/>
  <c r="X243" i="3"/>
  <c r="V170" i="3"/>
  <c r="Z247" i="3"/>
  <c r="W17" i="3"/>
  <c r="S38" i="3"/>
  <c r="Z115" i="3"/>
  <c r="T218" i="3"/>
  <c r="V124" i="3"/>
  <c r="Z9" i="3"/>
  <c r="Y76" i="3"/>
  <c r="Y25" i="3"/>
  <c r="X246" i="3"/>
  <c r="AB184" i="3"/>
  <c r="S208" i="3"/>
  <c r="AA220" i="3"/>
  <c r="L29" i="3"/>
  <c r="AB61" i="3"/>
  <c r="AB225" i="3"/>
  <c r="AB42" i="3"/>
  <c r="AB124" i="3"/>
  <c r="Y47" i="3"/>
  <c r="AA19" i="3"/>
  <c r="X35" i="3"/>
  <c r="AA29" i="3"/>
  <c r="X25" i="3"/>
  <c r="S106" i="3"/>
  <c r="U53" i="3"/>
  <c r="U234" i="3"/>
  <c r="X227" i="3"/>
  <c r="S239" i="3"/>
  <c r="T151" i="3"/>
  <c r="AA99" i="3"/>
  <c r="W179" i="3"/>
  <c r="F121" i="3"/>
  <c r="Z184" i="3"/>
  <c r="T202" i="3"/>
  <c r="Q141" i="3"/>
  <c r="AT185" i="3"/>
  <c r="AU231" i="3"/>
  <c r="AU251" i="3"/>
  <c r="AU127" i="3"/>
  <c r="AO105" i="3"/>
  <c r="AQ196" i="3"/>
  <c r="AL247" i="3"/>
  <c r="AQ234" i="3"/>
  <c r="AQ11" i="3"/>
  <c r="AO104" i="3"/>
  <c r="AK36" i="3"/>
  <c r="AL118" i="3"/>
  <c r="AN76" i="3"/>
  <c r="AG161" i="3"/>
  <c r="AK21" i="3"/>
  <c r="AR236" i="3"/>
  <c r="AN34" i="3"/>
  <c r="AG109" i="3"/>
  <c r="AO79" i="3"/>
  <c r="AM208" i="3"/>
  <c r="AK37" i="3"/>
  <c r="AN238" i="3"/>
  <c r="AR248" i="3"/>
  <c r="AM38" i="3"/>
  <c r="AJ97" i="3"/>
  <c r="AN87" i="3"/>
  <c r="AL212" i="3"/>
  <c r="AP87" i="3"/>
  <c r="AH110" i="3"/>
  <c r="AE65" i="3"/>
  <c r="AJ83" i="3"/>
  <c r="AH38" i="3"/>
  <c r="AK76" i="3"/>
  <c r="AL55" i="3"/>
  <c r="AH165" i="3"/>
  <c r="AK59" i="3"/>
  <c r="AJ74" i="3"/>
  <c r="AH184" i="3"/>
  <c r="AK180" i="3"/>
  <c r="AL163" i="3"/>
  <c r="AK185" i="3"/>
  <c r="AK242" i="3"/>
  <c r="AE33" i="3"/>
  <c r="AG246" i="3"/>
  <c r="AE37" i="3"/>
  <c r="AK170" i="3"/>
  <c r="AH72" i="3"/>
  <c r="AK174" i="3"/>
  <c r="AN206" i="3"/>
  <c r="AH44" i="3"/>
  <c r="AI232" i="3"/>
  <c r="AE58" i="3"/>
  <c r="AJ232" i="3"/>
  <c r="AE62" i="3"/>
  <c r="AI226" i="3"/>
  <c r="AK208" i="3"/>
  <c r="AI230" i="3"/>
  <c r="AK220" i="3"/>
  <c r="AE237" i="3"/>
  <c r="AD138" i="3"/>
  <c r="AC42" i="3"/>
  <c r="AC187" i="3"/>
  <c r="AD161" i="3"/>
  <c r="AC249" i="3"/>
  <c r="AI15" i="3"/>
  <c r="AF74" i="3"/>
  <c r="AF184" i="3"/>
  <c r="AD131" i="3"/>
  <c r="AF216" i="3"/>
  <c r="AF64" i="3"/>
  <c r="AD91" i="3"/>
  <c r="AJ59" i="3"/>
  <c r="AF218" i="3"/>
  <c r="AF123" i="3"/>
  <c r="AD17" i="3"/>
  <c r="AC36" i="3"/>
  <c r="AF67" i="3"/>
  <c r="AD235" i="3"/>
  <c r="AE240" i="3"/>
  <c r="AG135" i="3"/>
  <c r="AC77" i="3"/>
  <c r="AC243" i="3"/>
  <c r="AE39" i="3"/>
  <c r="AC21" i="3"/>
  <c r="AC23" i="3"/>
  <c r="AE228" i="3"/>
  <c r="AE207" i="3"/>
  <c r="Z97" i="3"/>
  <c r="AA42" i="3"/>
  <c r="V105" i="3"/>
  <c r="V68" i="3"/>
  <c r="AB149" i="3"/>
  <c r="Z213" i="3"/>
  <c r="V185" i="3"/>
  <c r="S113" i="3"/>
  <c r="AA217" i="3"/>
  <c r="W223" i="3"/>
  <c r="Z83" i="3"/>
  <c r="AA129" i="3"/>
  <c r="G85" i="3"/>
  <c r="Z137" i="3"/>
  <c r="X154" i="3"/>
  <c r="AB113" i="3"/>
  <c r="AA107" i="3"/>
  <c r="AB189" i="3"/>
  <c r="S206" i="3"/>
  <c r="AA246" i="3"/>
  <c r="Y82" i="3"/>
  <c r="X34" i="3"/>
  <c r="U245" i="3"/>
  <c r="V157" i="3"/>
  <c r="S65" i="3"/>
  <c r="W116" i="3"/>
  <c r="Z81" i="3"/>
  <c r="S220" i="3"/>
  <c r="Z155" i="3"/>
  <c r="S251" i="3"/>
  <c r="T110" i="3"/>
  <c r="X97" i="3"/>
  <c r="AV85" i="3"/>
  <c r="AS110" i="3"/>
  <c r="AX195" i="3"/>
  <c r="AQ143" i="3"/>
  <c r="AT212" i="3"/>
  <c r="AR127" i="3"/>
  <c r="AT56" i="3"/>
  <c r="AU76" i="3"/>
  <c r="AO137" i="3"/>
  <c r="AL45" i="3"/>
  <c r="AO135" i="3"/>
  <c r="AK197" i="3"/>
  <c r="AN210" i="3"/>
  <c r="AL56" i="3"/>
  <c r="AP191" i="3"/>
  <c r="AO106" i="3"/>
  <c r="AP116" i="3"/>
  <c r="AL68" i="3"/>
  <c r="AP190" i="3"/>
  <c r="AI52" i="3"/>
  <c r="AP219" i="3"/>
  <c r="AO122" i="3"/>
  <c r="AH197" i="3"/>
  <c r="AL100" i="3"/>
  <c r="AP68" i="3"/>
  <c r="AO194" i="3"/>
  <c r="AG36" i="3"/>
  <c r="AN158" i="3"/>
  <c r="AI212" i="3"/>
  <c r="AK235" i="3"/>
  <c r="AK112" i="3"/>
  <c r="AF82" i="3"/>
  <c r="AK163" i="3"/>
  <c r="AJ194" i="3"/>
  <c r="AK9" i="3"/>
  <c r="AK226" i="3"/>
  <c r="AG44" i="3"/>
  <c r="AI215" i="3"/>
  <c r="AK154" i="3"/>
  <c r="AE50" i="3"/>
  <c r="AI33" i="3"/>
  <c r="AI154" i="3"/>
  <c r="AK32" i="3"/>
  <c r="AJ154" i="3"/>
  <c r="AG40" i="3"/>
  <c r="AI82" i="3"/>
  <c r="AK195" i="3"/>
  <c r="AI86" i="3"/>
  <c r="AO10" i="3"/>
  <c r="AK153" i="3"/>
  <c r="AG210" i="3"/>
  <c r="AI160" i="3"/>
  <c r="AH210" i="3"/>
  <c r="AJ160" i="3"/>
  <c r="AG138" i="3"/>
  <c r="AI251" i="3"/>
  <c r="AG142" i="3"/>
  <c r="AI12" i="3"/>
  <c r="AH76" i="3"/>
  <c r="AD56" i="3"/>
  <c r="AF149" i="3"/>
  <c r="AF159" i="3"/>
  <c r="AD150" i="3"/>
  <c r="AC227" i="3"/>
  <c r="AI144" i="3"/>
  <c r="AE134" i="3"/>
  <c r="AE236" i="3"/>
  <c r="AC186" i="3"/>
  <c r="AF144" i="3"/>
  <c r="AE116" i="3"/>
  <c r="AC146" i="3"/>
  <c r="AK94" i="3"/>
  <c r="AF17" i="3"/>
  <c r="AE147" i="3"/>
  <c r="AD212" i="3"/>
  <c r="AC223" i="3"/>
  <c r="AE91" i="3"/>
  <c r="AD93" i="3"/>
  <c r="AC63" i="3"/>
  <c r="AH232" i="3"/>
  <c r="AF42" i="3"/>
  <c r="AF116" i="3"/>
  <c r="AD99" i="3"/>
  <c r="AF172" i="3"/>
  <c r="AF250" i="3"/>
  <c r="AD59" i="3"/>
  <c r="AE239" i="3"/>
  <c r="Z18" i="3"/>
  <c r="X40" i="3"/>
  <c r="S148" i="3"/>
  <c r="Z95" i="3"/>
  <c r="X9" i="3"/>
  <c r="AB57" i="3"/>
  <c r="AA204" i="3"/>
  <c r="S97" i="3"/>
  <c r="Y198" i="3"/>
  <c r="U150" i="3"/>
  <c r="V62" i="3"/>
  <c r="AB237" i="3"/>
  <c r="W120" i="3"/>
  <c r="Z121" i="3"/>
  <c r="S68" i="3"/>
  <c r="AA219" i="3"/>
  <c r="Y227" i="3"/>
  <c r="AB173" i="3"/>
  <c r="Y177" i="3"/>
  <c r="V37" i="3"/>
  <c r="W45" i="3"/>
  <c r="Z32" i="3"/>
  <c r="AA158" i="3"/>
  <c r="X188" i="3"/>
  <c r="K21" i="3"/>
  <c r="W110" i="3"/>
  <c r="L221" i="3"/>
  <c r="Y46" i="3"/>
  <c r="U21" i="3"/>
  <c r="AA203" i="3"/>
  <c r="M89" i="3"/>
  <c r="AA61" i="3"/>
  <c r="Z20" i="3"/>
  <c r="X151" i="3"/>
  <c r="U40" i="3"/>
  <c r="W78" i="3"/>
  <c r="S201" i="3"/>
  <c r="X222" i="3"/>
  <c r="Z27" i="3"/>
  <c r="Y144" i="3"/>
  <c r="W44" i="3"/>
  <c r="L97" i="3"/>
  <c r="U120" i="3"/>
  <c r="C33" i="3"/>
  <c r="T226" i="3"/>
  <c r="W139" i="3"/>
  <c r="O43" i="3"/>
  <c r="AA198" i="3"/>
  <c r="AW169" i="3"/>
  <c r="AR189" i="3"/>
  <c r="AS100" i="3"/>
  <c r="AL181" i="3"/>
  <c r="AO213" i="3"/>
  <c r="AL187" i="3"/>
  <c r="AT19" i="3"/>
  <c r="AR147" i="3"/>
  <c r="AT28" i="3"/>
  <c r="AN21" i="3"/>
  <c r="AM122" i="3"/>
  <c r="AI45" i="3"/>
  <c r="AL58" i="3"/>
  <c r="AM119" i="3"/>
  <c r="AL19" i="3"/>
  <c r="AM18" i="3"/>
  <c r="AN112" i="3"/>
  <c r="AP207" i="3"/>
  <c r="AN102" i="3"/>
  <c r="AG177" i="3"/>
  <c r="AO87" i="3"/>
  <c r="AM34" i="3"/>
  <c r="AK105" i="3"/>
  <c r="AM116" i="3"/>
  <c r="AN191" i="3"/>
  <c r="AM106" i="3"/>
  <c r="AK177" i="3"/>
  <c r="AH209" i="3"/>
  <c r="AH80" i="3"/>
  <c r="AJ159" i="3"/>
  <c r="AI174" i="3"/>
  <c r="AE142" i="3"/>
  <c r="AJ87" i="3"/>
  <c r="AH106" i="3"/>
  <c r="AM191" i="3"/>
  <c r="AJ150" i="3"/>
  <c r="AE209" i="3"/>
  <c r="AG127" i="3"/>
  <c r="AJ78" i="3"/>
  <c r="AG160" i="3"/>
  <c r="AL227" i="3"/>
  <c r="AI90" i="3"/>
  <c r="AK203" i="3"/>
  <c r="AJ90" i="3"/>
  <c r="AG207" i="3"/>
  <c r="AI18" i="3"/>
  <c r="AK131" i="3"/>
  <c r="AI22" i="3"/>
  <c r="AI93" i="3"/>
  <c r="AG73" i="3"/>
  <c r="AG146" i="3"/>
  <c r="AI24" i="3"/>
  <c r="AH146" i="3"/>
  <c r="AJ24" i="3"/>
  <c r="AG74" i="3"/>
  <c r="AI187" i="3"/>
  <c r="AG78" i="3"/>
  <c r="AI191" i="3"/>
  <c r="AI207" i="3"/>
  <c r="AC102" i="3"/>
  <c r="AD128" i="3"/>
  <c r="AD62" i="3"/>
  <c r="AC46" i="3"/>
  <c r="AC203" i="3"/>
  <c r="AR220" i="3"/>
  <c r="AM215" i="3"/>
  <c r="AO33" i="3"/>
  <c r="AN143" i="3"/>
  <c r="AL235" i="3"/>
  <c r="AO58" i="3"/>
  <c r="AN118" i="3"/>
  <c r="AK171" i="3"/>
  <c r="AJ130" i="3"/>
  <c r="AH139" i="3"/>
  <c r="AJ102" i="3"/>
  <c r="AJ30" i="3"/>
  <c r="AG89" i="3"/>
  <c r="AK40" i="3"/>
  <c r="AJ203" i="3"/>
  <c r="AF32" i="3"/>
  <c r="AH186" i="3"/>
  <c r="AD101" i="3"/>
  <c r="AE248" i="3"/>
  <c r="AF24" i="3"/>
  <c r="AF26" i="3"/>
  <c r="AD83" i="3"/>
  <c r="AD206" i="3"/>
  <c r="AC179" i="3"/>
  <c r="AF237" i="3"/>
  <c r="AJ52" i="3"/>
  <c r="AK211" i="3"/>
  <c r="AF96" i="3"/>
  <c r="AC67" i="3"/>
  <c r="AK158" i="3"/>
  <c r="X93" i="3"/>
  <c r="AA148" i="3"/>
  <c r="V125" i="3"/>
  <c r="S219" i="3"/>
  <c r="AT85" i="3"/>
  <c r="AM52" i="3"/>
  <c r="AN230" i="3"/>
  <c r="AJ120" i="3"/>
  <c r="AJ45" i="3"/>
  <c r="AH84" i="3"/>
  <c r="AI234" i="3"/>
  <c r="AH179" i="3"/>
  <c r="AD53" i="3"/>
  <c r="AJ228" i="3"/>
  <c r="AD71" i="3"/>
  <c r="AD68" i="3"/>
  <c r="AC153" i="3"/>
  <c r="AE35" i="3"/>
  <c r="AC178" i="3"/>
  <c r="V118" i="3"/>
  <c r="X236" i="3"/>
  <c r="S60" i="3"/>
  <c r="T23" i="3"/>
  <c r="AA117" i="3"/>
  <c r="U182" i="3"/>
  <c r="X173" i="3"/>
  <c r="U20" i="3"/>
  <c r="Y89" i="3"/>
  <c r="S24" i="3"/>
  <c r="U14" i="3"/>
  <c r="X126" i="3"/>
  <c r="U158" i="3"/>
  <c r="S88" i="3"/>
  <c r="U238" i="3"/>
  <c r="S102" i="3"/>
  <c r="W81" i="3"/>
  <c r="T228" i="3"/>
  <c r="AW231" i="3"/>
  <c r="AQ172" i="3"/>
  <c r="AO125" i="3"/>
  <c r="AO144" i="3"/>
  <c r="AO174" i="3"/>
  <c r="AK165" i="3"/>
  <c r="AK237" i="3"/>
  <c r="AI250" i="3"/>
  <c r="AE98" i="3"/>
  <c r="AK214" i="3"/>
  <c r="AH164" i="3"/>
  <c r="AF41" i="3"/>
  <c r="AP143" i="3"/>
  <c r="AH107" i="3"/>
  <c r="AG39" i="3"/>
  <c r="AD51" i="3"/>
  <c r="AI159" i="3"/>
  <c r="AC117" i="3"/>
  <c r="AC70" i="3"/>
  <c r="AC75" i="3"/>
  <c r="AD54" i="3"/>
  <c r="AE128" i="3"/>
  <c r="AB156" i="3"/>
  <c r="Y216" i="3"/>
  <c r="U124" i="3"/>
  <c r="Y141" i="3"/>
  <c r="Z193" i="3"/>
  <c r="X58" i="3"/>
  <c r="D117" i="3"/>
  <c r="U196" i="3"/>
  <c r="AU64" i="3"/>
  <c r="AQ240" i="3"/>
  <c r="AL132" i="3"/>
  <c r="AH173" i="3"/>
  <c r="AH121" i="3"/>
  <c r="AP23" i="3"/>
  <c r="AO103" i="3"/>
  <c r="AE129" i="3"/>
  <c r="AO227" i="3"/>
  <c r="AI220" i="3"/>
  <c r="AG92" i="3"/>
  <c r="AG186" i="3"/>
  <c r="AI68" i="3"/>
  <c r="AE126" i="3"/>
  <c r="AE29" i="3"/>
  <c r="AD136" i="3"/>
  <c r="AF138" i="3"/>
  <c r="AF200" i="3"/>
  <c r="AF187" i="3"/>
  <c r="AD113" i="3"/>
  <c r="AC164" i="3"/>
  <c r="AE63" i="3"/>
  <c r="V74" i="3"/>
  <c r="V154" i="3"/>
  <c r="AA152" i="3"/>
  <c r="Y17" i="3"/>
  <c r="Z229" i="3"/>
  <c r="U214" i="3"/>
  <c r="Y180" i="3"/>
  <c r="T119" i="3"/>
  <c r="AB179" i="3"/>
  <c r="U22" i="3"/>
  <c r="W185" i="3"/>
  <c r="AB197" i="3"/>
  <c r="AT112" i="3"/>
  <c r="AP133" i="3"/>
  <c r="AJ53" i="3"/>
  <c r="AO32" i="3"/>
  <c r="AO242" i="3"/>
  <c r="AR32" i="3"/>
  <c r="AK152" i="3"/>
  <c r="AI19" i="3"/>
  <c r="AJ19" i="3"/>
  <c r="AH102" i="3"/>
  <c r="AK120" i="3"/>
  <c r="AJ77" i="3"/>
  <c r="AK123" i="3"/>
  <c r="AK168" i="3"/>
  <c r="AJ206" i="3"/>
  <c r="AK181" i="3"/>
  <c r="AG188" i="3"/>
  <c r="AI116" i="3"/>
  <c r="AK216" i="3"/>
  <c r="AF50" i="3"/>
  <c r="AI235" i="3"/>
  <c r="AJ226" i="3"/>
  <c r="AO20" i="3"/>
  <c r="AJ246" i="3"/>
  <c r="AF53" i="3"/>
  <c r="AG159" i="3"/>
  <c r="AJ174" i="3"/>
  <c r="AE201" i="3"/>
  <c r="AK87" i="3"/>
  <c r="AG220" i="3"/>
  <c r="AE115" i="3"/>
  <c r="AD145" i="3"/>
  <c r="AD55" i="3"/>
  <c r="AC20" i="3"/>
  <c r="AP225" i="3"/>
  <c r="AN134" i="3"/>
  <c r="AO42" i="3"/>
  <c r="AP103" i="3"/>
  <c r="AG193" i="3"/>
  <c r="AE206" i="3"/>
  <c r="AE90" i="3"/>
  <c r="AG219" i="3"/>
  <c r="AJ34" i="3"/>
  <c r="AI158" i="3"/>
  <c r="AI223" i="3"/>
  <c r="AD144" i="3"/>
  <c r="AC246" i="3"/>
  <c r="AC190" i="3"/>
  <c r="AK192" i="3"/>
  <c r="AF148" i="3"/>
  <c r="AC168" i="3"/>
  <c r="AH83" i="3"/>
  <c r="AC81" i="3"/>
  <c r="AD103" i="3"/>
  <c r="AC103" i="3"/>
  <c r="X63" i="3"/>
  <c r="AB43" i="3"/>
  <c r="S115" i="3"/>
  <c r="AA171" i="3"/>
  <c r="AB153" i="3"/>
  <c r="W178" i="3"/>
  <c r="E45" i="3"/>
  <c r="S242" i="3"/>
  <c r="W88" i="3"/>
  <c r="AA124" i="3"/>
  <c r="Y65" i="3"/>
  <c r="Z211" i="3"/>
  <c r="AB25" i="3"/>
  <c r="AA41" i="3"/>
  <c r="V202" i="3"/>
  <c r="X61" i="3"/>
  <c r="AB32" i="3"/>
  <c r="W166" i="3"/>
  <c r="T38" i="3"/>
  <c r="Z53" i="3"/>
  <c r="X32" i="3"/>
  <c r="V9" i="3"/>
  <c r="U210" i="3"/>
  <c r="S120" i="3"/>
  <c r="D93" i="3"/>
  <c r="S235" i="3"/>
  <c r="C37" i="3"/>
  <c r="Y132" i="3"/>
  <c r="V171" i="3"/>
  <c r="X46" i="3"/>
  <c r="Y78" i="3"/>
  <c r="S64" i="3"/>
  <c r="Z150" i="3"/>
  <c r="V72" i="3"/>
  <c r="W137" i="3"/>
  <c r="W80" i="3"/>
  <c r="W100" i="3"/>
  <c r="S98" i="3"/>
  <c r="Y142" i="3"/>
  <c r="AA140" i="3"/>
  <c r="AB202" i="3"/>
  <c r="Y136" i="3"/>
  <c r="W217" i="3"/>
  <c r="W160" i="3"/>
  <c r="X105" i="3"/>
  <c r="AB98" i="3"/>
  <c r="AB114" i="3"/>
  <c r="Y87" i="3"/>
  <c r="AA59" i="3"/>
  <c r="U29" i="3"/>
  <c r="U49" i="3"/>
  <c r="T40" i="3"/>
  <c r="S67" i="3"/>
  <c r="U251" i="3"/>
  <c r="W92" i="3"/>
  <c r="W136" i="3"/>
  <c r="V152" i="3"/>
  <c r="F157" i="3"/>
  <c r="AA125" i="3"/>
  <c r="U140" i="3"/>
  <c r="P25" i="3"/>
  <c r="Q209" i="3"/>
  <c r="X197" i="3"/>
  <c r="T88" i="3"/>
  <c r="L57" i="3"/>
  <c r="N65" i="3"/>
  <c r="E137" i="3"/>
  <c r="P135" i="3"/>
  <c r="D17" i="3"/>
  <c r="AB58" i="3"/>
  <c r="U142" i="3"/>
  <c r="U63" i="3"/>
  <c r="N93" i="3"/>
  <c r="H105" i="3"/>
  <c r="B157" i="3"/>
  <c r="L155" i="3"/>
  <c r="X59" i="3"/>
  <c r="W225" i="3"/>
  <c r="K117" i="3"/>
  <c r="L121" i="3"/>
  <c r="T138" i="3"/>
  <c r="Q137" i="3"/>
  <c r="O18" i="3"/>
  <c r="B142" i="3"/>
  <c r="I127" i="3"/>
  <c r="O127" i="3"/>
  <c r="D145" i="3"/>
  <c r="L33" i="3"/>
  <c r="Z162" i="3"/>
  <c r="D37" i="3"/>
  <c r="L225" i="3"/>
  <c r="N229" i="3"/>
  <c r="E30" i="3"/>
  <c r="J117" i="3"/>
  <c r="O229" i="3"/>
  <c r="AA208" i="3"/>
  <c r="AA207" i="3"/>
  <c r="O201" i="3"/>
  <c r="L245" i="3"/>
  <c r="G249" i="3"/>
  <c r="T129" i="3"/>
  <c r="Z113" i="3"/>
  <c r="AB187" i="3"/>
  <c r="V107" i="3"/>
  <c r="D13" i="3"/>
  <c r="R17" i="3"/>
  <c r="AA159" i="3"/>
  <c r="M54" i="3"/>
  <c r="O166" i="3"/>
  <c r="K221" i="3"/>
  <c r="E10" i="3"/>
  <c r="K10" i="3"/>
  <c r="C250" i="3"/>
  <c r="H15" i="3"/>
  <c r="T130" i="3"/>
  <c r="O213" i="3"/>
  <c r="H37" i="3"/>
  <c r="J74" i="3"/>
  <c r="S164" i="3"/>
  <c r="T244" i="3"/>
  <c r="T31" i="3"/>
  <c r="T239" i="3"/>
  <c r="C170" i="3"/>
  <c r="M35" i="3"/>
  <c r="Y121" i="3"/>
  <c r="U186" i="3"/>
  <c r="W235" i="3"/>
  <c r="T91" i="3"/>
  <c r="T111" i="3"/>
  <c r="D25" i="3"/>
  <c r="O186" i="3"/>
  <c r="X150" i="3"/>
  <c r="U98" i="3"/>
  <c r="W188" i="3"/>
  <c r="Y131" i="3"/>
  <c r="V224" i="3"/>
  <c r="H169" i="3"/>
  <c r="M34" i="3"/>
  <c r="F149" i="3"/>
  <c r="C146" i="3"/>
  <c r="D162" i="3"/>
  <c r="P19" i="3"/>
  <c r="E31" i="3"/>
  <c r="J39" i="3"/>
  <c r="P241" i="3"/>
  <c r="O99" i="3"/>
  <c r="I232" i="3"/>
  <c r="H178" i="3"/>
  <c r="T235" i="3"/>
  <c r="K210" i="3"/>
  <c r="U180" i="3"/>
  <c r="G33" i="3"/>
  <c r="J37" i="3"/>
  <c r="B81" i="3"/>
  <c r="R242" i="3"/>
  <c r="P111" i="3"/>
  <c r="AA201" i="3"/>
  <c r="AB35" i="3"/>
  <c r="T135" i="3"/>
  <c r="D53" i="3"/>
  <c r="F57" i="3"/>
  <c r="O97" i="3"/>
  <c r="L19" i="3"/>
  <c r="AA40" i="3"/>
  <c r="X251" i="3"/>
  <c r="V111" i="3"/>
  <c r="V131" i="3"/>
  <c r="H29" i="3"/>
  <c r="D245" i="3"/>
  <c r="I105" i="3"/>
  <c r="D213" i="3"/>
  <c r="K234" i="3"/>
  <c r="P234" i="3"/>
  <c r="L46" i="3"/>
  <c r="B58" i="3"/>
  <c r="K66" i="3"/>
  <c r="M170" i="3"/>
  <c r="Q219" i="3"/>
  <c r="Q160" i="3"/>
  <c r="F11" i="3"/>
  <c r="D58" i="3"/>
  <c r="P236" i="3"/>
  <c r="N197" i="3"/>
  <c r="J97" i="3"/>
  <c r="E149" i="3"/>
  <c r="N177" i="3"/>
  <c r="D79" i="3"/>
  <c r="F16" i="3"/>
  <c r="P240" i="3"/>
  <c r="Q120" i="3"/>
  <c r="R163" i="3"/>
  <c r="C167" i="3"/>
  <c r="H54" i="3"/>
  <c r="M62" i="3"/>
  <c r="D74" i="3"/>
  <c r="I150" i="3"/>
  <c r="F79" i="3"/>
  <c r="R141" i="3"/>
  <c r="L183" i="3"/>
  <c r="Q183" i="3"/>
  <c r="N90" i="3"/>
  <c r="D102" i="3"/>
  <c r="F110" i="3"/>
  <c r="I190" i="3"/>
  <c r="O115" i="3"/>
  <c r="Q228" i="3"/>
  <c r="D227" i="3"/>
  <c r="R247" i="3"/>
  <c r="H232" i="3"/>
  <c r="I167" i="3"/>
  <c r="M64" i="3"/>
  <c r="H156" i="3"/>
  <c r="O143" i="3"/>
  <c r="N216" i="3"/>
  <c r="B90" i="3"/>
  <c r="C122" i="3"/>
  <c r="G130" i="3"/>
  <c r="H138" i="3"/>
  <c r="P151" i="3"/>
  <c r="G92" i="3"/>
  <c r="K160" i="3"/>
  <c r="H177" i="3"/>
  <c r="O205" i="3"/>
  <c r="C209" i="3"/>
  <c r="R202" i="3"/>
  <c r="G214" i="3"/>
  <c r="M222" i="3"/>
  <c r="P9" i="3"/>
  <c r="AT241" i="3"/>
  <c r="AU116" i="3"/>
  <c r="AM71" i="3"/>
  <c r="AJ69" i="3"/>
  <c r="AH57" i="3"/>
  <c r="AO186" i="3"/>
  <c r="AO19" i="3"/>
  <c r="AG136" i="3"/>
  <c r="AJ92" i="3"/>
  <c r="AI56" i="3"/>
  <c r="AH206" i="3"/>
  <c r="AH134" i="3"/>
  <c r="AJ221" i="3"/>
  <c r="AE117" i="3"/>
  <c r="AH116" i="3"/>
  <c r="AC80" i="3"/>
  <c r="AJ91" i="3"/>
  <c r="AF235" i="3"/>
  <c r="AF189" i="3"/>
  <c r="AD58" i="3"/>
  <c r="AC61" i="3"/>
  <c r="AE23" i="3"/>
  <c r="AC140" i="3"/>
  <c r="AD149" i="3"/>
  <c r="AC86" i="3"/>
  <c r="AD245" i="3"/>
  <c r="AC139" i="3"/>
  <c r="AD25" i="3"/>
  <c r="Y194" i="3"/>
  <c r="W164" i="3"/>
  <c r="Z246" i="3"/>
  <c r="AA145" i="3"/>
  <c r="S103" i="3"/>
  <c r="AA76" i="3"/>
  <c r="Z170" i="3"/>
  <c r="U169" i="3"/>
  <c r="AB222" i="3"/>
  <c r="U249" i="3"/>
  <c r="AB186" i="3"/>
  <c r="W11" i="3"/>
  <c r="J49" i="3"/>
  <c r="AA194" i="3"/>
  <c r="S151" i="3"/>
  <c r="Y28" i="3"/>
  <c r="AB88" i="3"/>
  <c r="V26" i="3"/>
  <c r="X101" i="3"/>
  <c r="AB97" i="3"/>
  <c r="S47" i="3"/>
  <c r="AA228" i="3"/>
  <c r="T213" i="3"/>
  <c r="Z67" i="3"/>
  <c r="K61" i="3"/>
  <c r="V135" i="3"/>
  <c r="I163" i="3"/>
  <c r="V122" i="3"/>
  <c r="Q109" i="3"/>
  <c r="AB221" i="3"/>
  <c r="S222" i="3"/>
  <c r="S238" i="3"/>
  <c r="AA127" i="3"/>
  <c r="AA104" i="3"/>
  <c r="Z108" i="3"/>
  <c r="AE66" i="3"/>
  <c r="AK215" i="3"/>
  <c r="AE189" i="3"/>
  <c r="AE132" i="3"/>
  <c r="AE227" i="3"/>
  <c r="W245" i="3"/>
  <c r="U80" i="3"/>
  <c r="X98" i="3"/>
  <c r="D121" i="3"/>
  <c r="AT127" i="3"/>
  <c r="AO51" i="3"/>
  <c r="AN36" i="3"/>
  <c r="AK18" i="3"/>
  <c r="AI224" i="3"/>
  <c r="AI84" i="3"/>
  <c r="AJ234" i="3"/>
  <c r="AJ187" i="3"/>
  <c r="AC229" i="3"/>
  <c r="AD127" i="3"/>
  <c r="AC9" i="3"/>
  <c r="AC193" i="3"/>
  <c r="AC188" i="3"/>
  <c r="AC218" i="3"/>
  <c r="AF112" i="3"/>
  <c r="W126" i="3"/>
  <c r="W25" i="3"/>
  <c r="Y199" i="3"/>
  <c r="AB95" i="3"/>
  <c r="X62" i="3"/>
  <c r="S191" i="3"/>
  <c r="AB21" i="3"/>
  <c r="AA243" i="3"/>
  <c r="Z26" i="3"/>
  <c r="Y108" i="3"/>
  <c r="T136" i="3"/>
  <c r="X190" i="3"/>
  <c r="U178" i="3"/>
  <c r="S112" i="3"/>
  <c r="Z185" i="3"/>
  <c r="V53" i="3"/>
  <c r="Y118" i="3"/>
  <c r="T248" i="3"/>
  <c r="AV15" i="3"/>
  <c r="AS155" i="3"/>
  <c r="AN103" i="3"/>
  <c r="AL180" i="3"/>
  <c r="AG237" i="3"/>
  <c r="AO207" i="3"/>
  <c r="AO60" i="3"/>
  <c r="AK80" i="3"/>
  <c r="AL38" i="3"/>
  <c r="AF89" i="3"/>
  <c r="AI51" i="3"/>
  <c r="AI156" i="3"/>
  <c r="AJ200" i="3"/>
  <c r="AF66" i="3"/>
  <c r="AJ156" i="3"/>
  <c r="AC211" i="3"/>
  <c r="AC173" i="3"/>
  <c r="AC120" i="3"/>
  <c r="AE60" i="3"/>
  <c r="AD21" i="3"/>
  <c r="AC236" i="3"/>
  <c r="AF39" i="3"/>
  <c r="AA51" i="3"/>
  <c r="X107" i="3"/>
  <c r="V113" i="3"/>
  <c r="Y129" i="3"/>
  <c r="AB142" i="3"/>
  <c r="W54" i="3"/>
  <c r="Y214" i="3"/>
  <c r="Z217" i="3"/>
  <c r="AU100" i="3"/>
  <c r="AM92" i="3"/>
  <c r="AG68" i="3"/>
  <c r="AG37" i="3"/>
  <c r="AL127" i="3"/>
  <c r="AM25" i="3"/>
  <c r="AM224" i="3"/>
  <c r="AG111" i="3"/>
  <c r="AH181" i="3"/>
  <c r="AG232" i="3"/>
  <c r="AE97" i="3"/>
  <c r="AI96" i="3"/>
  <c r="AJ15" i="3"/>
  <c r="AJ238" i="3"/>
  <c r="AE54" i="3"/>
  <c r="AD170" i="3"/>
  <c r="AF43" i="3"/>
  <c r="AD155" i="3"/>
  <c r="AD26" i="3"/>
  <c r="AC195" i="3"/>
  <c r="AE103" i="3"/>
  <c r="AF208" i="3"/>
  <c r="AB195" i="3"/>
  <c r="X38" i="3"/>
  <c r="Y114" i="3"/>
  <c r="X196" i="3"/>
  <c r="S248" i="3"/>
  <c r="V126" i="3"/>
  <c r="Y70" i="3"/>
  <c r="AA18" i="3"/>
  <c r="X13" i="3"/>
  <c r="W105" i="3"/>
  <c r="P10" i="3"/>
  <c r="W37" i="3"/>
  <c r="AM181" i="3"/>
  <c r="AQ164" i="3"/>
  <c r="AP216" i="3"/>
  <c r="AR12" i="3"/>
  <c r="AH188" i="3"/>
  <c r="AL204" i="3"/>
  <c r="AL230" i="3"/>
  <c r="AJ72" i="3"/>
  <c r="AK159" i="3"/>
  <c r="AI242" i="3"/>
  <c r="AI246" i="3"/>
  <c r="AI241" i="3"/>
  <c r="AG32" i="3"/>
  <c r="AH32" i="3"/>
  <c r="AK51" i="3"/>
  <c r="AO202" i="3"/>
  <c r="AG194" i="3"/>
  <c r="AE42" i="3"/>
  <c r="AI103" i="3"/>
  <c r="AG122" i="3"/>
  <c r="AG208" i="3"/>
  <c r="AH35" i="3"/>
  <c r="AJ205" i="3"/>
  <c r="AH55" i="3"/>
  <c r="AJ42" i="3"/>
  <c r="AE53" i="3"/>
  <c r="AH168" i="3"/>
  <c r="AH108" i="3"/>
  <c r="AG84" i="3"/>
  <c r="AE246" i="3"/>
  <c r="AF155" i="3"/>
  <c r="AC71" i="3"/>
  <c r="AE59" i="3"/>
  <c r="AW102" i="3"/>
  <c r="AT35" i="3"/>
  <c r="AJ57" i="3"/>
  <c r="AO124" i="3"/>
  <c r="AG121" i="3"/>
  <c r="AL216" i="3"/>
  <c r="AK99" i="3"/>
  <c r="AK90" i="3"/>
  <c r="AK102" i="3"/>
  <c r="AH145" i="3"/>
  <c r="AH86" i="3"/>
  <c r="AC166" i="3"/>
  <c r="AE124" i="3"/>
  <c r="AC15" i="3"/>
  <c r="AE203" i="3"/>
  <c r="AJ64" i="3"/>
  <c r="AF127" i="3"/>
  <c r="AD43" i="3"/>
  <c r="AE13" i="3"/>
  <c r="AD90" i="3"/>
  <c r="AF147" i="3"/>
  <c r="AF88" i="3"/>
  <c r="X79" i="3"/>
  <c r="Y99" i="3"/>
  <c r="S131" i="3"/>
  <c r="S185" i="3"/>
  <c r="V150" i="3"/>
  <c r="S117" i="3"/>
  <c r="Z209" i="3"/>
  <c r="W53" i="3"/>
  <c r="S17" i="3"/>
  <c r="W133" i="3"/>
  <c r="Y137" i="3"/>
  <c r="U126" i="3"/>
  <c r="V33" i="3"/>
  <c r="Z133" i="3"/>
  <c r="W29" i="3"/>
  <c r="Y237" i="3"/>
  <c r="S134" i="3"/>
  <c r="Y35" i="3"/>
  <c r="AB13" i="3"/>
  <c r="X240" i="3"/>
  <c r="AA112" i="3"/>
  <c r="X174" i="3"/>
  <c r="W50" i="3"/>
  <c r="S154" i="3"/>
  <c r="V203" i="3"/>
  <c r="I241" i="3"/>
  <c r="I103" i="3"/>
  <c r="U122" i="3"/>
  <c r="Q49" i="3"/>
  <c r="Y53" i="3"/>
  <c r="Y185" i="3"/>
  <c r="Y249" i="3"/>
  <c r="Y116" i="3"/>
  <c r="Y31" i="3"/>
  <c r="X11" i="3"/>
  <c r="S23" i="3"/>
  <c r="H45" i="3"/>
  <c r="Z105" i="3"/>
  <c r="X106" i="3"/>
  <c r="X122" i="3"/>
  <c r="Z168" i="3"/>
  <c r="AB87" i="3"/>
  <c r="S63" i="3"/>
  <c r="AA75" i="3"/>
  <c r="S73" i="3"/>
  <c r="S109" i="3"/>
  <c r="X36" i="3"/>
  <c r="U117" i="3"/>
  <c r="U56" i="3"/>
  <c r="V29" i="3"/>
  <c r="V49" i="3"/>
  <c r="T247" i="3"/>
  <c r="Y167" i="3"/>
  <c r="W98" i="3"/>
  <c r="S211" i="3"/>
  <c r="T25" i="3"/>
  <c r="T164" i="3"/>
  <c r="M157" i="3"/>
  <c r="X217" i="3"/>
  <c r="V109" i="3"/>
  <c r="G93" i="3"/>
  <c r="M17" i="3"/>
  <c r="Z84" i="3"/>
  <c r="O181" i="3"/>
  <c r="M57" i="3"/>
  <c r="W140" i="3"/>
  <c r="H109" i="3"/>
  <c r="K225" i="3"/>
  <c r="H69" i="3"/>
  <c r="S146" i="3"/>
  <c r="U97" i="3"/>
  <c r="U67" i="3"/>
  <c r="Q93" i="3"/>
  <c r="T117" i="3"/>
  <c r="Q133" i="3"/>
  <c r="Z30" i="3"/>
  <c r="U25" i="3"/>
  <c r="W216" i="3"/>
  <c r="T212" i="3"/>
  <c r="T232" i="3"/>
  <c r="T183" i="3"/>
  <c r="E162" i="3"/>
  <c r="P27" i="3"/>
  <c r="Q125" i="3"/>
  <c r="J81" i="3"/>
  <c r="I34" i="3"/>
  <c r="N46" i="3"/>
  <c r="K105" i="3"/>
  <c r="Y226" i="3"/>
  <c r="V143" i="3"/>
  <c r="V163" i="3"/>
  <c r="F37" i="3"/>
  <c r="R249" i="3"/>
  <c r="O121" i="3"/>
  <c r="M225" i="3"/>
  <c r="AB24" i="3"/>
  <c r="V225" i="3"/>
  <c r="C9" i="3"/>
  <c r="J13" i="3"/>
  <c r="O53" i="3"/>
  <c r="M26" i="3"/>
  <c r="AB246" i="3"/>
  <c r="W90" i="3"/>
  <c r="Q41" i="3"/>
  <c r="M85" i="3"/>
  <c r="O89" i="3"/>
  <c r="T82" i="3"/>
  <c r="J55" i="3"/>
  <c r="K163" i="3"/>
  <c r="C246" i="3"/>
  <c r="O241" i="3"/>
  <c r="E214" i="3"/>
  <c r="D218" i="3"/>
  <c r="H222" i="3"/>
  <c r="F66" i="3"/>
  <c r="Q174" i="3"/>
  <c r="B30" i="3"/>
  <c r="AA46" i="3"/>
  <c r="D57" i="3"/>
  <c r="F117" i="3"/>
  <c r="D125" i="3"/>
  <c r="P165" i="3"/>
  <c r="G167" i="3"/>
  <c r="G125" i="3"/>
  <c r="AB22" i="3"/>
  <c r="X195" i="3"/>
  <c r="N69" i="3"/>
  <c r="P137" i="3"/>
  <c r="G145" i="3"/>
  <c r="K185" i="3"/>
  <c r="D187" i="3"/>
  <c r="U69" i="3"/>
  <c r="W194" i="3"/>
  <c r="T137" i="3"/>
  <c r="T217" i="3"/>
  <c r="W228" i="3"/>
  <c r="J169" i="3"/>
  <c r="D62" i="3"/>
  <c r="I170" i="3"/>
  <c r="D159" i="3"/>
  <c r="F159" i="3"/>
  <c r="N34" i="3"/>
  <c r="P46" i="3"/>
  <c r="G58" i="3"/>
  <c r="P134" i="3"/>
  <c r="F59" i="3"/>
  <c r="G37" i="3"/>
  <c r="L175" i="3"/>
  <c r="V71" i="3"/>
  <c r="Z129" i="3"/>
  <c r="T46" i="3"/>
  <c r="Q193" i="3"/>
  <c r="C201" i="3"/>
  <c r="N241" i="3"/>
  <c r="J209" i="3"/>
  <c r="F201" i="3"/>
  <c r="Z198" i="3"/>
  <c r="W207" i="3"/>
  <c r="C173" i="3"/>
  <c r="M213" i="3"/>
  <c r="Q217" i="3"/>
  <c r="H18" i="3"/>
  <c r="AA109" i="3"/>
  <c r="V38" i="3"/>
  <c r="T165" i="3"/>
  <c r="W115" i="3"/>
  <c r="W135" i="3"/>
  <c r="M29" i="3"/>
  <c r="F10" i="3"/>
  <c r="N134" i="3"/>
  <c r="K161" i="3"/>
  <c r="Q189" i="3"/>
  <c r="J193" i="3"/>
  <c r="C190" i="3"/>
  <c r="P198" i="3"/>
  <c r="P206" i="3"/>
  <c r="H43" i="3"/>
  <c r="I203" i="3"/>
  <c r="Q197" i="3"/>
  <c r="G229" i="3"/>
  <c r="L166" i="3"/>
  <c r="I229" i="3"/>
  <c r="M11" i="3"/>
  <c r="E86" i="3"/>
  <c r="J94" i="3"/>
  <c r="N102" i="3"/>
  <c r="F210" i="3"/>
  <c r="L239" i="3"/>
  <c r="J180" i="3"/>
  <c r="F50" i="3"/>
  <c r="C145" i="3"/>
  <c r="H114" i="3"/>
  <c r="O118" i="3"/>
  <c r="R122" i="3"/>
  <c r="O71" i="3"/>
  <c r="F153" i="3"/>
  <c r="Q111" i="3"/>
  <c r="J86" i="3"/>
  <c r="B165" i="3"/>
  <c r="C134" i="3"/>
  <c r="G138" i="3"/>
  <c r="L142" i="3"/>
  <c r="J111" i="3"/>
  <c r="K237" i="3"/>
  <c r="D151" i="3"/>
  <c r="N72" i="3"/>
  <c r="G243" i="3"/>
  <c r="G231" i="3"/>
  <c r="E172" i="3"/>
  <c r="P195" i="3"/>
  <c r="N76" i="3"/>
  <c r="H100" i="3"/>
  <c r="B15" i="3"/>
  <c r="G42" i="3"/>
  <c r="I87" i="3"/>
  <c r="O234" i="3"/>
  <c r="B246" i="3"/>
  <c r="N11" i="3"/>
  <c r="O185" i="3"/>
  <c r="J72" i="3"/>
  <c r="G132" i="3"/>
  <c r="Q198" i="3"/>
  <c r="E221" i="3"/>
  <c r="E190" i="3"/>
  <c r="N194" i="3"/>
  <c r="K198" i="3"/>
  <c r="M241" i="3"/>
  <c r="J130" i="3"/>
  <c r="AT22" i="3"/>
  <c r="AL149" i="3"/>
  <c r="AK65" i="3"/>
  <c r="AL60" i="3"/>
  <c r="AP11" i="3"/>
  <c r="AR52" i="3"/>
  <c r="AL116" i="3"/>
  <c r="AK31" i="3"/>
  <c r="AI97" i="3"/>
  <c r="AG234" i="3"/>
  <c r="AJ148" i="3"/>
  <c r="AJ247" i="3"/>
  <c r="AK92" i="3"/>
  <c r="AK186" i="3"/>
  <c r="AE45" i="3"/>
  <c r="AD119" i="3"/>
  <c r="AE61" i="3"/>
  <c r="AC113" i="3"/>
  <c r="AD135" i="3"/>
  <c r="AC228" i="3"/>
  <c r="AD10" i="3"/>
  <c r="AC59" i="3"/>
  <c r="AC217" i="3"/>
  <c r="AH58" i="3"/>
  <c r="AE99" i="3"/>
  <c r="AC31" i="3"/>
  <c r="AC242" i="3"/>
  <c r="AA86" i="3"/>
  <c r="AA80" i="3"/>
  <c r="Z49" i="3"/>
  <c r="AB67" i="3"/>
  <c r="Z142" i="3"/>
  <c r="U93" i="3"/>
  <c r="U130" i="3"/>
  <c r="X172" i="3"/>
  <c r="U112" i="3"/>
  <c r="S228" i="3"/>
  <c r="U192" i="3"/>
  <c r="S230" i="3"/>
  <c r="W215" i="3"/>
  <c r="T195" i="3"/>
  <c r="Y248" i="3"/>
  <c r="T85" i="3"/>
  <c r="Z82" i="3"/>
  <c r="AA144" i="3"/>
  <c r="X60" i="3"/>
  <c r="X233" i="3"/>
  <c r="Z181" i="3"/>
  <c r="V22" i="3"/>
  <c r="V190" i="3"/>
  <c r="O37" i="3"/>
  <c r="W128" i="3"/>
  <c r="T210" i="3"/>
  <c r="V140" i="3"/>
  <c r="Y54" i="3"/>
  <c r="AB51" i="3"/>
  <c r="J30" i="3"/>
  <c r="AB12" i="3"/>
  <c r="S19" i="3"/>
  <c r="S35" i="3"/>
  <c r="Y107" i="3"/>
  <c r="U10" i="3"/>
  <c r="Y112" i="3"/>
  <c r="Z164" i="3"/>
  <c r="V116" i="3"/>
  <c r="Y68" i="3"/>
  <c r="AA71" i="3"/>
  <c r="AA87" i="3"/>
  <c r="Z187" i="3"/>
  <c r="U90" i="3"/>
  <c r="Z87" i="3"/>
  <c r="AA141" i="3"/>
  <c r="S30" i="3"/>
  <c r="Y32" i="3"/>
  <c r="AA72" i="3"/>
  <c r="V86" i="3"/>
  <c r="Z191" i="3"/>
  <c r="W94" i="3"/>
  <c r="W114" i="3"/>
  <c r="Z10" i="3"/>
  <c r="V58" i="3"/>
  <c r="V148" i="3"/>
  <c r="F29" i="3"/>
  <c r="Q33" i="3"/>
  <c r="E77" i="3"/>
  <c r="C242" i="3"/>
  <c r="S198" i="3"/>
  <c r="S207" i="3"/>
  <c r="V79" i="3"/>
  <c r="E101" i="3"/>
  <c r="Z179" i="3"/>
  <c r="T199" i="3"/>
  <c r="T58" i="3"/>
  <c r="W27" i="3"/>
  <c r="U244" i="3"/>
  <c r="R66" i="3"/>
  <c r="AA149" i="3"/>
  <c r="U230" i="3"/>
  <c r="W180" i="3"/>
  <c r="T56" i="3"/>
  <c r="T124" i="3"/>
  <c r="W107" i="3"/>
  <c r="O137" i="3"/>
  <c r="Y153" i="3"/>
  <c r="V206" i="3"/>
  <c r="K129" i="3"/>
  <c r="E173" i="3"/>
  <c r="K177" i="3"/>
  <c r="C221" i="3"/>
  <c r="O157" i="3"/>
  <c r="J177" i="3"/>
  <c r="F181" i="3"/>
  <c r="E169" i="3"/>
  <c r="H135" i="3"/>
  <c r="N109" i="3"/>
  <c r="C129" i="3"/>
  <c r="U96" i="3"/>
  <c r="Z125" i="3"/>
  <c r="AB236" i="3"/>
  <c r="T222" i="3"/>
  <c r="F94" i="3"/>
  <c r="O202" i="3"/>
  <c r="AI131" i="3"/>
  <c r="AC230" i="3"/>
  <c r="AC241" i="3"/>
  <c r="AD196" i="3"/>
  <c r="AE180" i="3"/>
  <c r="S145" i="3"/>
  <c r="V130" i="3"/>
  <c r="V205" i="3"/>
  <c r="S80" i="3"/>
  <c r="AN45" i="3"/>
  <c r="AN20" i="3"/>
  <c r="AR187" i="3"/>
  <c r="AI244" i="3"/>
  <c r="AI194" i="3"/>
  <c r="AH223" i="3"/>
  <c r="AI162" i="3"/>
  <c r="AC38" i="3"/>
  <c r="AC116" i="3"/>
  <c r="AC49" i="3"/>
  <c r="AC91" i="3"/>
  <c r="AD153" i="3"/>
  <c r="AI248" i="3"/>
  <c r="AD41" i="3"/>
  <c r="X165" i="3"/>
  <c r="S217" i="3"/>
  <c r="AA188" i="3"/>
  <c r="V106" i="3"/>
  <c r="Y251" i="3"/>
  <c r="AB238" i="3"/>
  <c r="V94" i="3"/>
  <c r="Z13" i="3"/>
  <c r="V174" i="3"/>
  <c r="X84" i="3"/>
  <c r="W152" i="3"/>
  <c r="E81" i="3"/>
  <c r="X27" i="3"/>
  <c r="N29" i="3"/>
  <c r="S79" i="3"/>
  <c r="X65" i="3"/>
  <c r="V234" i="3"/>
  <c r="U89" i="3"/>
  <c r="T211" i="3"/>
  <c r="AT238" i="3"/>
  <c r="AQ44" i="3"/>
  <c r="AL114" i="3"/>
  <c r="AK149" i="3"/>
  <c r="AP56" i="3"/>
  <c r="AL173" i="3"/>
  <c r="AL98" i="3"/>
  <c r="AK223" i="3"/>
  <c r="AJ188" i="3"/>
  <c r="AK115" i="3"/>
  <c r="AF37" i="3"/>
  <c r="AE185" i="3"/>
  <c r="AG107" i="3"/>
  <c r="AG35" i="3"/>
  <c r="AF241" i="3"/>
  <c r="AD78" i="3"/>
  <c r="AC232" i="3"/>
  <c r="AE95" i="3"/>
  <c r="AD181" i="3"/>
  <c r="AC128" i="3"/>
  <c r="AF79" i="3"/>
  <c r="AC51" i="3"/>
  <c r="B61" i="3"/>
  <c r="X117" i="3"/>
  <c r="U133" i="3"/>
  <c r="V169" i="3"/>
  <c r="V249" i="3"/>
  <c r="Y201" i="3"/>
  <c r="AA232" i="3"/>
  <c r="Z62" i="3"/>
  <c r="AU12" i="3"/>
  <c r="AT134" i="3"/>
  <c r="AR155" i="3"/>
  <c r="AN37" i="3"/>
  <c r="AN220" i="3"/>
  <c r="AN50" i="3"/>
  <c r="AO147" i="3"/>
  <c r="AI50" i="3"/>
  <c r="AG75" i="3"/>
  <c r="AO64" i="3"/>
  <c r="AH92" i="3"/>
  <c r="AG190" i="3"/>
  <c r="AE122" i="3"/>
  <c r="AE9" i="3"/>
  <c r="AE64" i="3"/>
  <c r="AC66" i="3"/>
  <c r="AD195" i="3"/>
  <c r="AI79" i="3"/>
  <c r="AF120" i="3"/>
  <c r="AG151" i="3"/>
  <c r="AC85" i="3"/>
  <c r="Y22" i="3"/>
  <c r="AA9" i="3"/>
  <c r="Y222" i="3"/>
  <c r="H165" i="3"/>
  <c r="Y175" i="3"/>
  <c r="X141" i="3"/>
  <c r="S153" i="3"/>
  <c r="W117" i="3"/>
  <c r="X250" i="3"/>
  <c r="Z245" i="3"/>
  <c r="X20" i="3"/>
  <c r="T188" i="3"/>
  <c r="AS181" i="3"/>
  <c r="AT239" i="3"/>
  <c r="AO223" i="3"/>
  <c r="AN135" i="3"/>
  <c r="AN212" i="3"/>
  <c r="AO48" i="3"/>
  <c r="AJ33" i="3"/>
  <c r="AH46" i="3"/>
  <c r="AE138" i="3"/>
  <c r="AK72" i="3"/>
  <c r="AJ215" i="3"/>
  <c r="AK117" i="3"/>
  <c r="AI10" i="3"/>
  <c r="AJ10" i="3"/>
  <c r="AE213" i="3"/>
  <c r="AG195" i="3"/>
  <c r="AH101" i="3"/>
  <c r="AJ216" i="3"/>
  <c r="AI188" i="3"/>
  <c r="AJ116" i="3"/>
  <c r="AJ222" i="3"/>
  <c r="AE194" i="3"/>
  <c r="AO138" i="3"/>
  <c r="AG176" i="3"/>
  <c r="AK155" i="3"/>
  <c r="AK246" i="3"/>
  <c r="AF57" i="3"/>
  <c r="AK83" i="3"/>
  <c r="AJ178" i="3"/>
  <c r="AI70" i="3"/>
  <c r="AF141" i="3"/>
  <c r="AC33" i="3"/>
  <c r="AC95" i="3"/>
  <c r="AF99" i="3"/>
  <c r="AS18" i="3"/>
  <c r="AR163" i="3"/>
  <c r="AN82" i="3"/>
  <c r="AP126" i="3"/>
  <c r="AN128" i="3"/>
  <c r="AI108" i="3"/>
  <c r="AM219" i="3"/>
  <c r="AI228" i="3"/>
  <c r="AH219" i="3"/>
  <c r="AH158" i="3"/>
  <c r="AJ199" i="3"/>
  <c r="AE68" i="3"/>
  <c r="AG247" i="3"/>
  <c r="AD100" i="3"/>
  <c r="AF156" i="3"/>
  <c r="AF238" i="3"/>
  <c r="AF104" i="3"/>
  <c r="AF87" i="3"/>
  <c r="AD159" i="3"/>
  <c r="AC251" i="3"/>
  <c r="AC41" i="3"/>
  <c r="AC247" i="3"/>
  <c r="AB175" i="3"/>
  <c r="T224" i="3"/>
  <c r="Y231" i="3"/>
  <c r="X74" i="3"/>
  <c r="Y235" i="3"/>
  <c r="V76" i="3"/>
  <c r="AB100" i="3"/>
  <c r="AB90" i="3"/>
  <c r="Z58" i="3"/>
  <c r="AB140" i="3"/>
  <c r="AA102" i="3"/>
  <c r="U146" i="3"/>
  <c r="V127" i="3"/>
  <c r="Z54" i="3"/>
  <c r="Z15" i="3"/>
  <c r="AB16" i="3"/>
  <c r="Z75" i="3"/>
  <c r="Y232" i="3"/>
  <c r="AB29" i="3"/>
  <c r="AA240" i="3"/>
  <c r="Z23" i="3"/>
  <c r="AB209" i="3"/>
  <c r="W95" i="3"/>
  <c r="V28" i="3"/>
  <c r="L13" i="3"/>
  <c r="G49" i="3"/>
  <c r="Z88" i="3"/>
  <c r="Z215" i="3"/>
  <c r="G213" i="3"/>
  <c r="AB70" i="3"/>
  <c r="AA52" i="3"/>
  <c r="X100" i="3"/>
  <c r="AA67" i="3"/>
  <c r="U41" i="3"/>
  <c r="U222" i="3"/>
  <c r="U242" i="3"/>
  <c r="L45" i="3"/>
  <c r="Z138" i="3"/>
  <c r="X140" i="3"/>
  <c r="X156" i="3"/>
  <c r="X123" i="3"/>
  <c r="U121" i="3"/>
  <c r="U64" i="3"/>
  <c r="Y229" i="3"/>
  <c r="AA105" i="3"/>
  <c r="Z102" i="3"/>
  <c r="X146" i="3"/>
  <c r="V117" i="3"/>
  <c r="V56" i="3"/>
  <c r="W125" i="3"/>
  <c r="W145" i="3"/>
  <c r="AB44" i="3"/>
  <c r="U58" i="3"/>
  <c r="W143" i="3"/>
  <c r="T59" i="3"/>
  <c r="T79" i="3"/>
  <c r="B17" i="3"/>
  <c r="R178" i="3"/>
  <c r="AB132" i="3"/>
  <c r="U162" i="3"/>
  <c r="X199" i="3"/>
  <c r="I10" i="3"/>
  <c r="V166" i="3"/>
  <c r="P93" i="3"/>
  <c r="P97" i="3"/>
  <c r="T41" i="3"/>
  <c r="O109" i="3"/>
  <c r="K217" i="3"/>
  <c r="G118" i="3"/>
  <c r="S15" i="3"/>
  <c r="W193" i="3"/>
  <c r="I113" i="3"/>
  <c r="L117" i="3"/>
  <c r="T74" i="3"/>
  <c r="B137" i="3"/>
  <c r="X12" i="3"/>
  <c r="U206" i="3"/>
  <c r="U127" i="3"/>
  <c r="M101" i="3"/>
  <c r="E113" i="3"/>
  <c r="C161" i="3"/>
  <c r="H159" i="3"/>
  <c r="F113" i="3"/>
  <c r="I133" i="3"/>
  <c r="L93" i="3"/>
  <c r="F75" i="3"/>
  <c r="T198" i="3"/>
  <c r="Q245" i="3"/>
  <c r="W249" i="3"/>
  <c r="W147" i="3"/>
  <c r="W167" i="3"/>
  <c r="K37" i="3"/>
  <c r="D26" i="3"/>
  <c r="N142" i="3"/>
  <c r="AB69" i="3"/>
  <c r="Y135" i="3"/>
  <c r="V75" i="3"/>
  <c r="G9" i="3"/>
  <c r="I13" i="3"/>
  <c r="Z39" i="3"/>
  <c r="R50" i="3"/>
  <c r="S11" i="3"/>
  <c r="T197" i="3"/>
  <c r="M205" i="3"/>
  <c r="E249" i="3"/>
  <c r="D10" i="3"/>
  <c r="T98" i="3"/>
  <c r="P141" i="3"/>
  <c r="G10" i="3"/>
  <c r="I61" i="3"/>
  <c r="Q249" i="3"/>
  <c r="I185" i="3"/>
  <c r="F205" i="3"/>
  <c r="E225" i="3"/>
  <c r="Q87" i="3"/>
  <c r="L28" i="3"/>
  <c r="T189" i="3"/>
  <c r="Z242" i="3"/>
  <c r="Q241" i="3"/>
  <c r="W36" i="3"/>
  <c r="T214" i="3"/>
  <c r="K145" i="3"/>
  <c r="D14" i="3"/>
  <c r="J125" i="3"/>
  <c r="AA151" i="3"/>
  <c r="U66" i="3"/>
  <c r="W156" i="3"/>
  <c r="S122" i="3"/>
  <c r="V208" i="3"/>
  <c r="E165" i="3"/>
  <c r="S41" i="3"/>
  <c r="U250" i="3"/>
  <c r="E13" i="3"/>
  <c r="T107" i="3"/>
  <c r="T127" i="3"/>
  <c r="R25" i="3"/>
  <c r="L190" i="3"/>
  <c r="C59" i="3"/>
  <c r="N26" i="3"/>
  <c r="J137" i="3"/>
  <c r="M98" i="3"/>
  <c r="N106" i="3"/>
  <c r="D118" i="3"/>
  <c r="O51" i="3"/>
  <c r="P61" i="3"/>
  <c r="B99" i="3"/>
  <c r="N70" i="3"/>
  <c r="C157" i="3"/>
  <c r="M45" i="3"/>
  <c r="AB41" i="3"/>
  <c r="V168" i="3"/>
  <c r="V35" i="3"/>
  <c r="V247" i="3"/>
  <c r="G221" i="3"/>
  <c r="E61" i="3"/>
  <c r="I161" i="3"/>
  <c r="X242" i="3"/>
  <c r="AA227" i="3"/>
  <c r="V95" i="3"/>
  <c r="V115" i="3"/>
  <c r="F25" i="3"/>
  <c r="F241" i="3"/>
  <c r="S245" i="3"/>
  <c r="Z159" i="3"/>
  <c r="T167" i="3"/>
  <c r="B57" i="3"/>
  <c r="C61" i="3"/>
  <c r="L101" i="3"/>
  <c r="N23" i="3"/>
  <c r="G135" i="3"/>
  <c r="E186" i="3"/>
  <c r="J213" i="3"/>
  <c r="I182" i="3"/>
  <c r="K186" i="3"/>
  <c r="R190" i="3"/>
  <c r="M199" i="3"/>
  <c r="P114" i="3"/>
  <c r="F219" i="3"/>
  <c r="K222" i="3"/>
  <c r="Q229" i="3"/>
  <c r="H218" i="3"/>
  <c r="G77" i="3"/>
  <c r="R229" i="3"/>
  <c r="I226" i="3"/>
  <c r="R234" i="3"/>
  <c r="F246" i="3"/>
  <c r="R165" i="3"/>
  <c r="C223" i="3"/>
  <c r="D142" i="3"/>
  <c r="N137" i="3"/>
  <c r="J145" i="3"/>
  <c r="M111" i="3"/>
  <c r="Q115" i="3"/>
  <c r="E123" i="3"/>
  <c r="M234" i="3"/>
  <c r="R91" i="3"/>
  <c r="D156" i="3"/>
  <c r="K173" i="3"/>
  <c r="I165" i="3"/>
  <c r="M131" i="3"/>
  <c r="K135" i="3"/>
  <c r="O139" i="3"/>
  <c r="D11" i="3"/>
  <c r="M167" i="3"/>
  <c r="Q172" i="3"/>
  <c r="B56" i="3"/>
  <c r="B248" i="3"/>
  <c r="L211" i="3"/>
  <c r="M215" i="3"/>
  <c r="I244" i="3"/>
  <c r="D96" i="3"/>
  <c r="P80" i="3"/>
  <c r="K183" i="3"/>
  <c r="R150" i="3"/>
  <c r="I90" i="3"/>
  <c r="E66" i="3"/>
  <c r="I74" i="3"/>
  <c r="Q82" i="3"/>
  <c r="K134" i="3"/>
  <c r="O52" i="3"/>
  <c r="H219" i="3"/>
  <c r="X175" i="3"/>
  <c r="L205" i="3"/>
  <c r="J187" i="3"/>
  <c r="T84" i="3"/>
  <c r="E69" i="3"/>
  <c r="I67" i="3"/>
  <c r="I247" i="3"/>
  <c r="AL233" i="3"/>
  <c r="AQ208" i="3"/>
  <c r="AM244" i="3"/>
  <c r="AR48" i="3"/>
  <c r="AG72" i="3"/>
  <c r="AD166" i="3"/>
  <c r="AR38" i="3"/>
  <c r="AI203" i="3"/>
  <c r="AC171" i="3"/>
  <c r="AD215" i="3"/>
  <c r="Y9" i="3"/>
  <c r="AA33" i="3"/>
  <c r="W85" i="3"/>
  <c r="Y94" i="3"/>
  <c r="W248" i="3"/>
  <c r="AP189" i="3"/>
  <c r="AG25" i="3"/>
  <c r="AJ51" i="3"/>
  <c r="AF28" i="3"/>
  <c r="AC14" i="3"/>
  <c r="AA146" i="3"/>
  <c r="X157" i="3"/>
  <c r="AP117" i="3"/>
  <c r="AG53" i="3"/>
  <c r="AG102" i="3"/>
  <c r="AK15" i="3"/>
  <c r="AC239" i="3"/>
  <c r="AC44" i="3"/>
  <c r="Y62" i="3"/>
  <c r="AB148" i="3"/>
  <c r="M121" i="3"/>
  <c r="AI57" i="3"/>
  <c r="AH174" i="3"/>
  <c r="AL182" i="3"/>
  <c r="AF45" i="3"/>
  <c r="AE46" i="3"/>
  <c r="AI42" i="3"/>
  <c r="AG76" i="3"/>
  <c r="AD125" i="3"/>
  <c r="AT44" i="3"/>
  <c r="AK198" i="3"/>
  <c r="AJ40" i="3"/>
  <c r="AF192" i="3"/>
  <c r="AE112" i="3"/>
  <c r="Z56" i="3"/>
  <c r="AB72" i="3"/>
  <c r="X214" i="3"/>
  <c r="Q21" i="3"/>
  <c r="AA31" i="3"/>
  <c r="S32" i="3"/>
  <c r="Z124" i="3"/>
  <c r="V34" i="3"/>
  <c r="S205" i="3"/>
  <c r="V242" i="3"/>
  <c r="X66" i="3"/>
  <c r="AA69" i="3"/>
  <c r="W213" i="3"/>
  <c r="S51" i="3"/>
  <c r="C137" i="3"/>
  <c r="W12" i="3"/>
  <c r="T190" i="3"/>
  <c r="E250" i="3"/>
  <c r="V188" i="3"/>
  <c r="X76" i="3"/>
  <c r="T245" i="3"/>
  <c r="R82" i="3"/>
  <c r="F27" i="3"/>
  <c r="I109" i="3"/>
  <c r="W26" i="3"/>
  <c r="T113" i="3"/>
  <c r="C13" i="3"/>
  <c r="B145" i="3"/>
  <c r="Q106" i="3"/>
  <c r="H251" i="3"/>
  <c r="Y115" i="3"/>
  <c r="R146" i="3"/>
  <c r="T153" i="3"/>
  <c r="AA235" i="3"/>
  <c r="J189" i="3"/>
  <c r="M137" i="3"/>
  <c r="H226" i="3"/>
  <c r="H157" i="3"/>
  <c r="W39" i="3"/>
  <c r="X69" i="3"/>
  <c r="W119" i="3"/>
  <c r="W46" i="3"/>
  <c r="K22" i="3"/>
  <c r="O189" i="3"/>
  <c r="H59" i="3"/>
  <c r="E229" i="3"/>
  <c r="H206" i="3"/>
  <c r="E239" i="3"/>
  <c r="H35" i="3"/>
  <c r="L115" i="3"/>
  <c r="R71" i="3"/>
  <c r="H155" i="3"/>
  <c r="Q227" i="3"/>
  <c r="H139" i="3"/>
  <c r="I39" i="3"/>
  <c r="D72" i="3"/>
  <c r="H62" i="3"/>
  <c r="AS196" i="3"/>
  <c r="AO224" i="3"/>
  <c r="AK45" i="3"/>
  <c r="AG243" i="3"/>
  <c r="AH117" i="3"/>
  <c r="AO154" i="3"/>
  <c r="AK190" i="3"/>
  <c r="AC100" i="3"/>
  <c r="AC112" i="3"/>
  <c r="AE205" i="3"/>
  <c r="AD33" i="3"/>
  <c r="AE230" i="3"/>
  <c r="AE43" i="3"/>
  <c r="X132" i="3"/>
  <c r="S188" i="3"/>
  <c r="AB241" i="3"/>
  <c r="X231" i="3"/>
  <c r="T141" i="3"/>
  <c r="X193" i="3"/>
  <c r="AB115" i="3"/>
  <c r="X139" i="3"/>
  <c r="X47" i="3"/>
  <c r="Z19" i="3"/>
  <c r="AB56" i="3"/>
  <c r="AA28" i="3"/>
  <c r="L133" i="3"/>
  <c r="C46" i="3"/>
  <c r="I117" i="3"/>
  <c r="Z16" i="3"/>
  <c r="Y80" i="3"/>
  <c r="W106" i="3"/>
  <c r="Y151" i="3"/>
  <c r="Z177" i="3"/>
  <c r="AA32" i="3"/>
  <c r="Z72" i="3"/>
  <c r="AB251" i="3"/>
  <c r="AB83" i="3"/>
  <c r="S241" i="3"/>
  <c r="Z28" i="3"/>
  <c r="Y15" i="3"/>
  <c r="W182" i="3"/>
  <c r="U243" i="3"/>
  <c r="V18" i="3"/>
  <c r="X16" i="3"/>
  <c r="Y212" i="3"/>
  <c r="W236" i="3"/>
  <c r="I197" i="3"/>
  <c r="J217" i="3"/>
  <c r="AB154" i="3"/>
  <c r="W184" i="3"/>
  <c r="W108" i="3"/>
  <c r="AB96" i="3"/>
  <c r="T139" i="3"/>
  <c r="Q153" i="3"/>
  <c r="D177" i="3"/>
  <c r="F67" i="3"/>
  <c r="AB60" i="3"/>
  <c r="U84" i="3"/>
  <c r="T16" i="3"/>
  <c r="J173" i="3"/>
  <c r="L193" i="3"/>
  <c r="X185" i="3"/>
  <c r="AB168" i="3"/>
  <c r="O9" i="3"/>
  <c r="V119" i="3"/>
  <c r="L153" i="3"/>
  <c r="P87" i="3"/>
  <c r="H190" i="3"/>
  <c r="O187" i="3"/>
  <c r="G142" i="3"/>
  <c r="L147" i="3"/>
  <c r="R13" i="3"/>
  <c r="J53" i="3"/>
  <c r="D61" i="3"/>
  <c r="E181" i="3"/>
  <c r="E74" i="3"/>
  <c r="AV247" i="3"/>
  <c r="AQ48" i="3"/>
  <c r="AP122" i="3"/>
  <c r="AG189" i="3"/>
  <c r="AE89" i="3"/>
  <c r="AJ60" i="3"/>
  <c r="AL59" i="3"/>
  <c r="AI216" i="3"/>
  <c r="AC156" i="3"/>
  <c r="AC240" i="3"/>
  <c r="AE22" i="3"/>
  <c r="AD42" i="3"/>
  <c r="AF33" i="3"/>
  <c r="AE107" i="3"/>
  <c r="AA63" i="3"/>
  <c r="X119" i="3"/>
  <c r="X204" i="3"/>
  <c r="V83" i="3"/>
  <c r="T55" i="3"/>
  <c r="AB73" i="3"/>
  <c r="Y203" i="3"/>
  <c r="Z203" i="3"/>
  <c r="Z244" i="3"/>
  <c r="S96" i="3"/>
  <c r="X71" i="3"/>
  <c r="V210" i="3"/>
  <c r="K193" i="3"/>
  <c r="D106" i="3"/>
  <c r="W175" i="3"/>
  <c r="AA57" i="3"/>
  <c r="AA156" i="3"/>
  <c r="AB208" i="3"/>
  <c r="T60" i="3"/>
  <c r="S165" i="3"/>
  <c r="X216" i="3"/>
  <c r="Z59" i="3"/>
  <c r="Z106" i="3"/>
  <c r="X124" i="3"/>
  <c r="U73" i="3"/>
  <c r="U32" i="3"/>
  <c r="Z93" i="3"/>
  <c r="E17" i="3"/>
  <c r="O61" i="3"/>
  <c r="X209" i="3"/>
  <c r="L65" i="3"/>
  <c r="AA82" i="3"/>
  <c r="N209" i="3"/>
  <c r="K14" i="3"/>
  <c r="Q213" i="3"/>
  <c r="W238" i="3"/>
  <c r="L229" i="3"/>
  <c r="H34" i="3"/>
  <c r="V52" i="3"/>
  <c r="W183" i="3"/>
  <c r="D45" i="3"/>
  <c r="J150" i="3"/>
  <c r="H221" i="3"/>
  <c r="N218" i="3"/>
  <c r="X164" i="3"/>
  <c r="B89" i="3"/>
  <c r="R129" i="3"/>
  <c r="D101" i="3"/>
  <c r="S127" i="3"/>
  <c r="W24" i="3"/>
  <c r="W224" i="3"/>
  <c r="M97" i="3"/>
  <c r="Y246" i="3"/>
  <c r="Y91" i="3"/>
  <c r="C73" i="3"/>
  <c r="T63" i="3"/>
  <c r="P233" i="3"/>
  <c r="H173" i="3"/>
  <c r="P209" i="3"/>
  <c r="H57" i="3"/>
  <c r="Q226" i="3"/>
  <c r="L86" i="3"/>
  <c r="M27" i="3"/>
  <c r="L68" i="3"/>
  <c r="P71" i="3"/>
  <c r="P121" i="3"/>
  <c r="W208" i="3"/>
  <c r="Y147" i="3"/>
  <c r="B197" i="3"/>
  <c r="Z153" i="3"/>
  <c r="X96" i="3"/>
  <c r="O34" i="3"/>
  <c r="W55" i="3"/>
  <c r="U47" i="3"/>
  <c r="X73" i="3"/>
  <c r="W77" i="3"/>
  <c r="O25" i="3"/>
  <c r="T142" i="3"/>
  <c r="K249" i="3"/>
  <c r="R157" i="3"/>
  <c r="K133" i="3"/>
  <c r="M149" i="3"/>
  <c r="K138" i="3"/>
  <c r="F98" i="3"/>
  <c r="J43" i="3"/>
  <c r="F24" i="3"/>
  <c r="K169" i="3"/>
  <c r="N49" i="3"/>
  <c r="AA30" i="3"/>
  <c r="N14" i="3"/>
  <c r="K25" i="3"/>
  <c r="H121" i="3"/>
  <c r="O26" i="3"/>
  <c r="AA165" i="3"/>
  <c r="U173" i="3"/>
  <c r="T53" i="3"/>
  <c r="G45" i="3"/>
  <c r="F141" i="3"/>
  <c r="X213" i="3"/>
  <c r="X28" i="3"/>
  <c r="N101" i="3"/>
  <c r="T203" i="3"/>
  <c r="O41" i="3"/>
  <c r="H233" i="3"/>
  <c r="C66" i="3"/>
  <c r="P54" i="3"/>
  <c r="Q43" i="3"/>
  <c r="O130" i="3"/>
  <c r="K119" i="3"/>
  <c r="B100" i="3"/>
  <c r="O102" i="3"/>
  <c r="J79" i="3"/>
  <c r="I176" i="3"/>
  <c r="T33" i="3"/>
  <c r="I23" i="3"/>
  <c r="D230" i="3"/>
  <c r="P202" i="3"/>
  <c r="H56" i="3"/>
  <c r="P22" i="3"/>
  <c r="R45" i="3"/>
  <c r="O22" i="3"/>
  <c r="G185" i="3"/>
  <c r="E174" i="3"/>
  <c r="D215" i="3"/>
  <c r="U39" i="3"/>
  <c r="N85" i="3"/>
  <c r="C70" i="3"/>
  <c r="D18" i="3"/>
  <c r="C194" i="3"/>
  <c r="O231" i="3"/>
  <c r="R183" i="3"/>
  <c r="P184" i="3"/>
  <c r="C48" i="3"/>
  <c r="L56" i="3"/>
  <c r="Q32" i="3"/>
  <c r="M69" i="3"/>
  <c r="P188" i="3"/>
  <c r="M18" i="3"/>
  <c r="H99" i="3"/>
  <c r="H229" i="3"/>
  <c r="K229" i="3"/>
  <c r="J136" i="3"/>
  <c r="U75" i="3"/>
  <c r="G161" i="3"/>
  <c r="L182" i="3"/>
  <c r="I42" i="3"/>
  <c r="D250" i="3"/>
  <c r="O227" i="3"/>
  <c r="R168" i="3"/>
  <c r="C19" i="3"/>
  <c r="I19" i="3"/>
  <c r="Q98" i="3"/>
  <c r="H110" i="3"/>
  <c r="L118" i="3"/>
  <c r="O222" i="3"/>
  <c r="L247" i="3"/>
  <c r="K188" i="3"/>
  <c r="J28" i="3"/>
  <c r="K136" i="3"/>
  <c r="N60" i="3"/>
  <c r="Q28" i="3"/>
  <c r="Q235" i="3"/>
  <c r="C104" i="3"/>
  <c r="I86" i="3"/>
  <c r="L52" i="3"/>
  <c r="U71" i="3"/>
  <c r="P107" i="3"/>
  <c r="B115" i="3"/>
  <c r="I119" i="3"/>
  <c r="M230" i="3"/>
  <c r="E79" i="3"/>
  <c r="G152" i="3"/>
  <c r="J32" i="3"/>
  <c r="H75" i="3"/>
  <c r="K75" i="3"/>
  <c r="D214" i="3"/>
  <c r="J222" i="3"/>
  <c r="K230" i="3"/>
  <c r="H101" i="3"/>
  <c r="J60" i="3"/>
  <c r="O116" i="3"/>
  <c r="B95" i="3"/>
  <c r="G95" i="3"/>
  <c r="M250" i="3"/>
  <c r="Q15" i="3"/>
  <c r="E27" i="3"/>
  <c r="E217" i="3"/>
  <c r="F80" i="3"/>
  <c r="F140" i="3"/>
  <c r="O79" i="3"/>
  <c r="J11" i="3"/>
  <c r="P140" i="3"/>
  <c r="N104" i="3"/>
  <c r="Q59" i="3"/>
  <c r="N188" i="3"/>
  <c r="Q231" i="3"/>
  <c r="D203" i="3"/>
  <c r="D144" i="3"/>
  <c r="E219" i="3"/>
  <c r="N52" i="3"/>
  <c r="R99" i="3"/>
  <c r="E126" i="3"/>
  <c r="M130" i="3"/>
  <c r="O134" i="3"/>
  <c r="P95" i="3"/>
  <c r="R205" i="3"/>
  <c r="L135" i="3"/>
  <c r="N64" i="3"/>
  <c r="R217" i="3"/>
  <c r="B94" i="3"/>
  <c r="P126" i="3"/>
  <c r="C138" i="3"/>
  <c r="J146" i="3"/>
  <c r="P155" i="3"/>
  <c r="C96" i="3"/>
  <c r="J164" i="3"/>
  <c r="F46" i="3"/>
  <c r="O110" i="3"/>
  <c r="H166" i="3"/>
  <c r="N174" i="3"/>
  <c r="B186" i="3"/>
  <c r="M175" i="3"/>
  <c r="O112" i="3"/>
  <c r="G184" i="3"/>
  <c r="B231" i="3"/>
  <c r="I248" i="3"/>
  <c r="P115" i="3"/>
  <c r="K43" i="3"/>
  <c r="I180" i="3"/>
  <c r="R244" i="3"/>
  <c r="H231" i="3"/>
  <c r="H235" i="3"/>
  <c r="Q216" i="3"/>
  <c r="L79" i="3"/>
  <c r="H151" i="3"/>
  <c r="C187" i="3"/>
  <c r="G60" i="3"/>
  <c r="N128" i="3"/>
  <c r="I231" i="3"/>
  <c r="N103" i="3"/>
  <c r="AF160" i="3"/>
  <c r="W38" i="3"/>
  <c r="AM241" i="3"/>
  <c r="AI65" i="3"/>
  <c r="AD121" i="3"/>
  <c r="AE166" i="3"/>
  <c r="Z42" i="3"/>
  <c r="V114" i="3"/>
  <c r="Y40" i="3"/>
  <c r="U57" i="3"/>
  <c r="E166" i="3"/>
  <c r="AM169" i="3"/>
  <c r="AI178" i="3"/>
  <c r="AI168" i="3"/>
  <c r="AD11" i="3"/>
  <c r="AI40" i="3"/>
  <c r="Y124" i="3"/>
  <c r="Y134" i="3"/>
  <c r="AQ27" i="3"/>
  <c r="AG125" i="3"/>
  <c r="AK201" i="3"/>
  <c r="AJ242" i="3"/>
  <c r="AF205" i="3"/>
  <c r="Y52" i="3"/>
  <c r="AA49" i="3"/>
  <c r="U101" i="3"/>
  <c r="AT145" i="3"/>
  <c r="AK29" i="3"/>
  <c r="AI46" i="3"/>
  <c r="AJ168" i="3"/>
  <c r="AI36" i="3"/>
  <c r="AH31" i="3"/>
  <c r="AE49" i="3"/>
  <c r="AH180" i="3"/>
  <c r="AC163" i="3"/>
  <c r="AM31" i="3"/>
  <c r="AK162" i="3"/>
  <c r="AH90" i="3"/>
  <c r="AF108" i="3"/>
  <c r="AF203" i="3"/>
  <c r="U74" i="3"/>
  <c r="W158" i="3"/>
  <c r="AA25" i="3"/>
  <c r="Y165" i="3"/>
  <c r="AB131" i="3"/>
  <c r="Z228" i="3"/>
  <c r="V176" i="3"/>
  <c r="X205" i="3"/>
  <c r="U72" i="3"/>
  <c r="S10" i="3"/>
  <c r="U152" i="3"/>
  <c r="S101" i="3"/>
  <c r="Z11" i="3"/>
  <c r="Y244" i="3"/>
  <c r="O177" i="3"/>
  <c r="W87" i="3"/>
  <c r="T28" i="3"/>
  <c r="AB105" i="3"/>
  <c r="T216" i="3"/>
  <c r="U129" i="3"/>
  <c r="L137" i="3"/>
  <c r="K130" i="3"/>
  <c r="V193" i="3"/>
  <c r="J31" i="3"/>
  <c r="C41" i="3"/>
  <c r="E51" i="3"/>
  <c r="C17" i="3"/>
  <c r="C30" i="3"/>
  <c r="H118" i="3"/>
  <c r="U183" i="3"/>
  <c r="T24" i="3"/>
  <c r="Z251" i="3"/>
  <c r="W212" i="3"/>
  <c r="M77" i="3"/>
  <c r="B191" i="3"/>
  <c r="Q103" i="3"/>
  <c r="D59" i="3"/>
  <c r="R185" i="3"/>
  <c r="W16" i="3"/>
  <c r="V191" i="3"/>
  <c r="M25" i="3"/>
  <c r="F177" i="3"/>
  <c r="R101" i="3"/>
  <c r="M179" i="3"/>
  <c r="N239" i="3"/>
  <c r="B219" i="3"/>
  <c r="N210" i="3"/>
  <c r="F51" i="3"/>
  <c r="R43" i="3"/>
  <c r="M240" i="3"/>
  <c r="U59" i="3"/>
  <c r="G100" i="3"/>
  <c r="C199" i="3"/>
  <c r="N63" i="3"/>
  <c r="L43" i="3"/>
  <c r="L199" i="3"/>
  <c r="O70" i="3"/>
  <c r="AT12" i="3"/>
  <c r="AN108" i="3"/>
  <c r="AL246" i="3"/>
  <c r="AG11" i="3"/>
  <c r="AI206" i="3"/>
  <c r="AE113" i="3"/>
  <c r="AD175" i="3"/>
  <c r="AF54" i="3"/>
  <c r="AF179" i="3"/>
  <c r="AC183" i="3"/>
  <c r="AE192" i="3"/>
  <c r="AD96" i="3"/>
  <c r="AD85" i="3"/>
  <c r="W201" i="3"/>
  <c r="W231" i="3"/>
  <c r="U113" i="3"/>
  <c r="X192" i="3"/>
  <c r="S244" i="3"/>
  <c r="V245" i="3"/>
  <c r="Y181" i="3"/>
  <c r="X45" i="3"/>
  <c r="V101" i="3"/>
  <c r="Y205" i="3"/>
  <c r="Z140" i="3"/>
  <c r="AB85" i="3"/>
  <c r="V239" i="3"/>
  <c r="X72" i="3"/>
  <c r="Y37" i="3"/>
  <c r="X226" i="3"/>
  <c r="AB107" i="3"/>
  <c r="Z123" i="3"/>
  <c r="T54" i="3"/>
  <c r="Y30" i="3"/>
  <c r="S36" i="3"/>
  <c r="S114" i="3"/>
  <c r="X160" i="3"/>
  <c r="Y195" i="3"/>
  <c r="AA26" i="3"/>
  <c r="AB110" i="3"/>
  <c r="AA111" i="3"/>
  <c r="Y75" i="3"/>
  <c r="V243" i="3"/>
  <c r="V155" i="3"/>
  <c r="AB28" i="3"/>
  <c r="T118" i="3"/>
  <c r="D193" i="3"/>
  <c r="V219" i="3"/>
  <c r="H201" i="3"/>
  <c r="V197" i="3"/>
  <c r="T103" i="3"/>
  <c r="T67" i="3"/>
  <c r="U65" i="3"/>
  <c r="K149" i="3"/>
  <c r="V23" i="3"/>
  <c r="J198" i="3"/>
  <c r="P153" i="3"/>
  <c r="AA97" i="3"/>
  <c r="X215" i="3"/>
  <c r="G169" i="3"/>
  <c r="V103" i="3"/>
  <c r="F218" i="3"/>
  <c r="U52" i="3"/>
  <c r="T77" i="3"/>
  <c r="V144" i="3"/>
  <c r="W123" i="3"/>
  <c r="F222" i="3"/>
  <c r="U139" i="3"/>
  <c r="F187" i="3"/>
  <c r="F138" i="3"/>
  <c r="K89" i="3"/>
  <c r="S160" i="3"/>
  <c r="I49" i="3"/>
  <c r="T49" i="3"/>
  <c r="G61" i="3"/>
  <c r="I33" i="3"/>
  <c r="Z169" i="3"/>
  <c r="AQ165" i="3"/>
  <c r="AM240" i="3"/>
  <c r="AL243" i="3"/>
  <c r="AM46" i="3"/>
  <c r="AK52" i="3"/>
  <c r="AE106" i="3"/>
  <c r="AI67" i="3"/>
  <c r="AF49" i="3"/>
  <c r="AE125" i="3"/>
  <c r="AD199" i="3"/>
  <c r="AD250" i="3"/>
  <c r="AC34" i="3"/>
  <c r="AE163" i="3"/>
  <c r="AD157" i="3"/>
  <c r="Y243" i="3"/>
  <c r="W69" i="3"/>
  <c r="U62" i="3"/>
  <c r="AA103" i="3"/>
  <c r="Z66" i="3"/>
  <c r="Z74" i="3"/>
  <c r="Q57" i="3"/>
  <c r="Z216" i="3"/>
  <c r="Z131" i="3"/>
  <c r="AB233" i="3"/>
  <c r="Y179" i="3"/>
  <c r="T238" i="3"/>
  <c r="E177" i="3"/>
  <c r="X56" i="3"/>
  <c r="W124" i="3"/>
  <c r="AA65" i="3"/>
  <c r="U85" i="3"/>
  <c r="S247" i="3"/>
  <c r="T187" i="3"/>
  <c r="S173" i="3"/>
  <c r="U165" i="3"/>
  <c r="V77" i="3"/>
  <c r="Y110" i="3"/>
  <c r="AB170" i="3"/>
  <c r="W169" i="3"/>
  <c r="W132" i="3"/>
  <c r="W154" i="3"/>
  <c r="J89" i="3"/>
  <c r="T100" i="3"/>
  <c r="S236" i="3"/>
  <c r="C81" i="3"/>
  <c r="AB243" i="3"/>
  <c r="W103" i="3"/>
  <c r="P237" i="3"/>
  <c r="AA237" i="3"/>
  <c r="V160" i="3"/>
  <c r="W187" i="3"/>
  <c r="C34" i="3"/>
  <c r="W64" i="3"/>
  <c r="G233" i="3"/>
  <c r="E38" i="3"/>
  <c r="M237" i="3"/>
  <c r="P221" i="3"/>
  <c r="W151" i="3"/>
  <c r="W192" i="3"/>
  <c r="V196" i="3"/>
  <c r="H154" i="3"/>
  <c r="Z202" i="3"/>
  <c r="U225" i="3"/>
  <c r="W204" i="3"/>
  <c r="U95" i="3"/>
  <c r="J149" i="3"/>
  <c r="S214" i="3"/>
  <c r="AB127" i="3"/>
  <c r="T43" i="3"/>
  <c r="C193" i="3"/>
  <c r="H65" i="3"/>
  <c r="F43" i="3"/>
  <c r="B213" i="3"/>
  <c r="J83" i="3"/>
  <c r="B78" i="3"/>
  <c r="M159" i="3"/>
  <c r="B173" i="3"/>
  <c r="D109" i="3"/>
  <c r="Z218" i="3"/>
  <c r="T180" i="3"/>
  <c r="Q81" i="3"/>
  <c r="B93" i="3"/>
  <c r="J98" i="3"/>
  <c r="AB14" i="3"/>
  <c r="Y127" i="3"/>
  <c r="W35" i="3"/>
  <c r="O101" i="3"/>
  <c r="R69" i="3"/>
  <c r="Z14" i="3"/>
  <c r="V98" i="3"/>
  <c r="T62" i="3"/>
  <c r="E209" i="3"/>
  <c r="T17" i="3"/>
  <c r="E242" i="3"/>
  <c r="J241" i="3"/>
  <c r="F39" i="3"/>
  <c r="P86" i="3"/>
  <c r="F175" i="3"/>
  <c r="F19" i="3"/>
  <c r="O64" i="3"/>
  <c r="R34" i="3"/>
  <c r="N165" i="3"/>
  <c r="S142" i="3"/>
  <c r="M21" i="3"/>
  <c r="R21" i="3"/>
  <c r="F161" i="3"/>
  <c r="D174" i="3"/>
  <c r="AB194" i="3"/>
  <c r="U194" i="3"/>
  <c r="Q37" i="3"/>
  <c r="P73" i="3"/>
  <c r="B181" i="3"/>
  <c r="AB18" i="3"/>
  <c r="W97" i="3"/>
  <c r="T171" i="3"/>
  <c r="Q38" i="3"/>
  <c r="H125" i="3"/>
  <c r="D75" i="3"/>
  <c r="E153" i="3"/>
  <c r="R111" i="3"/>
  <c r="M126" i="3"/>
  <c r="Q70" i="3"/>
  <c r="E46" i="3"/>
  <c r="L127" i="3"/>
  <c r="L109" i="3"/>
  <c r="D222" i="3"/>
  <c r="N45" i="3"/>
  <c r="G19" i="3"/>
  <c r="R218" i="3"/>
  <c r="D126" i="3"/>
  <c r="H107" i="3"/>
  <c r="R204" i="3"/>
  <c r="L167" i="3"/>
  <c r="R226" i="3"/>
  <c r="L161" i="3"/>
  <c r="E63" i="3"/>
  <c r="R154" i="3"/>
  <c r="I12" i="3"/>
  <c r="H81" i="3"/>
  <c r="M246" i="3"/>
  <c r="K241" i="3"/>
  <c r="N79" i="3"/>
  <c r="G194" i="3"/>
  <c r="B32" i="3"/>
  <c r="R235" i="3"/>
  <c r="F120" i="3"/>
  <c r="L196" i="3"/>
  <c r="D140" i="3"/>
  <c r="O248" i="3"/>
  <c r="K118" i="3"/>
  <c r="N129" i="3"/>
  <c r="C95" i="3"/>
  <c r="H209" i="3"/>
  <c r="F45" i="3"/>
  <c r="H186" i="3"/>
  <c r="H136" i="3"/>
  <c r="M165" i="3"/>
  <c r="O59" i="3"/>
  <c r="C22" i="3"/>
  <c r="Q135" i="3"/>
  <c r="M63" i="3"/>
  <c r="C211" i="3"/>
  <c r="N213" i="3"/>
  <c r="C245" i="3"/>
  <c r="N245" i="3"/>
  <c r="K242" i="3"/>
  <c r="N250" i="3"/>
  <c r="E19" i="3"/>
  <c r="B201" i="3"/>
  <c r="R227" i="3"/>
  <c r="B174" i="3"/>
  <c r="B60" i="3"/>
  <c r="N80" i="3"/>
  <c r="H152" i="3"/>
  <c r="E12" i="3"/>
  <c r="D119" i="3"/>
  <c r="M115" i="3"/>
  <c r="P94" i="3"/>
  <c r="E100" i="3"/>
  <c r="R162" i="3"/>
  <c r="K27" i="3"/>
  <c r="C39" i="3"/>
  <c r="H47" i="3"/>
  <c r="H14" i="3"/>
  <c r="J107" i="3"/>
  <c r="M236" i="3"/>
  <c r="I53" i="3"/>
  <c r="G78" i="3"/>
  <c r="K78" i="3"/>
  <c r="L42" i="3"/>
  <c r="Q50" i="3"/>
  <c r="B62" i="3"/>
  <c r="P110" i="3"/>
  <c r="B44" i="3"/>
  <c r="K125" i="3"/>
  <c r="B98" i="3"/>
  <c r="H98" i="3"/>
  <c r="Q78" i="3"/>
  <c r="F90" i="3"/>
  <c r="K98" i="3"/>
  <c r="G150" i="3"/>
  <c r="P60" i="3"/>
  <c r="B227" i="3"/>
  <c r="H115" i="3"/>
  <c r="C91" i="3"/>
  <c r="F228" i="3"/>
  <c r="C88" i="3"/>
  <c r="F231" i="3"/>
  <c r="Q251" i="3"/>
  <c r="I236" i="3"/>
  <c r="H175" i="3"/>
  <c r="L204" i="3"/>
  <c r="M206" i="3"/>
  <c r="C68" i="3"/>
  <c r="E33" i="3"/>
  <c r="N123" i="3"/>
  <c r="N127" i="3"/>
  <c r="Q131" i="3"/>
  <c r="H246" i="3"/>
  <c r="D139" i="3"/>
  <c r="F168" i="3"/>
  <c r="D48" i="3"/>
  <c r="B91" i="3"/>
  <c r="E91" i="3"/>
  <c r="N242" i="3"/>
  <c r="B11" i="3"/>
  <c r="K19" i="3"/>
  <c r="L201" i="3"/>
  <c r="I76" i="3"/>
  <c r="I136" i="3"/>
  <c r="O107" i="3"/>
  <c r="B111" i="3"/>
  <c r="B39" i="3"/>
  <c r="L47" i="3"/>
  <c r="U107" i="3"/>
  <c r="K34" i="3"/>
  <c r="H96" i="3"/>
  <c r="I156" i="3"/>
  <c r="G111" i="3"/>
  <c r="P99" i="3"/>
  <c r="M156" i="3"/>
  <c r="I120" i="3"/>
  <c r="R123" i="3"/>
  <c r="M204" i="3"/>
  <c r="N247" i="3"/>
  <c r="O215" i="3"/>
  <c r="O156" i="3"/>
  <c r="C235" i="3"/>
  <c r="R147" i="3"/>
  <c r="M52" i="3"/>
  <c r="I40" i="3"/>
  <c r="G224" i="3"/>
  <c r="Q247" i="3"/>
  <c r="B139" i="3"/>
  <c r="N111" i="3"/>
  <c r="R236" i="3"/>
  <c r="E96" i="3"/>
  <c r="D124" i="3"/>
  <c r="B220" i="3"/>
  <c r="J15" i="3"/>
  <c r="L100" i="3"/>
  <c r="G96" i="3"/>
  <c r="F244" i="3"/>
  <c r="O207" i="3"/>
  <c r="Q211" i="3"/>
  <c r="E95" i="3"/>
  <c r="P196" i="3"/>
  <c r="R96" i="3"/>
  <c r="I235" i="3"/>
  <c r="F239" i="3"/>
  <c r="N140" i="3"/>
  <c r="M136" i="3"/>
  <c r="L120" i="3"/>
  <c r="G180" i="3"/>
  <c r="L84" i="3"/>
  <c r="M212" i="3"/>
  <c r="H200" i="3"/>
  <c r="F128" i="3"/>
  <c r="E164" i="3"/>
  <c r="J63" i="3"/>
  <c r="F240" i="3"/>
  <c r="K108" i="3"/>
  <c r="B28" i="3"/>
  <c r="P12" i="3"/>
  <c r="R196" i="3"/>
  <c r="F223" i="3"/>
  <c r="P164" i="3"/>
  <c r="D136" i="3"/>
  <c r="S70" i="3"/>
  <c r="U138" i="3"/>
  <c r="W222" i="3"/>
  <c r="X81" i="3"/>
  <c r="AA202" i="3"/>
  <c r="V89" i="3"/>
  <c r="X111" i="3"/>
  <c r="Z46" i="3"/>
  <c r="V24" i="3"/>
  <c r="AA137" i="3"/>
  <c r="AA91" i="3"/>
  <c r="Y34" i="3"/>
  <c r="V15" i="3"/>
  <c r="V139" i="3"/>
  <c r="T112" i="3"/>
  <c r="H49" i="3"/>
  <c r="H53" i="3"/>
  <c r="Z117" i="3"/>
  <c r="V183" i="3"/>
  <c r="AB138" i="3"/>
  <c r="Q73" i="3"/>
  <c r="L214" i="3"/>
  <c r="G26" i="3"/>
  <c r="F97" i="3"/>
  <c r="X208" i="3"/>
  <c r="I69" i="3"/>
  <c r="P229" i="3"/>
  <c r="U179" i="3"/>
  <c r="W240" i="3"/>
  <c r="F115" i="3"/>
  <c r="K114" i="3"/>
  <c r="F35" i="3"/>
  <c r="N181" i="3"/>
  <c r="S50" i="3"/>
  <c r="K9" i="3"/>
  <c r="C181" i="3"/>
  <c r="X228" i="3"/>
  <c r="C29" i="3"/>
  <c r="Y197" i="3"/>
  <c r="J57" i="3"/>
  <c r="P13" i="3"/>
  <c r="K179" i="3"/>
  <c r="R98" i="3"/>
  <c r="B238" i="3"/>
  <c r="Q100" i="3"/>
  <c r="R197" i="3"/>
  <c r="U184" i="3"/>
  <c r="E18" i="3"/>
  <c r="Q185" i="3"/>
  <c r="Y98" i="3"/>
  <c r="T175" i="3"/>
  <c r="Y224" i="3"/>
  <c r="R41" i="3"/>
  <c r="K86" i="3"/>
  <c r="F174" i="3"/>
  <c r="I225" i="3"/>
  <c r="J214" i="3"/>
  <c r="J195" i="3"/>
  <c r="K137" i="3"/>
  <c r="O178" i="3"/>
  <c r="I18" i="3"/>
  <c r="T194" i="3"/>
  <c r="I198" i="3"/>
  <c r="P66" i="3"/>
  <c r="L126" i="3"/>
  <c r="C248" i="3"/>
  <c r="H220" i="3"/>
  <c r="R159" i="3"/>
  <c r="L10" i="3"/>
  <c r="D32" i="3"/>
  <c r="D70" i="3"/>
  <c r="G11" i="3"/>
  <c r="C182" i="3"/>
  <c r="P193" i="3"/>
  <c r="G62" i="3"/>
  <c r="N78" i="3"/>
  <c r="R238" i="3"/>
  <c r="H28" i="3"/>
  <c r="L179" i="3"/>
  <c r="L111" i="3"/>
  <c r="E56" i="3"/>
  <c r="K97" i="3"/>
  <c r="F146" i="3"/>
  <c r="Q162" i="3"/>
  <c r="G28" i="3"/>
  <c r="I110" i="3"/>
  <c r="J204" i="3"/>
  <c r="R207" i="3"/>
  <c r="Q238" i="3"/>
  <c r="L60" i="3"/>
  <c r="M23" i="3"/>
  <c r="R58" i="3"/>
  <c r="J229" i="3"/>
  <c r="P55" i="3"/>
  <c r="E132" i="3"/>
  <c r="R210" i="3"/>
  <c r="E159" i="3"/>
  <c r="N167" i="3"/>
  <c r="L70" i="3"/>
  <c r="D178" i="3"/>
  <c r="N185" i="3"/>
  <c r="N190" i="3"/>
  <c r="P162" i="3"/>
  <c r="C160" i="3"/>
  <c r="K244" i="3"/>
  <c r="D20" i="3"/>
  <c r="I144" i="3"/>
  <c r="D188" i="3"/>
  <c r="P186" i="3"/>
  <c r="O60" i="3"/>
  <c r="M218" i="3"/>
  <c r="E112" i="3"/>
  <c r="J239" i="3"/>
  <c r="B208" i="3"/>
  <c r="K96" i="3"/>
  <c r="I116" i="3"/>
  <c r="D244" i="3"/>
  <c r="Q224" i="3"/>
  <c r="H24" i="3"/>
  <c r="L236" i="3"/>
  <c r="N118" i="3"/>
  <c r="AB234" i="3"/>
  <c r="V209" i="3"/>
  <c r="U36" i="3"/>
  <c r="Y57" i="3"/>
  <c r="U11" i="3"/>
  <c r="V134" i="3"/>
  <c r="X128" i="3"/>
  <c r="T157" i="3"/>
  <c r="P131" i="3"/>
  <c r="F58" i="3"/>
  <c r="K95" i="3"/>
  <c r="J101" i="3"/>
  <c r="U153" i="3"/>
  <c r="S74" i="3"/>
  <c r="T92" i="3"/>
  <c r="T93" i="3"/>
  <c r="C133" i="3"/>
  <c r="J66" i="3"/>
  <c r="U48" i="3"/>
  <c r="O141" i="3"/>
  <c r="P81" i="3"/>
  <c r="X114" i="3"/>
  <c r="O13" i="3"/>
  <c r="I17" i="3"/>
  <c r="O30" i="3"/>
  <c r="K87" i="3"/>
  <c r="C57" i="3"/>
  <c r="G69" i="3"/>
  <c r="AA241" i="3"/>
  <c r="D205" i="3"/>
  <c r="P51" i="3"/>
  <c r="N186" i="3"/>
  <c r="P112" i="3"/>
  <c r="G110" i="3"/>
  <c r="D38" i="3"/>
  <c r="E194" i="3"/>
  <c r="C217" i="3"/>
  <c r="F226" i="3"/>
  <c r="M83" i="3"/>
  <c r="F129" i="3"/>
  <c r="B74" i="3"/>
  <c r="K182" i="3"/>
  <c r="D22" i="3"/>
  <c r="U16" i="3"/>
  <c r="J155" i="3"/>
  <c r="G164" i="3"/>
  <c r="R211" i="3"/>
  <c r="J157" i="3"/>
  <c r="N94" i="3"/>
  <c r="G88" i="3"/>
  <c r="R233" i="3"/>
  <c r="N193" i="3"/>
  <c r="M184" i="3"/>
  <c r="U123" i="3"/>
  <c r="Q36" i="3"/>
  <c r="L152" i="3"/>
  <c r="C200" i="3"/>
  <c r="AQ24" i="3"/>
  <c r="AN86" i="3"/>
  <c r="AN116" i="3"/>
  <c r="AJ31" i="3"/>
  <c r="AH11" i="3"/>
  <c r="AF114" i="3"/>
  <c r="AH171" i="3"/>
  <c r="AD154" i="3"/>
  <c r="AE195" i="3"/>
  <c r="AD38" i="3"/>
  <c r="AD19" i="3"/>
  <c r="AC64" i="3"/>
  <c r="AD81" i="3"/>
  <c r="AD194" i="3"/>
  <c r="U68" i="3"/>
  <c r="AA13" i="3"/>
  <c r="X85" i="3"/>
  <c r="Y27" i="3"/>
  <c r="Z167" i="3"/>
  <c r="U157" i="3"/>
  <c r="S182" i="3"/>
  <c r="S233" i="3"/>
  <c r="U26" i="3"/>
  <c r="S210" i="3"/>
  <c r="AD52" i="3"/>
  <c r="S237" i="3"/>
  <c r="AO168" i="3"/>
  <c r="AM114" i="3"/>
  <c r="AC135" i="3"/>
  <c r="AE184" i="3"/>
  <c r="Z147" i="3"/>
  <c r="S141" i="3"/>
  <c r="Z149" i="3"/>
  <c r="AB217" i="3"/>
  <c r="AQ210" i="3"/>
  <c r="AN106" i="3"/>
  <c r="AK187" i="3"/>
  <c r="AK200" i="3"/>
  <c r="AE135" i="3"/>
  <c r="AD77" i="3"/>
  <c r="T201" i="3"/>
  <c r="U233" i="3"/>
  <c r="AK13" i="3"/>
  <c r="AI122" i="3"/>
  <c r="AE101" i="3"/>
  <c r="AC106" i="3"/>
  <c r="AF131" i="3"/>
  <c r="Z173" i="3"/>
  <c r="Z40" i="3"/>
  <c r="X218" i="3"/>
  <c r="AU56" i="3"/>
  <c r="AN174" i="3"/>
  <c r="AK100" i="3"/>
  <c r="AK150" i="3"/>
  <c r="AH103" i="3"/>
  <c r="AG126" i="3"/>
  <c r="AI55" i="3"/>
  <c r="AG71" i="3"/>
  <c r="AF206" i="3"/>
  <c r="AH189" i="3"/>
  <c r="AP12" i="3"/>
  <c r="AC110" i="3"/>
  <c r="AF84" i="3"/>
  <c r="AF125" i="3"/>
  <c r="AB33" i="3"/>
  <c r="T71" i="3"/>
  <c r="Y172" i="3"/>
  <c r="V21" i="3"/>
  <c r="AB152" i="3"/>
  <c r="T133" i="3"/>
  <c r="D225" i="3"/>
  <c r="AB53" i="3"/>
  <c r="V41" i="3"/>
  <c r="Y109" i="3"/>
  <c r="V121" i="3"/>
  <c r="S133" i="3"/>
  <c r="AB39" i="3"/>
  <c r="Q53" i="3"/>
  <c r="B179" i="3"/>
  <c r="M229" i="3"/>
  <c r="T83" i="3"/>
  <c r="Y223" i="3"/>
  <c r="T163" i="3"/>
  <c r="U131" i="3"/>
  <c r="C249" i="3"/>
  <c r="N202" i="3"/>
  <c r="R61" i="3"/>
  <c r="D143" i="3"/>
  <c r="N81" i="3"/>
  <c r="Z68" i="3"/>
  <c r="O57" i="3"/>
  <c r="D23" i="3"/>
  <c r="H126" i="3"/>
  <c r="AA12" i="3"/>
  <c r="M145" i="3"/>
  <c r="W162" i="3"/>
  <c r="J165" i="3"/>
  <c r="N141" i="3"/>
  <c r="B149" i="3"/>
  <c r="D111" i="3"/>
  <c r="H148" i="3"/>
  <c r="V153" i="3"/>
  <c r="B209" i="3"/>
  <c r="S187" i="3"/>
  <c r="G245" i="3"/>
  <c r="M217" i="3"/>
  <c r="N221" i="3"/>
  <c r="M183" i="3"/>
  <c r="J224" i="3"/>
  <c r="O14" i="3"/>
  <c r="M42" i="3"/>
  <c r="P158" i="3"/>
  <c r="D55" i="3"/>
  <c r="I186" i="3"/>
  <c r="I85" i="3"/>
  <c r="P35" i="3"/>
  <c r="E244" i="3"/>
  <c r="D141" i="3"/>
  <c r="M154" i="3"/>
  <c r="G242" i="3"/>
  <c r="F82" i="3"/>
  <c r="AP247" i="3"/>
  <c r="AL76" i="3"/>
  <c r="AI58" i="3"/>
  <c r="AK22" i="3"/>
  <c r="AK148" i="3"/>
  <c r="AG112" i="3"/>
  <c r="AC97" i="3"/>
  <c r="AD191" i="3"/>
  <c r="AC73" i="3"/>
  <c r="AC10" i="3"/>
  <c r="AD24" i="3"/>
  <c r="AD61" i="3"/>
  <c r="AD178" i="3"/>
  <c r="W144" i="3"/>
  <c r="AB59" i="3"/>
  <c r="W200" i="3"/>
  <c r="X155" i="3"/>
  <c r="Y220" i="3"/>
  <c r="Y236" i="3"/>
  <c r="AA178" i="3"/>
  <c r="S93" i="3"/>
  <c r="X51" i="3"/>
  <c r="AB65" i="3"/>
  <c r="V199" i="3"/>
  <c r="S22" i="3"/>
  <c r="Q17" i="3"/>
  <c r="AB207" i="3"/>
  <c r="Y125" i="3"/>
  <c r="X23" i="3"/>
  <c r="Z199" i="3"/>
  <c r="T191" i="3"/>
  <c r="F105" i="3"/>
  <c r="AB30" i="3"/>
  <c r="S75" i="3"/>
  <c r="X68" i="3"/>
  <c r="V90" i="3"/>
  <c r="S147" i="3"/>
  <c r="X245" i="3"/>
  <c r="AB134" i="3"/>
  <c r="S156" i="3"/>
  <c r="AB75" i="3"/>
  <c r="X112" i="3"/>
  <c r="W159" i="3"/>
  <c r="S167" i="3"/>
  <c r="G149" i="3"/>
  <c r="V19" i="3"/>
  <c r="W227" i="3"/>
  <c r="S25" i="3"/>
  <c r="X104" i="3"/>
  <c r="D169" i="3"/>
  <c r="M134" i="3"/>
  <c r="T108" i="3"/>
  <c r="T101" i="3"/>
  <c r="N33" i="3"/>
  <c r="U91" i="3"/>
  <c r="E157" i="3"/>
  <c r="S223" i="3"/>
  <c r="P125" i="3"/>
  <c r="V112" i="3"/>
  <c r="F53" i="3"/>
  <c r="S193" i="3"/>
  <c r="V25" i="3"/>
  <c r="T104" i="3"/>
  <c r="T156" i="3"/>
  <c r="N57" i="3"/>
  <c r="U103" i="3"/>
  <c r="L173" i="3"/>
  <c r="Q165" i="3"/>
  <c r="T128" i="3"/>
  <c r="T233" i="3"/>
  <c r="S143" i="3"/>
  <c r="S250" i="3"/>
  <c r="T65" i="3"/>
  <c r="U151" i="3"/>
  <c r="R49" i="3"/>
  <c r="X170" i="3"/>
  <c r="AL215" i="3"/>
  <c r="AK141" i="3"/>
  <c r="AG117" i="3"/>
  <c r="AJ198" i="3"/>
  <c r="AG166" i="3"/>
  <c r="AE110" i="3"/>
  <c r="AJ67" i="3"/>
  <c r="AD134" i="3"/>
  <c r="AD16" i="3"/>
  <c r="AC137" i="3"/>
  <c r="AC74" i="3"/>
  <c r="AC155" i="3"/>
  <c r="AD70" i="3"/>
  <c r="AC127" i="3"/>
  <c r="T230" i="3"/>
  <c r="S56" i="3"/>
  <c r="F9" i="3"/>
  <c r="Z219" i="3"/>
  <c r="U37" i="3"/>
  <c r="W41" i="3"/>
  <c r="AB121" i="3"/>
  <c r="X18" i="3"/>
  <c r="Z31" i="3"/>
  <c r="AB226" i="3"/>
  <c r="Z139" i="3"/>
  <c r="Z182" i="3"/>
  <c r="T200" i="3"/>
  <c r="X211" i="3"/>
  <c r="S49" i="3"/>
  <c r="AA89" i="3"/>
  <c r="W181" i="3"/>
  <c r="Y240" i="3"/>
  <c r="AA101" i="3"/>
  <c r="S197" i="3"/>
  <c r="W191" i="3"/>
  <c r="AB71" i="3"/>
  <c r="X108" i="3"/>
  <c r="X91" i="3"/>
  <c r="U15" i="3"/>
  <c r="Z148" i="3"/>
  <c r="V251" i="3"/>
  <c r="C21" i="3"/>
  <c r="G34" i="3"/>
  <c r="AB79" i="3"/>
  <c r="H17" i="3"/>
  <c r="J9" i="3"/>
  <c r="P213" i="3"/>
  <c r="N73" i="3"/>
  <c r="Z86" i="3"/>
  <c r="P185" i="3"/>
  <c r="I233" i="3"/>
  <c r="S34" i="3"/>
  <c r="V212" i="3"/>
  <c r="W219" i="3"/>
  <c r="R38" i="3"/>
  <c r="E193" i="3"/>
  <c r="Q221" i="3"/>
  <c r="O33" i="3"/>
  <c r="L197" i="3"/>
  <c r="AA239" i="3"/>
  <c r="G241" i="3"/>
  <c r="X224" i="3"/>
  <c r="T149" i="3"/>
  <c r="U248" i="3"/>
  <c r="T72" i="3"/>
  <c r="L185" i="3"/>
  <c r="Y39" i="3"/>
  <c r="W111" i="3"/>
  <c r="E189" i="3"/>
  <c r="P117" i="3"/>
  <c r="C178" i="3"/>
  <c r="F193" i="3"/>
  <c r="E83" i="3"/>
  <c r="E70" i="3"/>
  <c r="E155" i="3"/>
  <c r="L246" i="3"/>
  <c r="N246" i="3"/>
  <c r="W244" i="3"/>
  <c r="AA179" i="3"/>
  <c r="N77" i="3"/>
  <c r="U35" i="3"/>
  <c r="L177" i="3"/>
  <c r="M155" i="3"/>
  <c r="Y145" i="3"/>
  <c r="W230" i="3"/>
  <c r="I97" i="3"/>
  <c r="W40" i="3"/>
  <c r="D217" i="3"/>
  <c r="X148" i="3"/>
  <c r="AB155" i="3"/>
  <c r="P201" i="3"/>
  <c r="I73" i="3"/>
  <c r="N130" i="3"/>
  <c r="D209" i="3"/>
  <c r="Q35" i="3"/>
  <c r="C102" i="3"/>
  <c r="G171" i="3"/>
  <c r="I158" i="3"/>
  <c r="G158" i="3"/>
  <c r="F208" i="3"/>
  <c r="L55" i="3"/>
  <c r="T158" i="3"/>
  <c r="AA83" i="3"/>
  <c r="U235" i="3"/>
  <c r="V184" i="3"/>
  <c r="R62" i="3"/>
  <c r="I189" i="3"/>
  <c r="Z176" i="3"/>
  <c r="H33" i="3"/>
  <c r="G65" i="3"/>
  <c r="V39" i="3"/>
  <c r="P82" i="3"/>
  <c r="S124" i="3"/>
  <c r="N41" i="3"/>
  <c r="J34" i="3"/>
  <c r="T169" i="3"/>
  <c r="N206" i="3"/>
  <c r="N38" i="3"/>
  <c r="K111" i="3"/>
  <c r="H122" i="3"/>
  <c r="J62" i="3"/>
  <c r="C77" i="3"/>
  <c r="B193" i="3"/>
  <c r="B128" i="3"/>
  <c r="J131" i="3"/>
  <c r="Q74" i="3"/>
  <c r="L125" i="3"/>
  <c r="I210" i="3"/>
  <c r="Q114" i="3"/>
  <c r="O138" i="3"/>
  <c r="P31" i="3"/>
  <c r="O236" i="3"/>
  <c r="M226" i="3"/>
  <c r="C50" i="3"/>
  <c r="Q55" i="3"/>
  <c r="L50" i="3"/>
  <c r="P50" i="3"/>
  <c r="R88" i="3"/>
  <c r="K246" i="3"/>
  <c r="O66" i="3"/>
  <c r="J75" i="3"/>
  <c r="C90" i="3"/>
  <c r="H90" i="3"/>
  <c r="O100" i="3"/>
  <c r="R239" i="3"/>
  <c r="G210" i="3"/>
  <c r="C202" i="3"/>
  <c r="C207" i="3"/>
  <c r="I223" i="3"/>
  <c r="H10" i="3"/>
  <c r="G18" i="3"/>
  <c r="P189" i="3"/>
  <c r="AA183" i="3"/>
  <c r="O214" i="3"/>
  <c r="G195" i="3"/>
  <c r="O230" i="3"/>
  <c r="I59" i="3"/>
  <c r="B249" i="3"/>
  <c r="K131" i="3"/>
  <c r="G202" i="3"/>
  <c r="I202" i="3"/>
  <c r="J227" i="3"/>
  <c r="K238" i="3"/>
  <c r="O237" i="3"/>
  <c r="D210" i="3"/>
  <c r="F214" i="3"/>
  <c r="G218" i="3"/>
  <c r="M58" i="3"/>
  <c r="E170" i="3"/>
  <c r="F247" i="3"/>
  <c r="E71" i="3"/>
  <c r="H76" i="3"/>
  <c r="H64" i="3"/>
  <c r="P120" i="3"/>
  <c r="F28" i="3"/>
  <c r="O151" i="3"/>
  <c r="H127" i="3"/>
  <c r="F202" i="3"/>
  <c r="C131" i="3"/>
  <c r="C163" i="3"/>
  <c r="I46" i="3"/>
  <c r="Q54" i="3"/>
  <c r="B66" i="3"/>
  <c r="M142" i="3"/>
  <c r="M67" i="3"/>
  <c r="J208" i="3"/>
  <c r="F107" i="3"/>
  <c r="T178" i="3"/>
  <c r="E23" i="3"/>
  <c r="L27" i="3"/>
  <c r="L31" i="3"/>
  <c r="Q142" i="3"/>
  <c r="D115" i="3"/>
  <c r="H60" i="3"/>
  <c r="R143" i="3"/>
  <c r="U219" i="3"/>
  <c r="Q39" i="3"/>
  <c r="C47" i="3"/>
  <c r="J51" i="3"/>
  <c r="I162" i="3"/>
  <c r="L151" i="3"/>
  <c r="D80" i="3"/>
  <c r="F207" i="3"/>
  <c r="F156" i="3"/>
  <c r="P39" i="3"/>
  <c r="M208" i="3"/>
  <c r="K104" i="3"/>
  <c r="J247" i="3"/>
  <c r="E235" i="3"/>
  <c r="F176" i="3"/>
  <c r="K199" i="3"/>
  <c r="H128" i="3"/>
  <c r="E218" i="3"/>
  <c r="I128" i="3"/>
  <c r="M178" i="3"/>
  <c r="L59" i="3"/>
  <c r="K67" i="3"/>
  <c r="Q75" i="3"/>
  <c r="I58" i="3"/>
  <c r="E139" i="3"/>
  <c r="Q240" i="3"/>
  <c r="G113" i="3"/>
  <c r="C94" i="3"/>
  <c r="I94" i="3"/>
  <c r="C74" i="3"/>
  <c r="K82" i="3"/>
  <c r="M90" i="3"/>
  <c r="F142" i="3"/>
  <c r="Q56" i="3"/>
  <c r="R153" i="3"/>
  <c r="R110" i="3"/>
  <c r="E114" i="3"/>
  <c r="B221" i="3"/>
  <c r="B241" i="3"/>
  <c r="C130" i="3"/>
  <c r="P178" i="3"/>
  <c r="J76" i="3"/>
  <c r="M239" i="3"/>
  <c r="Q143" i="3"/>
  <c r="O119" i="3"/>
  <c r="R240" i="3"/>
  <c r="D39" i="3"/>
  <c r="R243" i="3"/>
  <c r="M24" i="3"/>
  <c r="C244" i="3"/>
  <c r="H199" i="3"/>
  <c r="H240" i="3"/>
  <c r="H203" i="3"/>
  <c r="B96" i="3"/>
  <c r="B144" i="3"/>
  <c r="M20" i="3"/>
  <c r="R24" i="3"/>
  <c r="K216" i="3"/>
  <c r="B168" i="3"/>
  <c r="C75" i="3"/>
  <c r="R27" i="3"/>
  <c r="L156" i="3"/>
  <c r="M172" i="3"/>
  <c r="F118" i="3"/>
  <c r="Q112" i="3"/>
  <c r="B84" i="3"/>
  <c r="E234" i="3"/>
  <c r="Q180" i="3"/>
  <c r="C227" i="3"/>
  <c r="D195" i="3"/>
  <c r="C232" i="3"/>
  <c r="M232" i="3"/>
  <c r="K208" i="3"/>
  <c r="J251" i="3"/>
  <c r="M219" i="3"/>
  <c r="K35" i="3"/>
  <c r="R220" i="3"/>
  <c r="I35" i="3"/>
  <c r="J104" i="3"/>
  <c r="E176" i="3"/>
  <c r="N36" i="3"/>
  <c r="G160" i="3"/>
  <c r="I184" i="3"/>
  <c r="D236" i="3"/>
  <c r="B103" i="3"/>
  <c r="O246" i="3"/>
  <c r="L172" i="3"/>
  <c r="N108" i="3"/>
  <c r="D239" i="3"/>
  <c r="K243" i="3"/>
  <c r="P224" i="3"/>
  <c r="H167" i="3"/>
  <c r="AQ140" i="3"/>
  <c r="AB167" i="3"/>
  <c r="X21" i="3"/>
  <c r="T219" i="3"/>
  <c r="S168" i="3"/>
  <c r="AB19" i="3"/>
  <c r="O77" i="3"/>
  <c r="W130" i="3"/>
  <c r="Z90" i="3"/>
  <c r="W93" i="3"/>
  <c r="Z134" i="3"/>
  <c r="U77" i="3"/>
  <c r="X249" i="3"/>
  <c r="V32" i="3"/>
  <c r="F17" i="3"/>
  <c r="X125" i="3"/>
  <c r="O11" i="3"/>
  <c r="R93" i="3"/>
  <c r="AB94" i="3"/>
  <c r="B73" i="3"/>
  <c r="V129" i="3"/>
  <c r="M117" i="3"/>
  <c r="B229" i="3"/>
  <c r="Z224" i="3"/>
  <c r="C153" i="3"/>
  <c r="U217" i="3"/>
  <c r="D185" i="3"/>
  <c r="C174" i="3"/>
  <c r="T223" i="3"/>
  <c r="V120" i="3"/>
  <c r="H106" i="3"/>
  <c r="U240" i="3"/>
  <c r="L242" i="3"/>
  <c r="P127" i="3"/>
  <c r="V78" i="3"/>
  <c r="H185" i="3"/>
  <c r="P218" i="3"/>
  <c r="V66" i="3"/>
  <c r="H205" i="3"/>
  <c r="S37" i="3"/>
  <c r="W51" i="3"/>
  <c r="K85" i="3"/>
  <c r="B133" i="3"/>
  <c r="O226" i="3"/>
  <c r="G178" i="3"/>
  <c r="N20" i="3"/>
  <c r="AA206" i="3"/>
  <c r="B97" i="3"/>
  <c r="B21" i="3"/>
  <c r="F18" i="3"/>
  <c r="M33" i="3"/>
  <c r="T105" i="3"/>
  <c r="U237" i="3"/>
  <c r="F49" i="3"/>
  <c r="T50" i="3"/>
  <c r="E25" i="3"/>
  <c r="O125" i="3"/>
  <c r="P147" i="3"/>
  <c r="N27" i="3"/>
  <c r="J205" i="3"/>
  <c r="N39" i="3"/>
  <c r="O48" i="3"/>
  <c r="B225" i="3"/>
  <c r="B153" i="3"/>
  <c r="G68" i="3"/>
  <c r="K60" i="3"/>
  <c r="Q27" i="3"/>
  <c r="O179" i="3"/>
  <c r="I147" i="3"/>
  <c r="Q237" i="3"/>
  <c r="B195" i="3"/>
  <c r="G38" i="3"/>
  <c r="D94" i="3"/>
  <c r="I194" i="3"/>
  <c r="M106" i="3"/>
  <c r="E226" i="3"/>
  <c r="E246" i="3"/>
  <c r="G59" i="3"/>
  <c r="H48" i="3"/>
  <c r="R175" i="3"/>
  <c r="P192" i="3"/>
  <c r="R16" i="3"/>
  <c r="E90" i="3"/>
  <c r="Q234" i="3"/>
  <c r="J102" i="3"/>
  <c r="Q24" i="3"/>
  <c r="E198" i="3"/>
  <c r="H36" i="3"/>
  <c r="I164" i="3"/>
  <c r="F230" i="3"/>
  <c r="G168" i="3"/>
  <c r="R48" i="3"/>
  <c r="Q58" i="3"/>
  <c r="P11" i="3"/>
  <c r="M75" i="3"/>
  <c r="I155" i="3"/>
  <c r="M189" i="3"/>
  <c r="R142" i="3"/>
  <c r="J162" i="3"/>
  <c r="D199" i="3"/>
  <c r="H22" i="3"/>
  <c r="N175" i="3"/>
  <c r="E187" i="3"/>
  <c r="D110" i="3"/>
  <c r="R116" i="3"/>
  <c r="N32" i="3"/>
  <c r="N223" i="3"/>
  <c r="O162" i="3"/>
  <c r="E76" i="3"/>
  <c r="G67" i="3"/>
  <c r="F112" i="3"/>
  <c r="P216" i="3"/>
  <c r="R68" i="3"/>
  <c r="G240" i="3"/>
  <c r="H104" i="3"/>
  <c r="K99" i="3"/>
  <c r="C144" i="3"/>
  <c r="D191" i="3"/>
  <c r="J212" i="3"/>
  <c r="G12" i="3"/>
  <c r="I79" i="3"/>
  <c r="K71" i="3"/>
  <c r="W58" i="3"/>
  <c r="Y106" i="3"/>
  <c r="I37" i="3"/>
  <c r="G153" i="3"/>
  <c r="W82" i="3"/>
  <c r="W142" i="3"/>
  <c r="Y163" i="3"/>
  <c r="T236" i="3"/>
  <c r="J33" i="3"/>
  <c r="AA196" i="3"/>
  <c r="S240" i="3"/>
  <c r="M91" i="3"/>
  <c r="G165" i="3"/>
  <c r="AA139" i="3"/>
  <c r="B234" i="3"/>
  <c r="T173" i="3"/>
  <c r="E213" i="3"/>
  <c r="M210" i="3"/>
  <c r="K17" i="3"/>
  <c r="R86" i="3"/>
  <c r="C89" i="3"/>
  <c r="AA163" i="3"/>
  <c r="F229" i="3"/>
  <c r="B237" i="3"/>
  <c r="K247" i="3"/>
  <c r="AB212" i="3"/>
  <c r="M209" i="3"/>
  <c r="R65" i="3"/>
  <c r="V226" i="3"/>
  <c r="T225" i="3"/>
  <c r="Q166" i="3"/>
  <c r="G80" i="3"/>
  <c r="E147" i="3"/>
  <c r="J82" i="3"/>
  <c r="O106" i="3"/>
  <c r="N43" i="3"/>
  <c r="P210" i="3"/>
  <c r="E200" i="3"/>
  <c r="B212" i="3"/>
  <c r="E97" i="3"/>
  <c r="N182" i="3"/>
  <c r="O62" i="3"/>
  <c r="G82" i="3"/>
  <c r="L21" i="3"/>
  <c r="P23" i="3"/>
  <c r="Q239" i="3"/>
  <c r="M112" i="3"/>
  <c r="C159" i="3"/>
  <c r="C106" i="3"/>
  <c r="B176" i="3"/>
  <c r="L237" i="3"/>
  <c r="N50" i="3"/>
  <c r="R105" i="3"/>
  <c r="H93" i="3"/>
  <c r="B244" i="3"/>
  <c r="E60" i="3"/>
  <c r="M187" i="3"/>
  <c r="AM149" i="3"/>
  <c r="AH241" i="3"/>
  <c r="AM249" i="3"/>
  <c r="AH136" i="3"/>
  <c r="AH207" i="3"/>
  <c r="AE20" i="3"/>
  <c r="AG99" i="3"/>
  <c r="AF163" i="3"/>
  <c r="AD198" i="3"/>
  <c r="AH250" i="3"/>
  <c r="AC83" i="3"/>
  <c r="AH67" i="3"/>
  <c r="AC35" i="3"/>
  <c r="AB126" i="3"/>
  <c r="Y182" i="3"/>
  <c r="Y146" i="3"/>
  <c r="D21" i="3"/>
  <c r="Y128" i="3"/>
  <c r="T69" i="3"/>
  <c r="W31" i="3"/>
  <c r="Y176" i="3"/>
  <c r="Y86" i="3"/>
  <c r="U207" i="3"/>
  <c r="AB242" i="3"/>
  <c r="W30" i="3"/>
  <c r="AC98" i="3"/>
  <c r="Y16" i="3"/>
  <c r="AI21" i="3"/>
  <c r="AK62" i="3"/>
  <c r="AE141" i="3"/>
  <c r="Z52" i="3"/>
  <c r="P89" i="3"/>
  <c r="AB229" i="3"/>
  <c r="AB231" i="3"/>
  <c r="W61" i="3"/>
  <c r="AM29" i="3"/>
  <c r="AM166" i="3"/>
  <c r="AL102" i="3"/>
  <c r="AE210" i="3"/>
  <c r="AG199" i="3"/>
  <c r="Y90" i="3"/>
  <c r="S40" i="3"/>
  <c r="AT208" i="3"/>
  <c r="AO46" i="3"/>
  <c r="AG116" i="3"/>
  <c r="AN222" i="3"/>
  <c r="AK39" i="3"/>
  <c r="AC141" i="3"/>
  <c r="S170" i="3"/>
  <c r="T134" i="3"/>
  <c r="X237" i="3"/>
  <c r="AL15" i="3"/>
  <c r="AN246" i="3"/>
  <c r="AE25" i="3"/>
  <c r="AF162" i="3"/>
  <c r="AH194" i="3"/>
  <c r="AM35" i="3"/>
  <c r="AH88" i="3"/>
  <c r="AD111" i="3"/>
  <c r="AP229" i="3"/>
  <c r="AP235" i="3"/>
  <c r="AG147" i="3"/>
  <c r="AF129" i="3"/>
  <c r="AD22" i="3"/>
  <c r="AD177" i="3"/>
  <c r="U154" i="3"/>
  <c r="S107" i="3"/>
  <c r="AA244" i="3"/>
  <c r="W63" i="3"/>
  <c r="Z33" i="3"/>
  <c r="Y85" i="3"/>
  <c r="AA56" i="3"/>
  <c r="AB193" i="3"/>
  <c r="V222" i="3"/>
  <c r="AA106" i="3"/>
  <c r="V64" i="3"/>
  <c r="X184" i="3"/>
  <c r="T20" i="3"/>
  <c r="Q129" i="3"/>
  <c r="U197" i="3"/>
  <c r="W174" i="3"/>
  <c r="Q138" i="3"/>
  <c r="T172" i="3"/>
  <c r="E158" i="3"/>
  <c r="W214" i="3"/>
  <c r="N113" i="3"/>
  <c r="B65" i="3"/>
  <c r="D69" i="3"/>
  <c r="Y206" i="3"/>
  <c r="O85" i="3"/>
  <c r="V179" i="3"/>
  <c r="K30" i="3"/>
  <c r="H23" i="3"/>
  <c r="L230" i="3"/>
  <c r="AB136" i="3"/>
  <c r="L34" i="3"/>
  <c r="T73" i="3"/>
  <c r="S45" i="3"/>
  <c r="P145" i="3"/>
  <c r="B121" i="3"/>
  <c r="C115" i="3"/>
  <c r="N157" i="3"/>
  <c r="W19" i="3"/>
  <c r="D114" i="3"/>
  <c r="W99" i="3"/>
  <c r="Y242" i="3"/>
  <c r="O221" i="3"/>
  <c r="G30" i="3"/>
  <c r="C191" i="3"/>
  <c r="U119" i="3"/>
  <c r="D202" i="3"/>
  <c r="G154" i="3"/>
  <c r="N166" i="3"/>
  <c r="H30" i="3"/>
  <c r="L186" i="3"/>
  <c r="L74" i="3"/>
  <c r="Q184" i="3"/>
  <c r="K184" i="3"/>
  <c r="D35" i="3"/>
  <c r="N135" i="3"/>
  <c r="M242" i="3"/>
  <c r="J186" i="3"/>
  <c r="AO155" i="3"/>
  <c r="AN228" i="3"/>
  <c r="AH176" i="3"/>
  <c r="AJ249" i="3"/>
  <c r="AH138" i="3"/>
  <c r="AH104" i="3"/>
  <c r="AC57" i="3"/>
  <c r="AD218" i="3"/>
  <c r="AH131" i="3"/>
  <c r="AF230" i="3"/>
  <c r="AK199" i="3"/>
  <c r="AC30" i="3"/>
  <c r="Z130" i="3"/>
  <c r="AB182" i="3"/>
  <c r="Z158" i="3"/>
  <c r="Y19" i="3"/>
  <c r="U132" i="3"/>
  <c r="S57" i="3"/>
  <c r="AA180" i="3"/>
  <c r="X206" i="3"/>
  <c r="X113" i="3"/>
  <c r="V207" i="3"/>
  <c r="X15" i="3"/>
  <c r="S226" i="3"/>
  <c r="V244" i="3"/>
  <c r="C42" i="3"/>
  <c r="Y187" i="3"/>
  <c r="Z225" i="3"/>
  <c r="AB206" i="3"/>
  <c r="V10" i="3"/>
  <c r="AB160" i="3"/>
  <c r="Z89" i="3"/>
  <c r="AB68" i="3"/>
  <c r="AA48" i="3"/>
  <c r="AA187" i="3"/>
  <c r="W186" i="3"/>
  <c r="AA53" i="3"/>
  <c r="AB102" i="3"/>
  <c r="Z44" i="3"/>
  <c r="U86" i="3"/>
  <c r="X92" i="3"/>
  <c r="U18" i="3"/>
  <c r="Y69" i="3"/>
  <c r="AB171" i="3"/>
  <c r="V232" i="3"/>
  <c r="W23" i="3"/>
  <c r="N237" i="3"/>
  <c r="X161" i="3"/>
  <c r="W205" i="3"/>
  <c r="T206" i="3"/>
  <c r="X82" i="3"/>
  <c r="U236" i="3"/>
  <c r="T159" i="3"/>
  <c r="K197" i="3"/>
  <c r="AB91" i="3"/>
  <c r="X94" i="3"/>
  <c r="V142" i="3"/>
  <c r="T36" i="3"/>
  <c r="Q9" i="3"/>
  <c r="B217" i="3"/>
  <c r="Y45" i="3"/>
  <c r="U116" i="3"/>
  <c r="T116" i="3"/>
  <c r="Q13" i="3"/>
  <c r="P197" i="3"/>
  <c r="K90" i="3"/>
  <c r="H94" i="3"/>
  <c r="K190" i="3"/>
  <c r="L98" i="3"/>
  <c r="C149" i="3"/>
  <c r="W251" i="3"/>
  <c r="Z116" i="3"/>
  <c r="G97" i="3"/>
  <c r="P91" i="3"/>
  <c r="T145" i="3"/>
  <c r="X186" i="3"/>
  <c r="AQ39" i="3"/>
  <c r="AG101" i="3"/>
  <c r="AM121" i="3"/>
  <c r="AG175" i="3"/>
  <c r="AG67" i="3"/>
  <c r="AH240" i="3"/>
  <c r="AI204" i="3"/>
  <c r="AE123" i="3"/>
  <c r="AC177" i="3"/>
  <c r="AC115" i="3"/>
  <c r="AD76" i="3"/>
  <c r="AG110" i="3"/>
  <c r="AC52" i="3"/>
  <c r="AB165" i="3"/>
  <c r="Y221" i="3"/>
  <c r="Y72" i="3"/>
  <c r="X187" i="3"/>
  <c r="X163" i="3"/>
  <c r="S215" i="3"/>
  <c r="W242" i="3"/>
  <c r="AB240" i="3"/>
  <c r="AA234" i="3"/>
  <c r="U13" i="3"/>
  <c r="AB161" i="3"/>
  <c r="Z47" i="3"/>
  <c r="U148" i="3"/>
  <c r="F61" i="3"/>
  <c r="U34" i="3"/>
  <c r="X53" i="3"/>
  <c r="AA190" i="3"/>
  <c r="U24" i="3"/>
  <c r="V17" i="3"/>
  <c r="S105" i="3"/>
  <c r="Z112" i="3"/>
  <c r="U108" i="3"/>
  <c r="S66" i="3"/>
  <c r="AA108" i="3"/>
  <c r="V104" i="3"/>
  <c r="W112" i="3"/>
  <c r="Z48" i="3"/>
  <c r="O45" i="3"/>
  <c r="M93" i="3"/>
  <c r="E59" i="3"/>
  <c r="V162" i="3"/>
  <c r="E233" i="3"/>
  <c r="W83" i="3"/>
  <c r="N21" i="3"/>
  <c r="H130" i="3"/>
  <c r="V230" i="3"/>
  <c r="W163" i="3"/>
  <c r="J41" i="3"/>
  <c r="AA20" i="3"/>
  <c r="N189" i="3"/>
  <c r="I237" i="3"/>
  <c r="B129" i="3"/>
  <c r="U224" i="3"/>
  <c r="J25" i="3"/>
  <c r="N18" i="3"/>
  <c r="V156" i="3"/>
  <c r="T147" i="3"/>
  <c r="O19" i="3"/>
  <c r="Z132" i="3"/>
  <c r="B101" i="3"/>
  <c r="W72" i="3"/>
  <c r="W171" i="3"/>
  <c r="C111" i="3"/>
  <c r="U231" i="3"/>
  <c r="L145" i="3"/>
  <c r="F77" i="3"/>
  <c r="B13" i="3"/>
  <c r="O193" i="3"/>
  <c r="L94" i="3"/>
  <c r="K121" i="3"/>
  <c r="F151" i="3"/>
  <c r="I238" i="3"/>
  <c r="Q206" i="3"/>
  <c r="B211" i="3"/>
  <c r="G173" i="3"/>
  <c r="V48" i="3"/>
  <c r="T176" i="3"/>
  <c r="W155" i="3"/>
  <c r="G47" i="3"/>
  <c r="U55" i="3"/>
  <c r="AA251" i="3"/>
  <c r="R53" i="3"/>
  <c r="E21" i="3"/>
  <c r="R9" i="3"/>
  <c r="R63" i="3"/>
  <c r="AA27" i="3"/>
  <c r="D161" i="3"/>
  <c r="B33" i="3"/>
  <c r="T51" i="3"/>
  <c r="R37" i="3"/>
  <c r="J50" i="3"/>
  <c r="B102" i="3"/>
  <c r="Q163" i="3"/>
  <c r="K146" i="3"/>
  <c r="K106" i="3"/>
  <c r="Q223" i="3"/>
  <c r="E208" i="3"/>
  <c r="C25" i="3"/>
  <c r="U87" i="3"/>
  <c r="T21" i="3"/>
  <c r="W168" i="3"/>
  <c r="X247" i="3"/>
  <c r="D123" i="3"/>
  <c r="G141" i="3"/>
  <c r="W70" i="3"/>
  <c r="T177" i="3"/>
  <c r="T229" i="3"/>
  <c r="T30" i="3"/>
  <c r="M139" i="3"/>
  <c r="AB188" i="3"/>
  <c r="C237" i="3"/>
  <c r="P105" i="3"/>
  <c r="K41" i="3"/>
  <c r="F173" i="3"/>
  <c r="J126" i="3"/>
  <c r="H153" i="3"/>
  <c r="D54" i="3"/>
  <c r="U212" i="3"/>
  <c r="R87" i="3"/>
  <c r="M56" i="3"/>
  <c r="D160" i="3"/>
  <c r="R169" i="3"/>
  <c r="P242" i="3"/>
  <c r="H134" i="3"/>
  <c r="J106" i="3"/>
  <c r="I27" i="3"/>
  <c r="O81" i="3"/>
  <c r="G131" i="3"/>
  <c r="E179" i="3"/>
  <c r="R46" i="3"/>
  <c r="N51" i="3"/>
  <c r="K42" i="3"/>
  <c r="C205" i="3"/>
  <c r="B175" i="3"/>
  <c r="C156" i="3"/>
  <c r="M66" i="3"/>
  <c r="F71" i="3"/>
  <c r="M78" i="3"/>
  <c r="P34" i="3"/>
  <c r="R199" i="3"/>
  <c r="P172" i="3"/>
  <c r="D47" i="3"/>
  <c r="O111" i="3"/>
  <c r="B16" i="3"/>
  <c r="J199" i="3"/>
  <c r="O20" i="3"/>
  <c r="C251" i="3"/>
  <c r="H210" i="3"/>
  <c r="D15" i="3"/>
  <c r="H103" i="3"/>
  <c r="I118" i="3"/>
  <c r="K235" i="3"/>
  <c r="G16" i="3"/>
  <c r="C53" i="3"/>
  <c r="K127" i="3"/>
  <c r="Q190" i="3"/>
  <c r="P150" i="3"/>
  <c r="R151" i="3"/>
  <c r="B232" i="3"/>
  <c r="B45" i="3"/>
  <c r="B245" i="3"/>
  <c r="P169" i="3"/>
  <c r="L189" i="3"/>
  <c r="I209" i="3"/>
  <c r="Q83" i="3"/>
  <c r="E24" i="3"/>
  <c r="N248" i="3"/>
  <c r="F204" i="3"/>
  <c r="O164" i="3"/>
  <c r="J44" i="3"/>
  <c r="N48" i="3"/>
  <c r="O240" i="3"/>
  <c r="H176" i="3"/>
  <c r="J91" i="3"/>
  <c r="O235" i="3"/>
  <c r="F87" i="3"/>
  <c r="I106" i="3"/>
  <c r="J114" i="3"/>
  <c r="Q118" i="3"/>
  <c r="F63" i="3"/>
  <c r="N121" i="3"/>
  <c r="B107" i="3"/>
  <c r="B52" i="3"/>
  <c r="N145" i="3"/>
  <c r="I78" i="3"/>
  <c r="G98" i="3"/>
  <c r="L106" i="3"/>
  <c r="E118" i="3"/>
  <c r="E143" i="3"/>
  <c r="H80" i="3"/>
  <c r="Q148" i="3"/>
  <c r="O233" i="3"/>
  <c r="D98" i="3"/>
  <c r="Q134" i="3"/>
  <c r="B146" i="3"/>
  <c r="J154" i="3"/>
  <c r="N159" i="3"/>
  <c r="D100" i="3"/>
  <c r="K168" i="3"/>
  <c r="L195" i="3"/>
  <c r="I240" i="3"/>
  <c r="E87" i="3"/>
  <c r="H124" i="3"/>
  <c r="R148" i="3"/>
  <c r="P248" i="3"/>
  <c r="L215" i="3"/>
  <c r="N219" i="3"/>
  <c r="D204" i="3"/>
  <c r="R120" i="3"/>
  <c r="T161" i="3"/>
  <c r="K159" i="3"/>
  <c r="Q175" i="3"/>
  <c r="R74" i="3"/>
  <c r="G86" i="3"/>
  <c r="Q94" i="3"/>
  <c r="G174" i="3"/>
  <c r="F103" i="3"/>
  <c r="L224" i="3"/>
  <c r="C139" i="3"/>
  <c r="U135" i="3"/>
  <c r="R35" i="3"/>
  <c r="D43" i="3"/>
  <c r="F47" i="3"/>
  <c r="M158" i="3"/>
  <c r="K143" i="3"/>
  <c r="C76" i="3"/>
  <c r="J175" i="3"/>
  <c r="E57" i="3"/>
  <c r="N55" i="3"/>
  <c r="P59" i="3"/>
  <c r="B67" i="3"/>
  <c r="I178" i="3"/>
  <c r="B183" i="3"/>
  <c r="N92" i="3"/>
  <c r="B223" i="3"/>
  <c r="G172" i="3"/>
  <c r="H83" i="3"/>
  <c r="L134" i="3"/>
  <c r="E124" i="3"/>
  <c r="C20" i="3"/>
  <c r="B251" i="3"/>
  <c r="C192" i="3"/>
  <c r="J215" i="3"/>
  <c r="P156" i="3"/>
  <c r="M144" i="3"/>
  <c r="E192" i="3"/>
  <c r="G104" i="3"/>
  <c r="E40" i="3"/>
  <c r="G251" i="3"/>
  <c r="E223" i="3"/>
  <c r="M244" i="3"/>
  <c r="Q107" i="3"/>
  <c r="O176" i="3"/>
  <c r="J64" i="3"/>
  <c r="L80" i="3"/>
  <c r="R23" i="3"/>
  <c r="I204" i="3"/>
  <c r="G64" i="3"/>
  <c r="G223" i="3"/>
  <c r="C247" i="3"/>
  <c r="I228" i="3"/>
  <c r="J159" i="3"/>
  <c r="I218" i="3"/>
  <c r="R59" i="3"/>
  <c r="M28" i="3"/>
  <c r="L248" i="3"/>
  <c r="L203" i="3"/>
  <c r="B23" i="3"/>
  <c r="G134" i="3"/>
  <c r="O120" i="3"/>
  <c r="B88" i="3"/>
  <c r="B148" i="3"/>
  <c r="N204" i="3"/>
  <c r="C150" i="3"/>
  <c r="C215" i="3"/>
  <c r="N67" i="3"/>
  <c r="M148" i="3"/>
  <c r="N112" i="3"/>
  <c r="F155" i="3"/>
  <c r="G212" i="3"/>
  <c r="J12" i="3"/>
  <c r="O223" i="3"/>
  <c r="L164" i="3"/>
  <c r="C56" i="3"/>
  <c r="Y18" i="3"/>
  <c r="AA154" i="3"/>
  <c r="U218" i="3"/>
  <c r="AB185" i="3"/>
  <c r="V40" i="3"/>
  <c r="U221" i="3"/>
  <c r="I65" i="3"/>
  <c r="N61" i="3"/>
  <c r="AB63" i="3"/>
  <c r="W113" i="3"/>
  <c r="AB146" i="3"/>
  <c r="S225" i="3"/>
  <c r="U104" i="3"/>
  <c r="Y157" i="3"/>
  <c r="I21" i="3"/>
  <c r="W60" i="3"/>
  <c r="V65" i="3"/>
  <c r="L15" i="3"/>
  <c r="V97" i="3"/>
  <c r="J113" i="3"/>
  <c r="G25" i="3"/>
  <c r="H39" i="3"/>
  <c r="G198" i="3"/>
  <c r="V43" i="3"/>
  <c r="N151" i="3"/>
  <c r="Y59" i="3"/>
  <c r="T47" i="3"/>
  <c r="AA210" i="3"/>
  <c r="W56" i="3"/>
  <c r="W195" i="3"/>
  <c r="J133" i="3"/>
  <c r="K65" i="3"/>
  <c r="G39" i="3"/>
  <c r="T231" i="3"/>
  <c r="V235" i="3"/>
  <c r="V172" i="3"/>
  <c r="E14" i="3"/>
  <c r="G157" i="3"/>
  <c r="T35" i="3"/>
  <c r="V69" i="3"/>
  <c r="R33" i="3"/>
  <c r="O67" i="3"/>
  <c r="M249" i="3"/>
  <c r="N158" i="3"/>
  <c r="M163" i="3"/>
  <c r="F172" i="3"/>
  <c r="G209" i="3"/>
  <c r="T75" i="3"/>
  <c r="U220" i="3"/>
  <c r="S169" i="3"/>
  <c r="R97" i="3"/>
  <c r="C87" i="3"/>
  <c r="O132" i="3"/>
  <c r="P239" i="3"/>
  <c r="F206" i="3"/>
  <c r="I219" i="3"/>
  <c r="H68" i="3"/>
  <c r="E131" i="3"/>
  <c r="O251" i="3"/>
  <c r="M220" i="3"/>
  <c r="AB177" i="3"/>
  <c r="I201" i="3"/>
  <c r="Y73" i="3"/>
  <c r="S203" i="3"/>
  <c r="V159" i="3"/>
  <c r="H202" i="3"/>
  <c r="P113" i="3"/>
  <c r="K123" i="3"/>
  <c r="AA223" i="3"/>
  <c r="Y160" i="3"/>
  <c r="R149" i="3"/>
  <c r="G90" i="3"/>
  <c r="L30" i="3"/>
  <c r="T146" i="3"/>
  <c r="K38" i="3"/>
  <c r="E206" i="3"/>
  <c r="Q60" i="3"/>
  <c r="N191" i="3"/>
  <c r="N74" i="3"/>
  <c r="Q168" i="3"/>
  <c r="G123" i="3"/>
  <c r="C162" i="3"/>
  <c r="B105" i="3"/>
  <c r="B130" i="3"/>
  <c r="I142" i="3"/>
  <c r="R161" i="3"/>
  <c r="L140" i="3"/>
  <c r="E140" i="3"/>
  <c r="J230" i="3"/>
  <c r="H27" i="3"/>
  <c r="M198" i="3"/>
  <c r="P128" i="3"/>
  <c r="D104" i="3"/>
  <c r="G70" i="3"/>
  <c r="G24" i="3"/>
  <c r="F125" i="3"/>
  <c r="I126" i="3"/>
  <c r="C185" i="3"/>
  <c r="O195" i="3"/>
  <c r="P44" i="3"/>
  <c r="I51" i="3"/>
  <c r="Q200" i="3"/>
  <c r="Q236" i="3"/>
  <c r="L251" i="3"/>
  <c r="F132" i="3"/>
  <c r="B243" i="3"/>
  <c r="H44" i="3"/>
  <c r="M100" i="3"/>
  <c r="AB181" i="3"/>
  <c r="B109" i="3"/>
  <c r="Z76" i="3"/>
  <c r="Z208" i="3"/>
  <c r="O75" i="3"/>
  <c r="T32" i="3"/>
  <c r="D129" i="3"/>
  <c r="G101" i="3"/>
  <c r="H58" i="3"/>
  <c r="S163" i="3"/>
  <c r="R246" i="3"/>
  <c r="C10" i="3"/>
  <c r="K58" i="3"/>
  <c r="U191" i="3"/>
  <c r="V132" i="3"/>
  <c r="M186" i="3"/>
  <c r="N146" i="3"/>
  <c r="M182" i="3"/>
  <c r="G191" i="3"/>
  <c r="M133" i="3"/>
  <c r="L87" i="3"/>
  <c r="E9" i="3"/>
  <c r="P179" i="3"/>
  <c r="E116" i="3"/>
  <c r="O245" i="3"/>
  <c r="M102" i="3"/>
  <c r="D34" i="3"/>
  <c r="B92" i="3"/>
  <c r="AO133" i="3"/>
  <c r="AH61" i="3"/>
  <c r="AJ22" i="3"/>
  <c r="AG171" i="3"/>
  <c r="AF65" i="3"/>
  <c r="AD174" i="3"/>
  <c r="AF139" i="3"/>
  <c r="U105" i="3"/>
  <c r="W189" i="3"/>
  <c r="X232" i="3"/>
  <c r="X86" i="3"/>
  <c r="U70" i="3"/>
  <c r="W118" i="3"/>
  <c r="Y148" i="3"/>
  <c r="L181" i="3"/>
  <c r="S184" i="3"/>
  <c r="X221" i="3"/>
  <c r="AB86" i="3"/>
  <c r="W150" i="3"/>
  <c r="AA68" i="3"/>
  <c r="S26" i="3"/>
  <c r="AB198" i="3"/>
  <c r="Z70" i="3"/>
  <c r="X144" i="3"/>
  <c r="AA39" i="3"/>
  <c r="AB151" i="3"/>
  <c r="Z200" i="3"/>
  <c r="V180" i="3"/>
  <c r="AB163" i="3"/>
  <c r="G81" i="3"/>
  <c r="G73" i="3"/>
  <c r="U109" i="3"/>
  <c r="AA231" i="3"/>
  <c r="U232" i="3"/>
  <c r="Q30" i="3"/>
  <c r="K165" i="3"/>
  <c r="AB84" i="3"/>
  <c r="P245" i="3"/>
  <c r="T34" i="3"/>
  <c r="Z41" i="3"/>
  <c r="Q69" i="3"/>
  <c r="AA191" i="3"/>
  <c r="G102" i="3"/>
  <c r="U167" i="3"/>
  <c r="K70" i="3"/>
  <c r="T131" i="3"/>
  <c r="W234" i="3"/>
  <c r="V87" i="3"/>
  <c r="U208" i="3"/>
  <c r="Y102" i="3"/>
  <c r="I93" i="3"/>
  <c r="C125" i="3"/>
  <c r="V167" i="3"/>
  <c r="F114" i="3"/>
  <c r="Z63" i="3"/>
  <c r="T64" i="3"/>
  <c r="U83" i="3"/>
  <c r="T132" i="3"/>
  <c r="D238" i="3"/>
  <c r="U187" i="3"/>
  <c r="C143" i="3"/>
  <c r="Q150" i="3"/>
  <c r="L122" i="3"/>
  <c r="J14" i="3"/>
  <c r="O54" i="3"/>
  <c r="R29" i="3"/>
  <c r="X152" i="3"/>
  <c r="T168" i="3"/>
  <c r="V151" i="3"/>
  <c r="B50" i="3"/>
  <c r="Q145" i="3"/>
  <c r="AB10" i="3"/>
  <c r="V227" i="3"/>
  <c r="O17" i="3"/>
  <c r="L9" i="3"/>
  <c r="L66" i="3"/>
  <c r="Y55" i="3"/>
  <c r="T39" i="3"/>
  <c r="Q18" i="3"/>
  <c r="X191" i="3"/>
  <c r="P250" i="3"/>
  <c r="C26" i="3"/>
  <c r="R95" i="3"/>
  <c r="M166" i="3"/>
  <c r="M22" i="3"/>
  <c r="C35" i="3"/>
  <c r="C86" i="3"/>
  <c r="R92" i="3"/>
  <c r="K115" i="3"/>
  <c r="N53" i="3"/>
  <c r="V96" i="3"/>
  <c r="O133" i="3"/>
  <c r="M65" i="3"/>
  <c r="P122" i="3"/>
  <c r="K141" i="3"/>
  <c r="X39" i="3"/>
  <c r="T249" i="3"/>
  <c r="I153" i="3"/>
  <c r="H85" i="3"/>
  <c r="K142" i="3"/>
  <c r="U38" i="3"/>
  <c r="K73" i="3"/>
  <c r="E73" i="3"/>
  <c r="W59" i="3"/>
  <c r="L83" i="3"/>
  <c r="J85" i="3"/>
  <c r="O171" i="3"/>
  <c r="I242" i="3"/>
  <c r="J182" i="3"/>
  <c r="M86" i="3"/>
  <c r="Q63" i="3"/>
  <c r="H188" i="3"/>
  <c r="AB204" i="3"/>
  <c r="J110" i="3"/>
  <c r="M245" i="3"/>
  <c r="P53" i="3"/>
  <c r="B46" i="3"/>
  <c r="R198" i="3"/>
  <c r="P167" i="3"/>
  <c r="F203" i="3"/>
  <c r="M43" i="3"/>
  <c r="B110" i="3"/>
  <c r="C179" i="3"/>
  <c r="N170" i="3"/>
  <c r="R170" i="3"/>
  <c r="B216" i="3"/>
  <c r="I63" i="3"/>
  <c r="P18" i="3"/>
  <c r="E53" i="3"/>
  <c r="C210" i="3"/>
  <c r="L210" i="3"/>
  <c r="P232" i="3"/>
  <c r="B120" i="3"/>
  <c r="C151" i="3"/>
  <c r="O32" i="3"/>
  <c r="I84" i="3"/>
  <c r="H40" i="3"/>
  <c r="Q159" i="3"/>
  <c r="I141" i="3"/>
  <c r="M114" i="3"/>
  <c r="M94" i="3"/>
  <c r="N31" i="3"/>
  <c r="M12" i="3"/>
  <c r="G36" i="3"/>
  <c r="L119" i="3"/>
  <c r="F130" i="3"/>
  <c r="D78" i="3"/>
  <c r="Q157" i="3"/>
  <c r="I221" i="3"/>
  <c r="F44" i="3"/>
  <c r="J115" i="3"/>
  <c r="T152" i="3"/>
  <c r="G27" i="3"/>
  <c r="K31" i="3"/>
  <c r="G35" i="3"/>
  <c r="O146" i="3"/>
  <c r="R119" i="3"/>
  <c r="E64" i="3"/>
  <c r="L191" i="3"/>
  <c r="K140" i="3"/>
  <c r="I124" i="3"/>
  <c r="C184" i="3"/>
  <c r="K88" i="3"/>
  <c r="M231" i="3"/>
  <c r="L219" i="3"/>
  <c r="H137" i="3"/>
  <c r="P217" i="3"/>
  <c r="M169" i="3"/>
  <c r="J166" i="3"/>
  <c r="R174" i="3"/>
  <c r="G186" i="3"/>
  <c r="R19" i="3"/>
  <c r="F191" i="3"/>
  <c r="J220" i="3"/>
  <c r="M181" i="3"/>
  <c r="E109" i="3"/>
  <c r="G83" i="3"/>
  <c r="G87" i="3"/>
  <c r="K91" i="3"/>
  <c r="Q202" i="3"/>
  <c r="C142" i="3"/>
  <c r="J124" i="3"/>
  <c r="G105" i="3"/>
  <c r="N133" i="3"/>
  <c r="Q99" i="3"/>
  <c r="G107" i="3"/>
  <c r="H111" i="3"/>
  <c r="N222" i="3"/>
  <c r="C31" i="3"/>
  <c r="J144" i="3"/>
  <c r="J24" i="3"/>
  <c r="J216" i="3"/>
  <c r="Q171" i="3"/>
  <c r="K147" i="3"/>
  <c r="J184" i="3"/>
  <c r="K64" i="3"/>
  <c r="G52" i="3"/>
  <c r="M92" i="3"/>
  <c r="N16" i="3"/>
  <c r="L232" i="3"/>
  <c r="J46" i="3"/>
  <c r="R137" i="3"/>
  <c r="O238" i="3"/>
  <c r="L54" i="3"/>
  <c r="Q62" i="3"/>
  <c r="F74" i="3"/>
  <c r="L178" i="3"/>
  <c r="P223" i="3"/>
  <c r="R164" i="3"/>
  <c r="E241" i="3"/>
  <c r="J129" i="3"/>
  <c r="O82" i="3"/>
  <c r="Q90" i="3"/>
  <c r="P102" i="3"/>
  <c r="K23" i="3"/>
  <c r="H19" i="3"/>
  <c r="F83" i="3"/>
  <c r="C58" i="3"/>
  <c r="I149" i="3"/>
  <c r="J118" i="3"/>
  <c r="M122" i="3"/>
  <c r="O126" i="3"/>
  <c r="B83" i="3"/>
  <c r="I177" i="3"/>
  <c r="M119" i="3"/>
  <c r="P56" i="3"/>
  <c r="N227" i="3"/>
  <c r="G215" i="3"/>
  <c r="K156" i="3"/>
  <c r="F171" i="3"/>
  <c r="R60" i="3"/>
  <c r="P84" i="3"/>
  <c r="E156" i="3"/>
  <c r="J16" i="3"/>
  <c r="J244" i="3"/>
  <c r="K80" i="3"/>
  <c r="Q248" i="3"/>
  <c r="E204" i="3"/>
  <c r="R80" i="3"/>
  <c r="R84" i="3"/>
  <c r="C208" i="3"/>
  <c r="E228" i="3"/>
  <c r="R191" i="3"/>
  <c r="D131" i="3"/>
  <c r="P203" i="3"/>
  <c r="H92" i="3"/>
  <c r="I191" i="3"/>
  <c r="E180" i="3"/>
  <c r="M55" i="3"/>
  <c r="D235" i="3"/>
  <c r="J112" i="3"/>
  <c r="C44" i="3"/>
  <c r="D12" i="3"/>
  <c r="O204" i="3"/>
  <c r="I188" i="3"/>
  <c r="L144" i="3"/>
  <c r="I68" i="3"/>
  <c r="P36" i="3"/>
  <c r="B40" i="3"/>
  <c r="N136" i="3"/>
  <c r="B171" i="3"/>
  <c r="D107" i="3"/>
  <c r="F236" i="3"/>
  <c r="J163" i="3"/>
  <c r="N124" i="3"/>
  <c r="O192" i="3"/>
  <c r="F164" i="3"/>
  <c r="I207" i="3"/>
  <c r="O159" i="3"/>
  <c r="B228" i="3"/>
  <c r="K176" i="3"/>
  <c r="G56" i="3"/>
  <c r="I60" i="3"/>
  <c r="Q128" i="3"/>
  <c r="J56" i="3"/>
  <c r="AU248" i="3"/>
  <c r="AO65" i="3"/>
  <c r="AO54" i="3"/>
  <c r="AM44" i="3"/>
  <c r="AG139" i="3"/>
  <c r="AG15" i="3"/>
  <c r="AK245" i="3"/>
  <c r="AE179" i="3"/>
  <c r="AF182" i="3"/>
  <c r="AF243" i="3"/>
  <c r="AC136" i="3"/>
  <c r="AE47" i="3"/>
  <c r="AD224" i="3"/>
  <c r="AD94" i="3"/>
  <c r="W198" i="3"/>
  <c r="U82" i="3"/>
  <c r="Y233" i="3"/>
  <c r="X41" i="3"/>
  <c r="Y211" i="3"/>
  <c r="U9" i="3"/>
  <c r="E49" i="3"/>
  <c r="S85" i="3"/>
  <c r="Y247" i="3"/>
  <c r="AB130" i="3"/>
  <c r="W173" i="3"/>
  <c r="Z136" i="3"/>
  <c r="G53" i="3"/>
  <c r="B10" i="3"/>
  <c r="Y95" i="3"/>
  <c r="V248" i="3"/>
  <c r="L89" i="3"/>
  <c r="O65" i="3"/>
  <c r="W121" i="3"/>
  <c r="Q14" i="3"/>
  <c r="J250" i="3"/>
  <c r="M109" i="3"/>
  <c r="D249" i="3"/>
  <c r="W79" i="3"/>
  <c r="H9" i="3"/>
  <c r="S218" i="3"/>
  <c r="U159" i="3"/>
  <c r="M173" i="3"/>
  <c r="D31" i="3"/>
  <c r="L150" i="3"/>
  <c r="S227" i="3"/>
  <c r="T45" i="3"/>
  <c r="F137" i="3"/>
  <c r="W13" i="3"/>
  <c r="T78" i="3"/>
  <c r="AB66" i="3"/>
  <c r="C101" i="3"/>
  <c r="R221" i="3"/>
  <c r="L14" i="3"/>
  <c r="B170" i="3"/>
  <c r="N183" i="3"/>
  <c r="F93" i="3"/>
  <c r="C14" i="3"/>
  <c r="N149" i="3"/>
  <c r="Y41" i="3"/>
  <c r="P101" i="3"/>
  <c r="M202" i="3"/>
  <c r="T181" i="3"/>
  <c r="T94" i="3"/>
  <c r="D165" i="3"/>
  <c r="L174" i="3"/>
  <c r="E197" i="3"/>
  <c r="Q67" i="3"/>
  <c r="K50" i="3"/>
  <c r="K20" i="3"/>
  <c r="F194" i="3"/>
  <c r="D112" i="3"/>
  <c r="I54" i="3"/>
  <c r="D19" i="3"/>
  <c r="G20" i="3"/>
  <c r="P174" i="3"/>
  <c r="Q47" i="3"/>
  <c r="C116" i="3"/>
  <c r="D194" i="3"/>
  <c r="G181" i="3"/>
  <c r="B140" i="3"/>
  <c r="B48" i="3"/>
  <c r="K187" i="3"/>
  <c r="J226" i="3"/>
  <c r="L233" i="3"/>
  <c r="O91" i="3"/>
  <c r="J96" i="3"/>
  <c r="F250" i="3"/>
  <c r="H102" i="3"/>
  <c r="L104" i="3"/>
  <c r="E117" i="3"/>
  <c r="G91" i="3"/>
  <c r="R206" i="3"/>
  <c r="L128" i="3"/>
  <c r="L200" i="3"/>
  <c r="J87" i="3"/>
  <c r="M48" i="3"/>
  <c r="G146" i="3"/>
  <c r="D46" i="3"/>
  <c r="C169" i="3"/>
  <c r="R42" i="3"/>
  <c r="H95" i="3"/>
  <c r="T160" i="3"/>
  <c r="Q113" i="3"/>
  <c r="D157" i="3"/>
  <c r="P181" i="3"/>
  <c r="O94" i="3"/>
  <c r="O175" i="3"/>
  <c r="L124" i="3"/>
  <c r="R214" i="3"/>
  <c r="B218" i="3"/>
  <c r="F221" i="3"/>
  <c r="R237" i="3"/>
  <c r="M14" i="3"/>
  <c r="D134" i="3"/>
  <c r="E203" i="3"/>
  <c r="M200" i="3"/>
  <c r="N12" i="3"/>
  <c r="P16" i="3"/>
  <c r="L227" i="3"/>
  <c r="D216" i="3"/>
  <c r="H172" i="3"/>
  <c r="Q204" i="3"/>
  <c r="N156" i="3"/>
  <c r="O174" i="3"/>
  <c r="F249" i="3"/>
  <c r="L40" i="3"/>
  <c r="O117" i="3"/>
  <c r="B166" i="3"/>
  <c r="N35" i="3"/>
  <c r="N200" i="3"/>
  <c r="R230" i="3"/>
  <c r="D50" i="3"/>
  <c r="L35" i="3"/>
  <c r="D248" i="3"/>
  <c r="F52" i="3"/>
  <c r="E243" i="3"/>
  <c r="P63" i="3"/>
  <c r="L92" i="3"/>
  <c r="G115" i="3"/>
  <c r="M164" i="3"/>
  <c r="R228" i="3"/>
  <c r="J152" i="3"/>
  <c r="F180" i="3"/>
  <c r="G124" i="3"/>
  <c r="I224" i="3"/>
  <c r="E220" i="3"/>
  <c r="I196" i="3"/>
  <c r="N148" i="3"/>
  <c r="E108" i="3"/>
  <c r="M235" i="3"/>
  <c r="P136" i="3"/>
  <c r="O152" i="3"/>
  <c r="K116" i="3"/>
  <c r="H227" i="3"/>
  <c r="C24" i="3"/>
  <c r="R75" i="3"/>
  <c r="C180" i="3"/>
  <c r="P103" i="3"/>
  <c r="I32" i="3"/>
  <c r="Q152" i="3"/>
  <c r="AB215" i="3"/>
  <c r="AA81" i="3"/>
  <c r="Y77" i="3"/>
  <c r="I25" i="3"/>
  <c r="J35" i="3"/>
  <c r="Q85" i="3"/>
  <c r="Y67" i="3"/>
  <c r="G234" i="3"/>
  <c r="J22" i="3"/>
  <c r="Z163" i="3"/>
  <c r="E154" i="3"/>
  <c r="C85" i="3"/>
  <c r="B29" i="3"/>
  <c r="V55" i="3"/>
  <c r="K101" i="3"/>
  <c r="I174" i="3"/>
  <c r="C107" i="3"/>
  <c r="N211" i="3"/>
  <c r="K94" i="3"/>
  <c r="P159" i="3"/>
  <c r="C82" i="3"/>
  <c r="R155" i="3"/>
  <c r="R179" i="3"/>
  <c r="F88" i="3"/>
  <c r="H70" i="3"/>
  <c r="E55" i="3"/>
  <c r="D128" i="3"/>
  <c r="D30" i="3"/>
  <c r="K154" i="3"/>
  <c r="E212" i="3"/>
  <c r="L16" i="3"/>
  <c r="J200" i="3"/>
  <c r="B141" i="3"/>
  <c r="L194" i="3"/>
  <c r="P109" i="3"/>
  <c r="F163" i="3"/>
  <c r="Q195" i="3"/>
  <c r="D182" i="3"/>
  <c r="E199" i="3"/>
  <c r="E32" i="3"/>
  <c r="Q210" i="3"/>
  <c r="G163" i="3"/>
  <c r="O40" i="3"/>
  <c r="R203" i="3"/>
  <c r="J178" i="3"/>
  <c r="E224" i="3"/>
  <c r="B235" i="3"/>
  <c r="AS135" i="3"/>
  <c r="W122" i="3"/>
  <c r="Y250" i="3"/>
  <c r="AA242" i="3"/>
  <c r="Y170" i="3"/>
  <c r="X239" i="3"/>
  <c r="J67" i="3"/>
  <c r="J18" i="3"/>
  <c r="T220" i="3"/>
  <c r="H170" i="3"/>
  <c r="Z220" i="3"/>
  <c r="V47" i="3"/>
  <c r="M10" i="3"/>
  <c r="J93" i="3"/>
  <c r="W172" i="3"/>
  <c r="G66" i="3"/>
  <c r="K157" i="3"/>
  <c r="N116" i="3"/>
  <c r="K180" i="3"/>
  <c r="D44" i="3"/>
  <c r="C222" i="3"/>
  <c r="J225" i="3"/>
  <c r="H149" i="3"/>
  <c r="K200" i="3"/>
  <c r="Q102" i="3"/>
  <c r="I215" i="3"/>
  <c r="F185" i="3"/>
  <c r="H145" i="3"/>
  <c r="D168" i="3"/>
  <c r="AL16" i="3"/>
  <c r="AN232" i="3"/>
  <c r="AG236" i="3"/>
  <c r="AG103" i="3"/>
  <c r="AE120" i="3"/>
  <c r="AD197" i="3"/>
  <c r="AF83" i="3"/>
  <c r="AA200" i="3"/>
  <c r="AB37" i="3"/>
  <c r="Y186" i="3"/>
  <c r="Y204" i="3"/>
  <c r="AA181" i="3"/>
  <c r="W74" i="3"/>
  <c r="V161" i="3"/>
  <c r="D85" i="3"/>
  <c r="Z55" i="3"/>
  <c r="AA221" i="3"/>
  <c r="AB232" i="3"/>
  <c r="Z232" i="3"/>
  <c r="V215" i="3"/>
  <c r="X30" i="3"/>
  <c r="Z34" i="3"/>
  <c r="S159" i="3"/>
  <c r="Z145" i="3"/>
  <c r="S43" i="3"/>
  <c r="AB219" i="3"/>
  <c r="T102" i="3"/>
  <c r="S12" i="3"/>
  <c r="Q105" i="3"/>
  <c r="D9" i="3"/>
  <c r="C119" i="3"/>
  <c r="W33" i="3"/>
  <c r="Q101" i="3"/>
  <c r="B37" i="3"/>
  <c r="T11" i="3"/>
  <c r="D190" i="3"/>
  <c r="Z160" i="3"/>
  <c r="Y196" i="3"/>
  <c r="T44" i="3"/>
  <c r="Z205" i="3"/>
  <c r="P249" i="3"/>
  <c r="T48" i="3"/>
  <c r="C189" i="3"/>
  <c r="C49" i="3"/>
  <c r="I82" i="3"/>
  <c r="F150" i="3"/>
  <c r="T227" i="3"/>
  <c r="L49" i="3"/>
  <c r="R79" i="3"/>
  <c r="S162" i="3"/>
  <c r="O29" i="3"/>
  <c r="V220" i="3"/>
  <c r="T204" i="3"/>
  <c r="I171" i="3"/>
  <c r="V231" i="3"/>
  <c r="I22" i="3"/>
  <c r="X223" i="3"/>
  <c r="H73" i="3"/>
  <c r="R201" i="3"/>
  <c r="O154" i="3"/>
  <c r="J181" i="3"/>
  <c r="B114" i="3"/>
  <c r="J237" i="3"/>
  <c r="K151" i="3"/>
  <c r="D88" i="3"/>
  <c r="T215" i="3"/>
  <c r="W148" i="3"/>
  <c r="V204" i="3"/>
  <c r="AB104" i="3"/>
  <c r="E107" i="3"/>
  <c r="R77" i="3"/>
  <c r="W101" i="3"/>
  <c r="R113" i="3"/>
  <c r="V51" i="3"/>
  <c r="T61" i="3"/>
  <c r="D127" i="3"/>
  <c r="V250" i="3"/>
  <c r="J221" i="3"/>
  <c r="C93" i="3"/>
  <c r="D89" i="3"/>
  <c r="I157" i="3"/>
  <c r="K110" i="3"/>
  <c r="M197" i="3"/>
  <c r="R245" i="3"/>
  <c r="J23" i="3"/>
  <c r="J179" i="3"/>
  <c r="Q40" i="3"/>
  <c r="F144" i="3"/>
  <c r="G217" i="3"/>
  <c r="O93" i="3"/>
  <c r="L85" i="3"/>
  <c r="B25" i="3"/>
  <c r="T19" i="3"/>
  <c r="D183" i="3"/>
  <c r="H42" i="3"/>
  <c r="AA155" i="3"/>
  <c r="F101" i="3"/>
  <c r="P41" i="3"/>
  <c r="T99" i="3"/>
  <c r="AA21" i="3"/>
  <c r="AA214" i="3"/>
  <c r="T162" i="3"/>
  <c r="T186" i="3"/>
  <c r="M41" i="3"/>
  <c r="J233" i="3"/>
  <c r="T251" i="3"/>
  <c r="F30" i="3"/>
  <c r="J174" i="3"/>
  <c r="H78" i="3"/>
  <c r="B122" i="3"/>
  <c r="P116" i="3"/>
  <c r="B189" i="3"/>
  <c r="T209" i="3"/>
  <c r="G235" i="3"/>
  <c r="K194" i="3"/>
  <c r="Q26" i="3"/>
  <c r="N87" i="3"/>
  <c r="D90" i="3"/>
  <c r="D40" i="3"/>
  <c r="P243" i="3"/>
  <c r="P106" i="3"/>
  <c r="P171" i="3"/>
  <c r="G162" i="3"/>
  <c r="I122" i="3"/>
  <c r="L231" i="3"/>
  <c r="C216" i="3"/>
  <c r="P65" i="3"/>
  <c r="T97" i="3"/>
  <c r="N198" i="3"/>
  <c r="L158" i="3"/>
  <c r="F251" i="3"/>
  <c r="H244" i="3"/>
  <c r="G175" i="3"/>
  <c r="N28" i="3"/>
  <c r="D76" i="3"/>
  <c r="I16" i="3"/>
  <c r="C55" i="3"/>
  <c r="L132" i="3"/>
  <c r="J27" i="3"/>
  <c r="B86" i="3"/>
  <c r="N163" i="3"/>
  <c r="N238" i="3"/>
  <c r="G75" i="3"/>
  <c r="M76" i="3"/>
  <c r="B161" i="3"/>
  <c r="Q66" i="3"/>
  <c r="G121" i="3"/>
  <c r="J103" i="3"/>
  <c r="I64" i="3"/>
  <c r="E136" i="3"/>
  <c r="O173" i="3"/>
  <c r="H82" i="3"/>
  <c r="G106" i="3"/>
  <c r="N114" i="3"/>
  <c r="Q122" i="3"/>
  <c r="C147" i="3"/>
  <c r="F84" i="3"/>
  <c r="N152" i="3"/>
  <c r="M79" i="3"/>
  <c r="R224" i="3"/>
  <c r="B51" i="3"/>
  <c r="F108" i="3"/>
  <c r="G116" i="3"/>
  <c r="G236" i="3"/>
  <c r="P199" i="3"/>
  <c r="M123" i="3"/>
  <c r="G89" i="3"/>
  <c r="Q170" i="3"/>
  <c r="M174" i="3"/>
  <c r="B182" i="3"/>
  <c r="H187" i="3"/>
  <c r="E94" i="3"/>
  <c r="N207" i="3"/>
  <c r="H112" i="3"/>
  <c r="O98" i="3"/>
  <c r="M138" i="3"/>
  <c r="J218" i="3"/>
  <c r="P226" i="3"/>
  <c r="G238" i="3"/>
  <c r="F133" i="3"/>
  <c r="I47" i="3"/>
  <c r="R208" i="3"/>
  <c r="E138" i="3"/>
  <c r="D158" i="3"/>
  <c r="Q11" i="3"/>
  <c r="G23" i="3"/>
  <c r="O31" i="3"/>
  <c r="D229" i="3"/>
  <c r="Q91" i="3"/>
  <c r="J228" i="3"/>
  <c r="K76" i="3"/>
  <c r="G156" i="3"/>
  <c r="G199" i="3"/>
  <c r="L143" i="3"/>
  <c r="K232" i="3"/>
  <c r="B156" i="3"/>
  <c r="K32" i="3"/>
  <c r="O36" i="3"/>
  <c r="K248" i="3"/>
  <c r="E227" i="3"/>
  <c r="C98" i="3"/>
  <c r="H249" i="3"/>
  <c r="E201" i="3"/>
  <c r="F198" i="3"/>
  <c r="I206" i="3"/>
  <c r="N214" i="3"/>
  <c r="AB123" i="3"/>
  <c r="H207" i="3"/>
  <c r="O212" i="3"/>
  <c r="I77" i="3"/>
  <c r="O129" i="3"/>
  <c r="D99" i="3"/>
  <c r="D103" i="3"/>
  <c r="L107" i="3"/>
  <c r="K218" i="3"/>
  <c r="L222" i="3"/>
  <c r="I140" i="3"/>
  <c r="E145" i="3"/>
  <c r="L149" i="3"/>
  <c r="N115" i="3"/>
  <c r="Q119" i="3"/>
  <c r="E127" i="3"/>
  <c r="E238" i="3"/>
  <c r="I107" i="3"/>
  <c r="B160" i="3"/>
  <c r="C40" i="3"/>
  <c r="G232" i="3"/>
  <c r="R195" i="3"/>
  <c r="O199" i="3"/>
  <c r="E216" i="3"/>
  <c r="E80" i="3"/>
  <c r="B68" i="3"/>
  <c r="C128" i="3"/>
  <c r="G32" i="3"/>
  <c r="I216" i="3"/>
  <c r="Q140" i="3"/>
  <c r="G220" i="3"/>
  <c r="C228" i="3"/>
  <c r="K100" i="3"/>
  <c r="K68" i="3"/>
  <c r="C100" i="3"/>
  <c r="C168" i="3"/>
  <c r="G211" i="3"/>
  <c r="B200" i="3"/>
  <c r="N143" i="3"/>
  <c r="E191" i="3"/>
  <c r="O163" i="3"/>
  <c r="I112" i="3"/>
  <c r="I95" i="3"/>
  <c r="G40" i="3"/>
  <c r="D64" i="3"/>
  <c r="M132" i="3"/>
  <c r="J235" i="3"/>
  <c r="J231" i="3"/>
  <c r="P247" i="3"/>
  <c r="M88" i="3"/>
  <c r="E160" i="3"/>
  <c r="E20" i="3"/>
  <c r="L163" i="3"/>
  <c r="F199" i="3"/>
  <c r="F184" i="3"/>
  <c r="C67" i="3"/>
  <c r="D208" i="3"/>
  <c r="L180" i="3"/>
  <c r="R20" i="3"/>
  <c r="K195" i="3"/>
  <c r="F227" i="3"/>
  <c r="P208" i="3"/>
  <c r="B123" i="3"/>
  <c r="D52" i="3"/>
  <c r="I148" i="3"/>
  <c r="M72" i="3"/>
  <c r="R40" i="3"/>
  <c r="M224" i="3"/>
  <c r="L240" i="3"/>
  <c r="AT158" i="3"/>
  <c r="AK68" i="3"/>
  <c r="AP111" i="3"/>
  <c r="AE202" i="3"/>
  <c r="AE94" i="3"/>
  <c r="AK234" i="3"/>
  <c r="AF121" i="3"/>
  <c r="AE88" i="3"/>
  <c r="AD146" i="3"/>
  <c r="AE32" i="3"/>
  <c r="AE87" i="3"/>
  <c r="AF72" i="3"/>
  <c r="AF242" i="3"/>
  <c r="AC27" i="3"/>
  <c r="Z45" i="3"/>
  <c r="V63" i="3"/>
  <c r="X229" i="3"/>
  <c r="AA236" i="3"/>
  <c r="AB143" i="3"/>
  <c r="X244" i="3"/>
  <c r="AB109" i="3"/>
  <c r="Y58" i="3"/>
  <c r="U17" i="3"/>
  <c r="X178" i="3"/>
  <c r="Z73" i="3"/>
  <c r="AB55" i="3"/>
  <c r="X55" i="3"/>
  <c r="B14" i="3"/>
  <c r="C229" i="3"/>
  <c r="V99" i="3"/>
  <c r="J197" i="3"/>
  <c r="B41" i="3"/>
  <c r="V175" i="3"/>
  <c r="L129" i="3"/>
  <c r="E78" i="3"/>
  <c r="M113" i="3"/>
  <c r="F134" i="3"/>
  <c r="T27" i="3"/>
  <c r="K57" i="3"/>
  <c r="C105" i="3"/>
  <c r="M105" i="3"/>
  <c r="M61" i="3"/>
  <c r="D130" i="3"/>
  <c r="K226" i="3"/>
  <c r="Y105" i="3"/>
  <c r="P49" i="3"/>
  <c r="M185" i="3"/>
  <c r="X88" i="3"/>
  <c r="L69" i="3"/>
  <c r="Z188" i="3"/>
  <c r="W71" i="3"/>
  <c r="L217" i="3"/>
  <c r="O153" i="3"/>
  <c r="L162" i="3"/>
  <c r="I169" i="3"/>
  <c r="S126" i="3"/>
  <c r="T95" i="3"/>
  <c r="G51" i="3"/>
  <c r="W65" i="3"/>
  <c r="Q34" i="3"/>
  <c r="Z238" i="3"/>
  <c r="F73" i="3"/>
  <c r="Q181" i="3"/>
  <c r="H183" i="3"/>
  <c r="R54" i="3"/>
  <c r="O63" i="3"/>
  <c r="B71" i="3"/>
  <c r="I66" i="3"/>
  <c r="M96" i="3"/>
  <c r="H74" i="3"/>
  <c r="B27" i="3"/>
  <c r="J143" i="3"/>
  <c r="D226" i="3"/>
  <c r="K170" i="3"/>
  <c r="B31" i="3"/>
  <c r="I111" i="3"/>
  <c r="O206" i="3"/>
  <c r="N105" i="3"/>
  <c r="F131" i="3"/>
  <c r="M19" i="3"/>
  <c r="I172" i="3"/>
  <c r="L220" i="3"/>
  <c r="K39" i="3"/>
  <c r="D221" i="3"/>
  <c r="L62" i="3"/>
  <c r="B79" i="3"/>
  <c r="M82" i="3"/>
  <c r="I187" i="3"/>
  <c r="Q164" i="3"/>
  <c r="G139" i="3"/>
  <c r="M221" i="3"/>
  <c r="I98" i="3"/>
  <c r="L184" i="3"/>
  <c r="Q203" i="3"/>
  <c r="I75" i="3"/>
  <c r="M248" i="3"/>
  <c r="R140" i="3"/>
  <c r="L18" i="3"/>
  <c r="E50" i="3"/>
  <c r="Q44" i="3"/>
  <c r="M201" i="3"/>
  <c r="U27" i="3"/>
  <c r="G114" i="3"/>
  <c r="N122" i="3"/>
  <c r="E134" i="3"/>
  <c r="J210" i="3"/>
  <c r="Q139" i="3"/>
  <c r="E125" i="3"/>
  <c r="D137" i="3"/>
  <c r="C141" i="3"/>
  <c r="N150" i="3"/>
  <c r="H162" i="3"/>
  <c r="L170" i="3"/>
  <c r="B250" i="3"/>
  <c r="P175" i="3"/>
  <c r="B104" i="3"/>
  <c r="C32" i="3"/>
  <c r="D243" i="3"/>
  <c r="G227" i="3"/>
  <c r="H228" i="3"/>
  <c r="J80" i="3"/>
  <c r="K250" i="3"/>
  <c r="G22" i="3"/>
  <c r="O250" i="3"/>
  <c r="H123" i="3"/>
  <c r="K228" i="3"/>
  <c r="G117" i="3"/>
  <c r="C225" i="3"/>
  <c r="D242" i="3"/>
  <c r="M153" i="3"/>
  <c r="N178" i="3"/>
  <c r="R186" i="3"/>
  <c r="F235" i="3"/>
  <c r="F100" i="3"/>
  <c r="R12" i="3"/>
  <c r="E111" i="3"/>
  <c r="J59" i="3"/>
  <c r="P152" i="3"/>
  <c r="P228" i="3"/>
  <c r="E67" i="3"/>
  <c r="B12" i="3"/>
  <c r="L72" i="3"/>
  <c r="F183" i="3"/>
  <c r="F104" i="3"/>
  <c r="J168" i="3"/>
  <c r="O96" i="3"/>
  <c r="K223" i="3"/>
  <c r="G239" i="3"/>
  <c r="K128" i="3"/>
  <c r="D171" i="3"/>
  <c r="B196" i="3"/>
  <c r="C124" i="3"/>
  <c r="F192" i="3"/>
  <c r="G176" i="3"/>
  <c r="M168" i="3"/>
  <c r="R251" i="3"/>
  <c r="M39" i="3"/>
  <c r="C196" i="3"/>
  <c r="B236" i="3"/>
  <c r="E236" i="3"/>
  <c r="X44" i="3"/>
  <c r="AB101" i="3"/>
  <c r="V85" i="3"/>
  <c r="V73" i="3"/>
  <c r="D49" i="3"/>
  <c r="P69" i="3"/>
  <c r="K93" i="3"/>
  <c r="U79" i="3"/>
  <c r="P146" i="3"/>
  <c r="AB89" i="3"/>
  <c r="J105" i="3"/>
  <c r="R11" i="3"/>
  <c r="Q182" i="3"/>
  <c r="S209" i="3"/>
  <c r="F145" i="3"/>
  <c r="I11" i="3"/>
  <c r="K29" i="3"/>
  <c r="E34" i="3"/>
  <c r="C152" i="3"/>
  <c r="F14" i="3"/>
  <c r="L198" i="3"/>
  <c r="E248" i="3"/>
  <c r="C114" i="3"/>
  <c r="Q186" i="3"/>
  <c r="E196" i="3"/>
  <c r="N234" i="3"/>
  <c r="P212" i="3"/>
  <c r="E115" i="3"/>
  <c r="C36" i="3"/>
  <c r="F242" i="3"/>
  <c r="F119" i="3"/>
  <c r="D247" i="3"/>
  <c r="P96" i="3"/>
  <c r="R102" i="3"/>
  <c r="G126" i="3"/>
  <c r="L138" i="3"/>
  <c r="F154" i="3"/>
  <c r="H140" i="3"/>
  <c r="Q179" i="3"/>
  <c r="D220" i="3"/>
  <c r="M216" i="3"/>
  <c r="B132" i="3"/>
  <c r="K172" i="3"/>
  <c r="K28" i="3"/>
  <c r="C92" i="3"/>
  <c r="C71" i="3"/>
  <c r="H116" i="3"/>
  <c r="L71" i="3"/>
  <c r="U128" i="3"/>
  <c r="Y238" i="3"/>
  <c r="X136" i="3"/>
  <c r="Z250" i="3"/>
  <c r="X207" i="3"/>
  <c r="I101" i="3"/>
  <c r="Z151" i="3"/>
  <c r="U19" i="3"/>
  <c r="E175" i="3"/>
  <c r="H193" i="3"/>
  <c r="Z207" i="3"/>
  <c r="V67" i="3"/>
  <c r="I30" i="3"/>
  <c r="N97" i="3"/>
  <c r="C117" i="3"/>
  <c r="M51" i="3"/>
  <c r="H97" i="3"/>
  <c r="I80" i="3"/>
  <c r="J78" i="3"/>
  <c r="M108" i="3"/>
  <c r="L226" i="3"/>
  <c r="H245" i="3"/>
  <c r="I151" i="3"/>
  <c r="I227" i="3"/>
  <c r="N47" i="3"/>
  <c r="G13" i="3"/>
  <c r="R223" i="3"/>
  <c r="H11" i="3"/>
  <c r="F64" i="3"/>
  <c r="AN27" i="3"/>
  <c r="AL226" i="3"/>
  <c r="AH236" i="3"/>
  <c r="AF22" i="3"/>
  <c r="AE139" i="3"/>
  <c r="AD184" i="3"/>
  <c r="AD251" i="3"/>
  <c r="U185" i="3"/>
  <c r="AA172" i="3"/>
  <c r="X238" i="3"/>
  <c r="T185" i="3"/>
  <c r="Z234" i="3"/>
  <c r="AB99" i="3"/>
  <c r="V136" i="3"/>
  <c r="N226" i="3"/>
  <c r="T208" i="3"/>
  <c r="Y225" i="3"/>
  <c r="S91" i="3"/>
  <c r="S16" i="3"/>
  <c r="V123" i="3"/>
  <c r="AB166" i="3"/>
  <c r="AA143" i="3"/>
  <c r="AA128" i="3"/>
  <c r="Y36" i="3"/>
  <c r="AA55" i="3"/>
  <c r="U42" i="3"/>
  <c r="AB11" i="3"/>
  <c r="S138" i="3"/>
  <c r="H77" i="3"/>
  <c r="X166" i="3"/>
  <c r="Y154" i="3"/>
  <c r="S195" i="3"/>
  <c r="AB80" i="3"/>
  <c r="P26" i="3"/>
  <c r="F13" i="3"/>
  <c r="B34" i="3"/>
  <c r="X212" i="3"/>
  <c r="AA247" i="3"/>
  <c r="F69" i="3"/>
  <c r="AB248" i="3"/>
  <c r="Z119" i="3"/>
  <c r="V108" i="3"/>
  <c r="O210" i="3"/>
  <c r="M70" i="3"/>
  <c r="I14" i="3"/>
  <c r="S176" i="3"/>
  <c r="T52" i="3"/>
  <c r="R189" i="3"/>
  <c r="Q169" i="3"/>
  <c r="U160" i="3"/>
  <c r="V200" i="3"/>
  <c r="T109" i="3"/>
  <c r="O169" i="3"/>
  <c r="AB213" i="3"/>
  <c r="Y120" i="3"/>
  <c r="AA167" i="3"/>
  <c r="I29" i="3"/>
  <c r="U211" i="3"/>
  <c r="G46" i="3"/>
  <c r="C126" i="3"/>
  <c r="D86" i="3"/>
  <c r="N217" i="3"/>
  <c r="F162" i="3"/>
  <c r="Q147" i="3"/>
  <c r="V147" i="3"/>
  <c r="X109" i="3"/>
  <c r="T150" i="3"/>
  <c r="M9" i="3"/>
  <c r="Q89" i="3"/>
  <c r="I9" i="3"/>
  <c r="Z241" i="3"/>
  <c r="AB191" i="3"/>
  <c r="V31" i="3"/>
  <c r="G29" i="3"/>
  <c r="I125" i="3"/>
  <c r="AA73" i="3"/>
  <c r="AB216" i="3"/>
  <c r="P85" i="3"/>
  <c r="J45" i="3"/>
  <c r="U115" i="3"/>
  <c r="N201" i="3"/>
  <c r="N154" i="3"/>
  <c r="I38" i="3"/>
  <c r="M15" i="3"/>
  <c r="F178" i="3"/>
  <c r="L103" i="3"/>
  <c r="H84" i="3"/>
  <c r="B194" i="3"/>
  <c r="T250" i="3"/>
  <c r="AB125" i="3"/>
  <c r="P17" i="3"/>
  <c r="T14" i="3"/>
  <c r="R181" i="3"/>
  <c r="D153" i="3"/>
  <c r="X201" i="3"/>
  <c r="V173" i="3"/>
  <c r="N37" i="3"/>
  <c r="T96" i="3"/>
  <c r="J201" i="3"/>
  <c r="AB137" i="3"/>
  <c r="AB247" i="3"/>
  <c r="T106" i="3"/>
  <c r="E121" i="3"/>
  <c r="R121" i="3"/>
  <c r="P74" i="3"/>
  <c r="G63" i="3"/>
  <c r="L114" i="3"/>
  <c r="F70" i="3"/>
  <c r="R250" i="3"/>
  <c r="I179" i="3"/>
  <c r="D95" i="3"/>
  <c r="M99" i="3"/>
  <c r="B214" i="3"/>
  <c r="O172" i="3"/>
  <c r="M74" i="3"/>
  <c r="I83" i="3"/>
  <c r="C165" i="3"/>
  <c r="B106" i="3"/>
  <c r="Q116" i="3"/>
  <c r="D149" i="3"/>
  <c r="C177" i="3"/>
  <c r="B154" i="3"/>
  <c r="H225" i="3"/>
  <c r="H51" i="3"/>
  <c r="H32" i="3"/>
  <c r="D73" i="3"/>
  <c r="L213" i="3"/>
  <c r="G190" i="3"/>
  <c r="G50" i="3"/>
  <c r="H71" i="3"/>
  <c r="P48" i="3"/>
  <c r="K12" i="3"/>
  <c r="E152" i="3"/>
  <c r="O92" i="3"/>
  <c r="Q79" i="3"/>
  <c r="H160" i="3"/>
  <c r="R106" i="3"/>
  <c r="C18" i="3"/>
  <c r="O74" i="3"/>
  <c r="G159" i="3"/>
  <c r="J134" i="3"/>
  <c r="L11" i="3"/>
  <c r="J196" i="3"/>
  <c r="P78" i="3"/>
  <c r="N62" i="3"/>
  <c r="E41" i="3"/>
  <c r="J138" i="3"/>
  <c r="G127" i="3"/>
  <c r="O44" i="3"/>
  <c r="J240" i="3"/>
  <c r="C79" i="3"/>
  <c r="K79" i="3"/>
  <c r="G222" i="3"/>
  <c r="H230" i="3"/>
  <c r="L238" i="3"/>
  <c r="J141" i="3"/>
  <c r="L64" i="3"/>
  <c r="M124" i="3"/>
  <c r="O35" i="3"/>
  <c r="Q146" i="3"/>
  <c r="J128" i="3"/>
  <c r="Q88" i="3"/>
  <c r="B116" i="3"/>
  <c r="C176" i="3"/>
  <c r="E230" i="3"/>
  <c r="P176" i="3"/>
  <c r="R85" i="3"/>
  <c r="O167" i="3"/>
  <c r="C175" i="3"/>
  <c r="F179" i="3"/>
  <c r="M47" i="3"/>
  <c r="P227" i="3"/>
  <c r="C212" i="3"/>
  <c r="J92" i="3"/>
  <c r="E135" i="3"/>
  <c r="M135" i="3"/>
  <c r="D189" i="3"/>
  <c r="Q205" i="3"/>
  <c r="N225" i="3"/>
  <c r="P90" i="3"/>
  <c r="N120" i="3"/>
  <c r="P180" i="3"/>
  <c r="G155" i="3"/>
  <c r="D155" i="3"/>
  <c r="E22" i="3"/>
  <c r="O38" i="3"/>
  <c r="H50" i="3"/>
  <c r="Q126" i="3"/>
  <c r="O47" i="3"/>
  <c r="I200" i="3"/>
  <c r="N195" i="3"/>
  <c r="C64" i="3"/>
  <c r="G208" i="3"/>
  <c r="Y100" i="3"/>
  <c r="F127" i="3"/>
  <c r="U175" i="3"/>
  <c r="AA36" i="3"/>
  <c r="R108" i="3"/>
  <c r="N212" i="3"/>
  <c r="O113" i="3"/>
  <c r="C43" i="3"/>
  <c r="D172" i="3"/>
  <c r="P163" i="3"/>
  <c r="Q192" i="3"/>
  <c r="H164" i="3"/>
  <c r="X147" i="3"/>
  <c r="H113" i="3"/>
  <c r="N86" i="3"/>
  <c r="T81" i="3"/>
  <c r="J142" i="3"/>
  <c r="C12" i="3"/>
  <c r="I114" i="3"/>
  <c r="AX220" i="3"/>
  <c r="AI134" i="3"/>
  <c r="V181" i="3"/>
  <c r="S84" i="3"/>
  <c r="S33" i="3"/>
  <c r="AA85" i="3"/>
  <c r="AB36" i="3"/>
  <c r="Z240" i="3"/>
  <c r="D97" i="3"/>
  <c r="S90" i="3"/>
  <c r="AA11" i="3"/>
  <c r="I70" i="3"/>
  <c r="K214" i="3"/>
  <c r="G129" i="3"/>
  <c r="L25" i="3"/>
  <c r="G189" i="3"/>
  <c r="F106" i="3"/>
  <c r="U31" i="3"/>
  <c r="Z127" i="3"/>
  <c r="S69" i="3"/>
  <c r="C97" i="3"/>
  <c r="P170" i="3"/>
  <c r="E161" i="3"/>
  <c r="E141" i="3"/>
  <c r="V194" i="3"/>
  <c r="Z12" i="3"/>
  <c r="E65" i="3"/>
  <c r="P246" i="3"/>
  <c r="O90" i="3"/>
  <c r="R125" i="3"/>
  <c r="G14" i="3"/>
  <c r="B35" i="3"/>
  <c r="B38" i="3"/>
  <c r="D116" i="3"/>
  <c r="F160" i="3"/>
  <c r="B126" i="3"/>
  <c r="B169" i="3"/>
  <c r="C62" i="3"/>
  <c r="N82" i="3"/>
  <c r="P118" i="3"/>
  <c r="B55" i="3"/>
  <c r="B239" i="3"/>
  <c r="N249" i="3"/>
  <c r="D211" i="3"/>
  <c r="E54" i="3"/>
  <c r="C234" i="3"/>
  <c r="L90" i="3"/>
  <c r="U228" i="3"/>
  <c r="K219" i="3"/>
  <c r="N107" i="3"/>
  <c r="P124" i="3"/>
  <c r="B20" i="3"/>
  <c r="K36" i="3"/>
  <c r="L165" i="3"/>
  <c r="M190" i="3"/>
  <c r="O225" i="3"/>
  <c r="L223" i="3"/>
  <c r="E130" i="3"/>
  <c r="H250" i="3"/>
  <c r="O23" i="3"/>
  <c r="B87" i="3"/>
  <c r="K166" i="3"/>
  <c r="G43" i="3"/>
  <c r="B63" i="3"/>
  <c r="F123" i="3"/>
  <c r="I108" i="3"/>
  <c r="F215" i="3"/>
  <c r="L212" i="3"/>
  <c r="L48" i="3"/>
  <c r="J120" i="3"/>
  <c r="K48" i="3"/>
  <c r="D120" i="3"/>
  <c r="I48" i="3"/>
  <c r="E231" i="3"/>
  <c r="J148" i="3"/>
  <c r="M192" i="3"/>
  <c r="D51" i="3"/>
  <c r="K56" i="3"/>
  <c r="R232" i="3"/>
  <c r="D231" i="3"/>
  <c r="E72" i="3"/>
  <c r="I36" i="3"/>
  <c r="M171" i="3"/>
  <c r="M103" i="3"/>
  <c r="P251" i="3"/>
  <c r="P219" i="3"/>
  <c r="L148" i="3"/>
  <c r="P68" i="3"/>
  <c r="C164" i="3"/>
  <c r="D240" i="3"/>
  <c r="AS159" i="3"/>
  <c r="AN114" i="3"/>
  <c r="AJ233" i="3"/>
  <c r="AE18" i="3"/>
  <c r="AE108" i="3"/>
  <c r="AC69" i="3"/>
  <c r="AC94" i="3"/>
  <c r="X182" i="3"/>
  <c r="V214" i="3"/>
  <c r="AA233" i="3"/>
  <c r="Y143" i="3"/>
  <c r="T154" i="3"/>
  <c r="Z22" i="3"/>
  <c r="T166" i="3"/>
  <c r="R89" i="3"/>
  <c r="W57" i="3"/>
  <c r="V211" i="3"/>
  <c r="Q225" i="3"/>
  <c r="Z236" i="3"/>
  <c r="Z25" i="3"/>
  <c r="I193" i="3"/>
  <c r="I138" i="3"/>
  <c r="Y83" i="3"/>
  <c r="S29" i="3"/>
  <c r="J245" i="3"/>
  <c r="W76" i="3"/>
  <c r="O142" i="3"/>
  <c r="E62" i="3"/>
  <c r="Y228" i="3"/>
  <c r="C233" i="3"/>
  <c r="W134" i="3"/>
  <c r="P143" i="3"/>
  <c r="K59" i="3"/>
  <c r="N233" i="3"/>
  <c r="F232" i="3"/>
  <c r="M71" i="3"/>
  <c r="N56" i="3"/>
  <c r="O46" i="3"/>
  <c r="I123" i="3"/>
  <c r="N138" i="3"/>
  <c r="P92" i="3"/>
  <c r="R14" i="3"/>
  <c r="E15" i="3"/>
  <c r="C198" i="3"/>
  <c r="F197" i="3"/>
  <c r="L95" i="3"/>
  <c r="N251" i="3"/>
  <c r="O168" i="3"/>
  <c r="B205" i="3"/>
  <c r="F189" i="3"/>
  <c r="C197" i="3"/>
  <c r="H150" i="3"/>
  <c r="F135" i="3"/>
  <c r="R171" i="3"/>
  <c r="M193" i="3"/>
  <c r="R166" i="3"/>
  <c r="J171" i="3"/>
  <c r="Q199" i="3"/>
  <c r="M116" i="3"/>
  <c r="C158" i="3"/>
  <c r="O76" i="3"/>
  <c r="L58" i="3"/>
  <c r="K74" i="3"/>
  <c r="R158" i="3"/>
  <c r="R215" i="3"/>
  <c r="F38" i="3"/>
  <c r="D219" i="3"/>
  <c r="C120" i="3"/>
  <c r="G216" i="3"/>
  <c r="D180" i="3"/>
  <c r="O148" i="3"/>
  <c r="H236" i="3"/>
  <c r="P148" i="3"/>
  <c r="K227" i="3"/>
  <c r="N24" i="3"/>
  <c r="E84" i="3"/>
  <c r="AO245" i="3"/>
  <c r="AK49" i="3"/>
  <c r="AI115" i="3"/>
  <c r="AG87" i="3"/>
  <c r="AC126" i="3"/>
  <c r="AC68" i="3"/>
  <c r="AF174" i="3"/>
  <c r="X134" i="3"/>
  <c r="Z103" i="3"/>
  <c r="Z122" i="3"/>
  <c r="Y166" i="3"/>
  <c r="Z50" i="3"/>
  <c r="S52" i="3"/>
  <c r="Z60" i="3"/>
  <c r="Y245" i="3"/>
  <c r="Z175" i="3"/>
  <c r="Q29" i="3"/>
  <c r="AA212" i="3"/>
  <c r="AB52" i="3"/>
  <c r="Z141" i="3"/>
  <c r="G99" i="3"/>
  <c r="N125" i="3"/>
  <c r="N169" i="3"/>
  <c r="N25" i="3"/>
  <c r="X230" i="3"/>
  <c r="I213" i="3"/>
  <c r="J206" i="3"/>
  <c r="N110" i="3"/>
  <c r="F65" i="3"/>
  <c r="N95" i="3"/>
  <c r="P14" i="3"/>
  <c r="W165" i="3"/>
  <c r="H129" i="3"/>
  <c r="J38" i="3"/>
  <c r="I166" i="3"/>
  <c r="O69" i="3"/>
  <c r="T89" i="3"/>
  <c r="S46" i="3"/>
  <c r="T122" i="3"/>
  <c r="V237" i="3"/>
  <c r="T115" i="3"/>
  <c r="K153" i="3"/>
  <c r="H242" i="3"/>
  <c r="N83" i="3"/>
  <c r="P98" i="3"/>
  <c r="R144" i="3"/>
  <c r="P238" i="3"/>
  <c r="O28" i="3"/>
  <c r="O15" i="3"/>
  <c r="J48" i="3"/>
  <c r="L136" i="3"/>
  <c r="Q194" i="3"/>
  <c r="L250" i="3"/>
  <c r="R180" i="3"/>
  <c r="L75" i="3"/>
  <c r="P168" i="3"/>
  <c r="G147" i="3"/>
  <c r="H143" i="3"/>
  <c r="N68" i="3"/>
  <c r="K231" i="3"/>
  <c r="N96" i="3"/>
  <c r="E106" i="3"/>
  <c r="B43" i="3"/>
  <c r="R231" i="3"/>
  <c r="H141" i="3"/>
  <c r="C218" i="3"/>
  <c r="Q31" i="3"/>
  <c r="P138" i="3"/>
  <c r="H20" i="3"/>
  <c r="E44" i="3"/>
  <c r="Q155" i="3"/>
  <c r="M87" i="3"/>
  <c r="I72" i="3"/>
  <c r="L159" i="3"/>
  <c r="C63" i="3"/>
  <c r="E28" i="3"/>
  <c r="J156" i="3"/>
  <c r="J223" i="3"/>
  <c r="Q196" i="3"/>
  <c r="P144" i="3"/>
  <c r="J242" i="3"/>
  <c r="J95" i="3"/>
  <c r="B184" i="3"/>
  <c r="J236" i="3"/>
  <c r="B224" i="3"/>
  <c r="B188" i="3"/>
  <c r="C224" i="3"/>
  <c r="F116" i="3"/>
  <c r="AO228" i="3"/>
  <c r="AJ20" i="3"/>
  <c r="AP210" i="3"/>
  <c r="AD242" i="3"/>
  <c r="AK28" i="3"/>
  <c r="AH208" i="3"/>
  <c r="S128" i="3"/>
  <c r="X198" i="3"/>
  <c r="Z226" i="3"/>
  <c r="V233" i="3"/>
  <c r="Z230" i="3"/>
  <c r="W247" i="3"/>
  <c r="X10" i="3"/>
  <c r="U215" i="3"/>
  <c r="S192" i="3"/>
  <c r="S246" i="3"/>
  <c r="D113" i="3"/>
  <c r="W218" i="3"/>
  <c r="H133" i="3"/>
  <c r="T242" i="3"/>
  <c r="L53" i="3"/>
  <c r="E89" i="3"/>
  <c r="R109" i="3"/>
  <c r="AB158" i="3"/>
  <c r="L82" i="3"/>
  <c r="Z71" i="3"/>
  <c r="Y213" i="3"/>
  <c r="E129" i="3"/>
  <c r="G226" i="3"/>
  <c r="H91" i="3"/>
  <c r="N126" i="3"/>
  <c r="I81" i="3"/>
  <c r="O49" i="3"/>
  <c r="Z128" i="3"/>
  <c r="B85" i="3"/>
  <c r="R117" i="3"/>
  <c r="P70" i="3"/>
  <c r="B222" i="3"/>
  <c r="I173" i="3"/>
  <c r="F238" i="3"/>
  <c r="I137" i="3"/>
  <c r="D63" i="3"/>
  <c r="Z227" i="3"/>
  <c r="Q25" i="3"/>
  <c r="T90" i="3"/>
  <c r="U23" i="3"/>
  <c r="O114" i="3"/>
  <c r="B138" i="3"/>
  <c r="H189" i="3"/>
  <c r="N131" i="3"/>
  <c r="J127" i="3"/>
  <c r="R145" i="3"/>
  <c r="P166" i="3"/>
  <c r="H195" i="3"/>
  <c r="P194" i="3"/>
  <c r="N89" i="3"/>
  <c r="O124" i="3"/>
  <c r="Q215" i="3"/>
  <c r="P42" i="3"/>
  <c r="P15" i="3"/>
  <c r="T68" i="3"/>
  <c r="N71" i="3"/>
  <c r="M143" i="3"/>
  <c r="K202" i="3"/>
  <c r="F158" i="3"/>
  <c r="G183" i="3"/>
  <c r="G244" i="3"/>
  <c r="E195" i="3"/>
  <c r="K113" i="3"/>
  <c r="C103" i="3"/>
  <c r="F170" i="3"/>
  <c r="M68" i="3"/>
  <c r="H237" i="3"/>
  <c r="M214" i="3"/>
  <c r="L243" i="3"/>
  <c r="E35" i="3"/>
  <c r="D234" i="3"/>
  <c r="I243" i="3"/>
  <c r="H180" i="3"/>
  <c r="R136" i="3"/>
  <c r="N147" i="3"/>
  <c r="N176" i="3"/>
  <c r="Q144" i="3"/>
  <c r="H132" i="3"/>
  <c r="P67" i="3"/>
  <c r="J100" i="3"/>
  <c r="J122" i="3"/>
  <c r="H16" i="3"/>
  <c r="Q158" i="3"/>
  <c r="B36" i="3"/>
  <c r="E92" i="3"/>
  <c r="O183" i="3"/>
  <c r="R28" i="3"/>
  <c r="B187" i="3"/>
  <c r="C219" i="3"/>
  <c r="J40" i="3"/>
  <c r="Q178" i="3"/>
  <c r="B159" i="3"/>
  <c r="D60" i="3"/>
  <c r="K196" i="3"/>
  <c r="O144" i="3"/>
  <c r="Q136" i="3"/>
  <c r="G112" i="3"/>
  <c r="J203" i="3"/>
  <c r="O220" i="3"/>
  <c r="N75" i="3"/>
  <c r="R160" i="3"/>
  <c r="G188" i="3"/>
  <c r="F167" i="3"/>
  <c r="R115" i="3"/>
  <c r="C54" i="3"/>
  <c r="J249" i="3"/>
  <c r="B82" i="3"/>
  <c r="H26" i="3"/>
  <c r="C118" i="3"/>
  <c r="O88" i="3"/>
  <c r="B203" i="3"/>
  <c r="J176" i="3"/>
  <c r="D223" i="3"/>
  <c r="B72" i="3"/>
  <c r="O72" i="3"/>
  <c r="B147" i="3"/>
  <c r="I139" i="3"/>
  <c r="Q20" i="3"/>
  <c r="Q208" i="3"/>
  <c r="E168" i="3"/>
  <c r="I195" i="3"/>
  <c r="M247" i="3"/>
  <c r="M50" i="3"/>
  <c r="K212" i="3"/>
  <c r="H184" i="3"/>
  <c r="Q156" i="3"/>
  <c r="C243" i="3"/>
  <c r="B180" i="3"/>
  <c r="F56" i="3"/>
  <c r="H248" i="3"/>
  <c r="Q76" i="3"/>
  <c r="M104" i="3"/>
  <c r="J108" i="3"/>
  <c r="O198" i="3"/>
  <c r="D237" i="3"/>
  <c r="M13" i="3"/>
  <c r="R30" i="3"/>
  <c r="D201" i="3"/>
  <c r="Q123" i="3"/>
  <c r="G179" i="3"/>
  <c r="C240" i="3"/>
  <c r="O128" i="3"/>
  <c r="K191" i="3"/>
  <c r="F188" i="3"/>
  <c r="F233" i="3"/>
  <c r="K84" i="3"/>
  <c r="M95" i="3"/>
  <c r="P62" i="3"/>
  <c r="P191" i="3"/>
  <c r="I251" i="3"/>
  <c r="M191" i="3"/>
  <c r="K224" i="3"/>
  <c r="P211" i="3"/>
  <c r="R32" i="3"/>
  <c r="M118" i="3"/>
  <c r="N22" i="3"/>
  <c r="O50" i="3"/>
  <c r="J88" i="3"/>
  <c r="L207" i="3"/>
  <c r="K251" i="3"/>
  <c r="C72" i="3"/>
  <c r="L26" i="3"/>
  <c r="N240" i="3"/>
  <c r="B207" i="3"/>
  <c r="P132" i="3"/>
  <c r="G128" i="3"/>
  <c r="F166" i="3"/>
  <c r="G31" i="3"/>
  <c r="B80" i="3"/>
  <c r="P215" i="3"/>
  <c r="AJ141" i="3"/>
  <c r="AF23" i="3"/>
  <c r="W109" i="3"/>
  <c r="Y64" i="3"/>
  <c r="T121" i="3"/>
  <c r="H21" i="3"/>
  <c r="Q97" i="3"/>
  <c r="Q121" i="3"/>
  <c r="AB46" i="3"/>
  <c r="O218" i="3"/>
  <c r="U216" i="3"/>
  <c r="F89" i="3"/>
  <c r="O150" i="3"/>
  <c r="K126" i="3"/>
  <c r="P231" i="3"/>
  <c r="B199" i="3"/>
  <c r="F111" i="3"/>
  <c r="I31" i="3"/>
  <c r="B162" i="3"/>
  <c r="R56" i="3"/>
  <c r="H144" i="3"/>
  <c r="F31" i="3"/>
  <c r="R39" i="3"/>
  <c r="K164" i="3"/>
  <c r="I208" i="3"/>
  <c r="M195" i="3"/>
  <c r="E120" i="3"/>
  <c r="C16" i="3"/>
  <c r="Q246" i="3"/>
  <c r="Q176" i="3"/>
  <c r="E251" i="3"/>
  <c r="O68" i="3"/>
  <c r="C80" i="3"/>
  <c r="H179" i="3"/>
  <c r="P220" i="3"/>
  <c r="O239" i="3"/>
  <c r="B64" i="3"/>
  <c r="B240" i="3"/>
  <c r="H46" i="3"/>
  <c r="M80" i="3"/>
  <c r="K124" i="3"/>
  <c r="V91" i="3"/>
  <c r="O147" i="3"/>
  <c r="T243" i="3"/>
  <c r="U226" i="3"/>
  <c r="E58" i="3"/>
  <c r="K201" i="3"/>
  <c r="J190" i="3"/>
  <c r="D27" i="3"/>
  <c r="O209" i="3"/>
  <c r="B185" i="3"/>
  <c r="E184" i="3"/>
  <c r="N232" i="3"/>
  <c r="T205" i="3"/>
  <c r="G57" i="3"/>
  <c r="K245" i="3"/>
  <c r="D29" i="3"/>
  <c r="K174" i="3"/>
  <c r="R107" i="3"/>
  <c r="G94" i="3"/>
  <c r="AP250" i="3"/>
  <c r="AF209" i="3"/>
  <c r="Y93" i="3"/>
  <c r="X78" i="3"/>
  <c r="Y10" i="3"/>
  <c r="AB174" i="3"/>
  <c r="Z100" i="3"/>
  <c r="U143" i="3"/>
  <c r="U78" i="3"/>
  <c r="C65" i="3"/>
  <c r="T179" i="3"/>
  <c r="V164" i="3"/>
  <c r="Y173" i="3"/>
  <c r="K209" i="3"/>
  <c r="U163" i="3"/>
  <c r="I143" i="3"/>
  <c r="P149" i="3"/>
  <c r="N205" i="3"/>
  <c r="H25" i="3"/>
  <c r="AB227" i="3"/>
  <c r="G119" i="3"/>
  <c r="E42" i="3"/>
  <c r="Y51" i="3"/>
  <c r="M38" i="3"/>
  <c r="T15" i="3"/>
  <c r="W84" i="3"/>
  <c r="T12" i="3"/>
  <c r="P190" i="3"/>
  <c r="D197" i="3"/>
  <c r="G54" i="3"/>
  <c r="B47" i="3"/>
  <c r="K72" i="3"/>
  <c r="M125" i="3"/>
  <c r="O216" i="3"/>
  <c r="H119" i="3"/>
  <c r="J238" i="3"/>
  <c r="P119" i="3"/>
  <c r="D28" i="3"/>
  <c r="I50" i="3"/>
  <c r="R44" i="3"/>
  <c r="H212" i="3"/>
  <c r="H238" i="3"/>
  <c r="I26" i="3"/>
  <c r="B152" i="3"/>
  <c r="F62" i="3"/>
  <c r="E43" i="3"/>
  <c r="N98" i="3"/>
  <c r="D91" i="3"/>
  <c r="N199" i="3"/>
  <c r="R139" i="3"/>
  <c r="Q68" i="3"/>
  <c r="M243" i="3"/>
  <c r="P30" i="3"/>
  <c r="F165" i="3"/>
  <c r="Q187" i="3"/>
  <c r="H63" i="3"/>
  <c r="D228" i="3"/>
  <c r="B151" i="3"/>
  <c r="L249" i="3"/>
  <c r="J42" i="3"/>
  <c r="R31" i="3"/>
  <c r="Q167" i="3"/>
  <c r="I62" i="3"/>
  <c r="R78" i="3"/>
  <c r="D87" i="3"/>
  <c r="I211" i="3"/>
  <c r="L216" i="3"/>
  <c r="E36" i="3"/>
  <c r="P64" i="3"/>
  <c r="R216" i="3"/>
  <c r="F48" i="3"/>
  <c r="I100" i="3"/>
  <c r="R64" i="3"/>
  <c r="J211" i="3"/>
  <c r="K220" i="3"/>
  <c r="I132" i="3"/>
  <c r="F99" i="3"/>
  <c r="E148" i="3"/>
  <c r="P28" i="3"/>
  <c r="J172" i="3"/>
  <c r="E52" i="3"/>
  <c r="C132" i="3"/>
  <c r="J135" i="3"/>
  <c r="D152" i="3"/>
  <c r="O224" i="3"/>
  <c r="F224" i="3"/>
  <c r="D179" i="3"/>
  <c r="E88" i="3"/>
  <c r="Q132" i="3"/>
  <c r="D232" i="3"/>
  <c r="AN130" i="3"/>
  <c r="AP243" i="3"/>
  <c r="AK11" i="3"/>
  <c r="AH122" i="3"/>
  <c r="AF70" i="3"/>
  <c r="AC215" i="3"/>
  <c r="AD112" i="3"/>
  <c r="Y88" i="3"/>
  <c r="X42" i="3"/>
  <c r="AA161" i="3"/>
  <c r="AB205" i="3"/>
  <c r="X137" i="3"/>
  <c r="Z78" i="3"/>
  <c r="L209" i="3"/>
  <c r="Z197" i="3"/>
  <c r="L17" i="3"/>
  <c r="C45" i="3"/>
  <c r="Y29" i="3"/>
  <c r="Z156" i="3"/>
  <c r="AA23" i="3"/>
  <c r="R18" i="3"/>
  <c r="Q250" i="3"/>
  <c r="H181" i="3"/>
  <c r="S104" i="3"/>
  <c r="R126" i="3"/>
  <c r="U111" i="3"/>
  <c r="Q230" i="3"/>
  <c r="F34" i="3"/>
  <c r="F81" i="3"/>
  <c r="T155" i="3"/>
  <c r="F41" i="3"/>
  <c r="R194" i="3"/>
  <c r="K51" i="3"/>
  <c r="H182" i="3"/>
  <c r="N161" i="3"/>
  <c r="J139" i="3"/>
  <c r="N180" i="3"/>
  <c r="R182" i="3"/>
  <c r="N66" i="3"/>
  <c r="P108" i="3"/>
  <c r="O12" i="3"/>
  <c r="Q154" i="3"/>
  <c r="E232" i="3"/>
  <c r="N15" i="3"/>
  <c r="F139" i="3"/>
  <c r="H241" i="3"/>
  <c r="H171" i="3"/>
  <c r="G219" i="3"/>
  <c r="Q42" i="3"/>
  <c r="K107" i="3"/>
  <c r="T192" i="3"/>
  <c r="J147" i="3"/>
  <c r="Q19" i="3"/>
  <c r="N184" i="3"/>
  <c r="R133" i="3"/>
  <c r="D167" i="3"/>
  <c r="L39" i="3"/>
  <c r="E144" i="3"/>
  <c r="H216" i="3"/>
  <c r="R55" i="3"/>
  <c r="C140" i="3"/>
  <c r="J246" i="3"/>
  <c r="P40" i="3"/>
  <c r="G205" i="3"/>
  <c r="R167" i="3"/>
  <c r="P182" i="3"/>
  <c r="N215" i="3"/>
  <c r="H243" i="3"/>
  <c r="L112" i="3"/>
  <c r="D135" i="3"/>
  <c r="R184" i="3"/>
  <c r="G120" i="3"/>
  <c r="B75" i="3"/>
  <c r="M207" i="3"/>
  <c r="N100" i="3"/>
  <c r="P160" i="3"/>
  <c r="AM16" i="3"/>
  <c r="AJ58" i="3"/>
  <c r="AI43" i="3"/>
  <c r="AF157" i="3"/>
  <c r="AD222" i="3"/>
  <c r="AF76" i="3"/>
  <c r="AD88" i="3"/>
  <c r="AA186" i="3"/>
  <c r="Y48" i="3"/>
  <c r="AB133" i="3"/>
  <c r="U190" i="3"/>
  <c r="T246" i="3"/>
  <c r="AB228" i="3"/>
  <c r="Y113" i="3"/>
  <c r="AA16" i="3"/>
  <c r="S28" i="3"/>
  <c r="S157" i="3"/>
  <c r="P37" i="3"/>
  <c r="F85" i="3"/>
  <c r="AA110" i="3"/>
  <c r="D82" i="3"/>
  <c r="W47" i="3"/>
  <c r="AB128" i="3"/>
  <c r="J69" i="3"/>
  <c r="K45" i="3"/>
  <c r="D41" i="3"/>
  <c r="R173" i="3"/>
  <c r="J191" i="3"/>
  <c r="K69" i="3"/>
  <c r="X33" i="3"/>
  <c r="B22" i="3"/>
  <c r="N9" i="3"/>
  <c r="R127" i="3"/>
  <c r="F42" i="3"/>
  <c r="I159" i="3"/>
  <c r="K53" i="3"/>
  <c r="T196" i="3"/>
  <c r="Z157" i="3"/>
  <c r="W43" i="3"/>
  <c r="C109" i="3"/>
  <c r="L146" i="3"/>
  <c r="J119" i="3"/>
  <c r="L123" i="3"/>
  <c r="C204" i="3"/>
  <c r="R209" i="3"/>
  <c r="J47" i="3"/>
  <c r="D246" i="3"/>
  <c r="O83" i="3"/>
  <c r="I214" i="3"/>
  <c r="H163" i="3"/>
  <c r="H239" i="3"/>
  <c r="G192" i="3"/>
  <c r="L154" i="3"/>
  <c r="U155" i="3"/>
  <c r="U195" i="3"/>
  <c r="B118" i="3"/>
  <c r="C154" i="3"/>
  <c r="L218" i="3"/>
  <c r="E16" i="3"/>
  <c r="K211" i="3"/>
  <c r="E75" i="3"/>
  <c r="F23" i="3"/>
  <c r="K167" i="3"/>
  <c r="N230" i="3"/>
  <c r="E210" i="3"/>
  <c r="F20" i="3"/>
  <c r="M30" i="3"/>
  <c r="K26" i="3"/>
  <c r="H204" i="3"/>
  <c r="I24" i="3"/>
  <c r="K155" i="3"/>
  <c r="L228" i="3"/>
  <c r="K162" i="3"/>
  <c r="I131" i="3"/>
  <c r="G203" i="3"/>
  <c r="C239" i="3"/>
  <c r="G248" i="3"/>
  <c r="M203" i="3"/>
  <c r="N84" i="3"/>
  <c r="L108" i="3"/>
  <c r="C136" i="3"/>
  <c r="H12" i="3"/>
  <c r="Q207" i="3"/>
  <c r="J123" i="3"/>
  <c r="D251" i="3"/>
  <c r="M107" i="3"/>
  <c r="P100" i="3"/>
  <c r="AR225" i="3"/>
  <c r="AL80" i="3"/>
  <c r="AH56" i="3"/>
  <c r="AK54" i="3"/>
  <c r="AC182" i="3"/>
  <c r="AD185" i="3"/>
  <c r="AC17" i="3"/>
  <c r="U44" i="3"/>
  <c r="U76" i="3"/>
  <c r="S189" i="3"/>
  <c r="AB78" i="3"/>
  <c r="U199" i="3"/>
  <c r="K18" i="3"/>
  <c r="Y24" i="3"/>
  <c r="W127" i="3"/>
  <c r="Z223" i="3"/>
  <c r="Z189" i="3"/>
  <c r="AA136" i="3"/>
  <c r="R118" i="3"/>
  <c r="W161" i="3"/>
  <c r="G187" i="3"/>
  <c r="T18" i="3"/>
  <c r="J61" i="3"/>
  <c r="H67" i="3"/>
  <c r="T234" i="3"/>
  <c r="AA170" i="3"/>
  <c r="S179" i="3"/>
  <c r="AA84" i="3"/>
  <c r="E133" i="3"/>
  <c r="M81" i="3"/>
  <c r="F95" i="3"/>
  <c r="T143" i="3"/>
  <c r="D241" i="3"/>
  <c r="P133" i="3"/>
  <c r="T240" i="3"/>
  <c r="H89" i="3"/>
  <c r="K33" i="3"/>
  <c r="R73" i="3"/>
  <c r="P43" i="3"/>
  <c r="E142" i="3"/>
  <c r="Z248" i="3"/>
  <c r="U239" i="3"/>
  <c r="K171" i="3"/>
  <c r="T193" i="3"/>
  <c r="P79" i="3"/>
  <c r="T80" i="3"/>
  <c r="L73" i="3"/>
  <c r="I217" i="3"/>
  <c r="P47" i="3"/>
  <c r="Y50" i="3"/>
  <c r="D173" i="3"/>
  <c r="E26" i="3"/>
  <c r="B177" i="3"/>
  <c r="E178" i="3"/>
  <c r="E185" i="3"/>
  <c r="D206" i="3"/>
  <c r="E215" i="3"/>
  <c r="F147" i="3"/>
  <c r="K203" i="3"/>
  <c r="Q214" i="3"/>
  <c r="H197" i="3"/>
  <c r="K62" i="3"/>
  <c r="P75" i="3"/>
  <c r="P244" i="3"/>
  <c r="E150" i="3"/>
  <c r="R138" i="3"/>
  <c r="L188" i="3"/>
  <c r="B247" i="3"/>
  <c r="C236" i="3"/>
  <c r="F12" i="3"/>
  <c r="M150" i="3"/>
  <c r="J170" i="3"/>
  <c r="F148" i="3"/>
  <c r="G206" i="3"/>
  <c r="L110" i="3"/>
  <c r="N244" i="3"/>
  <c r="R222" i="3"/>
  <c r="D150" i="3"/>
  <c r="Q16" i="3"/>
  <c r="L96" i="3"/>
  <c r="N44" i="3"/>
  <c r="Q188" i="3"/>
  <c r="B19" i="3"/>
  <c r="C127" i="3"/>
  <c r="P222" i="3"/>
  <c r="Q71" i="3"/>
  <c r="C231" i="3"/>
  <c r="Q130" i="3"/>
  <c r="F200" i="3"/>
  <c r="G170" i="3"/>
  <c r="C220" i="3"/>
  <c r="F60" i="3"/>
  <c r="C123" i="3"/>
  <c r="L235" i="3"/>
  <c r="M84" i="3"/>
  <c r="E128" i="3"/>
  <c r="M228" i="3"/>
  <c r="K236" i="3"/>
  <c r="B119" i="3"/>
  <c r="R112" i="3"/>
  <c r="Q243" i="3"/>
  <c r="C52" i="3"/>
  <c r="C135" i="3"/>
  <c r="B192" i="3"/>
  <c r="N236" i="3"/>
  <c r="Q52" i="3"/>
  <c r="D148" i="3"/>
  <c r="M40" i="3"/>
  <c r="D68" i="3"/>
  <c r="O131" i="3"/>
  <c r="T66" i="3"/>
  <c r="E104" i="3"/>
  <c r="Q218" i="3"/>
  <c r="O190" i="3"/>
  <c r="M238" i="3"/>
  <c r="I55" i="3"/>
  <c r="K92" i="3"/>
  <c r="L187" i="3"/>
  <c r="B172" i="3"/>
  <c r="R187" i="3"/>
  <c r="N144" i="3"/>
  <c r="K144" i="3"/>
  <c r="I168" i="3"/>
  <c r="M211" i="3"/>
  <c r="N132" i="3"/>
  <c r="M180" i="3"/>
  <c r="G84" i="3"/>
  <c r="O135" i="3"/>
  <c r="L22" i="3"/>
  <c r="J54" i="3"/>
  <c r="O196" i="3"/>
  <c r="K204" i="3"/>
  <c r="F32" i="3"/>
  <c r="H88" i="3"/>
  <c r="B108" i="3"/>
  <c r="G148" i="3"/>
  <c r="I183" i="3"/>
  <c r="F109" i="3"/>
  <c r="O217" i="3"/>
  <c r="P207" i="3"/>
  <c r="R200" i="3"/>
  <c r="E93" i="3"/>
  <c r="P52" i="3"/>
  <c r="K215" i="3"/>
  <c r="G200" i="3"/>
  <c r="H72" i="3"/>
  <c r="O95" i="3"/>
  <c r="AL66" i="3"/>
  <c r="AD172" i="3"/>
  <c r="W199" i="3"/>
  <c r="S121" i="3"/>
  <c r="Y11" i="3"/>
  <c r="L81" i="3"/>
  <c r="J19" i="3"/>
  <c r="V216" i="3"/>
  <c r="Z210" i="3"/>
  <c r="Z235" i="3"/>
  <c r="C148" i="3"/>
  <c r="H117" i="3"/>
  <c r="R10" i="3"/>
  <c r="L176" i="3"/>
  <c r="P230" i="3"/>
  <c r="H146" i="3"/>
  <c r="R177" i="3"/>
  <c r="C188" i="3"/>
  <c r="Q104" i="3"/>
  <c r="N30" i="3"/>
  <c r="R152" i="3"/>
  <c r="K63" i="3"/>
  <c r="I246" i="3"/>
  <c r="G144" i="3"/>
  <c r="L36" i="3"/>
  <c r="K240" i="3"/>
  <c r="O136" i="3"/>
  <c r="F36" i="3"/>
  <c r="R15" i="3"/>
  <c r="R131" i="3"/>
  <c r="J192" i="3"/>
  <c r="F91" i="3"/>
  <c r="O249" i="3"/>
  <c r="E103" i="3"/>
  <c r="J167" i="3"/>
  <c r="F190" i="3"/>
  <c r="K16" i="3"/>
  <c r="R248" i="3"/>
  <c r="N10" i="3"/>
  <c r="D56" i="3"/>
  <c r="F136" i="3"/>
  <c r="C238" i="3"/>
  <c r="Y14" i="3"/>
  <c r="L141" i="3"/>
  <c r="D122" i="3"/>
  <c r="Q61" i="3"/>
  <c r="O123" i="3"/>
  <c r="K192" i="3"/>
  <c r="I199" i="3"/>
  <c r="N173" i="3"/>
  <c r="M60" i="3"/>
  <c r="E202" i="3"/>
  <c r="E99" i="3"/>
  <c r="R36" i="3"/>
  <c r="AA58" i="3"/>
  <c r="W91" i="3"/>
  <c r="Z135" i="3"/>
  <c r="L41" i="3"/>
  <c r="E222" i="3"/>
  <c r="D207" i="3"/>
  <c r="J10" i="3"/>
  <c r="AH200" i="3"/>
  <c r="AF109" i="3"/>
  <c r="U12" i="3"/>
  <c r="E237" i="3"/>
  <c r="U54" i="3"/>
  <c r="U134" i="3"/>
  <c r="W138" i="3"/>
  <c r="L113" i="3"/>
  <c r="H41" i="3"/>
  <c r="AB139" i="3"/>
  <c r="D77" i="3"/>
  <c r="U193" i="3"/>
  <c r="X102" i="3"/>
  <c r="AA226" i="3"/>
  <c r="N153" i="3"/>
  <c r="B158" i="3"/>
  <c r="S13" i="3"/>
  <c r="K158" i="3"/>
  <c r="L37" i="3"/>
  <c r="G41" i="3"/>
  <c r="J121" i="3"/>
  <c r="B233" i="3"/>
  <c r="AB192" i="3"/>
  <c r="J234" i="3"/>
  <c r="P157" i="3"/>
  <c r="B117" i="3"/>
  <c r="K54" i="3"/>
  <c r="C166" i="3"/>
  <c r="F122" i="3"/>
  <c r="F126" i="3"/>
  <c r="K102" i="3"/>
  <c r="T114" i="3"/>
  <c r="J71" i="3"/>
  <c r="D92" i="3"/>
  <c r="O39" i="3"/>
  <c r="B215" i="3"/>
  <c r="I134" i="3"/>
  <c r="B69" i="3"/>
  <c r="N58" i="3"/>
  <c r="H211" i="3"/>
  <c r="F72" i="3"/>
  <c r="I89" i="3"/>
  <c r="O42" i="3"/>
  <c r="D181" i="3"/>
  <c r="R70" i="3"/>
  <c r="Q10" i="3"/>
  <c r="E110" i="3"/>
  <c r="M44" i="3"/>
  <c r="P200" i="3"/>
  <c r="O247" i="3"/>
  <c r="Q48" i="3"/>
  <c r="B204" i="3"/>
  <c r="B155" i="3"/>
  <c r="F186" i="3"/>
  <c r="O194" i="3"/>
  <c r="O122" i="3"/>
  <c r="J202" i="3"/>
  <c r="D154" i="3"/>
  <c r="K15" i="3"/>
  <c r="F213" i="3"/>
  <c r="N224" i="3"/>
  <c r="O170" i="3"/>
  <c r="Q51" i="3"/>
  <c r="N42" i="3"/>
  <c r="O244" i="3"/>
  <c r="C172" i="3"/>
  <c r="D175" i="3"/>
  <c r="N168" i="3"/>
  <c r="I52" i="3"/>
  <c r="L12" i="3"/>
  <c r="Q64" i="3"/>
  <c r="J188" i="3"/>
  <c r="J207" i="3"/>
  <c r="Q212" i="3"/>
  <c r="M188" i="3"/>
  <c r="M127" i="3"/>
  <c r="O160" i="3"/>
  <c r="G44" i="3"/>
  <c r="J160" i="3"/>
  <c r="C84" i="3"/>
  <c r="D132" i="3"/>
  <c r="F195" i="3"/>
  <c r="K120" i="3"/>
  <c r="G140" i="3"/>
  <c r="M227" i="3"/>
  <c r="K207" i="3"/>
  <c r="O155" i="3"/>
  <c r="F92" i="3"/>
  <c r="D24" i="3"/>
  <c r="E240" i="3"/>
  <c r="AN117" i="3"/>
  <c r="AJ126" i="3"/>
  <c r="AK238" i="3"/>
  <c r="AD221" i="3"/>
  <c r="AH147" i="3"/>
  <c r="AJ219" i="3"/>
  <c r="Y60" i="3"/>
  <c r="AA119" i="3"/>
  <c r="AB45" i="3"/>
  <c r="Y66" i="3"/>
  <c r="AA122" i="3"/>
  <c r="V165" i="3"/>
  <c r="S31" i="3"/>
  <c r="O58" i="3"/>
  <c r="G21" i="3"/>
  <c r="O10" i="3"/>
  <c r="L241" i="3"/>
  <c r="T10" i="3"/>
  <c r="J73" i="3"/>
  <c r="W220" i="3"/>
  <c r="I57" i="3"/>
  <c r="R67" i="3"/>
  <c r="P225" i="3"/>
  <c r="P21" i="3"/>
  <c r="W52" i="3"/>
  <c r="M53" i="3"/>
  <c r="R94" i="3"/>
  <c r="X99" i="3"/>
  <c r="I102" i="3"/>
  <c r="M37" i="3"/>
  <c r="T70" i="3"/>
  <c r="N54" i="3"/>
  <c r="N59" i="3"/>
  <c r="P187" i="3"/>
  <c r="G177" i="3"/>
  <c r="D66" i="3"/>
  <c r="O103" i="3"/>
  <c r="E102" i="3"/>
  <c r="H86" i="3"/>
  <c r="P139" i="3"/>
  <c r="Q95" i="3"/>
  <c r="G166" i="3"/>
  <c r="N179" i="3"/>
  <c r="K83" i="3"/>
  <c r="H87" i="3"/>
  <c r="P154" i="3"/>
  <c r="F143" i="3"/>
  <c r="J36" i="3"/>
  <c r="M129" i="3"/>
  <c r="M251" i="3"/>
  <c r="D146" i="3"/>
  <c r="I154" i="3"/>
  <c r="P38" i="3"/>
  <c r="M146" i="3"/>
  <c r="N162" i="3"/>
  <c r="H174" i="3"/>
  <c r="F78" i="3"/>
  <c r="J84" i="3"/>
  <c r="Q244" i="3"/>
  <c r="B112" i="3"/>
  <c r="R134" i="3"/>
  <c r="C186" i="3"/>
  <c r="M147" i="3"/>
  <c r="D170" i="3"/>
  <c r="I230" i="3"/>
  <c r="J58" i="3"/>
  <c r="I28" i="3"/>
  <c r="I91" i="3"/>
  <c r="H234" i="3"/>
  <c r="K132" i="3"/>
  <c r="I192" i="3"/>
  <c r="P88" i="3"/>
  <c r="I96" i="3"/>
  <c r="G228" i="3"/>
  <c r="I152" i="3"/>
  <c r="O219" i="3"/>
  <c r="AO47" i="3"/>
  <c r="AP214" i="3"/>
  <c r="AJ54" i="3"/>
  <c r="AH227" i="3"/>
  <c r="AD237" i="3"/>
  <c r="AD95" i="3"/>
  <c r="S111" i="3"/>
  <c r="W209" i="3"/>
  <c r="Y202" i="3"/>
  <c r="W197" i="3"/>
  <c r="Y74" i="3"/>
  <c r="S180" i="3"/>
  <c r="W62" i="3"/>
  <c r="Y159" i="3"/>
  <c r="Y155" i="3"/>
  <c r="K109" i="3"/>
  <c r="Y207" i="3"/>
  <c r="H13" i="3"/>
  <c r="R57" i="3"/>
  <c r="T241" i="3"/>
  <c r="AA215" i="3"/>
  <c r="L169" i="3"/>
  <c r="W34" i="3"/>
  <c r="O149" i="3"/>
  <c r="V236" i="3"/>
  <c r="P129" i="3"/>
  <c r="R193" i="3"/>
  <c r="J194" i="3"/>
  <c r="C113" i="3"/>
  <c r="V186" i="3"/>
  <c r="U51" i="3"/>
  <c r="E29" i="3"/>
  <c r="E205" i="3"/>
  <c r="C51" i="3"/>
  <c r="Q80" i="3"/>
  <c r="Y111" i="3"/>
  <c r="J161" i="3"/>
  <c r="W48" i="3"/>
  <c r="J17" i="3"/>
  <c r="L157" i="3"/>
  <c r="C15" i="3"/>
  <c r="P123" i="3"/>
  <c r="B164" i="3"/>
  <c r="G74" i="3"/>
  <c r="L139" i="3"/>
  <c r="F22" i="3"/>
  <c r="M110" i="3"/>
  <c r="B42" i="3"/>
  <c r="B134" i="3"/>
  <c r="Q124" i="3"/>
  <c r="O87" i="3"/>
  <c r="K150" i="3"/>
  <c r="F234" i="3"/>
  <c r="P77" i="3"/>
  <c r="H66" i="3"/>
  <c r="B202" i="3"/>
  <c r="I130" i="3"/>
  <c r="H147" i="3"/>
  <c r="P20" i="3"/>
  <c r="F96" i="3"/>
  <c r="Q108" i="3"/>
  <c r="O158" i="3"/>
  <c r="E167" i="3"/>
  <c r="G237" i="3"/>
  <c r="Q242" i="3"/>
  <c r="F243" i="3"/>
  <c r="D233" i="3"/>
  <c r="Q86" i="3"/>
  <c r="G103" i="3"/>
  <c r="J183" i="3"/>
  <c r="O104" i="3"/>
  <c r="O243" i="3"/>
  <c r="O55" i="3"/>
  <c r="H131" i="3"/>
  <c r="J132" i="3"/>
  <c r="R76" i="3"/>
  <c r="Q12" i="3"/>
  <c r="C112" i="3"/>
  <c r="N192" i="3"/>
  <c r="N139" i="3"/>
  <c r="D192" i="3"/>
  <c r="M16" i="3"/>
  <c r="D212" i="3"/>
  <c r="L51" i="3"/>
  <c r="O208" i="3"/>
  <c r="H194" i="3"/>
  <c r="R188" i="3"/>
  <c r="AK61" i="3"/>
  <c r="AO11" i="3"/>
  <c r="AO234" i="3"/>
  <c r="AJ176" i="3"/>
  <c r="AF56" i="3"/>
  <c r="AD13" i="3"/>
  <c r="AD39" i="3"/>
  <c r="AA184" i="3"/>
  <c r="Y174" i="3"/>
  <c r="U177" i="3"/>
  <c r="X103" i="3"/>
  <c r="U241" i="3"/>
  <c r="Z143" i="3"/>
  <c r="V54" i="3"/>
  <c r="S62" i="3"/>
  <c r="Z57" i="3"/>
  <c r="V42" i="3"/>
  <c r="J26" i="3"/>
  <c r="X115" i="3"/>
  <c r="G109" i="3"/>
  <c r="S202" i="3"/>
  <c r="U247" i="3"/>
  <c r="B77" i="3"/>
  <c r="F15" i="3"/>
  <c r="T76" i="3"/>
  <c r="V217" i="3"/>
  <c r="U99" i="3"/>
  <c r="AB120" i="3"/>
  <c r="P173" i="3"/>
  <c r="F86" i="3"/>
  <c r="J99" i="3"/>
  <c r="L77" i="3"/>
  <c r="O21" i="3"/>
  <c r="F245" i="3"/>
  <c r="E37" i="3"/>
  <c r="AB249" i="3"/>
  <c r="F33" i="3"/>
  <c r="K181" i="3"/>
  <c r="J77" i="3"/>
  <c r="E207" i="3"/>
  <c r="W75" i="3"/>
  <c r="W250" i="3"/>
  <c r="M162" i="3"/>
  <c r="B113" i="3"/>
  <c r="AB169" i="3"/>
  <c r="Q45" i="3"/>
  <c r="M161" i="3"/>
  <c r="K233" i="3"/>
  <c r="F40" i="3"/>
  <c r="U171" i="3"/>
  <c r="G193" i="3"/>
  <c r="B167" i="3"/>
  <c r="M177" i="3"/>
  <c r="L171" i="3"/>
  <c r="K213" i="3"/>
  <c r="N19" i="3"/>
  <c r="Q110" i="3"/>
  <c r="H168" i="3"/>
  <c r="H247" i="3"/>
  <c r="D138" i="3"/>
  <c r="G79" i="3"/>
  <c r="O182" i="3"/>
  <c r="B190" i="3"/>
  <c r="K205" i="3"/>
  <c r="G122" i="3"/>
  <c r="L102" i="3"/>
  <c r="I88" i="3"/>
  <c r="F248" i="3"/>
  <c r="I104" i="3"/>
  <c r="R130" i="3"/>
  <c r="R51" i="3"/>
  <c r="D166" i="3"/>
  <c r="P205" i="3"/>
  <c r="I234" i="3"/>
  <c r="C83" i="3"/>
  <c r="Q23" i="3"/>
  <c r="L130" i="3"/>
  <c r="L99" i="3"/>
  <c r="M59" i="3"/>
  <c r="P76" i="3"/>
  <c r="C28" i="3"/>
  <c r="K175" i="3"/>
  <c r="I43" i="3"/>
  <c r="F102" i="3"/>
  <c r="G201" i="3"/>
  <c r="D186" i="3"/>
  <c r="H31" i="3"/>
  <c r="H142" i="3"/>
  <c r="K47" i="3"/>
  <c r="K178" i="3"/>
  <c r="L88" i="3"/>
  <c r="R52" i="3"/>
  <c r="L244" i="3"/>
  <c r="H223" i="3"/>
  <c r="H108" i="3"/>
  <c r="R156" i="3"/>
  <c r="D184" i="3"/>
  <c r="J232" i="3"/>
  <c r="M176" i="3"/>
  <c r="K24" i="3"/>
  <c r="Q96" i="3"/>
  <c r="E211" i="3"/>
  <c r="L168" i="3"/>
  <c r="R212" i="3"/>
  <c r="R100" i="3"/>
  <c r="B24" i="3"/>
  <c r="K148" i="3"/>
  <c r="R104" i="3"/>
  <c r="M160" i="3"/>
  <c r="N164" i="3"/>
  <c r="H61" i="3"/>
  <c r="D164" i="3"/>
  <c r="C226" i="3"/>
  <c r="D16" i="3"/>
  <c r="O242" i="3"/>
  <c r="M32" i="3"/>
  <c r="M152" i="3"/>
  <c r="R128" i="3"/>
  <c r="R124" i="3"/>
  <c r="O188" i="3"/>
  <c r="C183" i="3"/>
  <c r="G247" i="3"/>
  <c r="G250" i="3"/>
  <c r="D196" i="3"/>
  <c r="O56" i="3"/>
  <c r="F220" i="3"/>
  <c r="H52" i="3"/>
  <c r="L23" i="3"/>
  <c r="Q233" i="3"/>
  <c r="I115" i="3"/>
  <c r="B76" i="3"/>
  <c r="G151" i="3"/>
  <c r="F68" i="3"/>
  <c r="J151" i="3"/>
  <c r="I220" i="3"/>
  <c r="J20" i="3"/>
  <c r="Q191" i="3"/>
  <c r="N228" i="3"/>
  <c r="D200" i="3"/>
  <c r="E182" i="3"/>
  <c r="M120" i="3"/>
  <c r="F26" i="3"/>
  <c r="I245" i="3"/>
  <c r="B54" i="3"/>
  <c r="P58" i="3"/>
  <c r="O180" i="3"/>
  <c r="R83" i="3"/>
  <c r="N88" i="3"/>
  <c r="K139" i="3"/>
  <c r="K44" i="3"/>
  <c r="F152" i="3"/>
  <c r="P142" i="3"/>
  <c r="H217" i="3"/>
  <c r="I145" i="3"/>
  <c r="J68" i="3"/>
  <c r="R132" i="3"/>
  <c r="I20" i="3"/>
  <c r="N99" i="3"/>
  <c r="J90" i="3"/>
  <c r="B59" i="3"/>
  <c r="I15" i="3"/>
  <c r="E245" i="3"/>
  <c r="B18" i="3"/>
  <c r="M128" i="3"/>
  <c r="R90" i="3"/>
  <c r="G48" i="3"/>
  <c r="P235" i="3"/>
  <c r="K239" i="3"/>
  <c r="C27" i="3"/>
  <c r="AJ115" i="3"/>
  <c r="AD82" i="3"/>
  <c r="T22" i="3"/>
  <c r="Y171" i="3"/>
  <c r="U147" i="3"/>
  <c r="Z104" i="3"/>
  <c r="T174" i="3"/>
  <c r="C78" i="3"/>
  <c r="I41" i="3"/>
  <c r="G137" i="3"/>
  <c r="AB210" i="3"/>
  <c r="Q161" i="3"/>
  <c r="C11" i="3"/>
  <c r="O27" i="3"/>
  <c r="R72" i="3"/>
  <c r="D67" i="3"/>
  <c r="Q46" i="3"/>
  <c r="J185" i="3"/>
  <c r="Q173" i="3"/>
  <c r="P214" i="3"/>
  <c r="N119" i="3"/>
  <c r="C195" i="3"/>
  <c r="M196" i="3"/>
  <c r="R176" i="3"/>
  <c r="G72" i="3"/>
  <c r="F196" i="3"/>
  <c r="Q127" i="3"/>
  <c r="I129" i="3"/>
  <c r="K55" i="3"/>
  <c r="E119" i="3"/>
  <c r="B135" i="3"/>
  <c r="G204" i="3"/>
  <c r="B124" i="3"/>
  <c r="O80" i="3"/>
  <c r="E247" i="3"/>
  <c r="C23" i="3"/>
  <c r="N40" i="3"/>
  <c r="J116" i="3"/>
  <c r="B143" i="3"/>
  <c r="R192" i="3"/>
  <c r="G207" i="3"/>
  <c r="Z231" i="3"/>
  <c r="J153" i="3"/>
  <c r="I71" i="3"/>
  <c r="K46" i="3"/>
  <c r="N231" i="3"/>
  <c r="K206" i="3"/>
  <c r="L32" i="3"/>
  <c r="B206" i="3"/>
  <c r="H214" i="3"/>
  <c r="F211" i="3"/>
  <c r="L44" i="3"/>
  <c r="H120" i="3"/>
  <c r="AB180" i="3"/>
  <c r="Z186" i="3"/>
  <c r="F182" i="3"/>
  <c r="B178" i="3"/>
  <c r="F124" i="3"/>
  <c r="I222" i="3"/>
  <c r="Q232" i="3"/>
  <c r="AO36" i="3"/>
  <c r="S144" i="3"/>
  <c r="Y230" i="3"/>
  <c r="X95" i="3"/>
  <c r="V11" i="3"/>
  <c r="V46" i="3"/>
  <c r="T182" i="3"/>
  <c r="X110" i="3"/>
  <c r="O78" i="3"/>
  <c r="E98" i="3"/>
  <c r="T120" i="3"/>
  <c r="B9" i="3"/>
  <c r="T29" i="3"/>
  <c r="W66" i="3"/>
  <c r="K103" i="3"/>
  <c r="P130" i="3"/>
  <c r="W239" i="3"/>
  <c r="Y81" i="3"/>
  <c r="F225" i="3"/>
  <c r="B26" i="3"/>
  <c r="C99" i="3"/>
  <c r="O203" i="3"/>
  <c r="T221" i="3"/>
  <c r="S54" i="3"/>
  <c r="T184" i="3"/>
  <c r="X52" i="3"/>
  <c r="I175" i="3"/>
  <c r="M36" i="3"/>
  <c r="H79" i="3"/>
  <c r="L116" i="3"/>
  <c r="E183" i="3"/>
  <c r="L63" i="3"/>
  <c r="C214" i="3"/>
  <c r="H224" i="3"/>
  <c r="C155" i="3"/>
  <c r="H196" i="3"/>
  <c r="O86" i="3"/>
  <c r="E82" i="3"/>
  <c r="B70" i="3"/>
  <c r="P83" i="3"/>
  <c r="H215" i="3"/>
  <c r="B226" i="3"/>
  <c r="B150" i="3"/>
  <c r="O105" i="3"/>
  <c r="G182" i="3"/>
  <c r="G133" i="3"/>
  <c r="E39" i="3"/>
  <c r="O211" i="3"/>
  <c r="O140" i="3"/>
  <c r="E48" i="3"/>
  <c r="J140" i="3"/>
  <c r="Q220" i="3"/>
  <c r="L192" i="3"/>
  <c r="P183" i="3"/>
  <c r="U43" i="3"/>
  <c r="J243" i="3"/>
  <c r="G108" i="3"/>
  <c r="E151" i="3"/>
  <c r="R22" i="3"/>
  <c r="E122" i="3"/>
  <c r="G196" i="3"/>
  <c r="C171" i="3"/>
  <c r="J70" i="3"/>
  <c r="J158" i="3"/>
  <c r="F216" i="3"/>
  <c r="N235" i="3"/>
  <c r="R135" i="3"/>
  <c r="M140" i="3"/>
  <c r="P32" i="3"/>
  <c r="K52" i="3"/>
  <c r="K112" i="3"/>
  <c r="N160" i="3"/>
  <c r="M223" i="3"/>
  <c r="K152" i="3"/>
  <c r="L160" i="3"/>
  <c r="B163" i="3"/>
  <c r="D176" i="3"/>
  <c r="O24" i="3"/>
  <c r="L20" i="3"/>
  <c r="N172" i="3"/>
  <c r="I56" i="3"/>
  <c r="N196" i="3"/>
  <c r="D71" i="3"/>
  <c r="G76" i="3"/>
  <c r="J248" i="3"/>
  <c r="N187" i="3"/>
  <c r="H208" i="3"/>
  <c r="P72" i="3"/>
  <c r="K40" i="3"/>
  <c r="O184" i="3"/>
  <c r="AH185" i="3"/>
  <c r="AJ169" i="3"/>
  <c r="AI245" i="3"/>
  <c r="AJ107" i="3"/>
  <c r="AC125" i="3"/>
  <c r="AC150" i="3"/>
  <c r="W170" i="3"/>
  <c r="S175" i="3"/>
  <c r="Z114" i="3"/>
  <c r="W211" i="3"/>
  <c r="S39" i="3"/>
  <c r="AB81" i="3"/>
  <c r="AA43" i="3"/>
  <c r="X241" i="3"/>
  <c r="F237" i="3"/>
  <c r="Y42" i="3"/>
  <c r="I250" i="3"/>
  <c r="D133" i="3"/>
  <c r="K189" i="3"/>
  <c r="W104" i="3"/>
  <c r="E146" i="3"/>
  <c r="V240" i="3"/>
  <c r="C110" i="3"/>
  <c r="O197" i="3"/>
  <c r="H38" i="3"/>
  <c r="M31" i="3"/>
  <c r="G246" i="3"/>
  <c r="D81" i="3"/>
  <c r="S78" i="3"/>
  <c r="N117" i="3"/>
  <c r="K81" i="3"/>
  <c r="D65" i="3"/>
  <c r="R213" i="3"/>
  <c r="L131" i="3"/>
  <c r="B198" i="3"/>
  <c r="Q222" i="3"/>
  <c r="M46" i="3"/>
  <c r="I92" i="3"/>
  <c r="L202" i="3"/>
  <c r="F212" i="3"/>
  <c r="I146" i="3"/>
  <c r="R26" i="3"/>
  <c r="K122" i="3"/>
  <c r="P104" i="3"/>
  <c r="Q201" i="3"/>
  <c r="D198" i="3"/>
  <c r="E188" i="3"/>
  <c r="L206" i="3"/>
  <c r="C38" i="3"/>
  <c r="D108" i="3"/>
  <c r="G143" i="3"/>
  <c r="M151" i="3"/>
  <c r="C203" i="3"/>
  <c r="M233" i="3"/>
  <c r="D163" i="3"/>
  <c r="N171" i="3"/>
  <c r="R219" i="3"/>
  <c r="E171" i="3"/>
  <c r="O200" i="3"/>
  <c r="C108" i="3"/>
  <c r="I99" i="3"/>
  <c r="L78" i="3"/>
  <c r="R225" i="3"/>
  <c r="R241" i="3"/>
  <c r="F209" i="3"/>
  <c r="H55" i="3"/>
  <c r="G136" i="3"/>
  <c r="O228" i="3"/>
  <c r="P204" i="3"/>
  <c r="L24" i="3"/>
  <c r="J219" i="3"/>
  <c r="J52" i="3"/>
  <c r="I239" i="3"/>
  <c r="G55" i="3"/>
  <c r="D83" i="3"/>
  <c r="AP49" i="3"/>
  <c r="AO182" i="3"/>
  <c r="AF226" i="3"/>
  <c r="AJ152" i="3"/>
  <c r="AF128" i="3"/>
  <c r="AF63" i="3"/>
  <c r="AC244" i="3"/>
  <c r="S171" i="3"/>
  <c r="T123" i="3"/>
  <c r="AB23" i="3"/>
  <c r="AA197" i="3"/>
  <c r="X183" i="3"/>
  <c r="AB250" i="3"/>
  <c r="AA173" i="3"/>
  <c r="U46" i="3"/>
  <c r="AB196" i="3"/>
  <c r="T237" i="3"/>
  <c r="P57" i="3"/>
  <c r="O165" i="3"/>
  <c r="C69" i="3"/>
  <c r="D105" i="3"/>
  <c r="H198" i="3"/>
  <c r="B125" i="3"/>
  <c r="J21" i="3"/>
  <c r="AA248" i="3"/>
  <c r="V187" i="3"/>
  <c r="C206" i="3"/>
  <c r="H213" i="3"/>
  <c r="U166" i="3"/>
  <c r="G230" i="3"/>
  <c r="F217" i="3"/>
  <c r="AA37" i="3"/>
  <c r="B53" i="3"/>
  <c r="Q151" i="3"/>
  <c r="F55" i="3"/>
  <c r="H191" i="3"/>
  <c r="T9" i="3"/>
  <c r="F54" i="3"/>
  <c r="T42" i="3"/>
  <c r="AA79" i="3"/>
  <c r="O161" i="3"/>
  <c r="Q149" i="3"/>
  <c r="B131" i="3"/>
  <c r="G71" i="3"/>
  <c r="F76" i="3"/>
  <c r="L234" i="3"/>
  <c r="O108" i="3"/>
  <c r="K11" i="3"/>
  <c r="L91" i="3"/>
  <c r="E68" i="3"/>
  <c r="E47" i="3"/>
  <c r="B242" i="3"/>
  <c r="E163" i="3"/>
  <c r="L67" i="3"/>
  <c r="D147" i="3"/>
  <c r="U227" i="3"/>
  <c r="G197" i="3"/>
  <c r="N243" i="3"/>
  <c r="B210" i="3"/>
  <c r="Q84" i="3"/>
  <c r="E11" i="3"/>
  <c r="B230" i="3"/>
  <c r="Q72" i="3"/>
  <c r="N91" i="3"/>
  <c r="Q92" i="3"/>
  <c r="D84" i="3"/>
  <c r="O232" i="3"/>
  <c r="B136" i="3"/>
  <c r="N208" i="3"/>
  <c r="AF219" i="3"/>
  <c r="S149" i="3"/>
  <c r="X43" i="3"/>
  <c r="AB245" i="3"/>
  <c r="V84" i="3"/>
  <c r="C213" i="3"/>
  <c r="R114" i="3"/>
  <c r="J65" i="3"/>
  <c r="T125" i="3"/>
  <c r="X130" i="3"/>
  <c r="Y188" i="3"/>
  <c r="D224" i="3"/>
  <c r="H158" i="3"/>
  <c r="O16" i="3"/>
  <c r="N220" i="3"/>
  <c r="Q177" i="3"/>
  <c r="L208" i="3"/>
  <c r="G15" i="3"/>
  <c r="I249" i="3"/>
  <c r="L76" i="3"/>
  <c r="I135" i="3"/>
  <c r="R47" i="3"/>
  <c r="N155" i="3"/>
  <c r="R103" i="3"/>
  <c r="O84" i="3"/>
  <c r="O191" i="3"/>
  <c r="I212" i="3"/>
  <c r="C230" i="3"/>
  <c r="C60" i="3"/>
  <c r="N203" i="3"/>
  <c r="P24" i="3"/>
  <c r="D36" i="3"/>
  <c r="I44" i="3"/>
  <c r="B127" i="3"/>
  <c r="H192" i="3"/>
  <c r="I181" i="3"/>
  <c r="I160" i="3"/>
  <c r="M194" i="3"/>
  <c r="R172" i="3"/>
  <c r="A5" i="5" l="1"/>
  <c r="B5" i="5"/>
  <c r="C5" i="5"/>
  <c r="F9" i="5"/>
  <c r="E9" i="5"/>
  <c r="G9" i="5"/>
  <c r="I8" i="5"/>
  <c r="K8" i="5"/>
  <c r="J8" i="5"/>
  <c r="G6" i="5"/>
  <c r="F6" i="5"/>
  <c r="E6" i="5"/>
  <c r="I6" i="5"/>
  <c r="K6" i="5"/>
  <c r="J6" i="5"/>
  <c r="K7" i="5"/>
  <c r="J7" i="5"/>
  <c r="I7" i="5"/>
  <c r="G8" i="5"/>
  <c r="F8" i="5"/>
  <c r="E8" i="5"/>
  <c r="K9" i="5"/>
  <c r="J9" i="5"/>
  <c r="I9" i="5"/>
  <c r="A7" i="5"/>
  <c r="C7" i="5"/>
  <c r="B7" i="5"/>
  <c r="C6" i="5"/>
  <c r="B6" i="5"/>
  <c r="A6" i="5"/>
  <c r="F5" i="5"/>
  <c r="E5" i="5"/>
  <c r="G5" i="5"/>
  <c r="A9" i="5"/>
  <c r="C9" i="5"/>
  <c r="B9" i="5"/>
  <c r="C8" i="5"/>
  <c r="B8" i="5"/>
  <c r="A8" i="5"/>
  <c r="K5" i="5"/>
  <c r="J5" i="5"/>
  <c r="I5" i="5"/>
  <c r="F7" i="5"/>
  <c r="E7" i="5"/>
  <c r="G7" i="5"/>
  <c r="I4" i="5"/>
  <c r="K4" i="5"/>
  <c r="J4" i="5"/>
  <c r="C4" i="5"/>
  <c r="B4" i="5"/>
  <c r="A4" i="5"/>
  <c r="G4" i="5"/>
  <c r="E4" i="5"/>
  <c r="F4" i="5"/>
  <c r="C32" i="5" l="1"/>
  <c r="B32" i="5"/>
  <c r="A32" i="5"/>
  <c r="F42" i="5"/>
  <c r="E42" i="5"/>
  <c r="G42" i="5"/>
  <c r="C22" i="5"/>
  <c r="A22" i="5"/>
  <c r="B22" i="5"/>
  <c r="K35" i="5"/>
  <c r="J35" i="5"/>
  <c r="I35" i="5"/>
  <c r="F44" i="5"/>
  <c r="E44" i="5"/>
  <c r="G44" i="5"/>
  <c r="F22" i="5"/>
  <c r="G22" i="5"/>
  <c r="E22" i="5"/>
  <c r="F39" i="5"/>
  <c r="E39" i="5"/>
  <c r="G39" i="5"/>
  <c r="I24" i="5"/>
  <c r="K24" i="5"/>
  <c r="J24" i="5"/>
  <c r="I20" i="5"/>
  <c r="K20" i="5"/>
  <c r="J20" i="5"/>
  <c r="A37" i="5"/>
  <c r="C37" i="5"/>
  <c r="B37" i="5"/>
  <c r="C28" i="5"/>
  <c r="A28" i="5"/>
  <c r="B28" i="5"/>
  <c r="C13" i="5"/>
  <c r="B13" i="5"/>
  <c r="A13" i="5"/>
  <c r="K43" i="5"/>
  <c r="J43" i="5"/>
  <c r="I43" i="5"/>
  <c r="I17" i="5"/>
  <c r="J17" i="5"/>
  <c r="K17" i="5"/>
  <c r="I11" i="5"/>
  <c r="K11" i="5"/>
  <c r="J11" i="5"/>
  <c r="I13" i="5"/>
  <c r="K13" i="5"/>
  <c r="J13" i="5"/>
  <c r="K27" i="5"/>
  <c r="I27" i="5"/>
  <c r="J27" i="5"/>
  <c r="F33" i="5"/>
  <c r="E33" i="5"/>
  <c r="G33" i="5"/>
  <c r="C17" i="5"/>
  <c r="B17" i="5"/>
  <c r="A17" i="5"/>
  <c r="F21" i="5"/>
  <c r="G21" i="5"/>
  <c r="E21" i="5"/>
  <c r="G38" i="5"/>
  <c r="F38" i="5"/>
  <c r="E38" i="5"/>
  <c r="C11" i="5"/>
  <c r="B11" i="5"/>
  <c r="A11" i="5"/>
  <c r="F24" i="5"/>
  <c r="E24" i="5"/>
  <c r="G24" i="5"/>
  <c r="F25" i="5"/>
  <c r="G25" i="5"/>
  <c r="E25" i="5"/>
  <c r="F27" i="5"/>
  <c r="G27" i="5"/>
  <c r="E27" i="5"/>
  <c r="A33" i="5"/>
  <c r="C33" i="5"/>
  <c r="B33" i="5"/>
  <c r="K16" i="5"/>
  <c r="I16" i="5"/>
  <c r="J16" i="5"/>
  <c r="F37" i="5"/>
  <c r="E37" i="5"/>
  <c r="G37" i="5"/>
  <c r="K37" i="5"/>
  <c r="J37" i="5"/>
  <c r="I37" i="5"/>
  <c r="A14" i="5"/>
  <c r="C14" i="5"/>
  <c r="B14" i="5"/>
  <c r="C24" i="5"/>
  <c r="A24" i="5"/>
  <c r="B24" i="5"/>
  <c r="A41" i="5"/>
  <c r="C41" i="5"/>
  <c r="B41" i="5"/>
  <c r="G17" i="5"/>
  <c r="F17" i="5"/>
  <c r="E17" i="5"/>
  <c r="K33" i="5"/>
  <c r="J33" i="5"/>
  <c r="I33" i="5"/>
  <c r="K41" i="5"/>
  <c r="J41" i="5"/>
  <c r="I41" i="5"/>
  <c r="F12" i="5"/>
  <c r="E12" i="5"/>
  <c r="G12" i="5"/>
  <c r="A43" i="5"/>
  <c r="F29" i="5"/>
  <c r="G29" i="5"/>
  <c r="E29" i="5"/>
  <c r="K12" i="5"/>
  <c r="J12" i="5"/>
  <c r="I12" i="5"/>
  <c r="K31" i="5"/>
  <c r="J31" i="5"/>
  <c r="I31" i="5"/>
  <c r="F43" i="5"/>
  <c r="E43" i="5"/>
  <c r="G43" i="5"/>
  <c r="I32" i="5"/>
  <c r="K32" i="5"/>
  <c r="J32" i="5"/>
  <c r="A25" i="5"/>
  <c r="C25" i="5"/>
  <c r="B25" i="5"/>
  <c r="I15" i="5"/>
  <c r="K15" i="5"/>
  <c r="J15" i="5"/>
  <c r="F23" i="5"/>
  <c r="G23" i="5"/>
  <c r="E23" i="5"/>
  <c r="A39" i="5"/>
  <c r="C39" i="5"/>
  <c r="B39" i="5"/>
  <c r="A31" i="5"/>
  <c r="C31" i="5"/>
  <c r="B31" i="5"/>
  <c r="K21" i="5"/>
  <c r="I21" i="5"/>
  <c r="J21" i="5"/>
  <c r="F16" i="5"/>
  <c r="G16" i="5"/>
  <c r="E16" i="5"/>
  <c r="I26" i="5"/>
  <c r="K26" i="5"/>
  <c r="J26" i="5"/>
  <c r="C30" i="5"/>
  <c r="A30" i="5"/>
  <c r="B30" i="5"/>
  <c r="I19" i="5"/>
  <c r="K19" i="5"/>
  <c r="J19" i="5"/>
  <c r="K29" i="5"/>
  <c r="I29" i="5"/>
  <c r="J29" i="5"/>
  <c r="F41" i="5"/>
  <c r="E41" i="5"/>
  <c r="G41" i="5"/>
  <c r="G15" i="5"/>
  <c r="F15" i="5"/>
  <c r="E15" i="5"/>
  <c r="A18" i="5"/>
  <c r="C18" i="5"/>
  <c r="B18" i="5"/>
  <c r="F18" i="5"/>
  <c r="G18" i="5"/>
  <c r="E18" i="5"/>
  <c r="C40" i="5"/>
  <c r="B40" i="5"/>
  <c r="A40" i="5"/>
  <c r="C36" i="5"/>
  <c r="B36" i="5"/>
  <c r="A36" i="5"/>
  <c r="A29" i="5"/>
  <c r="C29" i="5"/>
  <c r="B29" i="5"/>
  <c r="K44" i="5"/>
  <c r="J44" i="5"/>
  <c r="I44" i="5"/>
  <c r="F31" i="5"/>
  <c r="E31" i="5"/>
  <c r="G31" i="5"/>
  <c r="A42" i="5"/>
  <c r="A12" i="5"/>
  <c r="C12" i="5"/>
  <c r="B12" i="5"/>
  <c r="A20" i="5"/>
  <c r="C20" i="5"/>
  <c r="B20" i="5"/>
  <c r="E19" i="5"/>
  <c r="G19" i="5"/>
  <c r="F19" i="5"/>
  <c r="A27" i="5"/>
  <c r="C27" i="5"/>
  <c r="B27" i="5"/>
  <c r="C26" i="5"/>
  <c r="A26" i="5"/>
  <c r="B26" i="5"/>
  <c r="A35" i="5"/>
  <c r="C35" i="5"/>
  <c r="B35" i="5"/>
  <c r="F35" i="5"/>
  <c r="E35" i="5"/>
  <c r="G35" i="5"/>
  <c r="I38" i="5"/>
  <c r="K38" i="5"/>
  <c r="J38" i="5"/>
  <c r="K14" i="5"/>
  <c r="J14" i="5"/>
  <c r="I14" i="5"/>
  <c r="I28" i="5"/>
  <c r="K28" i="5"/>
  <c r="J28" i="5"/>
  <c r="F14" i="5"/>
  <c r="G14" i="5"/>
  <c r="E14" i="5"/>
  <c r="I34" i="5"/>
  <c r="K34" i="5"/>
  <c r="J34" i="5"/>
  <c r="A16" i="5"/>
  <c r="B16" i="5"/>
  <c r="C16" i="5"/>
  <c r="I30" i="5"/>
  <c r="K30" i="5"/>
  <c r="J30" i="5"/>
  <c r="A23" i="5"/>
  <c r="C23" i="5"/>
  <c r="B23" i="5"/>
  <c r="K18" i="5"/>
  <c r="J18" i="5"/>
  <c r="I18" i="5"/>
  <c r="G32" i="5"/>
  <c r="F32" i="5"/>
  <c r="E32" i="5"/>
  <c r="A21" i="5"/>
  <c r="C21" i="5"/>
  <c r="B21" i="5"/>
  <c r="F10" i="5"/>
  <c r="G10" i="5"/>
  <c r="E10" i="5"/>
  <c r="I36" i="5"/>
  <c r="K36" i="5"/>
  <c r="J36" i="5"/>
  <c r="E11" i="5"/>
  <c r="G11" i="5"/>
  <c r="F11" i="5"/>
  <c r="C34" i="5"/>
  <c r="B34" i="5"/>
  <c r="A34" i="5"/>
  <c r="K10" i="5"/>
  <c r="J10" i="5"/>
  <c r="I10" i="5"/>
  <c r="G40" i="5"/>
  <c r="F40" i="5"/>
  <c r="E40" i="5"/>
  <c r="K39" i="5"/>
  <c r="J39" i="5"/>
  <c r="I39" i="5"/>
  <c r="G36" i="5"/>
  <c r="F36" i="5"/>
  <c r="E36" i="5"/>
  <c r="K25" i="5"/>
  <c r="I25" i="5"/>
  <c r="J25" i="5"/>
  <c r="I40" i="5"/>
  <c r="K40" i="5"/>
  <c r="J40" i="5"/>
  <c r="F13" i="5"/>
  <c r="E13" i="5"/>
  <c r="G13" i="5"/>
  <c r="C10" i="5"/>
  <c r="B10" i="5"/>
  <c r="A10" i="5"/>
  <c r="F20" i="5"/>
  <c r="E20" i="5"/>
  <c r="G20" i="5"/>
  <c r="I22" i="5"/>
  <c r="K22" i="5"/>
  <c r="J22" i="5"/>
  <c r="F26" i="5"/>
  <c r="E26" i="5"/>
  <c r="G26" i="5"/>
  <c r="K42" i="5"/>
  <c r="J42" i="5"/>
  <c r="I42" i="5"/>
  <c r="C15" i="5"/>
  <c r="A15" i="5"/>
  <c r="B15" i="5"/>
  <c r="F28" i="5"/>
  <c r="E28" i="5"/>
  <c r="G28" i="5"/>
  <c r="A44" i="5"/>
  <c r="C19" i="5"/>
  <c r="B19" i="5"/>
  <c r="A19" i="5"/>
  <c r="F30" i="5"/>
  <c r="E30" i="5"/>
  <c r="G30" i="5"/>
  <c r="C38" i="5"/>
  <c r="B38" i="5"/>
  <c r="A38" i="5"/>
  <c r="G34" i="5"/>
  <c r="F34" i="5"/>
  <c r="E34" i="5"/>
  <c r="K23" i="5"/>
  <c r="I23" i="5"/>
  <c r="J23" i="5"/>
</calcChain>
</file>

<file path=xl/sharedStrings.xml><?xml version="1.0" encoding="utf-8"?>
<sst xmlns="http://schemas.openxmlformats.org/spreadsheetml/2006/main" count="238" uniqueCount="101">
  <si>
    <t>Match Data</t>
  </si>
  <si>
    <t>Customization</t>
  </si>
  <si>
    <t>Team Name</t>
  </si>
  <si>
    <t>Nothing</t>
  </si>
  <si>
    <t>Cross Line</t>
  </si>
  <si>
    <t>Climbing</t>
  </si>
  <si>
    <t>Auto Score</t>
  </si>
  <si>
    <t>Tele Score</t>
  </si>
  <si>
    <t>Total</t>
  </si>
  <si>
    <t>Information</t>
  </si>
  <si>
    <t>Team Numbers</t>
  </si>
  <si>
    <t>Options for Starting Locations</t>
  </si>
  <si>
    <t>Options for Ending Locations</t>
  </si>
  <si>
    <t>INSTRUCTIONS</t>
  </si>
  <si>
    <t>Boiler</t>
  </si>
  <si>
    <t>Launchpad</t>
  </si>
  <si>
    <t>Insert the team numbers you want to scout in Column B.</t>
  </si>
  <si>
    <t>Teleop</t>
  </si>
  <si>
    <t>Errors</t>
  </si>
  <si>
    <t xml:space="preserve"> </t>
  </si>
  <si>
    <t>Middle</t>
  </si>
  <si>
    <t>Neutral Zone</t>
  </si>
  <si>
    <t>Feeder</t>
  </si>
  <si>
    <t>Match</t>
  </si>
  <si>
    <t>Use the "Data Entry" tab to scout teams at your competition.</t>
  </si>
  <si>
    <t>The only place you should ever enter data from now on is in the "Data Entry" tab.</t>
  </si>
  <si>
    <t>Everything else is automatic.</t>
  </si>
  <si>
    <t>At any time, you can veiw a team's cumulative data by going to the tab with their name.</t>
  </si>
  <si>
    <t>The "Data" tab contains cumulative data on every team.</t>
  </si>
  <si>
    <t>Use the filters there to sort the teams in the order of your choosing.</t>
  </si>
  <si>
    <t>NOTICE</t>
  </si>
  <si>
    <t xml:space="preserve">This scouting form was designed by KING TeC 2169 from Prior Lake, Minnesota.  </t>
  </si>
  <si>
    <t>It is designed to be used by anyone at any competition.</t>
  </si>
  <si>
    <t>Team #</t>
  </si>
  <si>
    <t>Simply follow the instructions given and input your data.</t>
  </si>
  <si>
    <t>For information about KING TeC, check out our website at kingtec2169.com</t>
  </si>
  <si>
    <t>Notes</t>
  </si>
  <si>
    <t>Location of Error</t>
  </si>
  <si>
    <t>Options for D,E,M,N,S,U</t>
  </si>
  <si>
    <t>Options for F,O</t>
  </si>
  <si>
    <t>Options for J,T</t>
  </si>
  <si>
    <t>Match #</t>
  </si>
  <si>
    <t>Press the button in the D Column.  If you press the button early, redownload and start over.</t>
  </si>
  <si>
    <t>Insert your custom Starting/Ending Locations in Columns E and F.  Some defaults are given.</t>
  </si>
  <si>
    <t>at any time, you can veiw a team's cumulative data by going to the tab with their name.</t>
  </si>
  <si>
    <t>Autonomous Day 2</t>
  </si>
  <si>
    <t>Totals Day 2</t>
  </si>
  <si>
    <t>Cubes in Scale</t>
  </si>
  <si>
    <t>Cubes in Switch</t>
  </si>
  <si>
    <t>Exchange</t>
  </si>
  <si>
    <t>Supproted Climbing</t>
  </si>
  <si>
    <t>Supported Climbing</t>
  </si>
  <si>
    <t>Auto</t>
  </si>
  <si>
    <t>Cubes in Swtich</t>
  </si>
  <si>
    <t>Cubes Scale</t>
  </si>
  <si>
    <t>Cubes Switch</t>
  </si>
  <si>
    <t>Day 2 Teleop</t>
  </si>
  <si>
    <t>Last Match of Day 1</t>
  </si>
  <si>
    <t>Teleop Day 2</t>
  </si>
  <si>
    <t>Median Auto Day 1</t>
  </si>
  <si>
    <t>Teleop Day 1</t>
  </si>
  <si>
    <t>Autonomous Day 1</t>
  </si>
  <si>
    <t>Median Auto Day 2</t>
  </si>
  <si>
    <t>Median Teleop Day 1</t>
  </si>
  <si>
    <t>Median Teleop Day 2</t>
  </si>
  <si>
    <t>Totals Day 1</t>
  </si>
  <si>
    <t>Autonomous Both Days</t>
  </si>
  <si>
    <t xml:space="preserve">Teleop Both Days </t>
  </si>
  <si>
    <t>Median Auto Both Days</t>
  </si>
  <si>
    <t>Median Teleop Both Days</t>
  </si>
  <si>
    <t xml:space="preserve">Totals Both Days </t>
  </si>
  <si>
    <t>Auto Day 2</t>
  </si>
  <si>
    <t>Auto Day 1</t>
  </si>
  <si>
    <t>Auto Both Days</t>
  </si>
  <si>
    <t>Teleop Both Days</t>
  </si>
  <si>
    <t>Auto Median Day 1</t>
  </si>
  <si>
    <t>Teleop Median Day 1</t>
  </si>
  <si>
    <t>Auto Median Day 2</t>
  </si>
  <si>
    <t>Teleop Median Day 2</t>
  </si>
  <si>
    <t>Auto Median Both Days</t>
  </si>
  <si>
    <t>Teleop Median Both Days</t>
  </si>
  <si>
    <t>It was edited for the Power Up competion by team 2605. We improved on the Data and</t>
  </si>
  <si>
    <t xml:space="preserve">Template pages to better record and evalulate the data. </t>
  </si>
  <si>
    <t>NOTE: If you edit the column tabs make sure that all of ones with the same name are changed</t>
  </si>
  <si>
    <t xml:space="preserve">If you need to edit the cell formulas make a copy of the file and edit it there. Also edit the </t>
  </si>
  <si>
    <t>template before you add that teams so it applys to all the team tabs when you create the teams</t>
  </si>
  <si>
    <t>Scale Bot</t>
  </si>
  <si>
    <t>Switch Bot</t>
  </si>
  <si>
    <t>Exchange Bot</t>
  </si>
  <si>
    <t>Theorectical Climb</t>
  </si>
  <si>
    <t>Average</t>
  </si>
  <si>
    <t>Median</t>
  </si>
  <si>
    <t>Climb</t>
  </si>
  <si>
    <t>#6959</t>
  </si>
  <si>
    <t>Min Height</t>
  </si>
  <si>
    <t>Max Height</t>
  </si>
  <si>
    <t>Weight</t>
  </si>
  <si>
    <t>Distance Between Wheels</t>
  </si>
  <si>
    <t>Drive Train</t>
  </si>
  <si>
    <t>Brak Mode</t>
  </si>
  <si>
    <t>Preffered Start 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</si>
</sst>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1" x14ac:knownFonts="1">
    <font>
      <sz val="10"/>
      <color rgb="FF000000"/>
      <name val="Arial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CCCCCC"/>
        <bgColor rgb="FFCCCCCC"/>
      </patternFill>
    </fill>
    <fill>
      <patternFill patternType="solid">
        <fgColor rgb="FFE06666"/>
        <bgColor rgb="FFE06666"/>
      </patternFill>
    </fill>
    <fill>
      <patternFill patternType="solid">
        <fgColor rgb="FF6FA8DC"/>
        <bgColor rgb="FF6FA8DC"/>
      </patternFill>
    </fill>
    <fill>
      <patternFill patternType="solid">
        <fgColor rgb="FFFFFFFF"/>
        <bgColor rgb="FFFFFFFF"/>
      </patternFill>
    </fill>
    <fill>
      <patternFill patternType="solid">
        <fgColor theme="2"/>
        <bgColor rgb="FFD9D9D9"/>
      </patternFill>
    </fill>
    <fill>
      <patternFill patternType="solid">
        <fgColor theme="2"/>
        <bgColor rgb="FFCCCCCC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rgb="FF999999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theme="2" tint="-0.249977111117893"/>
        <bgColor rgb="FFB7B7B7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4659260841701"/>
        <bgColor rgb="FFCCCCCC"/>
      </patternFill>
    </fill>
    <fill>
      <patternFill patternType="solid">
        <fgColor theme="0"/>
        <bgColor indexed="64"/>
      </patternFill>
    </fill>
    <fill>
      <patternFill patternType="solid">
        <fgColor theme="0" tint="-0.24994659260841701"/>
        <bgColor rgb="FFD9D9D9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</borders>
  <cellStyleXfs count="1">
    <xf numFmtId="0" fontId="0" fillId="0" borderId="0"/>
  </cellStyleXfs>
  <cellXfs count="149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3" fillId="3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NumberFormat="1" applyFont="1" applyAlignment="1"/>
    <xf numFmtId="1" fontId="0" fillId="0" borderId="0" xfId="0" applyNumberFormat="1" applyFont="1" applyAlignment="1"/>
    <xf numFmtId="0" fontId="3" fillId="8" borderId="1" xfId="0" applyNumberFormat="1" applyFont="1" applyFill="1" applyBorder="1" applyAlignment="1">
      <alignment horizontal="center" vertical="center"/>
    </xf>
    <xf numFmtId="1" fontId="3" fillId="8" borderId="1" xfId="0" applyNumberFormat="1" applyFont="1" applyFill="1" applyBorder="1" applyAlignment="1">
      <alignment horizontal="center" vertical="center"/>
    </xf>
    <xf numFmtId="0" fontId="0" fillId="9" borderId="0" xfId="0" applyFont="1" applyFill="1" applyAlignment="1"/>
    <xf numFmtId="9" fontId="0" fillId="9" borderId="0" xfId="0" applyNumberFormat="1" applyFont="1" applyFill="1" applyAlignment="1"/>
    <xf numFmtId="1" fontId="0" fillId="9" borderId="0" xfId="0" applyNumberFormat="1" applyFont="1" applyFill="1" applyAlignment="1"/>
    <xf numFmtId="9" fontId="3" fillId="0" borderId="0" xfId="0" applyNumberFormat="1" applyFont="1" applyFill="1" applyAlignment="1">
      <alignment horizontal="center" vertical="center"/>
    </xf>
    <xf numFmtId="1" fontId="3" fillId="0" borderId="0" xfId="0" applyNumberFormat="1" applyFont="1" applyFill="1" applyAlignment="1">
      <alignment horizontal="center" vertical="center"/>
    </xf>
    <xf numFmtId="0" fontId="0" fillId="0" borderId="0" xfId="0" applyFont="1" applyFill="1" applyAlignment="1"/>
    <xf numFmtId="9" fontId="0" fillId="0" borderId="0" xfId="0" applyNumberFormat="1" applyFont="1" applyFill="1" applyAlignment="1"/>
    <xf numFmtId="1" fontId="0" fillId="0" borderId="0" xfId="0" applyNumberFormat="1" applyFont="1" applyFill="1" applyAlignment="1"/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/>
    <xf numFmtId="0" fontId="0" fillId="9" borderId="0" xfId="0" applyFont="1" applyFill="1" applyBorder="1" applyAlignment="1"/>
    <xf numFmtId="0" fontId="3" fillId="7" borderId="10" xfId="0" applyFont="1" applyFill="1" applyBorder="1" applyAlignment="1">
      <alignment horizontal="center" vertical="center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9" fontId="8" fillId="0" borderId="1" xfId="0" applyNumberFormat="1" applyFont="1" applyBorder="1" applyAlignment="1" applyProtection="1">
      <alignment horizontal="center" vertical="center"/>
      <protection locked="0"/>
    </xf>
    <xf numFmtId="1" fontId="0" fillId="6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3" fillId="13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3" borderId="7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4" borderId="11" xfId="0" applyNumberFormat="1" applyFont="1" applyFill="1" applyBorder="1" applyAlignment="1">
      <alignment horizontal="center" vertical="center"/>
    </xf>
    <xf numFmtId="0" fontId="3" fillId="13" borderId="3" xfId="0" applyNumberFormat="1" applyFont="1" applyFill="1" applyBorder="1" applyAlignment="1">
      <alignment horizontal="center" vertical="center"/>
    </xf>
    <xf numFmtId="0" fontId="1" fillId="12" borderId="10" xfId="0" applyFont="1" applyFill="1" applyBorder="1" applyAlignment="1">
      <alignment horizontal="center" vertical="center"/>
    </xf>
    <xf numFmtId="0" fontId="3" fillId="15" borderId="10" xfId="0" applyFont="1" applyFill="1" applyBorder="1" applyAlignment="1">
      <alignment horizontal="center" vertical="center"/>
    </xf>
    <xf numFmtId="0" fontId="0" fillId="11" borderId="10" xfId="0" applyFont="1" applyFill="1" applyBorder="1" applyAlignment="1">
      <alignment horizontal="center" vertical="center"/>
    </xf>
    <xf numFmtId="0" fontId="7" fillId="0" borderId="3" xfId="0" applyFont="1" applyBorder="1" applyAlignment="1" applyProtection="1">
      <alignment horizontal="center" vertical="center"/>
      <protection locked="0"/>
    </xf>
    <xf numFmtId="164" fontId="8" fillId="0" borderId="1" xfId="0" applyNumberFormat="1" applyFont="1" applyBorder="1" applyAlignment="1" applyProtection="1">
      <alignment horizontal="center" vertical="center"/>
      <protection locked="0"/>
    </xf>
    <xf numFmtId="164" fontId="8" fillId="0" borderId="3" xfId="0" applyNumberFormat="1" applyFont="1" applyBorder="1" applyAlignment="1" applyProtection="1">
      <alignment horizontal="center" vertical="center"/>
      <protection locked="0"/>
    </xf>
    <xf numFmtId="164" fontId="0" fillId="0" borderId="0" xfId="0" applyNumberFormat="1" applyFont="1" applyAlignment="1"/>
    <xf numFmtId="164" fontId="3" fillId="0" borderId="0" xfId="0" applyNumberFormat="1" applyFont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64" fontId="3" fillId="0" borderId="11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3" fillId="16" borderId="13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16" borderId="10" xfId="0" applyFont="1" applyFill="1" applyBorder="1" applyAlignment="1">
      <alignment horizontal="center" vertical="center"/>
    </xf>
    <xf numFmtId="0" fontId="0" fillId="16" borderId="10" xfId="0" applyFont="1" applyFill="1" applyBorder="1" applyAlignment="1"/>
    <xf numFmtId="0" fontId="2" fillId="0" borderId="0" xfId="0" applyFont="1" applyAlignment="1" applyProtection="1">
      <protection locked="0"/>
    </xf>
    <xf numFmtId="9" fontId="3" fillId="18" borderId="1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9" fontId="3" fillId="18" borderId="5" xfId="0" applyNumberFormat="1" applyFont="1" applyFill="1" applyBorder="1" applyAlignment="1">
      <alignment horizontal="center" vertical="center"/>
    </xf>
    <xf numFmtId="1" fontId="3" fillId="8" borderId="5" xfId="0" applyNumberFormat="1" applyFont="1" applyFill="1" applyBorder="1" applyAlignment="1">
      <alignment horizontal="center" vertical="center"/>
    </xf>
    <xf numFmtId="1" fontId="3" fillId="3" borderId="5" xfId="0" applyNumberFormat="1" applyFont="1" applyFill="1" applyBorder="1" applyAlignment="1">
      <alignment horizontal="center" vertical="center"/>
    </xf>
    <xf numFmtId="0" fontId="3" fillId="8" borderId="5" xfId="0" applyNumberFormat="1" applyFont="1" applyFill="1" applyBorder="1" applyAlignment="1">
      <alignment horizontal="center" vertical="center"/>
    </xf>
    <xf numFmtId="0" fontId="3" fillId="16" borderId="12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16" borderId="14" xfId="0" applyFont="1" applyFill="1" applyBorder="1" applyAlignment="1">
      <alignment horizontal="center" vertical="center"/>
    </xf>
    <xf numFmtId="0" fontId="0" fillId="16" borderId="14" xfId="0" applyFont="1" applyFill="1" applyBorder="1" applyAlignment="1"/>
    <xf numFmtId="0" fontId="0" fillId="0" borderId="14" xfId="0" applyFont="1" applyBorder="1" applyAlignment="1"/>
    <xf numFmtId="0" fontId="7" fillId="0" borderId="3" xfId="0" applyFont="1" applyBorder="1" applyAlignment="1" applyProtection="1">
      <alignment horizontal="center" vertical="center"/>
      <protection locked="0"/>
    </xf>
    <xf numFmtId="0" fontId="8" fillId="0" borderId="1" xfId="0" applyNumberFormat="1" applyFont="1" applyBorder="1" applyAlignment="1" applyProtection="1">
      <alignment horizontal="center" vertical="center"/>
      <protection locked="0"/>
    </xf>
    <xf numFmtId="0" fontId="0" fillId="19" borderId="14" xfId="0" applyFont="1" applyFill="1" applyBorder="1" applyAlignment="1"/>
    <xf numFmtId="0" fontId="0" fillId="0" borderId="10" xfId="0" applyFont="1" applyBorder="1" applyAlignment="1"/>
    <xf numFmtId="0" fontId="0" fillId="19" borderId="10" xfId="0" applyFont="1" applyFill="1" applyBorder="1" applyAlignment="1"/>
    <xf numFmtId="0" fontId="1" fillId="10" borderId="10" xfId="0" applyFont="1" applyFill="1" applyBorder="1" applyAlignment="1">
      <alignment horizontal="center" vertical="center"/>
    </xf>
    <xf numFmtId="9" fontId="1" fillId="10" borderId="18" xfId="0" applyNumberFormat="1" applyFont="1" applyFill="1" applyBorder="1" applyAlignment="1">
      <alignment horizontal="center" vertical="center"/>
    </xf>
    <xf numFmtId="1" fontId="1" fillId="10" borderId="18" xfId="0" applyNumberFormat="1" applyFont="1" applyFill="1" applyBorder="1" applyAlignment="1">
      <alignment horizontal="center" vertical="center"/>
    </xf>
    <xf numFmtId="164" fontId="1" fillId="17" borderId="18" xfId="0" applyNumberFormat="1" applyFont="1" applyFill="1" applyBorder="1" applyAlignment="1">
      <alignment horizontal="center" vertical="center"/>
    </xf>
    <xf numFmtId="0" fontId="1" fillId="17" borderId="18" xfId="0" applyFont="1" applyFill="1" applyBorder="1" applyAlignment="1">
      <alignment horizontal="center" vertical="center"/>
    </xf>
    <xf numFmtId="0" fontId="4" fillId="17" borderId="18" xfId="0" applyFont="1" applyFill="1" applyBorder="1" applyAlignment="1"/>
    <xf numFmtId="0" fontId="0" fillId="0" borderId="19" xfId="0" applyFont="1" applyBorder="1" applyAlignment="1"/>
    <xf numFmtId="0" fontId="1" fillId="17" borderId="20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protection locked="0"/>
    </xf>
    <xf numFmtId="0" fontId="1" fillId="0" borderId="4" xfId="0" applyFont="1" applyBorder="1" applyAlignment="1" applyProtection="1">
      <alignment vertical="center"/>
      <protection locked="0"/>
    </xf>
    <xf numFmtId="0" fontId="3" fillId="20" borderId="1" xfId="0" applyFont="1" applyFill="1" applyBorder="1" applyAlignment="1">
      <alignment horizontal="center" vertical="center"/>
    </xf>
    <xf numFmtId="0" fontId="5" fillId="20" borderId="1" xfId="0" applyFont="1" applyFill="1" applyBorder="1" applyAlignment="1">
      <alignment horizontal="center"/>
    </xf>
    <xf numFmtId="0" fontId="3" fillId="20" borderId="1" xfId="0" applyFont="1" applyFill="1" applyBorder="1" applyAlignment="1">
      <alignment horizontal="center"/>
    </xf>
    <xf numFmtId="0" fontId="3" fillId="16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0" borderId="4" xfId="0" applyFont="1" applyBorder="1"/>
    <xf numFmtId="0" fontId="3" fillId="17" borderId="6" xfId="0" applyFont="1" applyFill="1" applyBorder="1"/>
    <xf numFmtId="0" fontId="3" fillId="17" borderId="4" xfId="0" applyFont="1" applyFill="1" applyBorder="1"/>
    <xf numFmtId="0" fontId="3" fillId="0" borderId="6" xfId="0" applyFont="1" applyBorder="1"/>
    <xf numFmtId="0" fontId="4" fillId="0" borderId="16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9" fontId="4" fillId="9" borderId="0" xfId="0" applyNumberFormat="1" applyFont="1" applyFill="1" applyBorder="1" applyAlignment="1">
      <alignment horizontal="center"/>
    </xf>
    <xf numFmtId="9" fontId="2" fillId="9" borderId="0" xfId="0" applyNumberFormat="1" applyFont="1" applyFill="1" applyBorder="1" applyAlignment="1">
      <alignment horizontal="center"/>
    </xf>
    <xf numFmtId="9" fontId="2" fillId="9" borderId="15" xfId="0" applyNumberFormat="1" applyFont="1" applyFill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/>
    </xf>
    <xf numFmtId="164" fontId="4" fillId="0" borderId="8" xfId="0" applyNumberFormat="1" applyFont="1" applyBorder="1" applyAlignment="1">
      <alignment horizontal="center"/>
    </xf>
    <xf numFmtId="164" fontId="4" fillId="0" borderId="17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1" fontId="2" fillId="0" borderId="15" xfId="0" applyNumberFormat="1" applyFont="1" applyBorder="1" applyAlignment="1">
      <alignment horizontal="center"/>
    </xf>
    <xf numFmtId="0" fontId="1" fillId="0" borderId="3" xfId="0" applyFont="1" applyBorder="1" applyAlignment="1" applyProtection="1">
      <alignment horizontal="center" vertical="center"/>
      <protection locked="0"/>
    </xf>
    <xf numFmtId="0" fontId="3" fillId="0" borderId="6" xfId="0" applyFont="1" applyBorder="1" applyProtection="1">
      <protection locked="0"/>
    </xf>
    <xf numFmtId="0" fontId="3" fillId="0" borderId="4" xfId="0" applyFont="1" applyBorder="1" applyProtection="1"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" fillId="0" borderId="6" xfId="0" applyFont="1" applyBorder="1" applyAlignment="1" applyProtection="1">
      <alignment horizontal="center"/>
      <protection locked="0"/>
    </xf>
    <xf numFmtId="0" fontId="1" fillId="0" borderId="4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4" xfId="0" applyFont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2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9</xdr:row>
          <xdr:rowOff>47625</xdr:rowOff>
        </xdr:from>
        <xdr:to>
          <xdr:col>3</xdr:col>
          <xdr:colOff>1647825</xdr:colOff>
          <xdr:row>11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Here When Ready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ster_Scouting_Sheet_2018-Auburn-Week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ization"/>
      <sheetName val="Data Entry"/>
      <sheetName val="Data"/>
      <sheetName val="Pick List"/>
      <sheetName val="Template"/>
    </sheetNames>
    <sheetDataSet>
      <sheetData sheetId="0" refreshError="1"/>
      <sheetData sheetId="1" refreshError="1"/>
      <sheetData sheetId="2">
        <row r="3">
          <cell r="A3">
            <v>488</v>
          </cell>
          <cell r="O3" t="str">
            <v/>
          </cell>
          <cell r="P3" t="str">
            <v/>
          </cell>
          <cell r="Q3" t="str">
            <v/>
          </cell>
          <cell r="AP3" t="str">
            <v/>
          </cell>
          <cell r="AQ3" t="str">
            <v/>
          </cell>
          <cell r="AR3" t="str">
            <v/>
          </cell>
        </row>
        <row r="4">
          <cell r="A4">
            <v>568</v>
          </cell>
          <cell r="O4" t="str">
            <v/>
          </cell>
          <cell r="P4" t="str">
            <v/>
          </cell>
          <cell r="Q4" t="str">
            <v/>
          </cell>
          <cell r="AP4" t="str">
            <v/>
          </cell>
          <cell r="AQ4" t="str">
            <v/>
          </cell>
          <cell r="AR4" t="str">
            <v/>
          </cell>
        </row>
        <row r="5">
          <cell r="A5">
            <v>948</v>
          </cell>
          <cell r="O5" t="str">
            <v/>
          </cell>
          <cell r="P5" t="str">
            <v/>
          </cell>
          <cell r="Q5" t="str">
            <v/>
          </cell>
          <cell r="AP5" t="str">
            <v/>
          </cell>
          <cell r="AQ5" t="str">
            <v/>
          </cell>
          <cell r="AR5" t="str">
            <v/>
          </cell>
        </row>
        <row r="6">
          <cell r="A6">
            <v>1778</v>
          </cell>
          <cell r="O6" t="str">
            <v/>
          </cell>
          <cell r="P6" t="str">
            <v/>
          </cell>
          <cell r="Q6" t="str">
            <v/>
          </cell>
          <cell r="AP6" t="str">
            <v/>
          </cell>
          <cell r="AQ6" t="str">
            <v/>
          </cell>
          <cell r="AR6" t="str">
            <v/>
          </cell>
        </row>
        <row r="7">
          <cell r="A7">
            <v>1983</v>
          </cell>
          <cell r="O7" t="str">
            <v/>
          </cell>
          <cell r="P7" t="str">
            <v/>
          </cell>
          <cell r="Q7" t="str">
            <v/>
          </cell>
          <cell r="AP7" t="str">
            <v/>
          </cell>
          <cell r="AQ7" t="str">
            <v/>
          </cell>
          <cell r="AR7" t="str">
            <v/>
          </cell>
        </row>
        <row r="8">
          <cell r="A8">
            <v>2046</v>
          </cell>
          <cell r="O8" t="str">
            <v/>
          </cell>
          <cell r="P8" t="str">
            <v/>
          </cell>
          <cell r="Q8" t="str">
            <v/>
          </cell>
          <cell r="AP8" t="str">
            <v/>
          </cell>
          <cell r="AQ8" t="str">
            <v/>
          </cell>
          <cell r="AR8" t="str">
            <v/>
          </cell>
        </row>
        <row r="9">
          <cell r="A9">
            <v>2412</v>
          </cell>
          <cell r="O9" t="str">
            <v/>
          </cell>
          <cell r="P9" t="str">
            <v/>
          </cell>
          <cell r="Q9" t="str">
            <v/>
          </cell>
          <cell r="AP9" t="str">
            <v/>
          </cell>
          <cell r="AQ9" t="str">
            <v/>
          </cell>
          <cell r="AR9" t="str">
            <v/>
          </cell>
        </row>
        <row r="10">
          <cell r="A10">
            <v>2555</v>
          </cell>
          <cell r="O10" t="str">
            <v/>
          </cell>
          <cell r="P10" t="str">
            <v/>
          </cell>
          <cell r="Q10" t="str">
            <v/>
          </cell>
          <cell r="AP10" t="str">
            <v/>
          </cell>
          <cell r="AQ10" t="str">
            <v/>
          </cell>
          <cell r="AR10" t="str">
            <v/>
          </cell>
        </row>
        <row r="11">
          <cell r="A11">
            <v>2557</v>
          </cell>
          <cell r="O11" t="str">
            <v/>
          </cell>
          <cell r="P11" t="str">
            <v/>
          </cell>
          <cell r="Q11" t="str">
            <v/>
          </cell>
          <cell r="AP11" t="str">
            <v/>
          </cell>
          <cell r="AQ11" t="str">
            <v/>
          </cell>
          <cell r="AR11" t="str">
            <v/>
          </cell>
        </row>
        <row r="12">
          <cell r="A12">
            <v>2605</v>
          </cell>
          <cell r="O12" t="str">
            <v/>
          </cell>
          <cell r="P12" t="str">
            <v/>
          </cell>
          <cell r="Q12" t="str">
            <v/>
          </cell>
          <cell r="AP12" t="str">
            <v/>
          </cell>
          <cell r="AQ12" t="str">
            <v/>
          </cell>
          <cell r="AR12" t="str">
            <v/>
          </cell>
        </row>
        <row r="13">
          <cell r="A13">
            <v>2906</v>
          </cell>
          <cell r="O13" t="str">
            <v/>
          </cell>
          <cell r="P13" t="str">
            <v/>
          </cell>
          <cell r="Q13" t="str">
            <v/>
          </cell>
          <cell r="AP13" t="str">
            <v/>
          </cell>
          <cell r="AQ13" t="str">
            <v/>
          </cell>
          <cell r="AR13" t="str">
            <v/>
          </cell>
        </row>
        <row r="14">
          <cell r="A14">
            <v>2907</v>
          </cell>
          <cell r="O14" t="str">
            <v/>
          </cell>
          <cell r="P14" t="str">
            <v/>
          </cell>
          <cell r="Q14" t="str">
            <v/>
          </cell>
          <cell r="AP14" t="str">
            <v/>
          </cell>
          <cell r="AQ14" t="str">
            <v/>
          </cell>
          <cell r="AR14" t="str">
            <v/>
          </cell>
        </row>
        <row r="15">
          <cell r="A15">
            <v>2927</v>
          </cell>
          <cell r="O15" t="str">
            <v/>
          </cell>
          <cell r="P15" t="str">
            <v/>
          </cell>
          <cell r="Q15" t="str">
            <v/>
          </cell>
          <cell r="AP15" t="str">
            <v/>
          </cell>
          <cell r="AQ15" t="str">
            <v/>
          </cell>
          <cell r="AR15" t="str">
            <v/>
          </cell>
        </row>
        <row r="16">
          <cell r="A16">
            <v>2928</v>
          </cell>
          <cell r="O16" t="str">
            <v/>
          </cell>
          <cell r="P16" t="str">
            <v/>
          </cell>
          <cell r="Q16" t="str">
            <v/>
          </cell>
          <cell r="AP16" t="str">
            <v/>
          </cell>
          <cell r="AQ16" t="str">
            <v/>
          </cell>
          <cell r="AR16" t="str">
            <v/>
          </cell>
        </row>
        <row r="17">
          <cell r="A17">
            <v>2929</v>
          </cell>
          <cell r="O17" t="str">
            <v/>
          </cell>
          <cell r="P17" t="str">
            <v/>
          </cell>
          <cell r="Q17" t="str">
            <v/>
          </cell>
          <cell r="AP17" t="str">
            <v/>
          </cell>
          <cell r="AQ17" t="str">
            <v/>
          </cell>
          <cell r="AR17" t="str">
            <v/>
          </cell>
        </row>
        <row r="18">
          <cell r="A18">
            <v>2942</v>
          </cell>
          <cell r="O18" t="str">
            <v/>
          </cell>
          <cell r="P18" t="str">
            <v/>
          </cell>
          <cell r="Q18" t="str">
            <v/>
          </cell>
          <cell r="AP18" t="str">
            <v/>
          </cell>
          <cell r="AQ18" t="str">
            <v/>
          </cell>
          <cell r="AR18" t="str">
            <v/>
          </cell>
        </row>
        <row r="19">
          <cell r="A19">
            <v>3049</v>
          </cell>
          <cell r="O19" t="str">
            <v/>
          </cell>
          <cell r="P19" t="str">
            <v/>
          </cell>
          <cell r="Q19" t="str">
            <v/>
          </cell>
          <cell r="AP19" t="str">
            <v/>
          </cell>
          <cell r="AQ19" t="str">
            <v/>
          </cell>
          <cell r="AR19" t="str">
            <v/>
          </cell>
        </row>
        <row r="20">
          <cell r="A20">
            <v>3219</v>
          </cell>
          <cell r="O20" t="str">
            <v/>
          </cell>
          <cell r="P20" t="str">
            <v/>
          </cell>
          <cell r="Q20" t="str">
            <v/>
          </cell>
          <cell r="AP20" t="str">
            <v/>
          </cell>
          <cell r="AQ20" t="str">
            <v/>
          </cell>
          <cell r="AR20" t="str">
            <v/>
          </cell>
        </row>
        <row r="21">
          <cell r="A21">
            <v>3237</v>
          </cell>
          <cell r="O21" t="str">
            <v/>
          </cell>
          <cell r="P21" t="str">
            <v/>
          </cell>
          <cell r="Q21" t="str">
            <v/>
          </cell>
          <cell r="AP21" t="str">
            <v/>
          </cell>
          <cell r="AQ21" t="str">
            <v/>
          </cell>
          <cell r="AR21" t="str">
            <v/>
          </cell>
        </row>
        <row r="22">
          <cell r="A22">
            <v>3238</v>
          </cell>
          <cell r="O22" t="str">
            <v/>
          </cell>
          <cell r="P22" t="str">
            <v/>
          </cell>
          <cell r="Q22" t="str">
            <v/>
          </cell>
          <cell r="AP22" t="str">
            <v/>
          </cell>
          <cell r="AQ22" t="str">
            <v/>
          </cell>
          <cell r="AR22" t="str">
            <v/>
          </cell>
        </row>
        <row r="23">
          <cell r="A23">
            <v>3393</v>
          </cell>
          <cell r="O23" t="str">
            <v/>
          </cell>
          <cell r="P23" t="str">
            <v/>
          </cell>
          <cell r="Q23" t="str">
            <v/>
          </cell>
          <cell r="AP23" t="str">
            <v/>
          </cell>
          <cell r="AQ23" t="str">
            <v/>
          </cell>
          <cell r="AR23" t="str">
            <v/>
          </cell>
        </row>
        <row r="24">
          <cell r="A24">
            <v>3574</v>
          </cell>
          <cell r="O24" t="str">
            <v/>
          </cell>
          <cell r="P24" t="str">
            <v/>
          </cell>
          <cell r="Q24" t="str">
            <v/>
          </cell>
          <cell r="AP24" t="str">
            <v/>
          </cell>
          <cell r="AQ24" t="str">
            <v/>
          </cell>
          <cell r="AR24" t="str">
            <v/>
          </cell>
        </row>
        <row r="25">
          <cell r="A25">
            <v>3684</v>
          </cell>
          <cell r="O25" t="str">
            <v/>
          </cell>
          <cell r="P25" t="str">
            <v/>
          </cell>
          <cell r="Q25" t="str">
            <v/>
          </cell>
          <cell r="AP25" t="str">
            <v/>
          </cell>
          <cell r="AQ25" t="str">
            <v/>
          </cell>
          <cell r="AR25" t="str">
            <v/>
          </cell>
        </row>
        <row r="26">
          <cell r="A26">
            <v>3876</v>
          </cell>
          <cell r="O26" t="str">
            <v/>
          </cell>
          <cell r="P26" t="str">
            <v/>
          </cell>
          <cell r="Q26" t="str">
            <v/>
          </cell>
          <cell r="AP26" t="str">
            <v/>
          </cell>
          <cell r="AQ26" t="str">
            <v/>
          </cell>
          <cell r="AR26" t="str">
            <v/>
          </cell>
        </row>
        <row r="27">
          <cell r="A27">
            <v>4060</v>
          </cell>
          <cell r="O27" t="str">
            <v/>
          </cell>
          <cell r="P27" t="str">
            <v/>
          </cell>
          <cell r="Q27" t="str">
            <v/>
          </cell>
          <cell r="AP27" t="str">
            <v/>
          </cell>
          <cell r="AQ27" t="str">
            <v/>
          </cell>
          <cell r="AR27" t="str">
            <v/>
          </cell>
        </row>
        <row r="28">
          <cell r="A28">
            <v>4131</v>
          </cell>
          <cell r="O28" t="str">
            <v/>
          </cell>
          <cell r="P28" t="str">
            <v/>
          </cell>
          <cell r="Q28" t="str">
            <v/>
          </cell>
          <cell r="AP28" t="str">
            <v/>
          </cell>
          <cell r="AQ28" t="str">
            <v/>
          </cell>
          <cell r="AR28" t="str">
            <v/>
          </cell>
        </row>
        <row r="29">
          <cell r="A29">
            <v>4461</v>
          </cell>
          <cell r="O29" t="str">
            <v/>
          </cell>
          <cell r="P29" t="str">
            <v/>
          </cell>
          <cell r="Q29" t="str">
            <v/>
          </cell>
          <cell r="AP29" t="str">
            <v/>
          </cell>
          <cell r="AQ29" t="str">
            <v/>
          </cell>
          <cell r="AR29" t="str">
            <v/>
          </cell>
        </row>
        <row r="30">
          <cell r="A30">
            <v>4469</v>
          </cell>
          <cell r="O30" t="str">
            <v/>
          </cell>
          <cell r="P30" t="str">
            <v/>
          </cell>
          <cell r="Q30" t="str">
            <v/>
          </cell>
          <cell r="AP30" t="str">
            <v/>
          </cell>
          <cell r="AQ30" t="str">
            <v/>
          </cell>
          <cell r="AR30" t="str">
            <v/>
          </cell>
        </row>
        <row r="31">
          <cell r="A31">
            <v>4579</v>
          </cell>
          <cell r="O31" t="str">
            <v/>
          </cell>
          <cell r="P31" t="str">
            <v/>
          </cell>
          <cell r="Q31" t="str">
            <v/>
          </cell>
          <cell r="AP31" t="str">
            <v/>
          </cell>
          <cell r="AQ31" t="str">
            <v/>
          </cell>
          <cell r="AR31" t="str">
            <v/>
          </cell>
        </row>
        <row r="32">
          <cell r="A32">
            <v>5588</v>
          </cell>
          <cell r="O32" t="str">
            <v/>
          </cell>
          <cell r="P32" t="str">
            <v/>
          </cell>
          <cell r="Q32" t="str">
            <v/>
          </cell>
          <cell r="AP32" t="str">
            <v/>
          </cell>
          <cell r="AQ32" t="str">
            <v/>
          </cell>
          <cell r="AR32" t="str">
            <v/>
          </cell>
        </row>
        <row r="33">
          <cell r="A33">
            <v>5683</v>
          </cell>
          <cell r="O33" t="str">
            <v/>
          </cell>
          <cell r="P33" t="str">
            <v/>
          </cell>
          <cell r="Q33" t="str">
            <v/>
          </cell>
          <cell r="AP33" t="str">
            <v/>
          </cell>
          <cell r="AQ33" t="str">
            <v/>
          </cell>
          <cell r="AR33" t="str">
            <v/>
          </cell>
        </row>
        <row r="34">
          <cell r="A34">
            <v>5803</v>
          </cell>
          <cell r="O34" t="str">
            <v/>
          </cell>
          <cell r="P34" t="str">
            <v/>
          </cell>
          <cell r="Q34" t="str">
            <v/>
          </cell>
          <cell r="AP34" t="str">
            <v/>
          </cell>
          <cell r="AQ34" t="str">
            <v/>
          </cell>
          <cell r="AR34" t="str">
            <v/>
          </cell>
        </row>
        <row r="35">
          <cell r="A35">
            <v>5937</v>
          </cell>
          <cell r="O35" t="str">
            <v/>
          </cell>
          <cell r="P35" t="str">
            <v/>
          </cell>
          <cell r="Q35" t="str">
            <v/>
          </cell>
          <cell r="AP35" t="str">
            <v/>
          </cell>
          <cell r="AQ35" t="str">
            <v/>
          </cell>
          <cell r="AR35" t="str">
            <v/>
          </cell>
        </row>
        <row r="36">
          <cell r="A36">
            <v>5941</v>
          </cell>
          <cell r="O36" t="str">
            <v/>
          </cell>
          <cell r="P36" t="str">
            <v/>
          </cell>
          <cell r="Q36" t="str">
            <v/>
          </cell>
          <cell r="AP36" t="str">
            <v/>
          </cell>
          <cell r="AQ36" t="str">
            <v/>
          </cell>
          <cell r="AR36" t="str">
            <v/>
          </cell>
        </row>
        <row r="37">
          <cell r="A37">
            <v>6350</v>
          </cell>
          <cell r="O37" t="str">
            <v/>
          </cell>
          <cell r="P37" t="str">
            <v/>
          </cell>
          <cell r="Q37" t="str">
            <v/>
          </cell>
          <cell r="AP37" t="str">
            <v/>
          </cell>
          <cell r="AQ37" t="str">
            <v/>
          </cell>
          <cell r="AR37" t="str">
            <v/>
          </cell>
        </row>
        <row r="38">
          <cell r="A38">
            <v>6503</v>
          </cell>
          <cell r="O38" t="str">
            <v/>
          </cell>
          <cell r="P38" t="str">
            <v/>
          </cell>
          <cell r="Q38" t="str">
            <v/>
          </cell>
          <cell r="AP38" t="str">
            <v/>
          </cell>
          <cell r="AQ38" t="str">
            <v/>
          </cell>
          <cell r="AR38" t="str">
            <v/>
          </cell>
        </row>
        <row r="39">
          <cell r="A39">
            <v>6959</v>
          </cell>
          <cell r="O39" t="str">
            <v/>
          </cell>
          <cell r="P39" t="str">
            <v/>
          </cell>
          <cell r="Q39" t="str">
            <v/>
          </cell>
          <cell r="AP39" t="str">
            <v/>
          </cell>
          <cell r="AQ39" t="str">
            <v/>
          </cell>
          <cell r="AR39" t="str">
            <v/>
          </cell>
        </row>
        <row r="40">
          <cell r="A40" t="str">
            <v>#6959</v>
          </cell>
          <cell r="O40" t="str">
            <v/>
          </cell>
          <cell r="P40" t="str">
            <v/>
          </cell>
          <cell r="Q40" t="str">
            <v/>
          </cell>
          <cell r="AP40" t="str">
            <v/>
          </cell>
          <cell r="AQ40" t="str">
            <v/>
          </cell>
          <cell r="AR40" t="str">
            <v/>
          </cell>
        </row>
        <row r="41">
          <cell r="A41" t="str">
            <v/>
          </cell>
          <cell r="O41" t="str">
            <v/>
          </cell>
          <cell r="P41" t="str">
            <v/>
          </cell>
          <cell r="Q41" t="str">
            <v/>
          </cell>
          <cell r="AQ41" t="str">
            <v/>
          </cell>
          <cell r="AR41" t="str">
            <v/>
          </cell>
        </row>
        <row r="42">
          <cell r="A42" t="str">
            <v/>
          </cell>
          <cell r="O42" t="str">
            <v/>
          </cell>
          <cell r="P42" t="str">
            <v/>
          </cell>
          <cell r="Q42" t="str">
            <v/>
          </cell>
          <cell r="AQ42" t="str">
            <v/>
          </cell>
          <cell r="AR42" t="str">
            <v/>
          </cell>
        </row>
        <row r="43">
          <cell r="A43" t="str">
            <v/>
          </cell>
          <cell r="O43" t="str">
            <v/>
          </cell>
          <cell r="P43" t="str">
            <v/>
          </cell>
          <cell r="Q43" t="str">
            <v/>
          </cell>
          <cell r="AQ43" t="str">
            <v/>
          </cell>
          <cell r="AR43" t="str">
            <v/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0000"/>
  </sheetPr>
  <dimension ref="A1:Z1000"/>
  <sheetViews>
    <sheetView topLeftCell="E4" workbookViewId="0">
      <selection activeCell="I8" sqref="I8"/>
    </sheetView>
  </sheetViews>
  <sheetFormatPr defaultColWidth="14.42578125" defaultRowHeight="15.95" customHeight="1" x14ac:dyDescent="0.2"/>
  <cols>
    <col min="2" max="2" width="14.42578125" style="26" customWidth="1"/>
    <col min="4" max="4" width="28.5703125" customWidth="1"/>
    <col min="5" max="5" width="28" customWidth="1"/>
    <col min="6" max="6" width="27.7109375" customWidth="1"/>
    <col min="8" max="8" width="80" customWidth="1"/>
  </cols>
  <sheetData>
    <row r="1" spans="1:26" ht="15.95" customHeight="1" x14ac:dyDescent="0.2">
      <c r="A1" s="1" t="s">
        <v>1</v>
      </c>
      <c r="B1" s="2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95" customHeight="1" x14ac:dyDescent="0.2">
      <c r="A2" s="4"/>
      <c r="B2" s="61" t="s">
        <v>10</v>
      </c>
      <c r="C2" s="63" t="s">
        <v>8</v>
      </c>
      <c r="E2" s="60" t="s">
        <v>11</v>
      </c>
      <c r="F2" s="60" t="s">
        <v>12</v>
      </c>
      <c r="G2" s="4"/>
      <c r="H2" s="60" t="s">
        <v>13</v>
      </c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.95" customHeight="1" x14ac:dyDescent="0.2">
      <c r="A3" s="4"/>
      <c r="B3" s="62"/>
      <c r="C3" s="64">
        <f>COUNT(Team_Numbers)</f>
        <v>0</v>
      </c>
      <c r="E3" s="56" t="s">
        <v>14</v>
      </c>
      <c r="F3" s="56" t="s">
        <v>15</v>
      </c>
      <c r="G3" s="4"/>
      <c r="H3" s="56" t="s">
        <v>16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5.95" customHeight="1" x14ac:dyDescent="0.2">
      <c r="A4" s="4"/>
      <c r="B4" s="55"/>
      <c r="C4" s="4"/>
      <c r="E4" s="56" t="s">
        <v>20</v>
      </c>
      <c r="F4" s="56" t="s">
        <v>21</v>
      </c>
      <c r="G4" s="4"/>
      <c r="H4" s="57" t="s">
        <v>43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5.95" customHeight="1" x14ac:dyDescent="0.2">
      <c r="A5" s="4"/>
      <c r="B5" s="55"/>
      <c r="C5" s="4"/>
      <c r="E5" s="56" t="s">
        <v>22</v>
      </c>
      <c r="F5" s="56"/>
      <c r="G5" s="4"/>
      <c r="H5" s="65" t="s">
        <v>42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5.95" customHeight="1" x14ac:dyDescent="0.2">
      <c r="A6" s="4"/>
      <c r="B6" s="55"/>
      <c r="C6" s="4"/>
      <c r="E6" s="59"/>
      <c r="F6" s="56"/>
      <c r="G6" s="4"/>
      <c r="H6" s="58" t="s">
        <v>44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.95" customHeight="1" x14ac:dyDescent="0.2">
      <c r="A7" s="4"/>
      <c r="B7" s="55"/>
      <c r="C7" s="4"/>
      <c r="E7" s="56"/>
      <c r="F7" s="56"/>
      <c r="G7" s="4"/>
      <c r="H7" s="56" t="s">
        <v>24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.95" customHeight="1" x14ac:dyDescent="0.2">
      <c r="A8" s="4"/>
      <c r="B8" s="55"/>
      <c r="C8" s="4"/>
      <c r="D8" s="8"/>
      <c r="E8" s="4"/>
      <c r="F8" s="4"/>
      <c r="G8" s="4"/>
      <c r="H8" s="56" t="s">
        <v>25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5.95" customHeight="1" x14ac:dyDescent="0.2">
      <c r="A9" s="4"/>
      <c r="B9" s="55"/>
      <c r="C9" s="4"/>
      <c r="D9" s="8"/>
      <c r="E9" s="76" t="s">
        <v>57</v>
      </c>
      <c r="F9" s="4"/>
      <c r="G9" s="4"/>
      <c r="H9" s="56" t="s">
        <v>26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5.95" customHeight="1" x14ac:dyDescent="0.2">
      <c r="A10" s="4"/>
      <c r="B10" s="55"/>
      <c r="C10" s="4"/>
      <c r="D10" s="8"/>
      <c r="E10" s="76">
        <v>3</v>
      </c>
      <c r="F10" s="4"/>
      <c r="G10" s="4"/>
      <c r="H10" s="56" t="s">
        <v>27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5.95" customHeight="1" x14ac:dyDescent="0.2">
      <c r="A11" s="4"/>
      <c r="B11" s="55"/>
      <c r="C11" s="4"/>
      <c r="D11" s="8"/>
      <c r="E11" s="4"/>
      <c r="F11" s="4"/>
      <c r="G11" s="4"/>
      <c r="H11" s="56" t="s">
        <v>28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5.95" customHeight="1" x14ac:dyDescent="0.2">
      <c r="A12" s="4"/>
      <c r="B12" s="55"/>
      <c r="C12" s="4"/>
      <c r="D12" s="8"/>
      <c r="E12" s="4"/>
      <c r="F12" s="4"/>
      <c r="G12" s="4"/>
      <c r="H12" s="56" t="s">
        <v>29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5.95" customHeight="1" x14ac:dyDescent="0.2">
      <c r="A13" s="4"/>
      <c r="B13" s="55"/>
      <c r="C13" s="4"/>
      <c r="D13" s="8"/>
      <c r="E13" s="4"/>
      <c r="F13" s="4"/>
      <c r="G13" s="4"/>
      <c r="H13" s="105" t="s">
        <v>83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.95" customHeight="1" x14ac:dyDescent="0.2">
      <c r="A14" s="4"/>
      <c r="B14" s="55"/>
      <c r="C14" s="4"/>
      <c r="D14" s="8"/>
      <c r="E14" s="4"/>
      <c r="F14" s="4"/>
      <c r="G14" s="4"/>
      <c r="H14" s="108" t="s">
        <v>84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.95" customHeight="1" x14ac:dyDescent="0.2">
      <c r="A15" s="4"/>
      <c r="B15" s="55"/>
      <c r="C15" s="4"/>
      <c r="D15" s="8"/>
      <c r="E15" s="4"/>
      <c r="F15" s="4"/>
      <c r="G15" s="4"/>
      <c r="H15" s="108" t="s">
        <v>85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5.95" customHeight="1" x14ac:dyDescent="0.2">
      <c r="A16" s="4"/>
      <c r="B16" s="55"/>
      <c r="C16" s="4"/>
      <c r="D16" s="8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95" customHeight="1" x14ac:dyDescent="0.2">
      <c r="A17" s="4"/>
      <c r="B17" s="55"/>
      <c r="C17" s="4"/>
      <c r="D17" s="8"/>
      <c r="E17" s="4"/>
      <c r="F17" s="4"/>
      <c r="G17" s="4"/>
      <c r="H17" s="60" t="s">
        <v>30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.95" customHeight="1" x14ac:dyDescent="0.2">
      <c r="A18" s="4"/>
      <c r="B18" s="55"/>
      <c r="C18" s="4"/>
      <c r="D18" s="8"/>
      <c r="E18" s="4"/>
      <c r="F18" s="4"/>
      <c r="G18" s="4"/>
      <c r="H18" s="105" t="s">
        <v>31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.95" customHeight="1" x14ac:dyDescent="0.2">
      <c r="A19" s="4"/>
      <c r="B19" s="55"/>
      <c r="C19" s="4"/>
      <c r="D19" s="8"/>
      <c r="E19" s="4"/>
      <c r="F19" s="4"/>
      <c r="G19" s="4"/>
      <c r="H19" s="106" t="s">
        <v>32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5.95" customHeight="1" x14ac:dyDescent="0.2">
      <c r="A20" s="4"/>
      <c r="B20" s="55"/>
      <c r="C20" s="4"/>
      <c r="D20" s="8"/>
      <c r="E20" s="4"/>
      <c r="F20" s="4"/>
      <c r="G20" s="4"/>
      <c r="H20" s="105" t="s">
        <v>34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95" customHeight="1" x14ac:dyDescent="0.2">
      <c r="A21" s="4"/>
      <c r="B21" s="55"/>
      <c r="C21" s="4"/>
      <c r="D21" s="8"/>
      <c r="E21" s="4"/>
      <c r="F21" s="4"/>
      <c r="G21" s="4"/>
      <c r="H21" s="107" t="s">
        <v>35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95" customHeight="1" x14ac:dyDescent="0.2">
      <c r="A22" s="4"/>
      <c r="B22" s="55"/>
      <c r="C22" s="4"/>
      <c r="D22" s="8"/>
      <c r="E22" s="4"/>
      <c r="F22" s="4"/>
      <c r="G22" s="4"/>
      <c r="H22" s="108" t="s">
        <v>81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95" customHeight="1" x14ac:dyDescent="0.2">
      <c r="A23" s="4"/>
      <c r="B23" s="55"/>
      <c r="C23" s="4"/>
      <c r="D23" s="8"/>
      <c r="E23" s="4"/>
      <c r="F23" s="4"/>
      <c r="G23" s="4"/>
      <c r="H23" s="108" t="s">
        <v>82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95" customHeight="1" x14ac:dyDescent="0.2">
      <c r="A24" s="4"/>
      <c r="B24" s="55"/>
      <c r="C24" s="4"/>
      <c r="D24" s="8"/>
      <c r="E24" s="4"/>
      <c r="F24" s="4"/>
      <c r="G24" s="4"/>
      <c r="H24" s="108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95" customHeight="1" x14ac:dyDescent="0.2">
      <c r="A25" s="4"/>
      <c r="B25" s="55"/>
      <c r="C25" s="4"/>
      <c r="D25" s="8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95" customHeight="1" x14ac:dyDescent="0.2">
      <c r="A26" s="4"/>
      <c r="B26" s="55"/>
      <c r="C26" s="4"/>
      <c r="D26" s="8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95" customHeight="1" x14ac:dyDescent="0.2">
      <c r="A27" s="4"/>
      <c r="B27" s="55"/>
      <c r="C27" s="4"/>
      <c r="D27" s="8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95" customHeight="1" x14ac:dyDescent="0.2">
      <c r="A28" s="4"/>
      <c r="B28" s="55"/>
      <c r="C28" s="4"/>
      <c r="D28" s="8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95" customHeight="1" x14ac:dyDescent="0.2">
      <c r="A29" s="4"/>
      <c r="B29" s="55"/>
      <c r="C29" s="4"/>
      <c r="D29" s="8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95" customHeight="1" x14ac:dyDescent="0.2">
      <c r="A30" s="4"/>
      <c r="B30" s="55"/>
      <c r="C30" s="4"/>
      <c r="D30" s="8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95" customHeight="1" x14ac:dyDescent="0.2">
      <c r="A31" s="4"/>
      <c r="B31" s="55"/>
      <c r="C31" s="4"/>
      <c r="D31" s="8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95" customHeight="1" x14ac:dyDescent="0.2">
      <c r="A32" s="4"/>
      <c r="B32" s="55"/>
      <c r="C32" s="4"/>
      <c r="D32" s="8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95" customHeight="1" x14ac:dyDescent="0.2">
      <c r="A33" s="4"/>
      <c r="B33" s="55"/>
      <c r="C33" s="4"/>
      <c r="D33" s="8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95" customHeight="1" x14ac:dyDescent="0.2">
      <c r="A34" s="4"/>
      <c r="B34" s="55"/>
      <c r="C34" s="4"/>
      <c r="D34" s="8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95" customHeight="1" x14ac:dyDescent="0.2">
      <c r="A35" s="4"/>
      <c r="B35" s="55"/>
      <c r="C35" s="4"/>
      <c r="D35" s="8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95" customHeight="1" x14ac:dyDescent="0.2">
      <c r="A36" s="4"/>
      <c r="B36" s="55"/>
      <c r="C36" s="4"/>
      <c r="D36" s="8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95" customHeight="1" x14ac:dyDescent="0.2">
      <c r="A37" s="4"/>
      <c r="B37" s="55"/>
      <c r="C37" s="4"/>
      <c r="D37" s="8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95" customHeight="1" x14ac:dyDescent="0.2">
      <c r="A38" s="4"/>
      <c r="B38" s="55"/>
      <c r="C38" s="4"/>
      <c r="D38" s="8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95" customHeight="1" x14ac:dyDescent="0.2">
      <c r="A39" s="4"/>
      <c r="B39" s="55"/>
      <c r="C39" s="4"/>
      <c r="D39" s="8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95" customHeight="1" x14ac:dyDescent="0.2">
      <c r="A40" s="4"/>
      <c r="B40" s="55"/>
      <c r="C40" s="4"/>
      <c r="D40" s="8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95" customHeight="1" x14ac:dyDescent="0.2">
      <c r="A41" s="4"/>
      <c r="B41" s="55"/>
      <c r="C41" s="4"/>
      <c r="D41" s="8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95" customHeight="1" x14ac:dyDescent="0.2">
      <c r="A42" s="4"/>
      <c r="B42" s="55"/>
      <c r="C42" s="4"/>
      <c r="D42" s="8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95" customHeight="1" x14ac:dyDescent="0.2">
      <c r="A43" s="4"/>
      <c r="B43" s="55"/>
      <c r="C43" s="4"/>
      <c r="D43" s="8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95" customHeight="1" x14ac:dyDescent="0.2">
      <c r="A44" s="4"/>
      <c r="B44" s="55"/>
      <c r="C44" s="4"/>
      <c r="D44" s="8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95" customHeight="1" x14ac:dyDescent="0.2">
      <c r="A45" s="4"/>
      <c r="B45" s="55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95" customHeight="1" x14ac:dyDescent="0.2">
      <c r="A46" s="4"/>
      <c r="B46" s="55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95" customHeight="1" x14ac:dyDescent="0.2">
      <c r="A47" s="4"/>
      <c r="B47" s="55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95" customHeight="1" x14ac:dyDescent="0.2">
      <c r="A48" s="4"/>
      <c r="B48" s="55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95" customHeight="1" x14ac:dyDescent="0.2">
      <c r="A49" s="4"/>
      <c r="B49" s="55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95" customHeight="1" x14ac:dyDescent="0.2">
      <c r="A50" s="4"/>
      <c r="B50" s="55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95" customHeight="1" x14ac:dyDescent="0.2">
      <c r="A51" s="4"/>
      <c r="B51" s="55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95" customHeight="1" x14ac:dyDescent="0.2">
      <c r="A52" s="4"/>
      <c r="B52" s="55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95" customHeight="1" x14ac:dyDescent="0.2">
      <c r="A53" s="4"/>
      <c r="B53" s="55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95" customHeight="1" x14ac:dyDescent="0.2">
      <c r="A54" s="4"/>
      <c r="B54" s="55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95" customHeight="1" x14ac:dyDescent="0.2">
      <c r="A55" s="4"/>
      <c r="B55" s="55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95" customHeight="1" x14ac:dyDescent="0.2">
      <c r="A56" s="4"/>
      <c r="B56" s="55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95" customHeight="1" x14ac:dyDescent="0.2">
      <c r="A57" s="4"/>
      <c r="B57" s="55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95" customHeight="1" x14ac:dyDescent="0.2">
      <c r="A58" s="4"/>
      <c r="B58" s="55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95" customHeight="1" x14ac:dyDescent="0.2">
      <c r="A59" s="4"/>
      <c r="B59" s="55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95" customHeight="1" x14ac:dyDescent="0.2">
      <c r="A60" s="4"/>
      <c r="B60" s="55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95" customHeight="1" x14ac:dyDescent="0.2">
      <c r="A61" s="4"/>
      <c r="B61" s="55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95" customHeight="1" x14ac:dyDescent="0.2">
      <c r="A62" s="4"/>
      <c r="B62" s="55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95" customHeight="1" x14ac:dyDescent="0.2">
      <c r="A63" s="4"/>
      <c r="B63" s="55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95" customHeight="1" x14ac:dyDescent="0.2">
      <c r="A64" s="4"/>
      <c r="B64" s="55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95" customHeight="1" x14ac:dyDescent="0.2">
      <c r="A65" s="4"/>
      <c r="B65" s="55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95" customHeight="1" x14ac:dyDescent="0.2">
      <c r="A66" s="4"/>
      <c r="B66" s="55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95" customHeight="1" x14ac:dyDescent="0.2">
      <c r="A67" s="4"/>
      <c r="B67" s="55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95" customHeight="1" x14ac:dyDescent="0.2">
      <c r="A68" s="4"/>
      <c r="B68" s="55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95" customHeight="1" x14ac:dyDescent="0.2">
      <c r="A69" s="4"/>
      <c r="B69" s="55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95" customHeight="1" x14ac:dyDescent="0.2">
      <c r="A70" s="4"/>
      <c r="B70" s="55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95" customHeight="1" x14ac:dyDescent="0.2">
      <c r="A71" s="4"/>
      <c r="B71" s="55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95" customHeight="1" x14ac:dyDescent="0.2">
      <c r="A72" s="4"/>
      <c r="B72" s="55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95" customHeight="1" x14ac:dyDescent="0.2">
      <c r="A73" s="4"/>
      <c r="B73" s="55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95" customHeight="1" x14ac:dyDescent="0.2">
      <c r="A74" s="4"/>
      <c r="B74" s="55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95" customHeight="1" x14ac:dyDescent="0.2">
      <c r="A75" s="4"/>
      <c r="B75" s="55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95" customHeight="1" x14ac:dyDescent="0.2">
      <c r="A76" s="4"/>
      <c r="B76" s="55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95" customHeight="1" x14ac:dyDescent="0.2">
      <c r="A77" s="4"/>
      <c r="B77" s="55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95" customHeight="1" x14ac:dyDescent="0.2">
      <c r="A78" s="4"/>
      <c r="B78" s="55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95" customHeight="1" x14ac:dyDescent="0.2">
      <c r="A79" s="4"/>
      <c r="B79" s="55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95" customHeight="1" x14ac:dyDescent="0.2">
      <c r="A80" s="4"/>
      <c r="B80" s="55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95" customHeight="1" x14ac:dyDescent="0.2">
      <c r="A81" s="4"/>
      <c r="B81" s="55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95" customHeight="1" x14ac:dyDescent="0.2">
      <c r="A82" s="4"/>
      <c r="B82" s="55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95" customHeight="1" x14ac:dyDescent="0.2">
      <c r="A83" s="4"/>
      <c r="B83" s="55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95" customHeight="1" x14ac:dyDescent="0.2">
      <c r="A84" s="4"/>
      <c r="B84" s="55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95" customHeight="1" x14ac:dyDescent="0.2">
      <c r="A85" s="4"/>
      <c r="B85" s="55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95" customHeight="1" x14ac:dyDescent="0.2">
      <c r="A86" s="4"/>
      <c r="B86" s="55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95" customHeight="1" x14ac:dyDescent="0.2">
      <c r="A87" s="4"/>
      <c r="B87" s="55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95" customHeight="1" x14ac:dyDescent="0.2">
      <c r="A88" s="4"/>
      <c r="B88" s="55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95" customHeight="1" x14ac:dyDescent="0.2">
      <c r="A89" s="4"/>
      <c r="B89" s="55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95" customHeight="1" x14ac:dyDescent="0.2">
      <c r="A90" s="4"/>
      <c r="B90" s="55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95" customHeight="1" x14ac:dyDescent="0.2">
      <c r="A91" s="4"/>
      <c r="B91" s="55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95" customHeight="1" x14ac:dyDescent="0.2">
      <c r="A92" s="4"/>
      <c r="B92" s="55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95" customHeight="1" x14ac:dyDescent="0.2">
      <c r="A93" s="4"/>
      <c r="B93" s="55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95" customHeight="1" x14ac:dyDescent="0.2">
      <c r="A94" s="4"/>
      <c r="B94" s="55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95" customHeight="1" x14ac:dyDescent="0.2">
      <c r="A95" s="4"/>
      <c r="B95" s="55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95" customHeight="1" x14ac:dyDescent="0.2">
      <c r="A96" s="4"/>
      <c r="B96" s="55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95" customHeight="1" x14ac:dyDescent="0.2">
      <c r="A97" s="4"/>
      <c r="B97" s="55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95" customHeight="1" x14ac:dyDescent="0.2">
      <c r="A98" s="4"/>
      <c r="B98" s="55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95" customHeight="1" x14ac:dyDescent="0.2">
      <c r="A99" s="4"/>
      <c r="B99" s="55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95" customHeight="1" x14ac:dyDescent="0.2">
      <c r="A100" s="4"/>
      <c r="B100" s="55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95" customHeight="1" x14ac:dyDescent="0.2">
      <c r="A101" s="4"/>
      <c r="B101" s="55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95" customHeight="1" x14ac:dyDescent="0.2">
      <c r="A102" s="4"/>
      <c r="B102" s="55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95" customHeight="1" x14ac:dyDescent="0.2">
      <c r="A103" s="4"/>
      <c r="B103" s="55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95" customHeight="1" x14ac:dyDescent="0.2">
      <c r="A104" s="4"/>
      <c r="B104" s="55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95" customHeight="1" x14ac:dyDescent="0.2">
      <c r="A105" s="4"/>
      <c r="B105" s="55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95" customHeight="1" x14ac:dyDescent="0.2">
      <c r="A106" s="4"/>
      <c r="B106" s="55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95" customHeight="1" x14ac:dyDescent="0.2">
      <c r="A107" s="4"/>
      <c r="B107" s="55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95" customHeight="1" x14ac:dyDescent="0.2">
      <c r="A108" s="4"/>
      <c r="B108" s="55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95" customHeight="1" x14ac:dyDescent="0.2">
      <c r="A109" s="4"/>
      <c r="B109" s="55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95" customHeight="1" x14ac:dyDescent="0.2">
      <c r="A110" s="4"/>
      <c r="B110" s="55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95" customHeight="1" x14ac:dyDescent="0.2">
      <c r="A111" s="4"/>
      <c r="B111" s="55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95" customHeight="1" x14ac:dyDescent="0.2">
      <c r="A112" s="4"/>
      <c r="B112" s="55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95" customHeight="1" x14ac:dyDescent="0.2">
      <c r="A113" s="4"/>
      <c r="B113" s="55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95" customHeight="1" x14ac:dyDescent="0.2">
      <c r="A114" s="4"/>
      <c r="B114" s="55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95" customHeight="1" x14ac:dyDescent="0.2">
      <c r="A115" s="4"/>
      <c r="B115" s="55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95" customHeight="1" x14ac:dyDescent="0.2">
      <c r="A116" s="4"/>
      <c r="B116" s="55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95" customHeight="1" x14ac:dyDescent="0.2">
      <c r="A117" s="4"/>
      <c r="B117" s="55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95" customHeight="1" x14ac:dyDescent="0.2">
      <c r="A118" s="4"/>
      <c r="B118" s="55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95" customHeight="1" x14ac:dyDescent="0.2">
      <c r="A119" s="4"/>
      <c r="B119" s="55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95" customHeight="1" x14ac:dyDescent="0.2">
      <c r="A120" s="4"/>
      <c r="B120" s="55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95" customHeight="1" x14ac:dyDescent="0.2">
      <c r="A121" s="4"/>
      <c r="B121" s="55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95" customHeight="1" x14ac:dyDescent="0.2">
      <c r="A122" s="4"/>
      <c r="B122" s="55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95" customHeight="1" x14ac:dyDescent="0.2">
      <c r="A123" s="4"/>
      <c r="B123" s="55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95" customHeight="1" x14ac:dyDescent="0.2">
      <c r="A124" s="4"/>
      <c r="B124" s="55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95" customHeight="1" x14ac:dyDescent="0.2">
      <c r="A125" s="4"/>
      <c r="B125" s="55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95" customHeight="1" x14ac:dyDescent="0.2">
      <c r="A126" s="4"/>
      <c r="B126" s="55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95" customHeight="1" x14ac:dyDescent="0.2">
      <c r="A127" s="4"/>
      <c r="B127" s="55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95" customHeight="1" x14ac:dyDescent="0.2">
      <c r="A128" s="4"/>
      <c r="B128" s="55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95" customHeight="1" x14ac:dyDescent="0.2">
      <c r="A129" s="4"/>
      <c r="B129" s="55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95" customHeight="1" x14ac:dyDescent="0.2">
      <c r="A130" s="4"/>
      <c r="B130" s="55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95" customHeight="1" x14ac:dyDescent="0.2">
      <c r="A131" s="4"/>
      <c r="B131" s="55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95" customHeight="1" x14ac:dyDescent="0.2">
      <c r="A132" s="4"/>
      <c r="B132" s="55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95" customHeight="1" x14ac:dyDescent="0.2">
      <c r="A133" s="4"/>
      <c r="B133" s="55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95" customHeight="1" x14ac:dyDescent="0.2">
      <c r="A134" s="4"/>
      <c r="B134" s="55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95" customHeight="1" x14ac:dyDescent="0.2">
      <c r="A135" s="4"/>
      <c r="B135" s="55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95" customHeight="1" x14ac:dyDescent="0.2">
      <c r="A136" s="4"/>
      <c r="B136" s="55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95" customHeight="1" x14ac:dyDescent="0.2">
      <c r="A137" s="4"/>
      <c r="B137" s="55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95" customHeight="1" x14ac:dyDescent="0.2">
      <c r="A138" s="4"/>
      <c r="B138" s="55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95" customHeight="1" x14ac:dyDescent="0.2">
      <c r="A139" s="4"/>
      <c r="B139" s="55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95" customHeight="1" x14ac:dyDescent="0.2">
      <c r="A140" s="4"/>
      <c r="B140" s="55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95" customHeight="1" x14ac:dyDescent="0.2">
      <c r="A141" s="4"/>
      <c r="B141" s="55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95" customHeight="1" x14ac:dyDescent="0.2">
      <c r="A142" s="4"/>
      <c r="B142" s="55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95" customHeight="1" x14ac:dyDescent="0.2">
      <c r="A143" s="4"/>
      <c r="B143" s="55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95" customHeight="1" x14ac:dyDescent="0.2">
      <c r="A144" s="4"/>
      <c r="B144" s="55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95" customHeight="1" x14ac:dyDescent="0.2">
      <c r="A145" s="4"/>
      <c r="B145" s="55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95" customHeight="1" x14ac:dyDescent="0.2">
      <c r="A146" s="4"/>
      <c r="B146" s="55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95" customHeight="1" x14ac:dyDescent="0.2">
      <c r="A147" s="4"/>
      <c r="B147" s="55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95" customHeight="1" x14ac:dyDescent="0.2">
      <c r="A148" s="4"/>
      <c r="B148" s="55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95" customHeight="1" x14ac:dyDescent="0.2">
      <c r="A149" s="4"/>
      <c r="B149" s="55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95" customHeight="1" x14ac:dyDescent="0.2">
      <c r="A150" s="4"/>
      <c r="B150" s="55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95" customHeight="1" x14ac:dyDescent="0.2">
      <c r="A151" s="4"/>
      <c r="B151" s="55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95" customHeight="1" x14ac:dyDescent="0.2">
      <c r="A152" s="4"/>
      <c r="B152" s="55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95" customHeight="1" x14ac:dyDescent="0.2">
      <c r="A153" s="4"/>
      <c r="B153" s="55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95" customHeight="1" x14ac:dyDescent="0.2">
      <c r="A154" s="4"/>
      <c r="B154" s="55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95" customHeight="1" x14ac:dyDescent="0.2">
      <c r="A155" s="4"/>
      <c r="B155" s="55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95" customHeight="1" x14ac:dyDescent="0.2">
      <c r="A156" s="4"/>
      <c r="B156" s="55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95" customHeight="1" x14ac:dyDescent="0.2">
      <c r="A157" s="4"/>
      <c r="B157" s="55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95" customHeight="1" x14ac:dyDescent="0.2">
      <c r="A158" s="4"/>
      <c r="B158" s="55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95" customHeight="1" x14ac:dyDescent="0.2">
      <c r="A159" s="4"/>
      <c r="B159" s="55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95" customHeight="1" x14ac:dyDescent="0.2">
      <c r="A160" s="4"/>
      <c r="B160" s="55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95" customHeight="1" x14ac:dyDescent="0.2">
      <c r="A161" s="4"/>
      <c r="B161" s="55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95" customHeight="1" x14ac:dyDescent="0.2">
      <c r="A162" s="4"/>
      <c r="B162" s="55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95" customHeight="1" x14ac:dyDescent="0.2">
      <c r="A163" s="4"/>
      <c r="B163" s="55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95" customHeight="1" x14ac:dyDescent="0.2">
      <c r="A164" s="4"/>
      <c r="B164" s="55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95" customHeight="1" x14ac:dyDescent="0.2">
      <c r="A165" s="4"/>
      <c r="B165" s="55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95" customHeight="1" x14ac:dyDescent="0.2">
      <c r="A166" s="4"/>
      <c r="B166" s="55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95" customHeight="1" x14ac:dyDescent="0.2">
      <c r="A167" s="4"/>
      <c r="B167" s="55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95" customHeight="1" x14ac:dyDescent="0.2">
      <c r="A168" s="4"/>
      <c r="B168" s="55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95" customHeight="1" x14ac:dyDescent="0.2">
      <c r="A169" s="4"/>
      <c r="B169" s="55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95" customHeight="1" x14ac:dyDescent="0.2">
      <c r="A170" s="4"/>
      <c r="B170" s="55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95" customHeight="1" x14ac:dyDescent="0.2">
      <c r="A171" s="4"/>
      <c r="B171" s="55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95" customHeight="1" x14ac:dyDescent="0.2">
      <c r="A172" s="4"/>
      <c r="B172" s="55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95" customHeight="1" x14ac:dyDescent="0.2">
      <c r="A173" s="4"/>
      <c r="B173" s="55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95" customHeight="1" x14ac:dyDescent="0.2">
      <c r="A174" s="4"/>
      <c r="B174" s="55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95" customHeight="1" x14ac:dyDescent="0.2">
      <c r="A175" s="4"/>
      <c r="B175" s="55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95" customHeight="1" x14ac:dyDescent="0.2">
      <c r="A176" s="4"/>
      <c r="B176" s="55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95" customHeight="1" x14ac:dyDescent="0.2">
      <c r="A177" s="4"/>
      <c r="B177" s="55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95" customHeight="1" x14ac:dyDescent="0.2">
      <c r="A178" s="4"/>
      <c r="B178" s="55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95" customHeight="1" x14ac:dyDescent="0.2">
      <c r="A179" s="4"/>
      <c r="B179" s="55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95" customHeight="1" x14ac:dyDescent="0.2">
      <c r="A180" s="4"/>
      <c r="B180" s="55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95" customHeight="1" x14ac:dyDescent="0.2">
      <c r="A181" s="4"/>
      <c r="B181" s="55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95" customHeight="1" x14ac:dyDescent="0.2">
      <c r="A182" s="4"/>
      <c r="B182" s="55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95" customHeight="1" x14ac:dyDescent="0.2">
      <c r="A183" s="4"/>
      <c r="B183" s="55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95" customHeight="1" x14ac:dyDescent="0.2">
      <c r="A184" s="4"/>
      <c r="B184" s="55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95" customHeight="1" x14ac:dyDescent="0.2">
      <c r="A185" s="4"/>
      <c r="B185" s="55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95" customHeight="1" x14ac:dyDescent="0.2">
      <c r="A186" s="4"/>
      <c r="B186" s="55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95" customHeight="1" x14ac:dyDescent="0.2">
      <c r="A187" s="4"/>
      <c r="B187" s="55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95" customHeight="1" x14ac:dyDescent="0.2">
      <c r="A188" s="4"/>
      <c r="B188" s="55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95" customHeight="1" x14ac:dyDescent="0.2">
      <c r="A189" s="4"/>
      <c r="B189" s="55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95" customHeight="1" x14ac:dyDescent="0.2">
      <c r="A190" s="4"/>
      <c r="B190" s="55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95" customHeight="1" x14ac:dyDescent="0.2">
      <c r="A191" s="4"/>
      <c r="B191" s="55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95" customHeight="1" x14ac:dyDescent="0.2">
      <c r="A192" s="4"/>
      <c r="B192" s="55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95" customHeight="1" x14ac:dyDescent="0.2">
      <c r="A193" s="4"/>
      <c r="B193" s="55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95" customHeight="1" x14ac:dyDescent="0.2">
      <c r="A194" s="4"/>
      <c r="B194" s="55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95" customHeight="1" x14ac:dyDescent="0.2">
      <c r="A195" s="4"/>
      <c r="B195" s="55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95" customHeight="1" x14ac:dyDescent="0.2">
      <c r="A196" s="4"/>
      <c r="B196" s="55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95" customHeight="1" x14ac:dyDescent="0.2">
      <c r="A197" s="4"/>
      <c r="B197" s="55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95" customHeight="1" x14ac:dyDescent="0.2">
      <c r="A198" s="4"/>
      <c r="B198" s="55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95" customHeight="1" x14ac:dyDescent="0.2">
      <c r="A199" s="4"/>
      <c r="B199" s="55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95" customHeight="1" x14ac:dyDescent="0.2">
      <c r="A200" s="4"/>
      <c r="B200" s="55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95" customHeight="1" x14ac:dyDescent="0.2">
      <c r="A201" s="4"/>
      <c r="B201" s="55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95" customHeight="1" x14ac:dyDescent="0.2">
      <c r="A202" s="4"/>
      <c r="B202" s="55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95" customHeight="1" x14ac:dyDescent="0.2">
      <c r="A203" s="4"/>
      <c r="B203" s="55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95" customHeight="1" x14ac:dyDescent="0.2">
      <c r="A204" s="4"/>
      <c r="B204" s="55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95" customHeight="1" x14ac:dyDescent="0.2">
      <c r="A205" s="4"/>
      <c r="B205" s="55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95" customHeight="1" x14ac:dyDescent="0.2">
      <c r="A206" s="4"/>
      <c r="B206" s="55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95" customHeight="1" x14ac:dyDescent="0.2">
      <c r="A207" s="4"/>
      <c r="B207" s="55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95" customHeight="1" x14ac:dyDescent="0.2">
      <c r="A208" s="4"/>
      <c r="B208" s="55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95" customHeight="1" x14ac:dyDescent="0.2">
      <c r="A209" s="4"/>
      <c r="B209" s="55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95" customHeight="1" x14ac:dyDescent="0.2">
      <c r="A210" s="4"/>
      <c r="B210" s="55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95" customHeight="1" x14ac:dyDescent="0.2">
      <c r="A211" s="4"/>
      <c r="B211" s="55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95" customHeight="1" x14ac:dyDescent="0.2">
      <c r="A212" s="4"/>
      <c r="B212" s="55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95" customHeight="1" x14ac:dyDescent="0.2">
      <c r="A213" s="4"/>
      <c r="B213" s="55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95" customHeight="1" x14ac:dyDescent="0.2">
      <c r="A214" s="4"/>
      <c r="B214" s="55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95" customHeight="1" x14ac:dyDescent="0.2">
      <c r="A215" s="4"/>
      <c r="B215" s="55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95" customHeight="1" x14ac:dyDescent="0.2">
      <c r="A216" s="4"/>
      <c r="B216" s="55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95" customHeight="1" x14ac:dyDescent="0.2">
      <c r="A217" s="4"/>
      <c r="B217" s="55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95" customHeight="1" x14ac:dyDescent="0.2">
      <c r="A218" s="4"/>
      <c r="B218" s="55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95" customHeight="1" x14ac:dyDescent="0.2">
      <c r="A219" s="4"/>
      <c r="B219" s="55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95" customHeight="1" x14ac:dyDescent="0.2">
      <c r="A220" s="4"/>
      <c r="B220" s="55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95" customHeight="1" x14ac:dyDescent="0.2">
      <c r="A221" s="4"/>
      <c r="B221" s="55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95" customHeight="1" x14ac:dyDescent="0.2">
      <c r="A222" s="4"/>
      <c r="B222" s="55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95" customHeight="1" x14ac:dyDescent="0.2">
      <c r="A223" s="4"/>
      <c r="B223" s="55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95" customHeight="1" x14ac:dyDescent="0.2">
      <c r="A224" s="4"/>
      <c r="B224" s="55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95" customHeight="1" x14ac:dyDescent="0.2">
      <c r="A225" s="4"/>
      <c r="B225" s="55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95" customHeight="1" x14ac:dyDescent="0.2">
      <c r="A226" s="4"/>
      <c r="B226" s="55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95" customHeight="1" x14ac:dyDescent="0.2">
      <c r="A227" s="4"/>
      <c r="B227" s="55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95" customHeight="1" x14ac:dyDescent="0.2">
      <c r="A228" s="4"/>
      <c r="B228" s="55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95" customHeight="1" x14ac:dyDescent="0.2">
      <c r="A229" s="4"/>
      <c r="B229" s="55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95" customHeight="1" x14ac:dyDescent="0.2">
      <c r="A230" s="4"/>
      <c r="B230" s="55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95" customHeight="1" x14ac:dyDescent="0.2">
      <c r="A231" s="4"/>
      <c r="B231" s="55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95" customHeight="1" x14ac:dyDescent="0.2">
      <c r="A232" s="4"/>
      <c r="B232" s="55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95" customHeight="1" x14ac:dyDescent="0.2">
      <c r="A233" s="4"/>
      <c r="B233" s="55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95" customHeight="1" x14ac:dyDescent="0.2">
      <c r="A234" s="4"/>
      <c r="B234" s="55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95" customHeight="1" x14ac:dyDescent="0.2">
      <c r="A235" s="4"/>
      <c r="B235" s="55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95" customHeight="1" x14ac:dyDescent="0.2">
      <c r="A236" s="4"/>
      <c r="B236" s="55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95" customHeight="1" x14ac:dyDescent="0.2">
      <c r="A237" s="4"/>
      <c r="B237" s="55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95" customHeight="1" x14ac:dyDescent="0.2">
      <c r="A238" s="4"/>
      <c r="B238" s="55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95" customHeight="1" x14ac:dyDescent="0.2">
      <c r="A239" s="4"/>
      <c r="B239" s="55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95" customHeight="1" x14ac:dyDescent="0.2">
      <c r="A240" s="4"/>
      <c r="B240" s="55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95" customHeight="1" x14ac:dyDescent="0.2">
      <c r="A241" s="4"/>
      <c r="B241" s="55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95" customHeight="1" x14ac:dyDescent="0.2">
      <c r="A242" s="4"/>
      <c r="B242" s="55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95" customHeight="1" x14ac:dyDescent="0.2">
      <c r="A243" s="4"/>
      <c r="B243" s="55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95" customHeight="1" x14ac:dyDescent="0.2">
      <c r="A244" s="4"/>
      <c r="B244" s="55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95" customHeight="1" x14ac:dyDescent="0.2">
      <c r="A245" s="4"/>
      <c r="B245" s="55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95" customHeight="1" x14ac:dyDescent="0.2">
      <c r="A246" s="4"/>
      <c r="B246" s="55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95" customHeight="1" x14ac:dyDescent="0.2">
      <c r="A247" s="4"/>
      <c r="B247" s="55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95" customHeight="1" x14ac:dyDescent="0.2">
      <c r="A248" s="4"/>
      <c r="B248" s="55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95" customHeight="1" x14ac:dyDescent="0.2">
      <c r="A249" s="4"/>
      <c r="B249" s="55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95" customHeight="1" x14ac:dyDescent="0.2">
      <c r="A250" s="4"/>
      <c r="B250" s="55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95" customHeight="1" x14ac:dyDescent="0.2">
      <c r="A251" s="4"/>
      <c r="B251" s="55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95" customHeight="1" x14ac:dyDescent="0.2">
      <c r="A252" s="4"/>
      <c r="B252" s="25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95" customHeight="1" x14ac:dyDescent="0.2">
      <c r="A253" s="4"/>
      <c r="B253" s="25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95" customHeight="1" x14ac:dyDescent="0.2">
      <c r="A254" s="4"/>
      <c r="B254" s="25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95" customHeight="1" x14ac:dyDescent="0.2">
      <c r="A255" s="4"/>
      <c r="B255" s="25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95" customHeight="1" x14ac:dyDescent="0.2">
      <c r="A256" s="4"/>
      <c r="B256" s="25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95" customHeight="1" x14ac:dyDescent="0.2">
      <c r="A257" s="4"/>
      <c r="B257" s="25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95" customHeight="1" x14ac:dyDescent="0.2">
      <c r="A258" s="4"/>
      <c r="B258" s="25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95" customHeight="1" x14ac:dyDescent="0.2">
      <c r="A259" s="4"/>
      <c r="B259" s="25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95" customHeight="1" x14ac:dyDescent="0.2">
      <c r="A260" s="4"/>
      <c r="B260" s="25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95" customHeight="1" x14ac:dyDescent="0.2">
      <c r="A261" s="4"/>
      <c r="B261" s="25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95" customHeight="1" x14ac:dyDescent="0.2">
      <c r="A262" s="4"/>
      <c r="B262" s="25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95" customHeight="1" x14ac:dyDescent="0.2">
      <c r="A263" s="4"/>
      <c r="B263" s="25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95" customHeight="1" x14ac:dyDescent="0.2">
      <c r="A264" s="4"/>
      <c r="B264" s="25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95" customHeight="1" x14ac:dyDescent="0.2">
      <c r="A265" s="4"/>
      <c r="B265" s="25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95" customHeight="1" x14ac:dyDescent="0.2">
      <c r="A266" s="4"/>
      <c r="B266" s="25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95" customHeight="1" x14ac:dyDescent="0.2">
      <c r="A267" s="4"/>
      <c r="B267" s="25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95" customHeight="1" x14ac:dyDescent="0.2">
      <c r="A268" s="4"/>
      <c r="B268" s="25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95" customHeight="1" x14ac:dyDescent="0.2">
      <c r="A269" s="4"/>
      <c r="B269" s="25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95" customHeight="1" x14ac:dyDescent="0.2">
      <c r="A270" s="4"/>
      <c r="B270" s="25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95" customHeight="1" x14ac:dyDescent="0.2">
      <c r="A271" s="4"/>
      <c r="B271" s="25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95" customHeight="1" x14ac:dyDescent="0.2">
      <c r="A272" s="4"/>
      <c r="B272" s="25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95" customHeight="1" x14ac:dyDescent="0.2">
      <c r="A273" s="4"/>
      <c r="B273" s="25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95" customHeight="1" x14ac:dyDescent="0.2">
      <c r="A274" s="4"/>
      <c r="B274" s="25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95" customHeight="1" x14ac:dyDescent="0.2">
      <c r="A275" s="4"/>
      <c r="B275" s="25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95" customHeight="1" x14ac:dyDescent="0.2">
      <c r="A276" s="4"/>
      <c r="B276" s="25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95" customHeight="1" x14ac:dyDescent="0.2">
      <c r="A277" s="4"/>
      <c r="B277" s="25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95" customHeight="1" x14ac:dyDescent="0.2">
      <c r="A278" s="4"/>
      <c r="B278" s="25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95" customHeight="1" x14ac:dyDescent="0.2">
      <c r="A279" s="4"/>
      <c r="B279" s="25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95" customHeight="1" x14ac:dyDescent="0.2">
      <c r="A280" s="4"/>
      <c r="B280" s="25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95" customHeight="1" x14ac:dyDescent="0.2">
      <c r="A281" s="4"/>
      <c r="B281" s="25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95" customHeight="1" x14ac:dyDescent="0.2">
      <c r="A282" s="4"/>
      <c r="B282" s="25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95" customHeight="1" x14ac:dyDescent="0.2">
      <c r="A283" s="4"/>
      <c r="B283" s="25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95" customHeight="1" x14ac:dyDescent="0.2">
      <c r="A284" s="4"/>
      <c r="B284" s="25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95" customHeight="1" x14ac:dyDescent="0.2">
      <c r="A285" s="4"/>
      <c r="B285" s="25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95" customHeight="1" x14ac:dyDescent="0.2">
      <c r="A286" s="4"/>
      <c r="B286" s="25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95" customHeight="1" x14ac:dyDescent="0.2">
      <c r="A287" s="4"/>
      <c r="B287" s="25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95" customHeight="1" x14ac:dyDescent="0.2">
      <c r="A288" s="4"/>
      <c r="B288" s="25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95" customHeight="1" x14ac:dyDescent="0.2">
      <c r="A289" s="4"/>
      <c r="B289" s="25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95" customHeight="1" x14ac:dyDescent="0.2">
      <c r="A290" s="4"/>
      <c r="B290" s="25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95" customHeight="1" x14ac:dyDescent="0.2">
      <c r="A291" s="4"/>
      <c r="B291" s="25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95" customHeight="1" x14ac:dyDescent="0.2">
      <c r="A292" s="4"/>
      <c r="B292" s="25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95" customHeight="1" x14ac:dyDescent="0.2">
      <c r="A293" s="4"/>
      <c r="B293" s="25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95" customHeight="1" x14ac:dyDescent="0.2">
      <c r="A294" s="4"/>
      <c r="B294" s="25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95" customHeight="1" x14ac:dyDescent="0.2">
      <c r="A295" s="4"/>
      <c r="B295" s="25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95" customHeight="1" x14ac:dyDescent="0.2">
      <c r="A296" s="4"/>
      <c r="B296" s="25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95" customHeight="1" x14ac:dyDescent="0.2">
      <c r="A297" s="4"/>
      <c r="B297" s="25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95" customHeight="1" x14ac:dyDescent="0.2">
      <c r="A298" s="4"/>
      <c r="B298" s="25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95" customHeight="1" x14ac:dyDescent="0.2">
      <c r="A299" s="4"/>
      <c r="B299" s="25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95" customHeight="1" x14ac:dyDescent="0.2">
      <c r="A300" s="4"/>
      <c r="B300" s="25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95" customHeight="1" x14ac:dyDescent="0.2">
      <c r="A301" s="4"/>
      <c r="B301" s="25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95" customHeight="1" x14ac:dyDescent="0.2">
      <c r="A302" s="4"/>
      <c r="B302" s="25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95" customHeight="1" x14ac:dyDescent="0.2">
      <c r="A303" s="4"/>
      <c r="B303" s="25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95" customHeight="1" x14ac:dyDescent="0.2">
      <c r="A304" s="4"/>
      <c r="B304" s="25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95" customHeight="1" x14ac:dyDescent="0.2">
      <c r="A305" s="4"/>
      <c r="B305" s="25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95" customHeight="1" x14ac:dyDescent="0.2">
      <c r="A306" s="4"/>
      <c r="B306" s="25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95" customHeight="1" x14ac:dyDescent="0.2">
      <c r="A307" s="4"/>
      <c r="B307" s="25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95" customHeight="1" x14ac:dyDescent="0.2">
      <c r="A308" s="4"/>
      <c r="B308" s="25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95" customHeight="1" x14ac:dyDescent="0.2">
      <c r="A309" s="4"/>
      <c r="B309" s="25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95" customHeight="1" x14ac:dyDescent="0.2">
      <c r="A310" s="4"/>
      <c r="B310" s="25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95" customHeight="1" x14ac:dyDescent="0.2">
      <c r="A311" s="4"/>
      <c r="B311" s="25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95" customHeight="1" x14ac:dyDescent="0.2">
      <c r="A312" s="4"/>
      <c r="B312" s="25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95" customHeight="1" x14ac:dyDescent="0.2">
      <c r="A313" s="4"/>
      <c r="B313" s="25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95" customHeight="1" x14ac:dyDescent="0.2">
      <c r="A314" s="4"/>
      <c r="B314" s="25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95" customHeight="1" x14ac:dyDescent="0.2">
      <c r="A315" s="4"/>
      <c r="B315" s="25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95" customHeight="1" x14ac:dyDescent="0.2">
      <c r="A316" s="4"/>
      <c r="B316" s="25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95" customHeight="1" x14ac:dyDescent="0.2">
      <c r="A317" s="4"/>
      <c r="B317" s="25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95" customHeight="1" x14ac:dyDescent="0.2">
      <c r="A318" s="4"/>
      <c r="B318" s="25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95" customHeight="1" x14ac:dyDescent="0.2">
      <c r="A319" s="4"/>
      <c r="B319" s="25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95" customHeight="1" x14ac:dyDescent="0.2">
      <c r="A320" s="4"/>
      <c r="B320" s="25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95" customHeight="1" x14ac:dyDescent="0.2">
      <c r="A321" s="4"/>
      <c r="B321" s="25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95" customHeight="1" x14ac:dyDescent="0.2">
      <c r="A322" s="4"/>
      <c r="B322" s="25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95" customHeight="1" x14ac:dyDescent="0.2">
      <c r="A323" s="4"/>
      <c r="B323" s="25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95" customHeight="1" x14ac:dyDescent="0.2">
      <c r="A324" s="4"/>
      <c r="B324" s="25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95" customHeight="1" x14ac:dyDescent="0.2">
      <c r="A325" s="4"/>
      <c r="B325" s="25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95" customHeight="1" x14ac:dyDescent="0.2">
      <c r="A326" s="4"/>
      <c r="B326" s="25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95" customHeight="1" x14ac:dyDescent="0.2">
      <c r="A327" s="4"/>
      <c r="B327" s="25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95" customHeight="1" x14ac:dyDescent="0.2">
      <c r="A328" s="4"/>
      <c r="B328" s="25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95" customHeight="1" x14ac:dyDescent="0.2">
      <c r="A329" s="4"/>
      <c r="B329" s="25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95" customHeight="1" x14ac:dyDescent="0.2">
      <c r="A330" s="4"/>
      <c r="B330" s="25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95" customHeight="1" x14ac:dyDescent="0.2">
      <c r="A331" s="4"/>
      <c r="B331" s="25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95" customHeight="1" x14ac:dyDescent="0.2">
      <c r="A332" s="4"/>
      <c r="B332" s="25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95" customHeight="1" x14ac:dyDescent="0.2">
      <c r="A333" s="4"/>
      <c r="B333" s="25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95" customHeight="1" x14ac:dyDescent="0.2">
      <c r="A334" s="4"/>
      <c r="B334" s="25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95" customHeight="1" x14ac:dyDescent="0.2">
      <c r="A335" s="4"/>
      <c r="B335" s="25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95" customHeight="1" x14ac:dyDescent="0.2">
      <c r="A336" s="4"/>
      <c r="B336" s="25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95" customHeight="1" x14ac:dyDescent="0.2">
      <c r="A337" s="4"/>
      <c r="B337" s="25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95" customHeight="1" x14ac:dyDescent="0.2">
      <c r="A338" s="4"/>
      <c r="B338" s="25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95" customHeight="1" x14ac:dyDescent="0.2">
      <c r="A339" s="4"/>
      <c r="B339" s="25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95" customHeight="1" x14ac:dyDescent="0.2">
      <c r="A340" s="4"/>
      <c r="B340" s="25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95" customHeight="1" x14ac:dyDescent="0.2">
      <c r="A341" s="4"/>
      <c r="B341" s="25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95" customHeight="1" x14ac:dyDescent="0.2">
      <c r="A342" s="4"/>
      <c r="B342" s="25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95" customHeight="1" x14ac:dyDescent="0.2">
      <c r="A343" s="4"/>
      <c r="B343" s="25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95" customHeight="1" x14ac:dyDescent="0.2">
      <c r="A344" s="4"/>
      <c r="B344" s="25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95" customHeight="1" x14ac:dyDescent="0.2">
      <c r="A345" s="4"/>
      <c r="B345" s="25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95" customHeight="1" x14ac:dyDescent="0.2">
      <c r="A346" s="4"/>
      <c r="B346" s="25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95" customHeight="1" x14ac:dyDescent="0.2">
      <c r="A347" s="4"/>
      <c r="B347" s="25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95" customHeight="1" x14ac:dyDescent="0.2">
      <c r="A348" s="4"/>
      <c r="B348" s="25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95" customHeight="1" x14ac:dyDescent="0.2">
      <c r="A349" s="4"/>
      <c r="B349" s="25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95" customHeight="1" x14ac:dyDescent="0.2">
      <c r="A350" s="4"/>
      <c r="B350" s="25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95" customHeight="1" x14ac:dyDescent="0.2">
      <c r="A351" s="4"/>
      <c r="B351" s="25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95" customHeight="1" x14ac:dyDescent="0.2">
      <c r="A352" s="4"/>
      <c r="B352" s="25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95" customHeight="1" x14ac:dyDescent="0.2">
      <c r="A353" s="4"/>
      <c r="B353" s="25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95" customHeight="1" x14ac:dyDescent="0.2">
      <c r="A354" s="4"/>
      <c r="B354" s="25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95" customHeight="1" x14ac:dyDescent="0.2">
      <c r="A355" s="4"/>
      <c r="B355" s="25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95" customHeight="1" x14ac:dyDescent="0.2">
      <c r="A356" s="4"/>
      <c r="B356" s="25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95" customHeight="1" x14ac:dyDescent="0.2">
      <c r="A357" s="4"/>
      <c r="B357" s="25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95" customHeight="1" x14ac:dyDescent="0.2">
      <c r="A358" s="4"/>
      <c r="B358" s="25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95" customHeight="1" x14ac:dyDescent="0.2">
      <c r="A359" s="4"/>
      <c r="B359" s="25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95" customHeight="1" x14ac:dyDescent="0.2">
      <c r="A360" s="4"/>
      <c r="B360" s="25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95" customHeight="1" x14ac:dyDescent="0.2">
      <c r="A361" s="4"/>
      <c r="B361" s="25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95" customHeight="1" x14ac:dyDescent="0.2">
      <c r="A362" s="4"/>
      <c r="B362" s="25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95" customHeight="1" x14ac:dyDescent="0.2">
      <c r="A363" s="4"/>
      <c r="B363" s="25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95" customHeight="1" x14ac:dyDescent="0.2">
      <c r="A364" s="4"/>
      <c r="B364" s="25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95" customHeight="1" x14ac:dyDescent="0.2">
      <c r="A365" s="4"/>
      <c r="B365" s="25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95" customHeight="1" x14ac:dyDescent="0.2">
      <c r="A366" s="4"/>
      <c r="B366" s="25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95" customHeight="1" x14ac:dyDescent="0.2">
      <c r="A367" s="4"/>
      <c r="B367" s="25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95" customHeight="1" x14ac:dyDescent="0.2">
      <c r="A368" s="4"/>
      <c r="B368" s="25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95" customHeight="1" x14ac:dyDescent="0.2">
      <c r="A369" s="4"/>
      <c r="B369" s="25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95" customHeight="1" x14ac:dyDescent="0.2">
      <c r="A370" s="4"/>
      <c r="B370" s="25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95" customHeight="1" x14ac:dyDescent="0.2">
      <c r="A371" s="4"/>
      <c r="B371" s="25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95" customHeight="1" x14ac:dyDescent="0.2">
      <c r="A372" s="4"/>
      <c r="B372" s="25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95" customHeight="1" x14ac:dyDescent="0.2">
      <c r="A373" s="4"/>
      <c r="B373" s="25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95" customHeight="1" x14ac:dyDescent="0.2">
      <c r="A374" s="4"/>
      <c r="B374" s="25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95" customHeight="1" x14ac:dyDescent="0.2">
      <c r="A375" s="4"/>
      <c r="B375" s="25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95" customHeight="1" x14ac:dyDescent="0.2">
      <c r="A376" s="4"/>
      <c r="B376" s="25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95" customHeight="1" x14ac:dyDescent="0.2">
      <c r="A377" s="4"/>
      <c r="B377" s="25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95" customHeight="1" x14ac:dyDescent="0.2">
      <c r="A378" s="4"/>
      <c r="B378" s="25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95" customHeight="1" x14ac:dyDescent="0.2">
      <c r="A379" s="4"/>
      <c r="B379" s="25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95" customHeight="1" x14ac:dyDescent="0.2">
      <c r="A380" s="4"/>
      <c r="B380" s="25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95" customHeight="1" x14ac:dyDescent="0.2">
      <c r="A381" s="4"/>
      <c r="B381" s="25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95" customHeight="1" x14ac:dyDescent="0.2">
      <c r="A382" s="4"/>
      <c r="B382" s="25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95" customHeight="1" x14ac:dyDescent="0.2">
      <c r="A383" s="4"/>
      <c r="B383" s="25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95" customHeight="1" x14ac:dyDescent="0.2">
      <c r="A384" s="4"/>
      <c r="B384" s="25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95" customHeight="1" x14ac:dyDescent="0.2">
      <c r="A385" s="4"/>
      <c r="B385" s="25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95" customHeight="1" x14ac:dyDescent="0.2">
      <c r="A386" s="4"/>
      <c r="B386" s="25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95" customHeight="1" x14ac:dyDescent="0.2">
      <c r="A387" s="4"/>
      <c r="B387" s="25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95" customHeight="1" x14ac:dyDescent="0.2">
      <c r="A388" s="4"/>
      <c r="B388" s="25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95" customHeight="1" x14ac:dyDescent="0.2">
      <c r="A389" s="4"/>
      <c r="B389" s="25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95" customHeight="1" x14ac:dyDescent="0.2">
      <c r="A390" s="4"/>
      <c r="B390" s="25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95" customHeight="1" x14ac:dyDescent="0.2">
      <c r="A391" s="4"/>
      <c r="B391" s="25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95" customHeight="1" x14ac:dyDescent="0.2">
      <c r="A392" s="4"/>
      <c r="B392" s="25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95" customHeight="1" x14ac:dyDescent="0.2">
      <c r="A393" s="4"/>
      <c r="B393" s="25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95" customHeight="1" x14ac:dyDescent="0.2">
      <c r="A394" s="4"/>
      <c r="B394" s="25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95" customHeight="1" x14ac:dyDescent="0.2">
      <c r="A395" s="4"/>
      <c r="B395" s="25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95" customHeight="1" x14ac:dyDescent="0.2">
      <c r="A396" s="4"/>
      <c r="B396" s="25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95" customHeight="1" x14ac:dyDescent="0.2">
      <c r="A397" s="4"/>
      <c r="B397" s="25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95" customHeight="1" x14ac:dyDescent="0.2">
      <c r="A398" s="4"/>
      <c r="B398" s="25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95" customHeight="1" x14ac:dyDescent="0.2">
      <c r="A399" s="4"/>
      <c r="B399" s="25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95" customHeight="1" x14ac:dyDescent="0.2">
      <c r="A400" s="4"/>
      <c r="B400" s="25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95" customHeight="1" x14ac:dyDescent="0.2">
      <c r="A401" s="4"/>
      <c r="B401" s="25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95" customHeight="1" x14ac:dyDescent="0.2">
      <c r="A402" s="4"/>
      <c r="B402" s="25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95" customHeight="1" x14ac:dyDescent="0.2">
      <c r="A403" s="4"/>
      <c r="B403" s="25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95" customHeight="1" x14ac:dyDescent="0.2">
      <c r="A404" s="4"/>
      <c r="B404" s="25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95" customHeight="1" x14ac:dyDescent="0.2">
      <c r="A405" s="4"/>
      <c r="B405" s="25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95" customHeight="1" x14ac:dyDescent="0.2">
      <c r="A406" s="4"/>
      <c r="B406" s="25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95" customHeight="1" x14ac:dyDescent="0.2">
      <c r="A407" s="4"/>
      <c r="B407" s="25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95" customHeight="1" x14ac:dyDescent="0.2">
      <c r="A408" s="4"/>
      <c r="B408" s="25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95" customHeight="1" x14ac:dyDescent="0.2">
      <c r="A409" s="4"/>
      <c r="B409" s="25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95" customHeight="1" x14ac:dyDescent="0.2">
      <c r="A410" s="4"/>
      <c r="B410" s="25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95" customHeight="1" x14ac:dyDescent="0.2">
      <c r="A411" s="4"/>
      <c r="B411" s="25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95" customHeight="1" x14ac:dyDescent="0.2">
      <c r="A412" s="4"/>
      <c r="B412" s="25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95" customHeight="1" x14ac:dyDescent="0.2">
      <c r="A413" s="4"/>
      <c r="B413" s="25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95" customHeight="1" x14ac:dyDescent="0.2">
      <c r="A414" s="4"/>
      <c r="B414" s="25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95" customHeight="1" x14ac:dyDescent="0.2">
      <c r="A415" s="4"/>
      <c r="B415" s="25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95" customHeight="1" x14ac:dyDescent="0.2">
      <c r="A416" s="4"/>
      <c r="B416" s="25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95" customHeight="1" x14ac:dyDescent="0.2">
      <c r="A417" s="4"/>
      <c r="B417" s="25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95" customHeight="1" x14ac:dyDescent="0.2">
      <c r="A418" s="4"/>
      <c r="B418" s="25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95" customHeight="1" x14ac:dyDescent="0.2">
      <c r="A419" s="4"/>
      <c r="B419" s="25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95" customHeight="1" x14ac:dyDescent="0.2">
      <c r="A420" s="4"/>
      <c r="B420" s="25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95" customHeight="1" x14ac:dyDescent="0.2">
      <c r="A421" s="4"/>
      <c r="B421" s="25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95" customHeight="1" x14ac:dyDescent="0.2">
      <c r="A422" s="4"/>
      <c r="B422" s="25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95" customHeight="1" x14ac:dyDescent="0.2">
      <c r="A423" s="4"/>
      <c r="B423" s="25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95" customHeight="1" x14ac:dyDescent="0.2">
      <c r="A424" s="4"/>
      <c r="B424" s="25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95" customHeight="1" x14ac:dyDescent="0.2">
      <c r="A425" s="4"/>
      <c r="B425" s="25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95" customHeight="1" x14ac:dyDescent="0.2">
      <c r="A426" s="4"/>
      <c r="B426" s="25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95" customHeight="1" x14ac:dyDescent="0.2">
      <c r="A427" s="4"/>
      <c r="B427" s="25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95" customHeight="1" x14ac:dyDescent="0.2">
      <c r="A428" s="4"/>
      <c r="B428" s="25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95" customHeight="1" x14ac:dyDescent="0.2">
      <c r="A429" s="4"/>
      <c r="B429" s="25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95" customHeight="1" x14ac:dyDescent="0.2">
      <c r="A430" s="4"/>
      <c r="B430" s="25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95" customHeight="1" x14ac:dyDescent="0.2">
      <c r="A431" s="4"/>
      <c r="B431" s="25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95" customHeight="1" x14ac:dyDescent="0.2">
      <c r="A432" s="4"/>
      <c r="B432" s="25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95" customHeight="1" x14ac:dyDescent="0.2">
      <c r="A433" s="4"/>
      <c r="B433" s="25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95" customHeight="1" x14ac:dyDescent="0.2">
      <c r="A434" s="4"/>
      <c r="B434" s="25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95" customHeight="1" x14ac:dyDescent="0.2">
      <c r="A435" s="4"/>
      <c r="B435" s="25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95" customHeight="1" x14ac:dyDescent="0.2">
      <c r="A436" s="4"/>
      <c r="B436" s="25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95" customHeight="1" x14ac:dyDescent="0.2">
      <c r="A437" s="4"/>
      <c r="B437" s="25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95" customHeight="1" x14ac:dyDescent="0.2">
      <c r="A438" s="4"/>
      <c r="B438" s="25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95" customHeight="1" x14ac:dyDescent="0.2">
      <c r="A439" s="4"/>
      <c r="B439" s="25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95" customHeight="1" x14ac:dyDescent="0.2">
      <c r="A440" s="4"/>
      <c r="B440" s="25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95" customHeight="1" x14ac:dyDescent="0.2">
      <c r="A441" s="4"/>
      <c r="B441" s="25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95" customHeight="1" x14ac:dyDescent="0.2">
      <c r="A442" s="4"/>
      <c r="B442" s="25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95" customHeight="1" x14ac:dyDescent="0.2">
      <c r="A443" s="4"/>
      <c r="B443" s="25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95" customHeight="1" x14ac:dyDescent="0.2">
      <c r="A444" s="4"/>
      <c r="B444" s="25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95" customHeight="1" x14ac:dyDescent="0.2">
      <c r="A445" s="4"/>
      <c r="B445" s="25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95" customHeight="1" x14ac:dyDescent="0.2">
      <c r="A446" s="4"/>
      <c r="B446" s="25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95" customHeight="1" x14ac:dyDescent="0.2">
      <c r="A447" s="4"/>
      <c r="B447" s="25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95" customHeight="1" x14ac:dyDescent="0.2">
      <c r="A448" s="4"/>
      <c r="B448" s="25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95" customHeight="1" x14ac:dyDescent="0.2">
      <c r="A449" s="4"/>
      <c r="B449" s="25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95" customHeight="1" x14ac:dyDescent="0.2">
      <c r="A450" s="4"/>
      <c r="B450" s="25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95" customHeight="1" x14ac:dyDescent="0.2">
      <c r="A451" s="4"/>
      <c r="B451" s="25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95" customHeight="1" x14ac:dyDescent="0.2">
      <c r="A452" s="4"/>
      <c r="B452" s="25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95" customHeight="1" x14ac:dyDescent="0.2">
      <c r="A453" s="4"/>
      <c r="B453" s="25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95" customHeight="1" x14ac:dyDescent="0.2">
      <c r="A454" s="4"/>
      <c r="B454" s="25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95" customHeight="1" x14ac:dyDescent="0.2">
      <c r="A455" s="4"/>
      <c r="B455" s="25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95" customHeight="1" x14ac:dyDescent="0.2">
      <c r="A456" s="4"/>
      <c r="B456" s="25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95" customHeight="1" x14ac:dyDescent="0.2">
      <c r="A457" s="4"/>
      <c r="B457" s="25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95" customHeight="1" x14ac:dyDescent="0.2">
      <c r="A458" s="4"/>
      <c r="B458" s="25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95" customHeight="1" x14ac:dyDescent="0.2">
      <c r="A459" s="4"/>
      <c r="B459" s="25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95" customHeight="1" x14ac:dyDescent="0.2">
      <c r="A460" s="4"/>
      <c r="B460" s="25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95" customHeight="1" x14ac:dyDescent="0.2">
      <c r="A461" s="4"/>
      <c r="B461" s="25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95" customHeight="1" x14ac:dyDescent="0.2">
      <c r="A462" s="4"/>
      <c r="B462" s="25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95" customHeight="1" x14ac:dyDescent="0.2">
      <c r="A463" s="4"/>
      <c r="B463" s="25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95" customHeight="1" x14ac:dyDescent="0.2">
      <c r="A464" s="4"/>
      <c r="B464" s="25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95" customHeight="1" x14ac:dyDescent="0.2">
      <c r="A465" s="4"/>
      <c r="B465" s="25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95" customHeight="1" x14ac:dyDescent="0.2">
      <c r="A466" s="4"/>
      <c r="B466" s="25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95" customHeight="1" x14ac:dyDescent="0.2">
      <c r="A467" s="4"/>
      <c r="B467" s="25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95" customHeight="1" x14ac:dyDescent="0.2">
      <c r="A468" s="4"/>
      <c r="B468" s="25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95" customHeight="1" x14ac:dyDescent="0.2">
      <c r="A469" s="4"/>
      <c r="B469" s="25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95" customHeight="1" x14ac:dyDescent="0.2">
      <c r="A470" s="4"/>
      <c r="B470" s="25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95" customHeight="1" x14ac:dyDescent="0.2">
      <c r="A471" s="4"/>
      <c r="B471" s="25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95" customHeight="1" x14ac:dyDescent="0.2">
      <c r="A472" s="4"/>
      <c r="B472" s="25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95" customHeight="1" x14ac:dyDescent="0.2">
      <c r="A473" s="4"/>
      <c r="B473" s="25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95" customHeight="1" x14ac:dyDescent="0.2">
      <c r="A474" s="4"/>
      <c r="B474" s="25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95" customHeight="1" x14ac:dyDescent="0.2">
      <c r="A475" s="4"/>
      <c r="B475" s="25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95" customHeight="1" x14ac:dyDescent="0.2">
      <c r="A476" s="4"/>
      <c r="B476" s="25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95" customHeight="1" x14ac:dyDescent="0.2">
      <c r="A477" s="4"/>
      <c r="B477" s="25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95" customHeight="1" x14ac:dyDescent="0.2">
      <c r="A478" s="4"/>
      <c r="B478" s="25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95" customHeight="1" x14ac:dyDescent="0.2">
      <c r="A479" s="4"/>
      <c r="B479" s="25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95" customHeight="1" x14ac:dyDescent="0.2">
      <c r="A480" s="4"/>
      <c r="B480" s="25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95" customHeight="1" x14ac:dyDescent="0.2">
      <c r="A481" s="4"/>
      <c r="B481" s="25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95" customHeight="1" x14ac:dyDescent="0.2">
      <c r="A482" s="4"/>
      <c r="B482" s="25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95" customHeight="1" x14ac:dyDescent="0.2">
      <c r="A483" s="4"/>
      <c r="B483" s="25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95" customHeight="1" x14ac:dyDescent="0.2">
      <c r="A484" s="4"/>
      <c r="B484" s="25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95" customHeight="1" x14ac:dyDescent="0.2">
      <c r="A485" s="4"/>
      <c r="B485" s="25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95" customHeight="1" x14ac:dyDescent="0.2">
      <c r="A486" s="4"/>
      <c r="B486" s="25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95" customHeight="1" x14ac:dyDescent="0.2">
      <c r="A487" s="4"/>
      <c r="B487" s="25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95" customHeight="1" x14ac:dyDescent="0.2">
      <c r="A488" s="4"/>
      <c r="B488" s="25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95" customHeight="1" x14ac:dyDescent="0.2">
      <c r="A489" s="4"/>
      <c r="B489" s="25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95" customHeight="1" x14ac:dyDescent="0.2">
      <c r="A490" s="4"/>
      <c r="B490" s="25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95" customHeight="1" x14ac:dyDescent="0.2">
      <c r="A491" s="4"/>
      <c r="B491" s="25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95" customHeight="1" x14ac:dyDescent="0.2">
      <c r="A492" s="4"/>
      <c r="B492" s="25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95" customHeight="1" x14ac:dyDescent="0.2">
      <c r="A493" s="4"/>
      <c r="B493" s="25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95" customHeight="1" x14ac:dyDescent="0.2">
      <c r="A494" s="4"/>
      <c r="B494" s="25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95" customHeight="1" x14ac:dyDescent="0.2">
      <c r="A495" s="4"/>
      <c r="B495" s="25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95" customHeight="1" x14ac:dyDescent="0.2">
      <c r="A496" s="4"/>
      <c r="B496" s="25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95" customHeight="1" x14ac:dyDescent="0.2">
      <c r="A497" s="4"/>
      <c r="B497" s="25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95" customHeight="1" x14ac:dyDescent="0.2">
      <c r="A498" s="4"/>
      <c r="B498" s="25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95" customHeight="1" x14ac:dyDescent="0.2">
      <c r="A499" s="4"/>
      <c r="B499" s="25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95" customHeight="1" x14ac:dyDescent="0.2">
      <c r="A500" s="4"/>
      <c r="B500" s="25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95" customHeight="1" x14ac:dyDescent="0.2">
      <c r="A501" s="4"/>
      <c r="B501" s="25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95" customHeight="1" x14ac:dyDescent="0.2">
      <c r="A502" s="4"/>
      <c r="B502" s="25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95" customHeight="1" x14ac:dyDescent="0.2">
      <c r="A503" s="4"/>
      <c r="B503" s="25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95" customHeight="1" x14ac:dyDescent="0.2">
      <c r="A504" s="4"/>
      <c r="B504" s="25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95" customHeight="1" x14ac:dyDescent="0.2">
      <c r="A505" s="4"/>
      <c r="B505" s="25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95" customHeight="1" x14ac:dyDescent="0.2">
      <c r="A506" s="4"/>
      <c r="B506" s="25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95" customHeight="1" x14ac:dyDescent="0.2">
      <c r="A507" s="4"/>
      <c r="B507" s="25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95" customHeight="1" x14ac:dyDescent="0.2">
      <c r="A508" s="4"/>
      <c r="B508" s="25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95" customHeight="1" x14ac:dyDescent="0.2">
      <c r="A509" s="4"/>
      <c r="B509" s="25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95" customHeight="1" x14ac:dyDescent="0.2">
      <c r="A510" s="4"/>
      <c r="B510" s="25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95" customHeight="1" x14ac:dyDescent="0.2">
      <c r="A511" s="4"/>
      <c r="B511" s="25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95" customHeight="1" x14ac:dyDescent="0.2">
      <c r="A512" s="4"/>
      <c r="B512" s="25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95" customHeight="1" x14ac:dyDescent="0.2">
      <c r="A513" s="4"/>
      <c r="B513" s="25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95" customHeight="1" x14ac:dyDescent="0.2">
      <c r="A514" s="4"/>
      <c r="B514" s="25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95" customHeight="1" x14ac:dyDescent="0.2">
      <c r="A515" s="4"/>
      <c r="B515" s="25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95" customHeight="1" x14ac:dyDescent="0.2">
      <c r="A516" s="4"/>
      <c r="B516" s="25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95" customHeight="1" x14ac:dyDescent="0.2">
      <c r="A517" s="4"/>
      <c r="B517" s="25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95" customHeight="1" x14ac:dyDescent="0.2">
      <c r="A518" s="4"/>
      <c r="B518" s="25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95" customHeight="1" x14ac:dyDescent="0.2">
      <c r="A519" s="4"/>
      <c r="B519" s="25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95" customHeight="1" x14ac:dyDescent="0.2">
      <c r="A520" s="4"/>
      <c r="B520" s="25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95" customHeight="1" x14ac:dyDescent="0.2">
      <c r="A521" s="4"/>
      <c r="B521" s="25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95" customHeight="1" x14ac:dyDescent="0.2">
      <c r="A522" s="4"/>
      <c r="B522" s="25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95" customHeight="1" x14ac:dyDescent="0.2">
      <c r="A523" s="4"/>
      <c r="B523" s="25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95" customHeight="1" x14ac:dyDescent="0.2">
      <c r="A524" s="4"/>
      <c r="B524" s="25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95" customHeight="1" x14ac:dyDescent="0.2">
      <c r="A525" s="4"/>
      <c r="B525" s="25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95" customHeight="1" x14ac:dyDescent="0.2">
      <c r="A526" s="4"/>
      <c r="B526" s="25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95" customHeight="1" x14ac:dyDescent="0.2">
      <c r="A527" s="4"/>
      <c r="B527" s="25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95" customHeight="1" x14ac:dyDescent="0.2">
      <c r="A528" s="4"/>
      <c r="B528" s="25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95" customHeight="1" x14ac:dyDescent="0.2">
      <c r="A529" s="4"/>
      <c r="B529" s="25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95" customHeight="1" x14ac:dyDescent="0.2">
      <c r="A530" s="4"/>
      <c r="B530" s="25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95" customHeight="1" x14ac:dyDescent="0.2">
      <c r="A531" s="4"/>
      <c r="B531" s="25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95" customHeight="1" x14ac:dyDescent="0.2">
      <c r="A532" s="4"/>
      <c r="B532" s="25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95" customHeight="1" x14ac:dyDescent="0.2">
      <c r="A533" s="4"/>
      <c r="B533" s="25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95" customHeight="1" x14ac:dyDescent="0.2">
      <c r="A534" s="4"/>
      <c r="B534" s="25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95" customHeight="1" x14ac:dyDescent="0.2">
      <c r="A535" s="4"/>
      <c r="B535" s="25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95" customHeight="1" x14ac:dyDescent="0.2">
      <c r="A536" s="4"/>
      <c r="B536" s="25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95" customHeight="1" x14ac:dyDescent="0.2">
      <c r="A537" s="4"/>
      <c r="B537" s="25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95" customHeight="1" x14ac:dyDescent="0.2">
      <c r="A538" s="4"/>
      <c r="B538" s="25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95" customHeight="1" x14ac:dyDescent="0.2">
      <c r="A539" s="4"/>
      <c r="B539" s="25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95" customHeight="1" x14ac:dyDescent="0.2">
      <c r="A540" s="4"/>
      <c r="B540" s="25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95" customHeight="1" x14ac:dyDescent="0.2">
      <c r="A541" s="4"/>
      <c r="B541" s="25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95" customHeight="1" x14ac:dyDescent="0.2">
      <c r="A542" s="4"/>
      <c r="B542" s="25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95" customHeight="1" x14ac:dyDescent="0.2">
      <c r="A543" s="4"/>
      <c r="B543" s="25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95" customHeight="1" x14ac:dyDescent="0.2">
      <c r="A544" s="4"/>
      <c r="B544" s="25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95" customHeight="1" x14ac:dyDescent="0.2">
      <c r="A545" s="4"/>
      <c r="B545" s="25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95" customHeight="1" x14ac:dyDescent="0.2">
      <c r="A546" s="4"/>
      <c r="B546" s="25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95" customHeight="1" x14ac:dyDescent="0.2">
      <c r="A547" s="4"/>
      <c r="B547" s="25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95" customHeight="1" x14ac:dyDescent="0.2">
      <c r="A548" s="4"/>
      <c r="B548" s="25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95" customHeight="1" x14ac:dyDescent="0.2">
      <c r="A549" s="4"/>
      <c r="B549" s="25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95" customHeight="1" x14ac:dyDescent="0.2">
      <c r="A550" s="4"/>
      <c r="B550" s="25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95" customHeight="1" x14ac:dyDescent="0.2">
      <c r="A551" s="4"/>
      <c r="B551" s="25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95" customHeight="1" x14ac:dyDescent="0.2">
      <c r="A552" s="4"/>
      <c r="B552" s="25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95" customHeight="1" x14ac:dyDescent="0.2">
      <c r="A553" s="4"/>
      <c r="B553" s="25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95" customHeight="1" x14ac:dyDescent="0.2">
      <c r="A554" s="4"/>
      <c r="B554" s="25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95" customHeight="1" x14ac:dyDescent="0.2">
      <c r="A555" s="4"/>
      <c r="B555" s="25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95" customHeight="1" x14ac:dyDescent="0.2">
      <c r="A556" s="4"/>
      <c r="B556" s="25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95" customHeight="1" x14ac:dyDescent="0.2">
      <c r="A557" s="4"/>
      <c r="B557" s="25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95" customHeight="1" x14ac:dyDescent="0.2">
      <c r="A558" s="4"/>
      <c r="B558" s="25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95" customHeight="1" x14ac:dyDescent="0.2">
      <c r="A559" s="4"/>
      <c r="B559" s="25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95" customHeight="1" x14ac:dyDescent="0.2">
      <c r="A560" s="4"/>
      <c r="B560" s="25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95" customHeight="1" x14ac:dyDescent="0.2">
      <c r="A561" s="4"/>
      <c r="B561" s="25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95" customHeight="1" x14ac:dyDescent="0.2">
      <c r="A562" s="4"/>
      <c r="B562" s="25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95" customHeight="1" x14ac:dyDescent="0.2">
      <c r="A563" s="4"/>
      <c r="B563" s="25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95" customHeight="1" x14ac:dyDescent="0.2">
      <c r="A564" s="4"/>
      <c r="B564" s="25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95" customHeight="1" x14ac:dyDescent="0.2">
      <c r="A565" s="4"/>
      <c r="B565" s="25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95" customHeight="1" x14ac:dyDescent="0.2">
      <c r="A566" s="4"/>
      <c r="B566" s="25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95" customHeight="1" x14ac:dyDescent="0.2">
      <c r="A567" s="4"/>
      <c r="B567" s="25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95" customHeight="1" x14ac:dyDescent="0.2">
      <c r="A568" s="4"/>
      <c r="B568" s="25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95" customHeight="1" x14ac:dyDescent="0.2">
      <c r="A569" s="4"/>
      <c r="B569" s="25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95" customHeight="1" x14ac:dyDescent="0.2">
      <c r="A570" s="4"/>
      <c r="B570" s="25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95" customHeight="1" x14ac:dyDescent="0.2">
      <c r="A571" s="4"/>
      <c r="B571" s="25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95" customHeight="1" x14ac:dyDescent="0.2">
      <c r="A572" s="4"/>
      <c r="B572" s="25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95" customHeight="1" x14ac:dyDescent="0.2">
      <c r="A573" s="4"/>
      <c r="B573" s="25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95" customHeight="1" x14ac:dyDescent="0.2">
      <c r="A574" s="4"/>
      <c r="B574" s="25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95" customHeight="1" x14ac:dyDescent="0.2">
      <c r="A575" s="4"/>
      <c r="B575" s="25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95" customHeight="1" x14ac:dyDescent="0.2">
      <c r="A576" s="4"/>
      <c r="B576" s="25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95" customHeight="1" x14ac:dyDescent="0.2">
      <c r="A577" s="4"/>
      <c r="B577" s="25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95" customHeight="1" x14ac:dyDescent="0.2">
      <c r="A578" s="4"/>
      <c r="B578" s="25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95" customHeight="1" x14ac:dyDescent="0.2">
      <c r="A579" s="4"/>
      <c r="B579" s="25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95" customHeight="1" x14ac:dyDescent="0.2">
      <c r="A580" s="4"/>
      <c r="B580" s="25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95" customHeight="1" x14ac:dyDescent="0.2">
      <c r="A581" s="4"/>
      <c r="B581" s="25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95" customHeight="1" x14ac:dyDescent="0.2">
      <c r="A582" s="4"/>
      <c r="B582" s="25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95" customHeight="1" x14ac:dyDescent="0.2">
      <c r="A583" s="4"/>
      <c r="B583" s="25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95" customHeight="1" x14ac:dyDescent="0.2">
      <c r="A584" s="4"/>
      <c r="B584" s="25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95" customHeight="1" x14ac:dyDescent="0.2">
      <c r="A585" s="4"/>
      <c r="B585" s="25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95" customHeight="1" x14ac:dyDescent="0.2">
      <c r="A586" s="4"/>
      <c r="B586" s="25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95" customHeight="1" x14ac:dyDescent="0.2">
      <c r="A587" s="4"/>
      <c r="B587" s="25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95" customHeight="1" x14ac:dyDescent="0.2">
      <c r="A588" s="4"/>
      <c r="B588" s="25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95" customHeight="1" x14ac:dyDescent="0.2">
      <c r="A589" s="4"/>
      <c r="B589" s="25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95" customHeight="1" x14ac:dyDescent="0.2">
      <c r="A590" s="4"/>
      <c r="B590" s="25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95" customHeight="1" x14ac:dyDescent="0.2">
      <c r="A591" s="4"/>
      <c r="B591" s="25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95" customHeight="1" x14ac:dyDescent="0.2">
      <c r="A592" s="4"/>
      <c r="B592" s="25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95" customHeight="1" x14ac:dyDescent="0.2">
      <c r="A593" s="4"/>
      <c r="B593" s="25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95" customHeight="1" x14ac:dyDescent="0.2">
      <c r="A594" s="4"/>
      <c r="B594" s="25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95" customHeight="1" x14ac:dyDescent="0.2">
      <c r="A595" s="4"/>
      <c r="B595" s="25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95" customHeight="1" x14ac:dyDescent="0.2">
      <c r="A596" s="4"/>
      <c r="B596" s="25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95" customHeight="1" x14ac:dyDescent="0.2">
      <c r="A597" s="4"/>
      <c r="B597" s="25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95" customHeight="1" x14ac:dyDescent="0.2">
      <c r="A598" s="4"/>
      <c r="B598" s="25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95" customHeight="1" x14ac:dyDescent="0.2">
      <c r="A599" s="4"/>
      <c r="B599" s="25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95" customHeight="1" x14ac:dyDescent="0.2">
      <c r="A600" s="4"/>
      <c r="B600" s="25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95" customHeight="1" x14ac:dyDescent="0.2">
      <c r="A601" s="4"/>
      <c r="B601" s="25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95" customHeight="1" x14ac:dyDescent="0.2">
      <c r="A602" s="4"/>
      <c r="B602" s="25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95" customHeight="1" x14ac:dyDescent="0.2">
      <c r="A603" s="4"/>
      <c r="B603" s="25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95" customHeight="1" x14ac:dyDescent="0.2">
      <c r="A604" s="4"/>
      <c r="B604" s="25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95" customHeight="1" x14ac:dyDescent="0.2">
      <c r="A605" s="4"/>
      <c r="B605" s="25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95" customHeight="1" x14ac:dyDescent="0.2">
      <c r="A606" s="4"/>
      <c r="B606" s="25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95" customHeight="1" x14ac:dyDescent="0.2">
      <c r="A607" s="4"/>
      <c r="B607" s="25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95" customHeight="1" x14ac:dyDescent="0.2">
      <c r="A608" s="4"/>
      <c r="B608" s="25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95" customHeight="1" x14ac:dyDescent="0.2">
      <c r="A609" s="4"/>
      <c r="B609" s="25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95" customHeight="1" x14ac:dyDescent="0.2">
      <c r="A610" s="4"/>
      <c r="B610" s="25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95" customHeight="1" x14ac:dyDescent="0.2">
      <c r="A611" s="4"/>
      <c r="B611" s="25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95" customHeight="1" x14ac:dyDescent="0.2">
      <c r="A612" s="4"/>
      <c r="B612" s="25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95" customHeight="1" x14ac:dyDescent="0.2">
      <c r="A613" s="4"/>
      <c r="B613" s="25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95" customHeight="1" x14ac:dyDescent="0.2">
      <c r="A614" s="4"/>
      <c r="B614" s="25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95" customHeight="1" x14ac:dyDescent="0.2">
      <c r="A615" s="4"/>
      <c r="B615" s="25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95" customHeight="1" x14ac:dyDescent="0.2">
      <c r="A616" s="4"/>
      <c r="B616" s="25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95" customHeight="1" x14ac:dyDescent="0.2">
      <c r="A617" s="4"/>
      <c r="B617" s="25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95" customHeight="1" x14ac:dyDescent="0.2">
      <c r="A618" s="4"/>
      <c r="B618" s="25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95" customHeight="1" x14ac:dyDescent="0.2">
      <c r="A619" s="4"/>
      <c r="B619" s="25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95" customHeight="1" x14ac:dyDescent="0.2">
      <c r="A620" s="4"/>
      <c r="B620" s="25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95" customHeight="1" x14ac:dyDescent="0.2">
      <c r="A621" s="4"/>
      <c r="B621" s="25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95" customHeight="1" x14ac:dyDescent="0.2">
      <c r="A622" s="4"/>
      <c r="B622" s="25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95" customHeight="1" x14ac:dyDescent="0.2">
      <c r="A623" s="4"/>
      <c r="B623" s="25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95" customHeight="1" x14ac:dyDescent="0.2">
      <c r="A624" s="4"/>
      <c r="B624" s="25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95" customHeight="1" x14ac:dyDescent="0.2">
      <c r="A625" s="4"/>
      <c r="B625" s="25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95" customHeight="1" x14ac:dyDescent="0.2">
      <c r="A626" s="4"/>
      <c r="B626" s="25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95" customHeight="1" x14ac:dyDescent="0.2">
      <c r="A627" s="4"/>
      <c r="B627" s="25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95" customHeight="1" x14ac:dyDescent="0.2">
      <c r="A628" s="4"/>
      <c r="B628" s="25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95" customHeight="1" x14ac:dyDescent="0.2">
      <c r="A629" s="4"/>
      <c r="B629" s="25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95" customHeight="1" x14ac:dyDescent="0.2">
      <c r="A630" s="4"/>
      <c r="B630" s="25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95" customHeight="1" x14ac:dyDescent="0.2">
      <c r="A631" s="4"/>
      <c r="B631" s="25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95" customHeight="1" x14ac:dyDescent="0.2">
      <c r="A632" s="4"/>
      <c r="B632" s="25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95" customHeight="1" x14ac:dyDescent="0.2">
      <c r="A633" s="4"/>
      <c r="B633" s="25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95" customHeight="1" x14ac:dyDescent="0.2">
      <c r="A634" s="4"/>
      <c r="B634" s="25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95" customHeight="1" x14ac:dyDescent="0.2">
      <c r="A635" s="4"/>
      <c r="B635" s="25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95" customHeight="1" x14ac:dyDescent="0.2">
      <c r="A636" s="4"/>
      <c r="B636" s="25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95" customHeight="1" x14ac:dyDescent="0.2">
      <c r="A637" s="4"/>
      <c r="B637" s="25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95" customHeight="1" x14ac:dyDescent="0.2">
      <c r="A638" s="4"/>
      <c r="B638" s="25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95" customHeight="1" x14ac:dyDescent="0.2">
      <c r="A639" s="4"/>
      <c r="B639" s="25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95" customHeight="1" x14ac:dyDescent="0.2">
      <c r="A640" s="4"/>
      <c r="B640" s="25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95" customHeight="1" x14ac:dyDescent="0.2">
      <c r="A641" s="4"/>
      <c r="B641" s="25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95" customHeight="1" x14ac:dyDescent="0.2">
      <c r="A642" s="4"/>
      <c r="B642" s="25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95" customHeight="1" x14ac:dyDescent="0.2">
      <c r="A643" s="4"/>
      <c r="B643" s="25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95" customHeight="1" x14ac:dyDescent="0.2">
      <c r="A644" s="4"/>
      <c r="B644" s="25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95" customHeight="1" x14ac:dyDescent="0.2">
      <c r="A645" s="4"/>
      <c r="B645" s="25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95" customHeight="1" x14ac:dyDescent="0.2">
      <c r="A646" s="4"/>
      <c r="B646" s="25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95" customHeight="1" x14ac:dyDescent="0.2">
      <c r="A647" s="4"/>
      <c r="B647" s="25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95" customHeight="1" x14ac:dyDescent="0.2">
      <c r="A648" s="4"/>
      <c r="B648" s="25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95" customHeight="1" x14ac:dyDescent="0.2">
      <c r="A649" s="4"/>
      <c r="B649" s="25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95" customHeight="1" x14ac:dyDescent="0.2">
      <c r="A650" s="4"/>
      <c r="B650" s="25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95" customHeight="1" x14ac:dyDescent="0.2">
      <c r="A651" s="4"/>
      <c r="B651" s="25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95" customHeight="1" x14ac:dyDescent="0.2">
      <c r="A652" s="4"/>
      <c r="B652" s="25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95" customHeight="1" x14ac:dyDescent="0.2">
      <c r="A653" s="4"/>
      <c r="B653" s="25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95" customHeight="1" x14ac:dyDescent="0.2">
      <c r="A654" s="4"/>
      <c r="B654" s="25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95" customHeight="1" x14ac:dyDescent="0.2">
      <c r="A655" s="4"/>
      <c r="B655" s="25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95" customHeight="1" x14ac:dyDescent="0.2">
      <c r="A656" s="4"/>
      <c r="B656" s="25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95" customHeight="1" x14ac:dyDescent="0.2">
      <c r="A657" s="4"/>
      <c r="B657" s="25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95" customHeight="1" x14ac:dyDescent="0.2">
      <c r="A658" s="4"/>
      <c r="B658" s="25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95" customHeight="1" x14ac:dyDescent="0.2">
      <c r="A659" s="4"/>
      <c r="B659" s="25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95" customHeight="1" x14ac:dyDescent="0.2">
      <c r="A660" s="4"/>
      <c r="B660" s="25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95" customHeight="1" x14ac:dyDescent="0.2">
      <c r="A661" s="4"/>
      <c r="B661" s="25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95" customHeight="1" x14ac:dyDescent="0.2">
      <c r="A662" s="4"/>
      <c r="B662" s="25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95" customHeight="1" x14ac:dyDescent="0.2">
      <c r="A663" s="4"/>
      <c r="B663" s="25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95" customHeight="1" x14ac:dyDescent="0.2">
      <c r="A664" s="4"/>
      <c r="B664" s="25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95" customHeight="1" x14ac:dyDescent="0.2">
      <c r="A665" s="4"/>
      <c r="B665" s="25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95" customHeight="1" x14ac:dyDescent="0.2">
      <c r="A666" s="4"/>
      <c r="B666" s="25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95" customHeight="1" x14ac:dyDescent="0.2">
      <c r="A667" s="4"/>
      <c r="B667" s="25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95" customHeight="1" x14ac:dyDescent="0.2">
      <c r="A668" s="4"/>
      <c r="B668" s="25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95" customHeight="1" x14ac:dyDescent="0.2">
      <c r="A669" s="4"/>
      <c r="B669" s="25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95" customHeight="1" x14ac:dyDescent="0.2">
      <c r="A670" s="4"/>
      <c r="B670" s="25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95" customHeight="1" x14ac:dyDescent="0.2">
      <c r="A671" s="4"/>
      <c r="B671" s="25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95" customHeight="1" x14ac:dyDescent="0.2">
      <c r="A672" s="4"/>
      <c r="B672" s="25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95" customHeight="1" x14ac:dyDescent="0.2">
      <c r="A673" s="4"/>
      <c r="B673" s="25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95" customHeight="1" x14ac:dyDescent="0.2">
      <c r="A674" s="4"/>
      <c r="B674" s="25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95" customHeight="1" x14ac:dyDescent="0.2">
      <c r="A675" s="4"/>
      <c r="B675" s="25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95" customHeight="1" x14ac:dyDescent="0.2">
      <c r="A676" s="4"/>
      <c r="B676" s="25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95" customHeight="1" x14ac:dyDescent="0.2">
      <c r="A677" s="4"/>
      <c r="B677" s="25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95" customHeight="1" x14ac:dyDescent="0.2">
      <c r="A678" s="4"/>
      <c r="B678" s="25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95" customHeight="1" x14ac:dyDescent="0.2">
      <c r="A679" s="4"/>
      <c r="B679" s="25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95" customHeight="1" x14ac:dyDescent="0.2">
      <c r="A680" s="4"/>
      <c r="B680" s="25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95" customHeight="1" x14ac:dyDescent="0.2">
      <c r="A681" s="4"/>
      <c r="B681" s="25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95" customHeight="1" x14ac:dyDescent="0.2">
      <c r="A682" s="4"/>
      <c r="B682" s="25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95" customHeight="1" x14ac:dyDescent="0.2">
      <c r="A683" s="4"/>
      <c r="B683" s="25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95" customHeight="1" x14ac:dyDescent="0.2">
      <c r="A684" s="4"/>
      <c r="B684" s="25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95" customHeight="1" x14ac:dyDescent="0.2">
      <c r="A685" s="4"/>
      <c r="B685" s="25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95" customHeight="1" x14ac:dyDescent="0.2">
      <c r="A686" s="4"/>
      <c r="B686" s="25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95" customHeight="1" x14ac:dyDescent="0.2">
      <c r="A687" s="4"/>
      <c r="B687" s="25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95" customHeight="1" x14ac:dyDescent="0.2">
      <c r="A688" s="4"/>
      <c r="B688" s="25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95" customHeight="1" x14ac:dyDescent="0.2">
      <c r="A689" s="4"/>
      <c r="B689" s="25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95" customHeight="1" x14ac:dyDescent="0.2">
      <c r="A690" s="4"/>
      <c r="B690" s="25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95" customHeight="1" x14ac:dyDescent="0.2">
      <c r="A691" s="4"/>
      <c r="B691" s="25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95" customHeight="1" x14ac:dyDescent="0.2">
      <c r="A692" s="4"/>
      <c r="B692" s="25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95" customHeight="1" x14ac:dyDescent="0.2">
      <c r="A693" s="4"/>
      <c r="B693" s="25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95" customHeight="1" x14ac:dyDescent="0.2">
      <c r="A694" s="4"/>
      <c r="B694" s="25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95" customHeight="1" x14ac:dyDescent="0.2">
      <c r="A695" s="4"/>
      <c r="B695" s="25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95" customHeight="1" x14ac:dyDescent="0.2">
      <c r="A696" s="4"/>
      <c r="B696" s="25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95" customHeight="1" x14ac:dyDescent="0.2">
      <c r="A697" s="4"/>
      <c r="B697" s="25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95" customHeight="1" x14ac:dyDescent="0.2">
      <c r="A698" s="4"/>
      <c r="B698" s="25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95" customHeight="1" x14ac:dyDescent="0.2">
      <c r="A699" s="4"/>
      <c r="B699" s="25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95" customHeight="1" x14ac:dyDescent="0.2">
      <c r="A700" s="4"/>
      <c r="B700" s="25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95" customHeight="1" x14ac:dyDescent="0.2">
      <c r="A701" s="4"/>
      <c r="B701" s="25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95" customHeight="1" x14ac:dyDescent="0.2">
      <c r="A702" s="4"/>
      <c r="B702" s="25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95" customHeight="1" x14ac:dyDescent="0.2">
      <c r="A703" s="4"/>
      <c r="B703" s="25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95" customHeight="1" x14ac:dyDescent="0.2">
      <c r="A704" s="4"/>
      <c r="B704" s="25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95" customHeight="1" x14ac:dyDescent="0.2">
      <c r="A705" s="4"/>
      <c r="B705" s="25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95" customHeight="1" x14ac:dyDescent="0.2">
      <c r="A706" s="4"/>
      <c r="B706" s="25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95" customHeight="1" x14ac:dyDescent="0.2">
      <c r="A707" s="4"/>
      <c r="B707" s="25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95" customHeight="1" x14ac:dyDescent="0.2">
      <c r="A708" s="4"/>
      <c r="B708" s="25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95" customHeight="1" x14ac:dyDescent="0.2">
      <c r="A709" s="4"/>
      <c r="B709" s="25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95" customHeight="1" x14ac:dyDescent="0.2">
      <c r="A710" s="4"/>
      <c r="B710" s="25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95" customHeight="1" x14ac:dyDescent="0.2">
      <c r="A711" s="4"/>
      <c r="B711" s="25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95" customHeight="1" x14ac:dyDescent="0.2">
      <c r="A712" s="4"/>
      <c r="B712" s="25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95" customHeight="1" x14ac:dyDescent="0.2">
      <c r="A713" s="4"/>
      <c r="B713" s="25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95" customHeight="1" x14ac:dyDescent="0.2">
      <c r="A714" s="4"/>
      <c r="B714" s="25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95" customHeight="1" x14ac:dyDescent="0.2">
      <c r="A715" s="4"/>
      <c r="B715" s="25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95" customHeight="1" x14ac:dyDescent="0.2">
      <c r="A716" s="4"/>
      <c r="B716" s="25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95" customHeight="1" x14ac:dyDescent="0.2">
      <c r="A717" s="4"/>
      <c r="B717" s="25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95" customHeight="1" x14ac:dyDescent="0.2">
      <c r="A718" s="4"/>
      <c r="B718" s="25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95" customHeight="1" x14ac:dyDescent="0.2">
      <c r="A719" s="4"/>
      <c r="B719" s="25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95" customHeight="1" x14ac:dyDescent="0.2">
      <c r="A720" s="4"/>
      <c r="B720" s="25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95" customHeight="1" x14ac:dyDescent="0.2">
      <c r="A721" s="4"/>
      <c r="B721" s="25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95" customHeight="1" x14ac:dyDescent="0.2">
      <c r="A722" s="4"/>
      <c r="B722" s="25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95" customHeight="1" x14ac:dyDescent="0.2">
      <c r="A723" s="4"/>
      <c r="B723" s="25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95" customHeight="1" x14ac:dyDescent="0.2">
      <c r="A724" s="4"/>
      <c r="B724" s="25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95" customHeight="1" x14ac:dyDescent="0.2">
      <c r="A725" s="4"/>
      <c r="B725" s="25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95" customHeight="1" x14ac:dyDescent="0.2">
      <c r="A726" s="4"/>
      <c r="B726" s="25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95" customHeight="1" x14ac:dyDescent="0.2">
      <c r="A727" s="4"/>
      <c r="B727" s="25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95" customHeight="1" x14ac:dyDescent="0.2">
      <c r="A728" s="4"/>
      <c r="B728" s="25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95" customHeight="1" x14ac:dyDescent="0.2">
      <c r="A729" s="4"/>
      <c r="B729" s="25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95" customHeight="1" x14ac:dyDescent="0.2">
      <c r="A730" s="4"/>
      <c r="B730" s="25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95" customHeight="1" x14ac:dyDescent="0.2">
      <c r="A731" s="4"/>
      <c r="B731" s="25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95" customHeight="1" x14ac:dyDescent="0.2">
      <c r="A732" s="4"/>
      <c r="B732" s="25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95" customHeight="1" x14ac:dyDescent="0.2">
      <c r="A733" s="4"/>
      <c r="B733" s="25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95" customHeight="1" x14ac:dyDescent="0.2">
      <c r="A734" s="4"/>
      <c r="B734" s="25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95" customHeight="1" x14ac:dyDescent="0.2">
      <c r="A735" s="4"/>
      <c r="B735" s="25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95" customHeight="1" x14ac:dyDescent="0.2">
      <c r="A736" s="4"/>
      <c r="B736" s="25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95" customHeight="1" x14ac:dyDescent="0.2">
      <c r="A737" s="4"/>
      <c r="B737" s="25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95" customHeight="1" x14ac:dyDescent="0.2">
      <c r="A738" s="4"/>
      <c r="B738" s="25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95" customHeight="1" x14ac:dyDescent="0.2">
      <c r="A739" s="4"/>
      <c r="B739" s="25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95" customHeight="1" x14ac:dyDescent="0.2">
      <c r="A740" s="4"/>
      <c r="B740" s="25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95" customHeight="1" x14ac:dyDescent="0.2">
      <c r="A741" s="4"/>
      <c r="B741" s="25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95" customHeight="1" x14ac:dyDescent="0.2">
      <c r="A742" s="4"/>
      <c r="B742" s="25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95" customHeight="1" x14ac:dyDescent="0.2">
      <c r="A743" s="4"/>
      <c r="B743" s="25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95" customHeight="1" x14ac:dyDescent="0.2">
      <c r="A744" s="4"/>
      <c r="B744" s="25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95" customHeight="1" x14ac:dyDescent="0.2">
      <c r="A745" s="4"/>
      <c r="B745" s="25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95" customHeight="1" x14ac:dyDescent="0.2">
      <c r="A746" s="4"/>
      <c r="B746" s="25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95" customHeight="1" x14ac:dyDescent="0.2">
      <c r="A747" s="4"/>
      <c r="B747" s="25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95" customHeight="1" x14ac:dyDescent="0.2">
      <c r="A748" s="4"/>
      <c r="B748" s="25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95" customHeight="1" x14ac:dyDescent="0.2">
      <c r="A749" s="4"/>
      <c r="B749" s="25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95" customHeight="1" x14ac:dyDescent="0.2">
      <c r="A750" s="4"/>
      <c r="B750" s="25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95" customHeight="1" x14ac:dyDescent="0.2">
      <c r="A751" s="4"/>
      <c r="B751" s="25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95" customHeight="1" x14ac:dyDescent="0.2">
      <c r="A752" s="4"/>
      <c r="B752" s="25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95" customHeight="1" x14ac:dyDescent="0.2">
      <c r="A753" s="4"/>
      <c r="B753" s="25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95" customHeight="1" x14ac:dyDescent="0.2">
      <c r="A754" s="4"/>
      <c r="B754" s="25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95" customHeight="1" x14ac:dyDescent="0.2">
      <c r="A755" s="4"/>
      <c r="B755" s="25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95" customHeight="1" x14ac:dyDescent="0.2">
      <c r="A756" s="4"/>
      <c r="B756" s="25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95" customHeight="1" x14ac:dyDescent="0.2">
      <c r="A757" s="4"/>
      <c r="B757" s="25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95" customHeight="1" x14ac:dyDescent="0.2">
      <c r="A758" s="4"/>
      <c r="B758" s="25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95" customHeight="1" x14ac:dyDescent="0.2">
      <c r="A759" s="4"/>
      <c r="B759" s="25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95" customHeight="1" x14ac:dyDescent="0.2">
      <c r="A760" s="4"/>
      <c r="B760" s="25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95" customHeight="1" x14ac:dyDescent="0.2">
      <c r="A761" s="4"/>
      <c r="B761" s="25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95" customHeight="1" x14ac:dyDescent="0.2">
      <c r="A762" s="4"/>
      <c r="B762" s="25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95" customHeight="1" x14ac:dyDescent="0.2">
      <c r="A763" s="4"/>
      <c r="B763" s="25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95" customHeight="1" x14ac:dyDescent="0.2">
      <c r="A764" s="4"/>
      <c r="B764" s="25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95" customHeight="1" x14ac:dyDescent="0.2">
      <c r="A765" s="4"/>
      <c r="B765" s="25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95" customHeight="1" x14ac:dyDescent="0.2">
      <c r="A766" s="4"/>
      <c r="B766" s="25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95" customHeight="1" x14ac:dyDescent="0.2">
      <c r="A767" s="4"/>
      <c r="B767" s="25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95" customHeight="1" x14ac:dyDescent="0.2">
      <c r="A768" s="4"/>
      <c r="B768" s="25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95" customHeight="1" x14ac:dyDescent="0.2">
      <c r="A769" s="4"/>
      <c r="B769" s="25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95" customHeight="1" x14ac:dyDescent="0.2">
      <c r="A770" s="4"/>
      <c r="B770" s="25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95" customHeight="1" x14ac:dyDescent="0.2">
      <c r="A771" s="4"/>
      <c r="B771" s="25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95" customHeight="1" x14ac:dyDescent="0.2">
      <c r="A772" s="4"/>
      <c r="B772" s="25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95" customHeight="1" x14ac:dyDescent="0.2">
      <c r="A773" s="4"/>
      <c r="B773" s="25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95" customHeight="1" x14ac:dyDescent="0.2">
      <c r="A774" s="4"/>
      <c r="B774" s="25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95" customHeight="1" x14ac:dyDescent="0.2">
      <c r="A775" s="4"/>
      <c r="B775" s="25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95" customHeight="1" x14ac:dyDescent="0.2">
      <c r="A776" s="4"/>
      <c r="B776" s="25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95" customHeight="1" x14ac:dyDescent="0.2">
      <c r="A777" s="4"/>
      <c r="B777" s="25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95" customHeight="1" x14ac:dyDescent="0.2">
      <c r="A778" s="4"/>
      <c r="B778" s="25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95" customHeight="1" x14ac:dyDescent="0.2">
      <c r="A779" s="4"/>
      <c r="B779" s="25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95" customHeight="1" x14ac:dyDescent="0.2">
      <c r="A780" s="4"/>
      <c r="B780" s="25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95" customHeight="1" x14ac:dyDescent="0.2">
      <c r="A781" s="4"/>
      <c r="B781" s="25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95" customHeight="1" x14ac:dyDescent="0.2">
      <c r="A782" s="4"/>
      <c r="B782" s="25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95" customHeight="1" x14ac:dyDescent="0.2">
      <c r="A783" s="4"/>
      <c r="B783" s="25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95" customHeight="1" x14ac:dyDescent="0.2">
      <c r="A784" s="4"/>
      <c r="B784" s="25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95" customHeight="1" x14ac:dyDescent="0.2">
      <c r="A785" s="4"/>
      <c r="B785" s="25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95" customHeight="1" x14ac:dyDescent="0.2">
      <c r="A786" s="4"/>
      <c r="B786" s="25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95" customHeight="1" x14ac:dyDescent="0.2">
      <c r="A787" s="4"/>
      <c r="B787" s="25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95" customHeight="1" x14ac:dyDescent="0.2">
      <c r="A788" s="4"/>
      <c r="B788" s="25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95" customHeight="1" x14ac:dyDescent="0.2">
      <c r="A789" s="4"/>
      <c r="B789" s="25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95" customHeight="1" x14ac:dyDescent="0.2">
      <c r="A790" s="4"/>
      <c r="B790" s="25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95" customHeight="1" x14ac:dyDescent="0.2">
      <c r="A791" s="4"/>
      <c r="B791" s="25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95" customHeight="1" x14ac:dyDescent="0.2">
      <c r="A792" s="4"/>
      <c r="B792" s="25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95" customHeight="1" x14ac:dyDescent="0.2">
      <c r="A793" s="4"/>
      <c r="B793" s="25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95" customHeight="1" x14ac:dyDescent="0.2">
      <c r="A794" s="4"/>
      <c r="B794" s="25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95" customHeight="1" x14ac:dyDescent="0.2">
      <c r="A795" s="4"/>
      <c r="B795" s="25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95" customHeight="1" x14ac:dyDescent="0.2">
      <c r="A796" s="4"/>
      <c r="B796" s="25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95" customHeight="1" x14ac:dyDescent="0.2">
      <c r="A797" s="4"/>
      <c r="B797" s="25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95" customHeight="1" x14ac:dyDescent="0.2">
      <c r="A798" s="4"/>
      <c r="B798" s="25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95" customHeight="1" x14ac:dyDescent="0.2">
      <c r="A799" s="4"/>
      <c r="B799" s="25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95" customHeight="1" x14ac:dyDescent="0.2">
      <c r="A800" s="4"/>
      <c r="B800" s="25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95" customHeight="1" x14ac:dyDescent="0.2">
      <c r="A801" s="4"/>
      <c r="B801" s="25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95" customHeight="1" x14ac:dyDescent="0.2">
      <c r="A802" s="4"/>
      <c r="B802" s="25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95" customHeight="1" x14ac:dyDescent="0.2">
      <c r="A803" s="4"/>
      <c r="B803" s="25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95" customHeight="1" x14ac:dyDescent="0.2">
      <c r="A804" s="4"/>
      <c r="B804" s="25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95" customHeight="1" x14ac:dyDescent="0.2">
      <c r="A805" s="4"/>
      <c r="B805" s="25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95" customHeight="1" x14ac:dyDescent="0.2">
      <c r="A806" s="4"/>
      <c r="B806" s="25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95" customHeight="1" x14ac:dyDescent="0.2">
      <c r="A807" s="4"/>
      <c r="B807" s="25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95" customHeight="1" x14ac:dyDescent="0.2">
      <c r="A808" s="4"/>
      <c r="B808" s="25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95" customHeight="1" x14ac:dyDescent="0.2">
      <c r="A809" s="4"/>
      <c r="B809" s="25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95" customHeight="1" x14ac:dyDescent="0.2">
      <c r="A810" s="4"/>
      <c r="B810" s="25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95" customHeight="1" x14ac:dyDescent="0.2">
      <c r="A811" s="4"/>
      <c r="B811" s="25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95" customHeight="1" x14ac:dyDescent="0.2">
      <c r="A812" s="4"/>
      <c r="B812" s="25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95" customHeight="1" x14ac:dyDescent="0.2">
      <c r="A813" s="4"/>
      <c r="B813" s="25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95" customHeight="1" x14ac:dyDescent="0.2">
      <c r="A814" s="4"/>
      <c r="B814" s="25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95" customHeight="1" x14ac:dyDescent="0.2">
      <c r="A815" s="4"/>
      <c r="B815" s="25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95" customHeight="1" x14ac:dyDescent="0.2">
      <c r="A816" s="4"/>
      <c r="B816" s="25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95" customHeight="1" x14ac:dyDescent="0.2">
      <c r="A817" s="4"/>
      <c r="B817" s="25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95" customHeight="1" x14ac:dyDescent="0.2">
      <c r="A818" s="4"/>
      <c r="B818" s="25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95" customHeight="1" x14ac:dyDescent="0.2">
      <c r="A819" s="4"/>
      <c r="B819" s="25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95" customHeight="1" x14ac:dyDescent="0.2">
      <c r="A820" s="4"/>
      <c r="B820" s="25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95" customHeight="1" x14ac:dyDescent="0.2">
      <c r="A821" s="4"/>
      <c r="B821" s="25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95" customHeight="1" x14ac:dyDescent="0.2">
      <c r="A822" s="4"/>
      <c r="B822" s="25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95" customHeight="1" x14ac:dyDescent="0.2">
      <c r="A823" s="4"/>
      <c r="B823" s="25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95" customHeight="1" x14ac:dyDescent="0.2">
      <c r="A824" s="4"/>
      <c r="B824" s="25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95" customHeight="1" x14ac:dyDescent="0.2">
      <c r="A825" s="4"/>
      <c r="B825" s="25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95" customHeight="1" x14ac:dyDescent="0.2">
      <c r="A826" s="4"/>
      <c r="B826" s="25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95" customHeight="1" x14ac:dyDescent="0.2">
      <c r="A827" s="4"/>
      <c r="B827" s="25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95" customHeight="1" x14ac:dyDescent="0.2">
      <c r="A828" s="4"/>
      <c r="B828" s="25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95" customHeight="1" x14ac:dyDescent="0.2">
      <c r="A829" s="4"/>
      <c r="B829" s="25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95" customHeight="1" x14ac:dyDescent="0.2">
      <c r="A830" s="4"/>
      <c r="B830" s="25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95" customHeight="1" x14ac:dyDescent="0.2">
      <c r="A831" s="4"/>
      <c r="B831" s="25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95" customHeight="1" x14ac:dyDescent="0.2">
      <c r="A832" s="4"/>
      <c r="B832" s="25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95" customHeight="1" x14ac:dyDescent="0.2">
      <c r="A833" s="4"/>
      <c r="B833" s="25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95" customHeight="1" x14ac:dyDescent="0.2">
      <c r="A834" s="4"/>
      <c r="B834" s="25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95" customHeight="1" x14ac:dyDescent="0.2">
      <c r="A835" s="4"/>
      <c r="B835" s="25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95" customHeight="1" x14ac:dyDescent="0.2">
      <c r="A836" s="4"/>
      <c r="B836" s="25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95" customHeight="1" x14ac:dyDescent="0.2">
      <c r="A837" s="4"/>
      <c r="B837" s="25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95" customHeight="1" x14ac:dyDescent="0.2">
      <c r="A838" s="4"/>
      <c r="B838" s="25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95" customHeight="1" x14ac:dyDescent="0.2">
      <c r="A839" s="4"/>
      <c r="B839" s="25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95" customHeight="1" x14ac:dyDescent="0.2">
      <c r="A840" s="4"/>
      <c r="B840" s="25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95" customHeight="1" x14ac:dyDescent="0.2">
      <c r="A841" s="4"/>
      <c r="B841" s="25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95" customHeight="1" x14ac:dyDescent="0.2">
      <c r="A842" s="4"/>
      <c r="B842" s="25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95" customHeight="1" x14ac:dyDescent="0.2">
      <c r="A843" s="4"/>
      <c r="B843" s="25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95" customHeight="1" x14ac:dyDescent="0.2">
      <c r="A844" s="4"/>
      <c r="B844" s="25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95" customHeight="1" x14ac:dyDescent="0.2">
      <c r="A845" s="4"/>
      <c r="B845" s="25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95" customHeight="1" x14ac:dyDescent="0.2">
      <c r="A846" s="4"/>
      <c r="B846" s="25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95" customHeight="1" x14ac:dyDescent="0.2">
      <c r="A847" s="4"/>
      <c r="B847" s="25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95" customHeight="1" x14ac:dyDescent="0.2">
      <c r="A848" s="4"/>
      <c r="B848" s="25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95" customHeight="1" x14ac:dyDescent="0.2">
      <c r="A849" s="4"/>
      <c r="B849" s="25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95" customHeight="1" x14ac:dyDescent="0.2">
      <c r="A850" s="4"/>
      <c r="B850" s="25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95" customHeight="1" x14ac:dyDescent="0.2">
      <c r="A851" s="4"/>
      <c r="B851" s="25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95" customHeight="1" x14ac:dyDescent="0.2">
      <c r="A852" s="4"/>
      <c r="B852" s="25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95" customHeight="1" x14ac:dyDescent="0.2">
      <c r="A853" s="4"/>
      <c r="B853" s="25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95" customHeight="1" x14ac:dyDescent="0.2">
      <c r="A854" s="4"/>
      <c r="B854" s="25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95" customHeight="1" x14ac:dyDescent="0.2">
      <c r="A855" s="4"/>
      <c r="B855" s="25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95" customHeight="1" x14ac:dyDescent="0.2">
      <c r="A856" s="4"/>
      <c r="B856" s="25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95" customHeight="1" x14ac:dyDescent="0.2">
      <c r="A857" s="4"/>
      <c r="B857" s="25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95" customHeight="1" x14ac:dyDescent="0.2">
      <c r="A858" s="4"/>
      <c r="B858" s="25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95" customHeight="1" x14ac:dyDescent="0.2">
      <c r="A859" s="4"/>
      <c r="B859" s="25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95" customHeight="1" x14ac:dyDescent="0.2">
      <c r="A860" s="4"/>
      <c r="B860" s="25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95" customHeight="1" x14ac:dyDescent="0.2">
      <c r="A861" s="4"/>
      <c r="B861" s="25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95" customHeight="1" x14ac:dyDescent="0.2">
      <c r="A862" s="4"/>
      <c r="B862" s="25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95" customHeight="1" x14ac:dyDescent="0.2">
      <c r="A863" s="4"/>
      <c r="B863" s="25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95" customHeight="1" x14ac:dyDescent="0.2">
      <c r="A864" s="4"/>
      <c r="B864" s="25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95" customHeight="1" x14ac:dyDescent="0.2">
      <c r="A865" s="4"/>
      <c r="B865" s="25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95" customHeight="1" x14ac:dyDescent="0.2">
      <c r="A866" s="4"/>
      <c r="B866" s="25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95" customHeight="1" x14ac:dyDescent="0.2">
      <c r="A867" s="4"/>
      <c r="B867" s="25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95" customHeight="1" x14ac:dyDescent="0.2">
      <c r="A868" s="4"/>
      <c r="B868" s="25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95" customHeight="1" x14ac:dyDescent="0.2">
      <c r="A869" s="4"/>
      <c r="B869" s="25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95" customHeight="1" x14ac:dyDescent="0.2">
      <c r="A870" s="4"/>
      <c r="B870" s="25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95" customHeight="1" x14ac:dyDescent="0.2">
      <c r="A871" s="4"/>
      <c r="B871" s="25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95" customHeight="1" x14ac:dyDescent="0.2">
      <c r="A872" s="4"/>
      <c r="B872" s="25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95" customHeight="1" x14ac:dyDescent="0.2">
      <c r="A873" s="4"/>
      <c r="B873" s="25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95" customHeight="1" x14ac:dyDescent="0.2">
      <c r="A874" s="4"/>
      <c r="B874" s="25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95" customHeight="1" x14ac:dyDescent="0.2">
      <c r="A875" s="4"/>
      <c r="B875" s="25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95" customHeight="1" x14ac:dyDescent="0.2">
      <c r="A876" s="4"/>
      <c r="B876" s="25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95" customHeight="1" x14ac:dyDescent="0.2">
      <c r="A877" s="4"/>
      <c r="B877" s="25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95" customHeight="1" x14ac:dyDescent="0.2">
      <c r="A878" s="4"/>
      <c r="B878" s="25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95" customHeight="1" x14ac:dyDescent="0.2">
      <c r="A879" s="4"/>
      <c r="B879" s="25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95" customHeight="1" x14ac:dyDescent="0.2">
      <c r="A880" s="4"/>
      <c r="B880" s="25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95" customHeight="1" x14ac:dyDescent="0.2">
      <c r="A881" s="4"/>
      <c r="B881" s="25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95" customHeight="1" x14ac:dyDescent="0.2">
      <c r="A882" s="4"/>
      <c r="B882" s="25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95" customHeight="1" x14ac:dyDescent="0.2">
      <c r="A883" s="4"/>
      <c r="B883" s="25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95" customHeight="1" x14ac:dyDescent="0.2">
      <c r="A884" s="4"/>
      <c r="B884" s="25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95" customHeight="1" x14ac:dyDescent="0.2">
      <c r="A885" s="4"/>
      <c r="B885" s="25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95" customHeight="1" x14ac:dyDescent="0.2">
      <c r="A886" s="4"/>
      <c r="B886" s="25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95" customHeight="1" x14ac:dyDescent="0.2">
      <c r="A887" s="4"/>
      <c r="B887" s="25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95" customHeight="1" x14ac:dyDescent="0.2">
      <c r="A888" s="4"/>
      <c r="B888" s="25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95" customHeight="1" x14ac:dyDescent="0.2">
      <c r="A889" s="4"/>
      <c r="B889" s="25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95" customHeight="1" x14ac:dyDescent="0.2">
      <c r="A890" s="4"/>
      <c r="B890" s="25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95" customHeight="1" x14ac:dyDescent="0.2">
      <c r="A891" s="4"/>
      <c r="B891" s="25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95" customHeight="1" x14ac:dyDescent="0.2">
      <c r="A892" s="4"/>
      <c r="B892" s="25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95" customHeight="1" x14ac:dyDescent="0.2">
      <c r="A893" s="4"/>
      <c r="B893" s="25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95" customHeight="1" x14ac:dyDescent="0.2">
      <c r="A894" s="4"/>
      <c r="B894" s="25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95" customHeight="1" x14ac:dyDescent="0.2">
      <c r="A895" s="4"/>
      <c r="B895" s="25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95" customHeight="1" x14ac:dyDescent="0.2">
      <c r="A896" s="4"/>
      <c r="B896" s="25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95" customHeight="1" x14ac:dyDescent="0.2">
      <c r="A897" s="4"/>
      <c r="B897" s="25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95" customHeight="1" x14ac:dyDescent="0.2">
      <c r="A898" s="4"/>
      <c r="B898" s="25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95" customHeight="1" x14ac:dyDescent="0.2">
      <c r="A899" s="4"/>
      <c r="B899" s="25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95" customHeight="1" x14ac:dyDescent="0.2">
      <c r="A900" s="4"/>
      <c r="B900" s="25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95" customHeight="1" x14ac:dyDescent="0.2">
      <c r="A901" s="4"/>
      <c r="B901" s="25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95" customHeight="1" x14ac:dyDescent="0.2">
      <c r="A902" s="4"/>
      <c r="B902" s="25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95" customHeight="1" x14ac:dyDescent="0.2">
      <c r="A903" s="4"/>
      <c r="B903" s="25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95" customHeight="1" x14ac:dyDescent="0.2">
      <c r="A904" s="4"/>
      <c r="B904" s="25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95" customHeight="1" x14ac:dyDescent="0.2">
      <c r="A905" s="4"/>
      <c r="B905" s="25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95" customHeight="1" x14ac:dyDescent="0.2">
      <c r="A906" s="4"/>
      <c r="B906" s="25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95" customHeight="1" x14ac:dyDescent="0.2">
      <c r="A907" s="4"/>
      <c r="B907" s="25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95" customHeight="1" x14ac:dyDescent="0.2">
      <c r="A908" s="4"/>
      <c r="B908" s="25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95" customHeight="1" x14ac:dyDescent="0.2">
      <c r="A909" s="4"/>
      <c r="B909" s="25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95" customHeight="1" x14ac:dyDescent="0.2">
      <c r="A910" s="4"/>
      <c r="B910" s="25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95" customHeight="1" x14ac:dyDescent="0.2">
      <c r="A911" s="4"/>
      <c r="B911" s="25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95" customHeight="1" x14ac:dyDescent="0.2">
      <c r="A912" s="4"/>
      <c r="B912" s="25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95" customHeight="1" x14ac:dyDescent="0.2">
      <c r="A913" s="4"/>
      <c r="B913" s="25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95" customHeight="1" x14ac:dyDescent="0.2">
      <c r="A914" s="4"/>
      <c r="B914" s="25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95" customHeight="1" x14ac:dyDescent="0.2">
      <c r="A915" s="4"/>
      <c r="B915" s="25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95" customHeight="1" x14ac:dyDescent="0.2">
      <c r="A916" s="4"/>
      <c r="B916" s="25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95" customHeight="1" x14ac:dyDescent="0.2">
      <c r="A917" s="4"/>
      <c r="B917" s="25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95" customHeight="1" x14ac:dyDescent="0.2">
      <c r="A918" s="4"/>
      <c r="B918" s="25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95" customHeight="1" x14ac:dyDescent="0.2">
      <c r="A919" s="4"/>
      <c r="B919" s="25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95" customHeight="1" x14ac:dyDescent="0.2">
      <c r="A920" s="4"/>
      <c r="B920" s="25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95" customHeight="1" x14ac:dyDescent="0.2">
      <c r="A921" s="4"/>
      <c r="B921" s="25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95" customHeight="1" x14ac:dyDescent="0.2">
      <c r="A922" s="4"/>
      <c r="B922" s="25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95" customHeight="1" x14ac:dyDescent="0.2">
      <c r="A923" s="4"/>
      <c r="B923" s="25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95" customHeight="1" x14ac:dyDescent="0.2">
      <c r="A924" s="4"/>
      <c r="B924" s="25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95" customHeight="1" x14ac:dyDescent="0.2">
      <c r="A925" s="4"/>
      <c r="B925" s="25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95" customHeight="1" x14ac:dyDescent="0.2">
      <c r="A926" s="4"/>
      <c r="B926" s="25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95" customHeight="1" x14ac:dyDescent="0.2">
      <c r="A927" s="4"/>
      <c r="B927" s="25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95" customHeight="1" x14ac:dyDescent="0.2">
      <c r="A928" s="4"/>
      <c r="B928" s="25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95" customHeight="1" x14ac:dyDescent="0.2">
      <c r="A929" s="4"/>
      <c r="B929" s="25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95" customHeight="1" x14ac:dyDescent="0.2">
      <c r="A930" s="4"/>
      <c r="B930" s="25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95" customHeight="1" x14ac:dyDescent="0.2">
      <c r="A931" s="4"/>
      <c r="B931" s="25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95" customHeight="1" x14ac:dyDescent="0.2">
      <c r="A932" s="4"/>
      <c r="B932" s="25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95" customHeight="1" x14ac:dyDescent="0.2">
      <c r="A933" s="4"/>
      <c r="B933" s="25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95" customHeight="1" x14ac:dyDescent="0.2">
      <c r="A934" s="4"/>
      <c r="B934" s="25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95" customHeight="1" x14ac:dyDescent="0.2">
      <c r="A935" s="4"/>
      <c r="B935" s="25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95" customHeight="1" x14ac:dyDescent="0.2">
      <c r="A936" s="4"/>
      <c r="B936" s="25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95" customHeight="1" x14ac:dyDescent="0.2">
      <c r="A937" s="4"/>
      <c r="B937" s="25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95" customHeight="1" x14ac:dyDescent="0.2">
      <c r="A938" s="4"/>
      <c r="B938" s="25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95" customHeight="1" x14ac:dyDescent="0.2">
      <c r="A939" s="4"/>
      <c r="B939" s="25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95" customHeight="1" x14ac:dyDescent="0.2">
      <c r="A940" s="4"/>
      <c r="B940" s="25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95" customHeight="1" x14ac:dyDescent="0.2">
      <c r="A941" s="4"/>
      <c r="B941" s="25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95" customHeight="1" x14ac:dyDescent="0.2">
      <c r="A942" s="4"/>
      <c r="B942" s="25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95" customHeight="1" x14ac:dyDescent="0.2">
      <c r="A943" s="4"/>
      <c r="B943" s="25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95" customHeight="1" x14ac:dyDescent="0.2">
      <c r="A944" s="4"/>
      <c r="B944" s="25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95" customHeight="1" x14ac:dyDescent="0.2">
      <c r="A945" s="4"/>
      <c r="B945" s="25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95" customHeight="1" x14ac:dyDescent="0.2">
      <c r="A946" s="4"/>
      <c r="B946" s="25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95" customHeight="1" x14ac:dyDescent="0.2">
      <c r="A947" s="4"/>
      <c r="B947" s="25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95" customHeight="1" x14ac:dyDescent="0.2">
      <c r="A948" s="4"/>
      <c r="B948" s="25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95" customHeight="1" x14ac:dyDescent="0.2">
      <c r="A949" s="4"/>
      <c r="B949" s="25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95" customHeight="1" x14ac:dyDescent="0.2">
      <c r="A950" s="4"/>
      <c r="B950" s="25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95" customHeight="1" x14ac:dyDescent="0.2">
      <c r="A951" s="4"/>
      <c r="B951" s="25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95" customHeight="1" x14ac:dyDescent="0.2">
      <c r="A952" s="4"/>
      <c r="B952" s="25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95" customHeight="1" x14ac:dyDescent="0.2">
      <c r="A953" s="4"/>
      <c r="B953" s="25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95" customHeight="1" x14ac:dyDescent="0.2">
      <c r="A954" s="4"/>
      <c r="B954" s="25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95" customHeight="1" x14ac:dyDescent="0.2">
      <c r="A955" s="4"/>
      <c r="B955" s="25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95" customHeight="1" x14ac:dyDescent="0.2">
      <c r="A956" s="4"/>
      <c r="B956" s="25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95" customHeight="1" x14ac:dyDescent="0.2">
      <c r="A957" s="4"/>
      <c r="B957" s="25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95" customHeight="1" x14ac:dyDescent="0.2">
      <c r="A958" s="4"/>
      <c r="B958" s="25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95" customHeight="1" x14ac:dyDescent="0.2">
      <c r="A959" s="4"/>
      <c r="B959" s="25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95" customHeight="1" x14ac:dyDescent="0.2">
      <c r="A960" s="4"/>
      <c r="B960" s="25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95" customHeight="1" x14ac:dyDescent="0.2">
      <c r="A961" s="4"/>
      <c r="B961" s="25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95" customHeight="1" x14ac:dyDescent="0.2">
      <c r="A962" s="4"/>
      <c r="B962" s="25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95" customHeight="1" x14ac:dyDescent="0.2">
      <c r="A963" s="4"/>
      <c r="B963" s="25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95" customHeight="1" x14ac:dyDescent="0.2">
      <c r="A964" s="4"/>
      <c r="B964" s="25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95" customHeight="1" x14ac:dyDescent="0.2">
      <c r="A965" s="4"/>
      <c r="B965" s="25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95" customHeight="1" x14ac:dyDescent="0.2">
      <c r="A966" s="4"/>
      <c r="B966" s="25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95" customHeight="1" x14ac:dyDescent="0.2">
      <c r="A967" s="4"/>
      <c r="B967" s="25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95" customHeight="1" x14ac:dyDescent="0.2">
      <c r="A968" s="4"/>
      <c r="B968" s="25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95" customHeight="1" x14ac:dyDescent="0.2">
      <c r="A969" s="4"/>
      <c r="B969" s="25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95" customHeight="1" x14ac:dyDescent="0.2">
      <c r="A970" s="4"/>
      <c r="B970" s="25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95" customHeight="1" x14ac:dyDescent="0.2">
      <c r="A971" s="4"/>
      <c r="B971" s="25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95" customHeight="1" x14ac:dyDescent="0.2">
      <c r="A972" s="4"/>
      <c r="B972" s="25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95" customHeight="1" x14ac:dyDescent="0.2">
      <c r="A973" s="4"/>
      <c r="B973" s="25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95" customHeight="1" x14ac:dyDescent="0.2">
      <c r="A974" s="4"/>
      <c r="B974" s="25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95" customHeight="1" x14ac:dyDescent="0.2">
      <c r="A975" s="4"/>
      <c r="B975" s="25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95" customHeight="1" x14ac:dyDescent="0.2">
      <c r="A976" s="4"/>
      <c r="B976" s="25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95" customHeight="1" x14ac:dyDescent="0.2">
      <c r="A977" s="4"/>
      <c r="B977" s="25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95" customHeight="1" x14ac:dyDescent="0.2">
      <c r="A978" s="4"/>
      <c r="B978" s="25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95" customHeight="1" x14ac:dyDescent="0.2">
      <c r="A979" s="4"/>
      <c r="B979" s="25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95" customHeight="1" x14ac:dyDescent="0.2">
      <c r="A980" s="4"/>
      <c r="B980" s="25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95" customHeight="1" x14ac:dyDescent="0.2">
      <c r="A981" s="4"/>
      <c r="B981" s="25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95" customHeight="1" x14ac:dyDescent="0.2">
      <c r="A982" s="4"/>
      <c r="B982" s="25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95" customHeight="1" x14ac:dyDescent="0.2">
      <c r="A983" s="4"/>
      <c r="B983" s="25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95" customHeight="1" x14ac:dyDescent="0.2">
      <c r="A984" s="4"/>
      <c r="B984" s="25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95" customHeight="1" x14ac:dyDescent="0.2">
      <c r="A985" s="4"/>
      <c r="B985" s="25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95" customHeight="1" x14ac:dyDescent="0.2">
      <c r="A986" s="4"/>
      <c r="B986" s="25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95" customHeight="1" x14ac:dyDescent="0.2">
      <c r="A987" s="4"/>
      <c r="B987" s="25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95" customHeight="1" x14ac:dyDescent="0.2">
      <c r="A988" s="4"/>
      <c r="B988" s="25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95" customHeight="1" x14ac:dyDescent="0.2">
      <c r="A989" s="4"/>
      <c r="B989" s="25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95" customHeight="1" x14ac:dyDescent="0.2">
      <c r="A990" s="4"/>
      <c r="B990" s="25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95" customHeight="1" x14ac:dyDescent="0.2">
      <c r="A991" s="4"/>
      <c r="B991" s="25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95" customHeight="1" x14ac:dyDescent="0.2">
      <c r="A992" s="4"/>
      <c r="B992" s="25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95" customHeight="1" x14ac:dyDescent="0.2">
      <c r="A993" s="4"/>
      <c r="B993" s="25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95" customHeight="1" x14ac:dyDescent="0.2">
      <c r="A994" s="4"/>
      <c r="B994" s="25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95" customHeight="1" x14ac:dyDescent="0.2">
      <c r="A995" s="4"/>
      <c r="B995" s="25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95" customHeight="1" x14ac:dyDescent="0.2">
      <c r="A996" s="4"/>
      <c r="B996" s="25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95" customHeight="1" x14ac:dyDescent="0.2">
      <c r="A997" s="4"/>
      <c r="B997" s="25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95" customHeight="1" x14ac:dyDescent="0.2">
      <c r="A998" s="4"/>
      <c r="B998" s="25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95" customHeight="1" x14ac:dyDescent="0.2">
      <c r="A999" s="4"/>
      <c r="B999" s="25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95" customHeight="1" x14ac:dyDescent="0.2">
      <c r="A1000" s="4"/>
      <c r="B1000" s="25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deLoop">
                <anchor moveWithCells="1">
                  <from>
                    <xdr:col>3</xdr:col>
                    <xdr:colOff>247650</xdr:colOff>
                    <xdr:row>9</xdr:row>
                    <xdr:rowOff>47625</xdr:rowOff>
                  </from>
                  <to>
                    <xdr:col>3</xdr:col>
                    <xdr:colOff>1647825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00"/>
  </sheetPr>
  <dimension ref="A1:S995"/>
  <sheetViews>
    <sheetView topLeftCell="B1" workbookViewId="0">
      <pane ySplit="3" topLeftCell="A4" activePane="bottomLeft" state="frozen"/>
      <selection pane="bottomLeft" activeCell="D20" sqref="D20"/>
    </sheetView>
  </sheetViews>
  <sheetFormatPr defaultColWidth="14.42578125" defaultRowHeight="15.95" customHeight="1" x14ac:dyDescent="0.2"/>
  <cols>
    <col min="2" max="2" width="7" customWidth="1"/>
    <col min="3" max="3" width="8" customWidth="1"/>
    <col min="4" max="4" width="10.42578125" customWidth="1"/>
    <col min="5" max="5" width="16" customWidth="1"/>
    <col min="6" max="6" width="16.85546875" customWidth="1"/>
    <col min="7" max="7" width="11.85546875" customWidth="1"/>
    <col min="8" max="8" width="15.140625" customWidth="1"/>
    <col min="9" max="9" width="15.7109375" customWidth="1"/>
    <col min="10" max="10" width="10.140625" customWidth="1"/>
    <col min="11" max="11" width="8.85546875" customWidth="1"/>
    <col min="12" max="12" width="19" customWidth="1"/>
    <col min="14" max="14" width="21.140625" customWidth="1"/>
    <col min="16" max="16" width="14.42578125" customWidth="1"/>
    <col min="17" max="17" width="22.42578125" customWidth="1"/>
    <col min="18" max="19" width="17.85546875" customWidth="1"/>
  </cols>
  <sheetData>
    <row r="1" spans="1:19" ht="15.95" customHeight="1" x14ac:dyDescent="0.2">
      <c r="A1" s="1" t="s">
        <v>0</v>
      </c>
      <c r="B1" s="1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4"/>
      <c r="O1" s="4"/>
      <c r="P1" s="4"/>
      <c r="Q1" s="4"/>
      <c r="R1" s="4"/>
      <c r="S1" s="4"/>
    </row>
    <row r="2" spans="1:19" ht="15.95" customHeight="1" x14ac:dyDescent="0.2">
      <c r="A2" s="4"/>
      <c r="B2" s="109" t="s">
        <v>9</v>
      </c>
      <c r="C2" s="110"/>
      <c r="D2" s="113" t="s">
        <v>52</v>
      </c>
      <c r="E2" s="113"/>
      <c r="F2" s="113"/>
      <c r="G2" s="113"/>
      <c r="H2" s="111" t="s">
        <v>17</v>
      </c>
      <c r="I2" s="111"/>
      <c r="J2" s="111"/>
      <c r="K2" s="111"/>
      <c r="L2" s="111"/>
      <c r="M2" s="112"/>
      <c r="N2" s="6" t="s">
        <v>18</v>
      </c>
      <c r="O2" s="8" t="s">
        <v>19</v>
      </c>
      <c r="P2" s="4"/>
      <c r="Q2" s="4"/>
      <c r="R2" s="4"/>
      <c r="S2" s="4"/>
    </row>
    <row r="3" spans="1:19" ht="15.95" customHeight="1" x14ac:dyDescent="0.2">
      <c r="A3" s="4"/>
      <c r="B3" s="9" t="s">
        <v>23</v>
      </c>
      <c r="C3" s="10" t="s">
        <v>33</v>
      </c>
      <c r="D3" s="10" t="s">
        <v>4</v>
      </c>
      <c r="E3" s="10" t="s">
        <v>47</v>
      </c>
      <c r="F3" s="10" t="s">
        <v>48</v>
      </c>
      <c r="G3" s="10" t="s">
        <v>49</v>
      </c>
      <c r="H3" s="10" t="s">
        <v>47</v>
      </c>
      <c r="I3" s="10" t="s">
        <v>48</v>
      </c>
      <c r="J3" s="10" t="s">
        <v>49</v>
      </c>
      <c r="K3" s="10" t="s">
        <v>5</v>
      </c>
      <c r="L3" s="10" t="s">
        <v>50</v>
      </c>
      <c r="M3" s="10" t="s">
        <v>36</v>
      </c>
      <c r="N3" s="11" t="s">
        <v>37</v>
      </c>
      <c r="O3" s="4"/>
      <c r="P3" s="4"/>
      <c r="Q3" s="4"/>
      <c r="R3" s="4"/>
      <c r="S3" s="4"/>
    </row>
    <row r="4" spans="1:19" ht="15.95" customHeight="1" x14ac:dyDescent="0.2">
      <c r="B4" s="9">
        <v>1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 t="e">
        <f>IF(AND(L4=L5,L5=L6),(IF(AND(#REF!=#REF!,#REF!=#REF!),(IF(AND(#REF!=#REF!,#REF!=#REF!),"","ERROR IN U")),"ERROR IN J")),"ERROR IN T")</f>
        <v>#REF!</v>
      </c>
      <c r="O4" s="8"/>
      <c r="P4" s="1"/>
      <c r="R4" s="4"/>
      <c r="S4" s="4"/>
    </row>
    <row r="5" spans="1:19" ht="15.95" customHeight="1" x14ac:dyDescent="0.2">
      <c r="A5" s="13"/>
      <c r="B5" s="9">
        <v>1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 t="e">
        <f>IF(AND(L4=L5,L5=L6),(IF(AND(#REF!=#REF!,#REF!=#REF!),(IF(AND(#REF!=#REF!,#REF!=#REF!),"","ERROR IN U")),"ERROR IN J")),"ERROR IN T")</f>
        <v>#REF!</v>
      </c>
      <c r="O5" s="8"/>
      <c r="P5" s="8"/>
      <c r="Q5" s="14" t="s">
        <v>38</v>
      </c>
      <c r="R5" s="15" t="s">
        <v>39</v>
      </c>
      <c r="S5" s="15" t="s">
        <v>40</v>
      </c>
    </row>
    <row r="6" spans="1:19" ht="15.95" customHeight="1" x14ac:dyDescent="0.2">
      <c r="A6" s="4"/>
      <c r="B6" s="9">
        <v>1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 t="e">
        <f>IF(AND(L4=L5,L5=L6),(IF(AND(#REF!=#REF!,#REF!=#REF!),(IF(AND(#REF!=#REF!,#REF!=#REF!),"","ERROR IN U")),"ERROR IN J")),"ERROR IN T")</f>
        <v>#REF!</v>
      </c>
      <c r="O6" s="8"/>
      <c r="P6" s="8"/>
      <c r="Q6" s="16">
        <v>0</v>
      </c>
      <c r="R6" s="17">
        <v>0</v>
      </c>
      <c r="S6" s="16">
        <v>0</v>
      </c>
    </row>
    <row r="7" spans="1:19" ht="15.95" customHeight="1" x14ac:dyDescent="0.2">
      <c r="A7" s="4"/>
      <c r="B7" s="9">
        <v>1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 t="e">
        <f>IF(AND(L7=L8,L8=L9),(IF(AND(#REF!=#REF!,#REF!=#REF!),(IF(AND(#REF!=#REF!,#REF!=#REF!),"","ERROR IN U")),"ERROR IN J")),"ERROR IN T")</f>
        <v>#REF!</v>
      </c>
      <c r="O7" s="8"/>
      <c r="P7" s="8"/>
      <c r="Q7" s="16">
        <v>1</v>
      </c>
      <c r="R7" s="16">
        <v>1</v>
      </c>
      <c r="S7" s="16">
        <v>1</v>
      </c>
    </row>
    <row r="8" spans="1:19" ht="15.95" customHeight="1" x14ac:dyDescent="0.2">
      <c r="A8" s="4"/>
      <c r="B8" s="9">
        <v>1</v>
      </c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 t="e">
        <f>IF(AND(L7=L8,L8=L9),(IF(AND(#REF!=#REF!,#REF!=#REF!),(IF(AND(#REF!=#REF!,#REF!=#REF!),"","ERROR IN U")),"ERROR IN J")),"ERROR IN T")</f>
        <v>#REF!</v>
      </c>
      <c r="O8" s="8"/>
      <c r="P8" s="8"/>
      <c r="Q8" s="4"/>
      <c r="R8" s="16">
        <v>2</v>
      </c>
      <c r="S8" s="16">
        <v>2</v>
      </c>
    </row>
    <row r="9" spans="1:19" ht="15.95" customHeight="1" x14ac:dyDescent="0.2">
      <c r="A9" s="4"/>
      <c r="B9" s="9">
        <v>1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 t="e">
        <f>IF(AND(L7=L8,L8=L9),(IF(AND(#REF!=#REF!,#REF!=#REF!),(IF(AND(#REF!=#REF!,#REF!=#REF!),"","ERROR IN U")),"ERROR IN J")),"ERROR IN T")</f>
        <v>#REF!</v>
      </c>
      <c r="O9" s="8"/>
      <c r="P9" s="4"/>
      <c r="Q9" s="8"/>
      <c r="R9" s="16">
        <v>3</v>
      </c>
      <c r="S9" s="16">
        <v>3</v>
      </c>
    </row>
    <row r="10" spans="1:19" ht="15.95" customHeight="1" x14ac:dyDescent="0.2">
      <c r="A10" s="4"/>
      <c r="B10" s="9">
        <v>2</v>
      </c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2" t="e">
        <f>IF(AND(L10=L11,L11=L12),(IF(AND(#REF!=#REF!,#REF!=#REF!),(IF(AND(#REF!=#REF!,#REF!=#REF!),"","ERROR IN U")),"ERROR IN J")),"ERROR IN T")</f>
        <v>#REF!</v>
      </c>
      <c r="O10" s="8"/>
      <c r="P10" s="4"/>
      <c r="Q10" s="8"/>
      <c r="R10" s="16">
        <v>4</v>
      </c>
      <c r="S10" s="16">
        <v>4</v>
      </c>
    </row>
    <row r="11" spans="1:19" ht="15.95" customHeight="1" x14ac:dyDescent="0.2">
      <c r="A11" s="4"/>
      <c r="B11" s="9">
        <v>2</v>
      </c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20"/>
      <c r="N11" s="12" t="e">
        <f>IF(AND(L10=L11,L11=L12),(IF(AND(#REF!=#REF!,#REF!=#REF!),(IF(AND(#REF!=#REF!,#REF!=#REF!),"","ERROR IN U")),"ERROR IN J")),"ERROR IN T")</f>
        <v>#REF!</v>
      </c>
      <c r="O11" s="8"/>
      <c r="P11" s="4"/>
      <c r="Q11" s="4"/>
      <c r="R11" s="16">
        <v>5</v>
      </c>
      <c r="S11" s="4"/>
    </row>
    <row r="12" spans="1:19" ht="15.95" customHeight="1" x14ac:dyDescent="0.2">
      <c r="A12" s="4"/>
      <c r="B12" s="9">
        <v>2</v>
      </c>
      <c r="C12" s="19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12" t="e">
        <f>IF(AND(L10=L11,L11=L12),(IF(AND(#REF!=#REF!,#REF!=#REF!),(IF(AND(#REF!=#REF!,#REF!=#REF!),"","ERROR IN U")),"ERROR IN J")),"ERROR IN T")</f>
        <v>#REF!</v>
      </c>
      <c r="O12" s="8"/>
      <c r="P12" s="4"/>
      <c r="Q12" s="4"/>
      <c r="R12" s="4"/>
      <c r="S12" s="4"/>
    </row>
    <row r="13" spans="1:19" ht="15.95" customHeight="1" x14ac:dyDescent="0.2">
      <c r="A13" s="4"/>
      <c r="B13" s="9">
        <v>2</v>
      </c>
      <c r="C13" s="21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18" t="e">
        <f>IF(AND(L13=L14,L14=L15),(IF(AND(#REF!=#REF!,#REF!=#REF!),(IF(AND(#REF!=#REF!,#REF!=#REF!),"","ERROR IN U")),"ERROR IN J")),"ERROR IN T")</f>
        <v>#REF!</v>
      </c>
      <c r="O13" s="8"/>
      <c r="P13" s="4"/>
      <c r="Q13" s="4"/>
      <c r="R13" s="4"/>
      <c r="S13" s="4"/>
    </row>
    <row r="14" spans="1:19" ht="15.95" customHeight="1" x14ac:dyDescent="0.2">
      <c r="A14" s="4"/>
      <c r="B14" s="9">
        <v>2</v>
      </c>
      <c r="C14" s="21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18" t="e">
        <f>IF(AND(L13=L14,L14=L15),(IF(AND(#REF!=#REF!,#REF!=#REF!),(IF(AND(#REF!=#REF!,#REF!=#REF!),"","ERROR IN U")),"ERROR IN J")),"ERROR IN T")</f>
        <v>#REF!</v>
      </c>
      <c r="O14" s="8"/>
      <c r="P14" s="4"/>
      <c r="Q14" s="4"/>
      <c r="R14" s="4"/>
      <c r="S14" s="4"/>
    </row>
    <row r="15" spans="1:19" ht="15.95" customHeight="1" x14ac:dyDescent="0.2">
      <c r="A15" s="4"/>
      <c r="B15" s="9">
        <v>2</v>
      </c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18" t="e">
        <f>IF(AND(L13=L14,L14=L15),(IF(AND(#REF!=#REF!,#REF!=#REF!),(IF(AND(#REF!=#REF!,#REF!=#REF!),"","ERROR IN U")),"ERROR IN J")),"ERROR IN T")</f>
        <v>#REF!</v>
      </c>
      <c r="O15" s="8"/>
      <c r="P15" s="4"/>
      <c r="Q15" s="4"/>
      <c r="R15" s="4"/>
      <c r="S15" s="4"/>
    </row>
    <row r="16" spans="1:19" ht="15.95" customHeight="1" x14ac:dyDescent="0.2">
      <c r="A16" s="4"/>
      <c r="B16" s="9">
        <v>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2" t="e">
        <f>IF(AND(L16=L17,L17=L18),(IF(AND(#REF!=#REF!,#REF!=#REF!),(IF(AND(#REF!=#REF!,#REF!=#REF!),"","ERROR IN U")),"ERROR IN J")),"ERROR IN T")</f>
        <v>#REF!</v>
      </c>
      <c r="O16" s="8"/>
      <c r="P16" s="4"/>
      <c r="Q16" s="4"/>
      <c r="R16" s="4"/>
      <c r="S16" s="4"/>
    </row>
    <row r="17" spans="1:19" ht="15.95" customHeight="1" x14ac:dyDescent="0.2">
      <c r="A17" s="4"/>
      <c r="B17" s="9">
        <v>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20"/>
      <c r="N17" s="12" t="e">
        <f>IF(AND(L16=L17,L17=L18),(IF(AND(#REF!=#REF!,#REF!=#REF!),(IF(AND(#REF!=#REF!,#REF!=#REF!),"","ERROR IN U")),"ERROR IN J")),"ERROR IN T")</f>
        <v>#REF!</v>
      </c>
      <c r="O17" s="8"/>
      <c r="P17" s="4"/>
      <c r="Q17" s="4"/>
      <c r="R17" s="4"/>
      <c r="S17" s="4"/>
    </row>
    <row r="18" spans="1:19" ht="15.95" customHeight="1" x14ac:dyDescent="0.2">
      <c r="A18" s="4"/>
      <c r="B18" s="9">
        <v>3</v>
      </c>
      <c r="C18" s="19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12" t="e">
        <f>IF(AND(L16=L17,L17=L18),(IF(AND(#REF!=#REF!,#REF!=#REF!),(IF(AND(#REF!=#REF!,#REF!=#REF!),"","ERROR IN U")),"ERROR IN J")),"ERROR IN T")</f>
        <v>#REF!</v>
      </c>
      <c r="O18" s="8"/>
      <c r="P18" s="4"/>
      <c r="Q18" s="4"/>
      <c r="R18" s="4"/>
      <c r="S18" s="4"/>
    </row>
    <row r="19" spans="1:19" ht="15.95" customHeight="1" x14ac:dyDescent="0.2">
      <c r="A19" s="4"/>
      <c r="B19" s="9">
        <v>3</v>
      </c>
      <c r="C19" s="21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18" t="e">
        <f>IF(AND(L19=L20,L20=L21),(IF(AND(#REF!=#REF!,#REF!=#REF!),(IF(AND(#REF!=#REF!,#REF!=#REF!),"","ERROR IN U")),"ERROR IN J")),"ERROR IN T")</f>
        <v>#REF!</v>
      </c>
      <c r="O19" s="8"/>
      <c r="P19" s="4"/>
      <c r="Q19" s="4"/>
      <c r="R19" s="4"/>
      <c r="S19" s="4"/>
    </row>
    <row r="20" spans="1:19" ht="15.95" customHeight="1" x14ac:dyDescent="0.2">
      <c r="A20" s="4"/>
      <c r="B20" s="9">
        <v>3</v>
      </c>
      <c r="C20" s="21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18" t="e">
        <f>IF(AND(L19=L20,L20=L21),(IF(AND(#REF!=#REF!,#REF!=#REF!),(IF(AND(#REF!=#REF!,#REF!=#REF!),"","ERROR IN U")),"ERROR IN J")),"ERROR IN T")</f>
        <v>#REF!</v>
      </c>
      <c r="O20" s="8"/>
      <c r="P20" s="4"/>
      <c r="Q20" s="4"/>
      <c r="R20" s="4"/>
      <c r="S20" s="4"/>
    </row>
    <row r="21" spans="1:19" ht="15.95" customHeight="1" x14ac:dyDescent="0.2">
      <c r="A21" s="4"/>
      <c r="B21" s="9">
        <v>3</v>
      </c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18" t="e">
        <f>IF(AND(L19=L20,L20=L21),(IF(AND(#REF!=#REF!,#REF!=#REF!),(IF(AND(#REF!=#REF!,#REF!=#REF!),"","ERROR IN U")),"ERROR IN J")),"ERROR IN T")</f>
        <v>#REF!</v>
      </c>
      <c r="O21" s="8"/>
      <c r="P21" s="4"/>
      <c r="Q21" s="4"/>
      <c r="R21" s="4"/>
      <c r="S21" s="4"/>
    </row>
    <row r="22" spans="1:19" ht="15.95" customHeight="1" x14ac:dyDescent="0.2">
      <c r="A22" s="4"/>
      <c r="B22" s="9">
        <v>4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2" t="e">
        <f>IF(AND(L22=L23,L23=L24),(IF(AND(#REF!=#REF!,#REF!=#REF!),(IF(AND(#REF!=#REF!,#REF!=#REF!),"","ERROR IN U")),"ERROR IN J")),"ERROR IN T")</f>
        <v>#REF!</v>
      </c>
      <c r="O22" s="8"/>
      <c r="P22" s="4"/>
      <c r="Q22" s="4"/>
      <c r="R22" s="4"/>
      <c r="S22" s="4"/>
    </row>
    <row r="23" spans="1:19" ht="15.95" customHeight="1" x14ac:dyDescent="0.2">
      <c r="A23" s="4"/>
      <c r="B23" s="9">
        <v>4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20"/>
      <c r="N23" s="12" t="e">
        <f>IF(AND(L22=L23,L23=L24),(IF(AND(#REF!=#REF!,#REF!=#REF!),(IF(AND(#REF!=#REF!,#REF!=#REF!),"","ERROR IN U")),"ERROR IN J")),"ERROR IN T")</f>
        <v>#REF!</v>
      </c>
      <c r="O23" s="8"/>
      <c r="P23" s="4"/>
      <c r="Q23" s="4"/>
      <c r="R23" s="4"/>
      <c r="S23" s="4"/>
    </row>
    <row r="24" spans="1:19" ht="15.95" customHeight="1" x14ac:dyDescent="0.2">
      <c r="A24" s="4"/>
      <c r="B24" s="9">
        <v>4</v>
      </c>
      <c r="C24" s="19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12" t="e">
        <f>IF(AND(L22=L23,L23=L24),(IF(AND(#REF!=#REF!,#REF!=#REF!),(IF(AND(#REF!=#REF!,#REF!=#REF!),"","ERROR IN U")),"ERROR IN J")),"ERROR IN T")</f>
        <v>#REF!</v>
      </c>
      <c r="O24" s="8"/>
      <c r="P24" s="4"/>
      <c r="Q24" s="4"/>
      <c r="R24" s="4"/>
      <c r="S24" s="4"/>
    </row>
    <row r="25" spans="1:19" ht="15.95" customHeight="1" x14ac:dyDescent="0.2">
      <c r="A25" s="4"/>
      <c r="B25" s="9">
        <v>4</v>
      </c>
      <c r="C25" s="21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18" t="e">
        <f>IF(AND(L25=L26,L26=L27),(IF(AND(#REF!=#REF!,#REF!=#REF!),(IF(AND(#REF!=#REF!,#REF!=#REF!),"","ERROR IN U")),"ERROR IN J")),"ERROR IN T")</f>
        <v>#REF!</v>
      </c>
      <c r="O25" s="8"/>
      <c r="P25" s="4"/>
      <c r="Q25" s="4"/>
      <c r="R25" s="4"/>
      <c r="S25" s="4"/>
    </row>
    <row r="26" spans="1:19" ht="15.95" customHeight="1" x14ac:dyDescent="0.2">
      <c r="A26" s="4"/>
      <c r="B26" s="9">
        <v>4</v>
      </c>
      <c r="C26" s="21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18" t="e">
        <f>IF(AND(L25=L26,L26=L27),(IF(AND(#REF!=#REF!,#REF!=#REF!),(IF(AND(#REF!=#REF!,#REF!=#REF!),"","ERROR IN U")),"ERROR IN J")),"ERROR IN T")</f>
        <v>#REF!</v>
      </c>
      <c r="O26" s="8"/>
      <c r="P26" s="4"/>
      <c r="Q26" s="4"/>
      <c r="R26" s="4"/>
      <c r="S26" s="4"/>
    </row>
    <row r="27" spans="1:19" ht="15.95" customHeight="1" x14ac:dyDescent="0.2">
      <c r="A27" s="4"/>
      <c r="B27" s="9">
        <v>4</v>
      </c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18" t="e">
        <f>IF(AND(L25=L26,L26=L27),(IF(AND(#REF!=#REF!,#REF!=#REF!),(IF(AND(#REF!=#REF!,#REF!=#REF!),"","ERROR IN U")),"ERROR IN J")),"ERROR IN T")</f>
        <v>#REF!</v>
      </c>
      <c r="O27" s="8"/>
      <c r="P27" s="4"/>
      <c r="Q27" s="4"/>
      <c r="R27" s="4"/>
      <c r="S27" s="4"/>
    </row>
    <row r="28" spans="1:19" ht="15.95" customHeight="1" x14ac:dyDescent="0.2">
      <c r="A28" s="4"/>
      <c r="B28" s="9">
        <v>5</v>
      </c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2" t="e">
        <f>IF(AND(L28=L29,L29=L30),(IF(AND(#REF!=#REF!,#REF!=#REF!),(IF(AND(#REF!=#REF!,#REF!=#REF!),"","ERROR IN U")),"ERROR IN J")),"ERROR IN T")</f>
        <v>#REF!</v>
      </c>
      <c r="O28" s="8"/>
      <c r="P28" s="4"/>
      <c r="Q28" s="4"/>
      <c r="R28" s="4"/>
      <c r="S28" s="4"/>
    </row>
    <row r="29" spans="1:19" ht="15.95" customHeight="1" x14ac:dyDescent="0.2">
      <c r="A29" s="4"/>
      <c r="B29" s="9">
        <v>5</v>
      </c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20"/>
      <c r="N29" s="12" t="e">
        <f>IF(AND(L28=L29,L29=L30),(IF(AND(#REF!=#REF!,#REF!=#REF!),(IF(AND(#REF!=#REF!,#REF!=#REF!),"","ERROR IN U")),"ERROR IN J")),"ERROR IN T")</f>
        <v>#REF!</v>
      </c>
      <c r="O29" s="8"/>
      <c r="P29" s="4"/>
      <c r="Q29" s="4"/>
      <c r="R29" s="4"/>
      <c r="S29" s="4"/>
    </row>
    <row r="30" spans="1:19" ht="15.95" customHeight="1" x14ac:dyDescent="0.2">
      <c r="A30" s="4"/>
      <c r="B30" s="9">
        <v>5</v>
      </c>
      <c r="C30" s="19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12" t="e">
        <f>IF(AND(L28=L29,L29=L30),(IF(AND(#REF!=#REF!,#REF!=#REF!),(IF(AND(#REF!=#REF!,#REF!=#REF!),"","ERROR IN U")),"ERROR IN J")),"ERROR IN T")</f>
        <v>#REF!</v>
      </c>
      <c r="O30" s="8"/>
      <c r="P30" s="4"/>
      <c r="Q30" s="4"/>
      <c r="R30" s="4"/>
      <c r="S30" s="4"/>
    </row>
    <row r="31" spans="1:19" ht="15.95" customHeight="1" x14ac:dyDescent="0.2">
      <c r="A31" s="4"/>
      <c r="B31" s="9">
        <v>5</v>
      </c>
      <c r="C31" s="21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18" t="e">
        <f>IF(AND(L31=L32,L32=L33),(IF(AND(#REF!=#REF!,#REF!=#REF!),(IF(AND(#REF!=#REF!,#REF!=#REF!),"","ERROR IN U")),"ERROR IN J")),"ERROR IN T")</f>
        <v>#REF!</v>
      </c>
      <c r="O31" s="8"/>
      <c r="P31" s="4"/>
      <c r="Q31" s="4"/>
      <c r="R31" s="4"/>
      <c r="S31" s="4"/>
    </row>
    <row r="32" spans="1:19" ht="15.95" customHeight="1" x14ac:dyDescent="0.2">
      <c r="A32" s="4"/>
      <c r="B32" s="9">
        <v>5</v>
      </c>
      <c r="C32" s="21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18" t="e">
        <f>IF(AND(L31=L32,L32=L33),(IF(AND(#REF!=#REF!,#REF!=#REF!),(IF(AND(#REF!=#REF!,#REF!=#REF!),"","ERROR IN U")),"ERROR IN J")),"ERROR IN T")</f>
        <v>#REF!</v>
      </c>
      <c r="O32" s="8"/>
      <c r="P32" s="4"/>
      <c r="Q32" s="4"/>
      <c r="R32" s="4"/>
      <c r="S32" s="4"/>
    </row>
    <row r="33" spans="1:19" ht="15.95" customHeight="1" x14ac:dyDescent="0.2">
      <c r="A33" s="4"/>
      <c r="B33" s="9">
        <v>5</v>
      </c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18" t="e">
        <f>IF(AND(L31=L32,L32=L33),(IF(AND(#REF!=#REF!,#REF!=#REF!),(IF(AND(#REF!=#REF!,#REF!=#REF!),"","ERROR IN U")),"ERROR IN J")),"ERROR IN T")</f>
        <v>#REF!</v>
      </c>
      <c r="O33" s="8"/>
      <c r="P33" s="4"/>
      <c r="Q33" s="4"/>
      <c r="R33" s="4"/>
      <c r="S33" s="4"/>
    </row>
    <row r="34" spans="1:19" ht="15.95" customHeight="1" x14ac:dyDescent="0.2">
      <c r="A34" s="4"/>
      <c r="B34" s="9">
        <v>6</v>
      </c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2" t="e">
        <f>IF(AND(L34=L35,L35=L36),(IF(AND(#REF!=#REF!,#REF!=#REF!),(IF(AND(#REF!=#REF!,#REF!=#REF!),"","ERROR IN U")),"ERROR IN J")),"ERROR IN T")</f>
        <v>#REF!</v>
      </c>
      <c r="O34" s="8"/>
      <c r="P34" s="4"/>
      <c r="Q34" s="4"/>
      <c r="R34" s="4"/>
      <c r="S34" s="4"/>
    </row>
    <row r="35" spans="1:19" ht="15.95" customHeight="1" x14ac:dyDescent="0.2">
      <c r="A35" s="4"/>
      <c r="B35" s="9">
        <v>6</v>
      </c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20"/>
      <c r="N35" s="12" t="e">
        <f>IF(AND(L34=L35,L35=L36),(IF(AND(#REF!=#REF!,#REF!=#REF!),(IF(AND(#REF!=#REF!,#REF!=#REF!),"","ERROR IN U")),"ERROR IN J")),"ERROR IN T")</f>
        <v>#REF!</v>
      </c>
      <c r="O35" s="8"/>
      <c r="P35" s="4"/>
      <c r="Q35" s="4"/>
      <c r="R35" s="4"/>
      <c r="S35" s="4"/>
    </row>
    <row r="36" spans="1:19" ht="15.95" customHeight="1" x14ac:dyDescent="0.2">
      <c r="A36" s="4"/>
      <c r="B36" s="9">
        <v>6</v>
      </c>
      <c r="C36" s="19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12" t="e">
        <f>IF(AND(L34=L35,L35=L36),(IF(AND(#REF!=#REF!,#REF!=#REF!),(IF(AND(#REF!=#REF!,#REF!=#REF!),"","ERROR IN U")),"ERROR IN J")),"ERROR IN T")</f>
        <v>#REF!</v>
      </c>
      <c r="O36" s="8"/>
      <c r="P36" s="4"/>
      <c r="Q36" s="4"/>
      <c r="R36" s="4"/>
      <c r="S36" s="4"/>
    </row>
    <row r="37" spans="1:19" ht="15.95" customHeight="1" x14ac:dyDescent="0.2">
      <c r="A37" s="4"/>
      <c r="B37" s="9">
        <v>6</v>
      </c>
      <c r="C37" s="21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18" t="e">
        <f>IF(AND(L37=L38,L38=L39),(IF(AND(#REF!=#REF!,#REF!=#REF!),(IF(AND(#REF!=#REF!,#REF!=#REF!),"","ERROR IN U")),"ERROR IN J")),"ERROR IN T")</f>
        <v>#REF!</v>
      </c>
      <c r="O37" s="8"/>
      <c r="P37" s="4"/>
      <c r="Q37" s="4"/>
      <c r="R37" s="4"/>
      <c r="S37" s="4"/>
    </row>
    <row r="38" spans="1:19" ht="15.95" customHeight="1" x14ac:dyDescent="0.2">
      <c r="A38" s="4"/>
      <c r="B38" s="9">
        <v>6</v>
      </c>
      <c r="C38" s="21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18" t="e">
        <f>IF(AND(L37=L38,L38=L39),(IF(AND(#REF!=#REF!,#REF!=#REF!),(IF(AND(#REF!=#REF!,#REF!=#REF!),"","ERROR IN U")),"ERROR IN J")),"ERROR IN T")</f>
        <v>#REF!</v>
      </c>
      <c r="O38" s="8"/>
      <c r="P38" s="4"/>
      <c r="Q38" s="4"/>
      <c r="R38" s="4"/>
      <c r="S38" s="4"/>
    </row>
    <row r="39" spans="1:19" ht="15.95" customHeight="1" x14ac:dyDescent="0.2">
      <c r="A39" s="4"/>
      <c r="B39" s="9">
        <v>6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18" t="e">
        <f>IF(AND(L37=L38,L38=L39),(IF(AND(#REF!=#REF!,#REF!=#REF!),(IF(AND(#REF!=#REF!,#REF!=#REF!),"","ERROR IN U")),"ERROR IN J")),"ERROR IN T")</f>
        <v>#REF!</v>
      </c>
      <c r="O39" s="8"/>
      <c r="P39" s="4"/>
      <c r="Q39" s="4"/>
      <c r="R39" s="4"/>
      <c r="S39" s="4"/>
    </row>
    <row r="40" spans="1:19" ht="15.95" customHeight="1" x14ac:dyDescent="0.2">
      <c r="A40" s="4"/>
      <c r="B40" s="9">
        <v>7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 t="e">
        <f>IF(AND(L40=L41,L41=L42),(IF(AND(#REF!=#REF!,#REF!=#REF!),(IF(AND(#REF!=#REF!,#REF!=#REF!),"","ERROR IN U")),"ERROR IN J")),"ERROR IN T")</f>
        <v>#REF!</v>
      </c>
      <c r="O40" s="8"/>
      <c r="P40" s="4"/>
      <c r="Q40" s="4"/>
      <c r="R40" s="4"/>
      <c r="S40" s="4"/>
    </row>
    <row r="41" spans="1:19" ht="15.95" customHeight="1" x14ac:dyDescent="0.2">
      <c r="A41" s="4"/>
      <c r="B41" s="9">
        <v>7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 t="e">
        <f>IF(AND(L40=L41,L41=L42),(IF(AND(#REF!=#REF!,#REF!=#REF!),(IF(AND(#REF!=#REF!,#REF!=#REF!),"","ERROR IN U")),"ERROR IN J")),"ERROR IN T")</f>
        <v>#REF!</v>
      </c>
      <c r="O41" s="8"/>
      <c r="P41" s="4"/>
      <c r="Q41" s="4"/>
      <c r="R41" s="4"/>
      <c r="S41" s="4"/>
    </row>
    <row r="42" spans="1:19" ht="15.95" customHeight="1" x14ac:dyDescent="0.2">
      <c r="A42" s="4"/>
      <c r="B42" s="9">
        <v>7</v>
      </c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 t="e">
        <f>IF(AND(L40=L41,L41=L42),(IF(AND(#REF!=#REF!,#REF!=#REF!),(IF(AND(#REF!=#REF!,#REF!=#REF!),"","ERROR IN U")),"ERROR IN J")),"ERROR IN T")</f>
        <v>#REF!</v>
      </c>
      <c r="O42" s="8"/>
      <c r="P42" s="4"/>
      <c r="Q42" s="4"/>
      <c r="R42" s="4"/>
      <c r="S42" s="4"/>
    </row>
    <row r="43" spans="1:19" ht="15.95" customHeight="1" x14ac:dyDescent="0.2">
      <c r="A43" s="4"/>
      <c r="B43" s="9">
        <v>7</v>
      </c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 t="e">
        <f>IF(AND(L43=L44,L44=L45),(IF(AND(#REF!=#REF!,#REF!=#REF!),(IF(AND(#REF!=#REF!,#REF!=#REF!),"","ERROR IN U")),"ERROR IN J")),"ERROR IN T")</f>
        <v>#REF!</v>
      </c>
      <c r="O43" s="4"/>
      <c r="P43" s="4"/>
      <c r="Q43" s="4"/>
      <c r="R43" s="4"/>
      <c r="S43" s="4"/>
    </row>
    <row r="44" spans="1:19" ht="15.95" customHeight="1" x14ac:dyDescent="0.2">
      <c r="A44" s="4"/>
      <c r="B44" s="9">
        <v>7</v>
      </c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 t="e">
        <f>IF(AND(L43=L44,L44=L45),(IF(AND(#REF!=#REF!,#REF!=#REF!),(IF(AND(#REF!=#REF!,#REF!=#REF!),"","ERROR IN U")),"ERROR IN J")),"ERROR IN T")</f>
        <v>#REF!</v>
      </c>
      <c r="O44" s="4"/>
      <c r="P44" s="4"/>
      <c r="Q44" s="4"/>
      <c r="R44" s="4"/>
      <c r="S44" s="4"/>
    </row>
    <row r="45" spans="1:19" ht="15.95" customHeight="1" x14ac:dyDescent="0.2">
      <c r="A45" s="4"/>
      <c r="B45" s="9">
        <v>7</v>
      </c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 t="e">
        <f>IF(AND(L43=L44,L44=L45),(IF(AND(#REF!=#REF!,#REF!=#REF!),(IF(AND(#REF!=#REF!,#REF!=#REF!),"","ERROR IN U")),"ERROR IN J")),"ERROR IN T")</f>
        <v>#REF!</v>
      </c>
      <c r="O45" s="4"/>
      <c r="P45" s="4"/>
      <c r="Q45" s="4"/>
      <c r="R45" s="4"/>
      <c r="S45" s="4"/>
    </row>
    <row r="46" spans="1:19" ht="15.95" customHeight="1" x14ac:dyDescent="0.2">
      <c r="A46" s="4"/>
      <c r="B46" s="9">
        <v>8</v>
      </c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2" t="e">
        <f>IF(AND(L46=L47,L47=L48),(IF(AND(#REF!=#REF!,#REF!=#REF!),(IF(AND(#REF!=#REF!,#REF!=#REF!),"","ERROR IN U")),"ERROR IN J")),"ERROR IN T")</f>
        <v>#REF!</v>
      </c>
      <c r="O46" s="4"/>
      <c r="P46" s="4"/>
      <c r="Q46" s="4"/>
      <c r="R46" s="4"/>
      <c r="S46" s="4"/>
    </row>
    <row r="47" spans="1:19" ht="15.95" customHeight="1" x14ac:dyDescent="0.2">
      <c r="A47" s="4"/>
      <c r="B47" s="9">
        <v>8</v>
      </c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20"/>
      <c r="N47" s="12" t="e">
        <f>IF(AND(L46=L47,L47=L48),(IF(AND(#REF!=#REF!,#REF!=#REF!),(IF(AND(#REF!=#REF!,#REF!=#REF!),"","ERROR IN U")),"ERROR IN J")),"ERROR IN T")</f>
        <v>#REF!</v>
      </c>
      <c r="O47" s="4"/>
      <c r="P47" s="4"/>
      <c r="Q47" s="4"/>
      <c r="R47" s="4"/>
      <c r="S47" s="4"/>
    </row>
    <row r="48" spans="1:19" ht="15.95" customHeight="1" x14ac:dyDescent="0.2">
      <c r="A48" s="4"/>
      <c r="B48" s="9">
        <v>8</v>
      </c>
      <c r="C48" s="19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12" t="e">
        <f>IF(AND(L46=L47,L47=L48),(IF(AND(#REF!=#REF!,#REF!=#REF!),(IF(AND(#REF!=#REF!,#REF!=#REF!),"","ERROR IN U")),"ERROR IN J")),"ERROR IN T")</f>
        <v>#REF!</v>
      </c>
      <c r="O48" s="4"/>
      <c r="P48" s="4"/>
      <c r="Q48" s="4"/>
      <c r="R48" s="4"/>
      <c r="S48" s="4"/>
    </row>
    <row r="49" spans="1:19" ht="15.95" customHeight="1" x14ac:dyDescent="0.2">
      <c r="A49" s="4"/>
      <c r="B49" s="9">
        <v>8</v>
      </c>
      <c r="C49" s="21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18" t="e">
        <f>IF(AND(L49=L50,L50=L51),(IF(AND(#REF!=#REF!,#REF!=#REF!),(IF(AND(#REF!=#REF!,#REF!=#REF!),"","ERROR IN U")),"ERROR IN J")),"ERROR IN T")</f>
        <v>#REF!</v>
      </c>
      <c r="O49" s="4"/>
      <c r="P49" s="4"/>
      <c r="Q49" s="4"/>
      <c r="R49" s="4"/>
      <c r="S49" s="4"/>
    </row>
    <row r="50" spans="1:19" ht="15.95" customHeight="1" x14ac:dyDescent="0.2">
      <c r="A50" s="4"/>
      <c r="B50" s="9">
        <v>8</v>
      </c>
      <c r="C50" s="21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18" t="e">
        <f>IF(AND(L49=L50,L50=L51),(IF(AND(#REF!=#REF!,#REF!=#REF!),(IF(AND(#REF!=#REF!,#REF!=#REF!),"","ERROR IN U")),"ERROR IN J")),"ERROR IN T")</f>
        <v>#REF!</v>
      </c>
      <c r="O50" s="4"/>
      <c r="P50" s="4"/>
      <c r="Q50" s="4"/>
      <c r="R50" s="4"/>
      <c r="S50" s="4"/>
    </row>
    <row r="51" spans="1:19" ht="15.95" customHeight="1" x14ac:dyDescent="0.2">
      <c r="A51" s="4"/>
      <c r="B51" s="9">
        <v>8</v>
      </c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18" t="e">
        <f>IF(AND(L49=L50,L50=L51),(IF(AND(#REF!=#REF!,#REF!=#REF!),(IF(AND(#REF!=#REF!,#REF!=#REF!),"","ERROR IN U")),"ERROR IN J")),"ERROR IN T")</f>
        <v>#REF!</v>
      </c>
      <c r="O51" s="4"/>
      <c r="P51" s="4"/>
      <c r="Q51" s="4"/>
      <c r="R51" s="4"/>
      <c r="S51" s="4"/>
    </row>
    <row r="52" spans="1:19" ht="15.95" customHeight="1" x14ac:dyDescent="0.2">
      <c r="A52" s="4"/>
      <c r="B52" s="9">
        <v>9</v>
      </c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2" t="e">
        <f>IF(AND(L52=L53,L53=L54),(IF(AND(#REF!=#REF!,#REF!=#REF!),(IF(AND(#REF!=#REF!,#REF!=#REF!),"","ERROR IN U")),"ERROR IN J")),"ERROR IN T")</f>
        <v>#REF!</v>
      </c>
      <c r="O52" s="4"/>
      <c r="P52" s="4"/>
      <c r="Q52" s="4"/>
      <c r="R52" s="4"/>
      <c r="S52" s="4"/>
    </row>
    <row r="53" spans="1:19" ht="15.95" customHeight="1" x14ac:dyDescent="0.2">
      <c r="A53" s="4"/>
      <c r="B53" s="9">
        <v>9</v>
      </c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20"/>
      <c r="N53" s="12" t="e">
        <f>IF(AND(L52=L53,L53=L54),(IF(AND(#REF!=#REF!,#REF!=#REF!),(IF(AND(#REF!=#REF!,#REF!=#REF!),"","ERROR IN U")),"ERROR IN J")),"ERROR IN T")</f>
        <v>#REF!</v>
      </c>
      <c r="O53" s="4"/>
      <c r="P53" s="4"/>
      <c r="Q53" s="4"/>
      <c r="R53" s="4"/>
      <c r="S53" s="4"/>
    </row>
    <row r="54" spans="1:19" ht="15.95" customHeight="1" x14ac:dyDescent="0.2">
      <c r="A54" s="4"/>
      <c r="B54" s="9">
        <v>9</v>
      </c>
      <c r="C54" s="19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12" t="e">
        <f>IF(AND(L52=L53,L53=L54),(IF(AND(#REF!=#REF!,#REF!=#REF!),(IF(AND(#REF!=#REF!,#REF!=#REF!),"","ERROR IN U")),"ERROR IN J")),"ERROR IN T")</f>
        <v>#REF!</v>
      </c>
      <c r="O54" s="4"/>
      <c r="P54" s="4"/>
      <c r="Q54" s="4"/>
      <c r="R54" s="4"/>
      <c r="S54" s="4"/>
    </row>
    <row r="55" spans="1:19" ht="15.95" customHeight="1" x14ac:dyDescent="0.2">
      <c r="A55" s="4"/>
      <c r="B55" s="9">
        <v>9</v>
      </c>
      <c r="C55" s="21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18" t="e">
        <f>IF(AND(L55=L56,L56=L57),(IF(AND(#REF!=#REF!,#REF!=#REF!),(IF(AND(#REF!=#REF!,#REF!=#REF!),"","ERROR IN U")),"ERROR IN J")),"ERROR IN T")</f>
        <v>#REF!</v>
      </c>
      <c r="O55" s="4"/>
      <c r="P55" s="4"/>
      <c r="Q55" s="4"/>
      <c r="R55" s="4"/>
      <c r="S55" s="4"/>
    </row>
    <row r="56" spans="1:19" ht="15.95" customHeight="1" x14ac:dyDescent="0.2">
      <c r="A56" s="4"/>
      <c r="B56" s="9">
        <v>9</v>
      </c>
      <c r="C56" s="21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18" t="e">
        <f>IF(AND(L55=L56,L56=L57),(IF(AND(#REF!=#REF!,#REF!=#REF!),(IF(AND(#REF!=#REF!,#REF!=#REF!),"","ERROR IN U")),"ERROR IN J")),"ERROR IN T")</f>
        <v>#REF!</v>
      </c>
      <c r="O56" s="4"/>
      <c r="P56" s="4"/>
      <c r="Q56" s="4"/>
      <c r="R56" s="4"/>
      <c r="S56" s="4"/>
    </row>
    <row r="57" spans="1:19" ht="15.95" customHeight="1" x14ac:dyDescent="0.2">
      <c r="A57" s="4"/>
      <c r="B57" s="9">
        <v>9</v>
      </c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18" t="e">
        <f>IF(AND(L55=L56,L56=L57),(IF(AND(#REF!=#REF!,#REF!=#REF!),(IF(AND(#REF!=#REF!,#REF!=#REF!),"","ERROR IN U")),"ERROR IN J")),"ERROR IN T")</f>
        <v>#REF!</v>
      </c>
      <c r="O57" s="4"/>
      <c r="P57" s="4"/>
      <c r="Q57" s="4"/>
      <c r="R57" s="4"/>
      <c r="S57" s="4"/>
    </row>
    <row r="58" spans="1:19" ht="15.95" customHeight="1" x14ac:dyDescent="0.2">
      <c r="A58" s="4"/>
      <c r="B58" s="9">
        <v>10</v>
      </c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2" t="e">
        <f>IF(AND(L58=L59,L59=L60),(IF(AND(#REF!=#REF!,#REF!=#REF!),(IF(AND(#REF!=#REF!,#REF!=#REF!),"","ERROR IN U")),"ERROR IN J")),"ERROR IN T")</f>
        <v>#REF!</v>
      </c>
      <c r="O58" s="4"/>
      <c r="P58" s="4"/>
      <c r="Q58" s="4"/>
      <c r="R58" s="4"/>
      <c r="S58" s="4"/>
    </row>
    <row r="59" spans="1:19" ht="15.95" customHeight="1" x14ac:dyDescent="0.2">
      <c r="A59" s="4"/>
      <c r="B59" s="9">
        <v>10</v>
      </c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20"/>
      <c r="N59" s="12" t="e">
        <f>IF(AND(L58=L59,L59=L60),(IF(AND(#REF!=#REF!,#REF!=#REF!),(IF(AND(#REF!=#REF!,#REF!=#REF!),"","ERROR IN U")),"ERROR IN J")),"ERROR IN T")</f>
        <v>#REF!</v>
      </c>
      <c r="O59" s="4"/>
      <c r="P59" s="4"/>
      <c r="Q59" s="4"/>
      <c r="R59" s="4"/>
      <c r="S59" s="4"/>
    </row>
    <row r="60" spans="1:19" ht="15.95" customHeight="1" x14ac:dyDescent="0.2">
      <c r="A60" s="4"/>
      <c r="B60" s="9">
        <v>10</v>
      </c>
      <c r="C60" s="19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12" t="e">
        <f>IF(AND(L58=L59,L59=L60),(IF(AND(#REF!=#REF!,#REF!=#REF!),(IF(AND(#REF!=#REF!,#REF!=#REF!),"","ERROR IN U")),"ERROR IN J")),"ERROR IN T")</f>
        <v>#REF!</v>
      </c>
      <c r="O60" s="4"/>
      <c r="P60" s="4"/>
      <c r="Q60" s="4"/>
      <c r="R60" s="4"/>
      <c r="S60" s="4"/>
    </row>
    <row r="61" spans="1:19" ht="15.95" customHeight="1" x14ac:dyDescent="0.2">
      <c r="A61" s="4"/>
      <c r="B61" s="9">
        <v>10</v>
      </c>
      <c r="C61" s="21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18" t="e">
        <f>IF(AND(L61=L62,L62=L63),(IF(AND(#REF!=#REF!,#REF!=#REF!),(IF(AND(#REF!=#REF!,#REF!=#REF!),"","ERROR IN U")),"ERROR IN J")),"ERROR IN T")</f>
        <v>#REF!</v>
      </c>
      <c r="O61" s="4"/>
      <c r="P61" s="4"/>
      <c r="Q61" s="4"/>
      <c r="R61" s="4"/>
      <c r="S61" s="4"/>
    </row>
    <row r="62" spans="1:19" ht="15.95" customHeight="1" x14ac:dyDescent="0.2">
      <c r="A62" s="4"/>
      <c r="B62" s="9">
        <v>10</v>
      </c>
      <c r="C62" s="21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18" t="e">
        <f>IF(AND(L61=L62,L62=L63),(IF(AND(#REF!=#REF!,#REF!=#REF!),(IF(AND(#REF!=#REF!,#REF!=#REF!),"","ERROR IN U")),"ERROR IN J")),"ERROR IN T")</f>
        <v>#REF!</v>
      </c>
      <c r="O62" s="4"/>
      <c r="P62" s="4"/>
      <c r="Q62" s="4"/>
      <c r="R62" s="4"/>
      <c r="S62" s="4"/>
    </row>
    <row r="63" spans="1:19" ht="15.95" customHeight="1" x14ac:dyDescent="0.2">
      <c r="A63" s="4"/>
      <c r="B63" s="9">
        <v>10</v>
      </c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18" t="e">
        <f>IF(AND(L61=L62,L62=L63),(IF(AND(#REF!=#REF!,#REF!=#REF!),(IF(AND(#REF!=#REF!,#REF!=#REF!),"","ERROR IN U")),"ERROR IN J")),"ERROR IN T")</f>
        <v>#REF!</v>
      </c>
      <c r="O63" s="4"/>
      <c r="P63" s="4"/>
      <c r="Q63" s="4"/>
      <c r="R63" s="4"/>
      <c r="S63" s="4"/>
    </row>
    <row r="64" spans="1:19" ht="15.95" customHeight="1" x14ac:dyDescent="0.2">
      <c r="A64" s="4"/>
      <c r="B64" s="9">
        <v>11</v>
      </c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2" t="e">
        <f>IF(AND(L64=L65,L65=L66),(IF(AND(#REF!=#REF!,#REF!=#REF!),(IF(AND(#REF!=#REF!,#REF!=#REF!),"","ERROR IN U")),"ERROR IN J")),"ERROR IN T")</f>
        <v>#REF!</v>
      </c>
      <c r="O64" s="4"/>
      <c r="P64" s="4"/>
      <c r="Q64" s="4"/>
      <c r="R64" s="4"/>
      <c r="S64" s="4"/>
    </row>
    <row r="65" spans="1:19" ht="15.95" customHeight="1" x14ac:dyDescent="0.2">
      <c r="A65" s="4"/>
      <c r="B65" s="9">
        <v>11</v>
      </c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20"/>
      <c r="N65" s="12" t="e">
        <f>IF(AND(L64=L65,L65=L66),(IF(AND(#REF!=#REF!,#REF!=#REF!),(IF(AND(#REF!=#REF!,#REF!=#REF!),"","ERROR IN U")),"ERROR IN J")),"ERROR IN T")</f>
        <v>#REF!</v>
      </c>
      <c r="O65" s="4"/>
      <c r="P65" s="4"/>
      <c r="Q65" s="4"/>
      <c r="R65" s="4"/>
      <c r="S65" s="4"/>
    </row>
    <row r="66" spans="1:19" ht="15.95" customHeight="1" x14ac:dyDescent="0.2">
      <c r="A66" s="4"/>
      <c r="B66" s="9">
        <v>11</v>
      </c>
      <c r="C66" s="19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12" t="e">
        <f>IF(AND(L64=L65,L65=L66),(IF(AND(#REF!=#REF!,#REF!=#REF!),(IF(AND(#REF!=#REF!,#REF!=#REF!),"","ERROR IN U")),"ERROR IN J")),"ERROR IN T")</f>
        <v>#REF!</v>
      </c>
      <c r="O66" s="4"/>
      <c r="P66" s="4"/>
      <c r="Q66" s="4"/>
      <c r="R66" s="4"/>
      <c r="S66" s="4"/>
    </row>
    <row r="67" spans="1:19" ht="15.95" customHeight="1" x14ac:dyDescent="0.2">
      <c r="A67" s="4"/>
      <c r="B67" s="9">
        <v>11</v>
      </c>
      <c r="C67" s="21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18" t="e">
        <f>IF(AND(L67=L68,L68=L69),(IF(AND(#REF!=#REF!,#REF!=#REF!),(IF(AND(#REF!=#REF!,#REF!=#REF!),"","ERROR IN U")),"ERROR IN J")),"ERROR IN T")</f>
        <v>#REF!</v>
      </c>
      <c r="O67" s="4"/>
      <c r="P67" s="4"/>
      <c r="Q67" s="4"/>
      <c r="R67" s="4"/>
      <c r="S67" s="4"/>
    </row>
    <row r="68" spans="1:19" ht="15.95" customHeight="1" x14ac:dyDescent="0.2">
      <c r="A68" s="4"/>
      <c r="B68" s="9">
        <v>11</v>
      </c>
      <c r="C68" s="21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18" t="e">
        <f>IF(AND(L67=L68,L68=L69),(IF(AND(#REF!=#REF!,#REF!=#REF!),(IF(AND(#REF!=#REF!,#REF!=#REF!),"","ERROR IN U")),"ERROR IN J")),"ERROR IN T")</f>
        <v>#REF!</v>
      </c>
      <c r="O68" s="4"/>
      <c r="P68" s="4"/>
      <c r="Q68" s="4"/>
      <c r="R68" s="4"/>
      <c r="S68" s="4"/>
    </row>
    <row r="69" spans="1:19" ht="15.95" customHeight="1" x14ac:dyDescent="0.2">
      <c r="A69" s="4"/>
      <c r="B69" s="9">
        <v>11</v>
      </c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18" t="e">
        <f>IF(AND(L67=L68,L68=L69),(IF(AND(#REF!=#REF!,#REF!=#REF!),(IF(AND(#REF!=#REF!,#REF!=#REF!),"","ERROR IN U")),"ERROR IN J")),"ERROR IN T")</f>
        <v>#REF!</v>
      </c>
      <c r="O69" s="4"/>
      <c r="P69" s="4"/>
      <c r="Q69" s="4"/>
      <c r="R69" s="4"/>
      <c r="S69" s="4"/>
    </row>
    <row r="70" spans="1:19" ht="15.95" customHeight="1" x14ac:dyDescent="0.2">
      <c r="A70" s="4"/>
      <c r="B70" s="9">
        <v>12</v>
      </c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2" t="e">
        <f>IF(AND(L70=L71,L71=L72),(IF(AND(#REF!=#REF!,#REF!=#REF!),(IF(AND(#REF!=#REF!,#REF!=#REF!),"","ERROR IN U")),"ERROR IN J")),"ERROR IN T")</f>
        <v>#REF!</v>
      </c>
      <c r="O70" s="4"/>
      <c r="P70" s="4"/>
      <c r="Q70" s="4"/>
      <c r="R70" s="4"/>
      <c r="S70" s="4"/>
    </row>
    <row r="71" spans="1:19" ht="15.95" customHeight="1" x14ac:dyDescent="0.2">
      <c r="A71" s="4"/>
      <c r="B71" s="9">
        <v>12</v>
      </c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20"/>
      <c r="N71" s="12" t="e">
        <f>IF(AND(L70=L71,L71=L72),(IF(AND(#REF!=#REF!,#REF!=#REF!),(IF(AND(#REF!=#REF!,#REF!=#REF!),"","ERROR IN U")),"ERROR IN J")),"ERROR IN T")</f>
        <v>#REF!</v>
      </c>
      <c r="O71" s="4"/>
      <c r="P71" s="4"/>
      <c r="Q71" s="4"/>
      <c r="R71" s="4"/>
      <c r="S71" s="4"/>
    </row>
    <row r="72" spans="1:19" ht="15.95" customHeight="1" x14ac:dyDescent="0.2">
      <c r="A72" s="4"/>
      <c r="B72" s="9">
        <v>12</v>
      </c>
      <c r="C72" s="19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12" t="e">
        <f>IF(AND(L70=L71,L71=L72),(IF(AND(#REF!=#REF!,#REF!=#REF!),(IF(AND(#REF!=#REF!,#REF!=#REF!),"","ERROR IN U")),"ERROR IN J")),"ERROR IN T")</f>
        <v>#REF!</v>
      </c>
      <c r="O72" s="4"/>
      <c r="P72" s="4"/>
      <c r="Q72" s="4"/>
      <c r="R72" s="4"/>
      <c r="S72" s="4"/>
    </row>
    <row r="73" spans="1:19" ht="15.95" customHeight="1" x14ac:dyDescent="0.2">
      <c r="A73" s="4"/>
      <c r="B73" s="9">
        <v>12</v>
      </c>
      <c r="C73" s="21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18" t="e">
        <f>IF(AND(L73=L74,L74=L75),(IF(AND(#REF!=#REF!,#REF!=#REF!),(IF(AND(#REF!=#REF!,#REF!=#REF!),"","ERROR IN U")),"ERROR IN J")),"ERROR IN T")</f>
        <v>#REF!</v>
      </c>
      <c r="O73" s="4"/>
      <c r="P73" s="4"/>
      <c r="Q73" s="4"/>
      <c r="R73" s="4"/>
      <c r="S73" s="4"/>
    </row>
    <row r="74" spans="1:19" ht="15.95" customHeight="1" x14ac:dyDescent="0.2">
      <c r="A74" s="4"/>
      <c r="B74" s="9">
        <v>12</v>
      </c>
      <c r="C74" s="21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18" t="e">
        <f>IF(AND(L73=L74,L74=L75),(IF(AND(#REF!=#REF!,#REF!=#REF!),(IF(AND(#REF!=#REF!,#REF!=#REF!),"","ERROR IN U")),"ERROR IN J")),"ERROR IN T")</f>
        <v>#REF!</v>
      </c>
      <c r="O74" s="4"/>
      <c r="P74" s="4"/>
      <c r="Q74" s="4"/>
      <c r="R74" s="4"/>
      <c r="S74" s="4"/>
    </row>
    <row r="75" spans="1:19" ht="15.95" customHeight="1" x14ac:dyDescent="0.2">
      <c r="A75" s="4"/>
      <c r="B75" s="9">
        <v>12</v>
      </c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18" t="e">
        <f>IF(AND(L73=L74,L74=L75),(IF(AND(#REF!=#REF!,#REF!=#REF!),(IF(AND(#REF!=#REF!,#REF!=#REF!),"","ERROR IN U")),"ERROR IN J")),"ERROR IN T")</f>
        <v>#REF!</v>
      </c>
      <c r="O75" s="4"/>
      <c r="P75" s="4"/>
      <c r="Q75" s="4"/>
      <c r="R75" s="4"/>
      <c r="S75" s="4"/>
    </row>
    <row r="76" spans="1:19" ht="15.95" customHeight="1" x14ac:dyDescent="0.2">
      <c r="A76" s="4"/>
      <c r="B76" s="9">
        <v>13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 t="e">
        <f>IF(AND(L76=L77,L77=L78),(IF(AND(#REF!=#REF!,#REF!=#REF!),(IF(AND(#REF!=#REF!,#REF!=#REF!),"","ERROR IN U")),"ERROR IN J")),"ERROR IN T")</f>
        <v>#REF!</v>
      </c>
      <c r="O76" s="4"/>
      <c r="P76" s="4"/>
      <c r="Q76" s="4"/>
      <c r="R76" s="4"/>
      <c r="S76" s="4"/>
    </row>
    <row r="77" spans="1:19" ht="15.95" customHeight="1" x14ac:dyDescent="0.2">
      <c r="A77" s="4"/>
      <c r="B77" s="9">
        <v>13</v>
      </c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 t="e">
        <f>IF(AND(L76=L77,L77=L78),(IF(AND(#REF!=#REF!,#REF!=#REF!),(IF(AND(#REF!=#REF!,#REF!=#REF!),"","ERROR IN U")),"ERROR IN J")),"ERROR IN T")</f>
        <v>#REF!</v>
      </c>
      <c r="O77" s="4"/>
      <c r="P77" s="4"/>
      <c r="Q77" s="4"/>
      <c r="R77" s="4"/>
      <c r="S77" s="4"/>
    </row>
    <row r="78" spans="1:19" ht="15.95" customHeight="1" x14ac:dyDescent="0.2">
      <c r="A78" s="4"/>
      <c r="B78" s="9">
        <v>13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 t="e">
        <f>IF(AND(L76=L77,L77=L78),(IF(AND(#REF!=#REF!,#REF!=#REF!),(IF(AND(#REF!=#REF!,#REF!=#REF!),"","ERROR IN U")),"ERROR IN J")),"ERROR IN T")</f>
        <v>#REF!</v>
      </c>
      <c r="O78" s="4"/>
      <c r="P78" s="4"/>
      <c r="Q78" s="4"/>
      <c r="R78" s="4"/>
      <c r="S78" s="4"/>
    </row>
    <row r="79" spans="1:19" ht="15.95" customHeight="1" x14ac:dyDescent="0.2">
      <c r="A79" s="4"/>
      <c r="B79" s="9">
        <v>13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 t="e">
        <f>IF(AND(L79=L80,L80=L81),(IF(AND(#REF!=#REF!,#REF!=#REF!),(IF(AND(#REF!=#REF!,#REF!=#REF!),"","ERROR IN U")),"ERROR IN J")),"ERROR IN T")</f>
        <v>#REF!</v>
      </c>
      <c r="O79" s="4"/>
      <c r="P79" s="4"/>
      <c r="Q79" s="4"/>
      <c r="R79" s="4"/>
      <c r="S79" s="4"/>
    </row>
    <row r="80" spans="1:19" ht="15.95" customHeight="1" x14ac:dyDescent="0.2">
      <c r="A80" s="4"/>
      <c r="B80" s="9">
        <v>13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 t="e">
        <f>IF(AND(L79=L80,L80=L81),(IF(AND(#REF!=#REF!,#REF!=#REF!),(IF(AND(#REF!=#REF!,#REF!=#REF!),"","ERROR IN U")),"ERROR IN J")),"ERROR IN T")</f>
        <v>#REF!</v>
      </c>
      <c r="O80" s="4"/>
      <c r="P80" s="4"/>
      <c r="Q80" s="4"/>
      <c r="R80" s="4"/>
      <c r="S80" s="4"/>
    </row>
    <row r="81" spans="1:19" ht="15.95" customHeight="1" x14ac:dyDescent="0.2">
      <c r="A81" s="4"/>
      <c r="B81" s="9">
        <v>13</v>
      </c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 t="e">
        <f>IF(AND(L79=L80,L80=L81),(IF(AND(#REF!=#REF!,#REF!=#REF!),(IF(AND(#REF!=#REF!,#REF!=#REF!),"","ERROR IN U")),"ERROR IN J")),"ERROR IN T")</f>
        <v>#REF!</v>
      </c>
      <c r="O81" s="4"/>
      <c r="P81" s="4"/>
      <c r="Q81" s="4"/>
      <c r="R81" s="4"/>
      <c r="S81" s="4"/>
    </row>
    <row r="82" spans="1:19" ht="15.95" customHeight="1" x14ac:dyDescent="0.2">
      <c r="A82" s="4"/>
      <c r="B82" s="9">
        <v>14</v>
      </c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2" t="e">
        <f>IF(AND(L82=L83,L83=L84),(IF(AND(#REF!=#REF!,#REF!=#REF!),(IF(AND(#REF!=#REF!,#REF!=#REF!),"","ERROR IN U")),"ERROR IN J")),"ERROR IN T")</f>
        <v>#REF!</v>
      </c>
      <c r="O82" s="4"/>
      <c r="P82" s="4"/>
      <c r="Q82" s="4"/>
      <c r="R82" s="4"/>
      <c r="S82" s="4"/>
    </row>
    <row r="83" spans="1:19" ht="15.95" customHeight="1" x14ac:dyDescent="0.2">
      <c r="A83" s="4"/>
      <c r="B83" s="9">
        <v>14</v>
      </c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20"/>
      <c r="N83" s="12" t="e">
        <f>IF(AND(L82=L83,L83=L84),(IF(AND(#REF!=#REF!,#REF!=#REF!),(IF(AND(#REF!=#REF!,#REF!=#REF!),"","ERROR IN U")),"ERROR IN J")),"ERROR IN T")</f>
        <v>#REF!</v>
      </c>
      <c r="O83" s="4"/>
      <c r="P83" s="4"/>
      <c r="Q83" s="4"/>
      <c r="R83" s="4"/>
      <c r="S83" s="4"/>
    </row>
    <row r="84" spans="1:19" ht="15.95" customHeight="1" x14ac:dyDescent="0.2">
      <c r="A84" s="4"/>
      <c r="B84" s="9">
        <v>14</v>
      </c>
      <c r="C84" s="19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12" t="e">
        <f>IF(AND(L82=L83,L83=L84),(IF(AND(#REF!=#REF!,#REF!=#REF!),(IF(AND(#REF!=#REF!,#REF!=#REF!),"","ERROR IN U")),"ERROR IN J")),"ERROR IN T")</f>
        <v>#REF!</v>
      </c>
      <c r="O84" s="4"/>
      <c r="P84" s="4"/>
      <c r="Q84" s="4"/>
      <c r="R84" s="4"/>
      <c r="S84" s="4"/>
    </row>
    <row r="85" spans="1:19" ht="15.95" customHeight="1" x14ac:dyDescent="0.2">
      <c r="A85" s="4"/>
      <c r="B85" s="9">
        <v>14</v>
      </c>
      <c r="C85" s="21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18" t="e">
        <f>IF(AND(L85=L86,L86=L87),(IF(AND(#REF!=#REF!,#REF!=#REF!),(IF(AND(#REF!=#REF!,#REF!=#REF!),"","ERROR IN U")),"ERROR IN J")),"ERROR IN T")</f>
        <v>#REF!</v>
      </c>
      <c r="O85" s="4"/>
      <c r="P85" s="4"/>
      <c r="Q85" s="4"/>
      <c r="R85" s="4"/>
      <c r="S85" s="4"/>
    </row>
    <row r="86" spans="1:19" ht="15.95" customHeight="1" x14ac:dyDescent="0.2">
      <c r="A86" s="4"/>
      <c r="B86" s="9">
        <v>14</v>
      </c>
      <c r="C86" s="21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18" t="e">
        <f>IF(AND(L85=L86,L86=L87),(IF(AND(#REF!=#REF!,#REF!=#REF!),(IF(AND(#REF!=#REF!,#REF!=#REF!),"","ERROR IN U")),"ERROR IN J")),"ERROR IN T")</f>
        <v>#REF!</v>
      </c>
      <c r="O86" s="4"/>
      <c r="P86" s="4"/>
      <c r="Q86" s="4"/>
      <c r="R86" s="4"/>
      <c r="S86" s="4"/>
    </row>
    <row r="87" spans="1:19" ht="15.95" customHeight="1" x14ac:dyDescent="0.2">
      <c r="A87" s="4"/>
      <c r="B87" s="9">
        <v>14</v>
      </c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18" t="e">
        <f>IF(AND(L85=L86,L86=L87),(IF(AND(#REF!=#REF!,#REF!=#REF!),(IF(AND(#REF!=#REF!,#REF!=#REF!),"","ERROR IN U")),"ERROR IN J")),"ERROR IN T")</f>
        <v>#REF!</v>
      </c>
      <c r="O87" s="4"/>
      <c r="P87" s="4"/>
      <c r="Q87" s="4"/>
      <c r="R87" s="4"/>
      <c r="S87" s="4"/>
    </row>
    <row r="88" spans="1:19" ht="15.95" customHeight="1" x14ac:dyDescent="0.2">
      <c r="A88" s="4"/>
      <c r="B88" s="9">
        <v>15</v>
      </c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2" t="e">
        <f>IF(AND(L88=L89,L89=L90),(IF(AND(#REF!=#REF!,#REF!=#REF!),(IF(AND(#REF!=#REF!,#REF!=#REF!),"","ERROR IN U")),"ERROR IN J")),"ERROR IN T")</f>
        <v>#REF!</v>
      </c>
      <c r="O88" s="4"/>
      <c r="P88" s="4"/>
      <c r="Q88" s="4"/>
      <c r="R88" s="4"/>
      <c r="S88" s="4"/>
    </row>
    <row r="89" spans="1:19" ht="15.95" customHeight="1" x14ac:dyDescent="0.2">
      <c r="A89" s="4"/>
      <c r="B89" s="9">
        <v>15</v>
      </c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20"/>
      <c r="N89" s="12" t="e">
        <f>IF(AND(L88=L89,L89=L90),(IF(AND(#REF!=#REF!,#REF!=#REF!),(IF(AND(#REF!=#REF!,#REF!=#REF!),"","ERROR IN U")),"ERROR IN J")),"ERROR IN T")</f>
        <v>#REF!</v>
      </c>
      <c r="O89" s="4"/>
      <c r="P89" s="4"/>
      <c r="Q89" s="4"/>
      <c r="R89" s="4"/>
      <c r="S89" s="4"/>
    </row>
    <row r="90" spans="1:19" ht="15.95" customHeight="1" x14ac:dyDescent="0.2">
      <c r="A90" s="4"/>
      <c r="B90" s="9">
        <v>15</v>
      </c>
      <c r="C90" s="19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12" t="e">
        <f>IF(AND(L88=L89,L89=L90),(IF(AND(#REF!=#REF!,#REF!=#REF!),(IF(AND(#REF!=#REF!,#REF!=#REF!),"","ERROR IN U")),"ERROR IN J")),"ERROR IN T")</f>
        <v>#REF!</v>
      </c>
      <c r="O90" s="4"/>
      <c r="P90" s="4"/>
      <c r="Q90" s="4"/>
      <c r="R90" s="4"/>
      <c r="S90" s="4"/>
    </row>
    <row r="91" spans="1:19" ht="15.95" customHeight="1" x14ac:dyDescent="0.2">
      <c r="A91" s="4"/>
      <c r="B91" s="9">
        <v>15</v>
      </c>
      <c r="C91" s="21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18" t="e">
        <f>IF(AND(L91=L92,L92=L93),(IF(AND(#REF!=#REF!,#REF!=#REF!),(IF(AND(#REF!=#REF!,#REF!=#REF!),"","ERROR IN U")),"ERROR IN J")),"ERROR IN T")</f>
        <v>#REF!</v>
      </c>
      <c r="O91" s="4"/>
      <c r="P91" s="4"/>
      <c r="Q91" s="4"/>
      <c r="R91" s="4"/>
      <c r="S91" s="4"/>
    </row>
    <row r="92" spans="1:19" ht="15.95" customHeight="1" x14ac:dyDescent="0.2">
      <c r="A92" s="4"/>
      <c r="B92" s="9">
        <v>15</v>
      </c>
      <c r="C92" s="21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18" t="e">
        <f>IF(AND(L91=L92,L92=L93),(IF(AND(#REF!=#REF!,#REF!=#REF!),(IF(AND(#REF!=#REF!,#REF!=#REF!),"","ERROR IN U")),"ERROR IN J")),"ERROR IN T")</f>
        <v>#REF!</v>
      </c>
      <c r="O92" s="4"/>
      <c r="P92" s="4"/>
      <c r="Q92" s="4"/>
      <c r="R92" s="4"/>
      <c r="S92" s="4"/>
    </row>
    <row r="93" spans="1:19" ht="15.95" customHeight="1" x14ac:dyDescent="0.2">
      <c r="A93" s="4"/>
      <c r="B93" s="9">
        <v>15</v>
      </c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18" t="e">
        <f>IF(AND(L91=L92,L92=L93),(IF(AND(#REF!=#REF!,#REF!=#REF!),(IF(AND(#REF!=#REF!,#REF!=#REF!),"","ERROR IN U")),"ERROR IN J")),"ERROR IN T")</f>
        <v>#REF!</v>
      </c>
      <c r="O93" s="4"/>
      <c r="P93" s="4"/>
      <c r="Q93" s="4"/>
      <c r="R93" s="4"/>
      <c r="S93" s="4"/>
    </row>
    <row r="94" spans="1:19" ht="15.95" customHeight="1" x14ac:dyDescent="0.2">
      <c r="A94" s="4"/>
      <c r="B94" s="9">
        <v>16</v>
      </c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2" t="e">
        <f>IF(AND(L94=L95,L95=L96),(IF(AND(#REF!=#REF!,#REF!=#REF!),(IF(AND(#REF!=#REF!,#REF!=#REF!),"","ERROR IN U")),"ERROR IN J")),"ERROR IN T")</f>
        <v>#REF!</v>
      </c>
      <c r="O94" s="4"/>
      <c r="P94" s="4"/>
      <c r="Q94" s="4"/>
      <c r="R94" s="4"/>
      <c r="S94" s="4"/>
    </row>
    <row r="95" spans="1:19" ht="15.95" customHeight="1" x14ac:dyDescent="0.2">
      <c r="A95" s="4"/>
      <c r="B95" s="9">
        <v>16</v>
      </c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20"/>
      <c r="N95" s="12" t="e">
        <f>IF(AND(L94=L95,L95=L96),(IF(AND(#REF!=#REF!,#REF!=#REF!),(IF(AND(#REF!=#REF!,#REF!=#REF!),"","ERROR IN U")),"ERROR IN J")),"ERROR IN T")</f>
        <v>#REF!</v>
      </c>
      <c r="O95" s="4"/>
      <c r="P95" s="4"/>
      <c r="Q95" s="4"/>
      <c r="R95" s="4"/>
      <c r="S95" s="4"/>
    </row>
    <row r="96" spans="1:19" ht="15.95" customHeight="1" x14ac:dyDescent="0.2">
      <c r="A96" s="4"/>
      <c r="B96" s="9">
        <v>16</v>
      </c>
      <c r="C96" s="19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12" t="e">
        <f>IF(AND(L94=L95,L95=L96),(IF(AND(#REF!=#REF!,#REF!=#REF!),(IF(AND(#REF!=#REF!,#REF!=#REF!),"","ERROR IN U")),"ERROR IN J")),"ERROR IN T")</f>
        <v>#REF!</v>
      </c>
      <c r="O96" s="4"/>
      <c r="P96" s="4"/>
      <c r="Q96" s="4"/>
      <c r="R96" s="4"/>
      <c r="S96" s="4"/>
    </row>
    <row r="97" spans="1:19" ht="15.95" customHeight="1" x14ac:dyDescent="0.2">
      <c r="A97" s="4"/>
      <c r="B97" s="9">
        <v>16</v>
      </c>
      <c r="C97" s="21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18" t="e">
        <f>IF(AND(L97=L98,L98=L99),(IF(AND(#REF!=#REF!,#REF!=#REF!),(IF(AND(#REF!=#REF!,#REF!=#REF!),"","ERROR IN U")),"ERROR IN J")),"ERROR IN T")</f>
        <v>#REF!</v>
      </c>
      <c r="O97" s="4"/>
      <c r="P97" s="4"/>
      <c r="Q97" s="4"/>
      <c r="R97" s="4"/>
      <c r="S97" s="4"/>
    </row>
    <row r="98" spans="1:19" ht="15.95" customHeight="1" x14ac:dyDescent="0.2">
      <c r="A98" s="4"/>
      <c r="B98" s="9">
        <v>16</v>
      </c>
      <c r="C98" s="21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18" t="e">
        <f>IF(AND(L97=L98,L98=L99),(IF(AND(#REF!=#REF!,#REF!=#REF!),(IF(AND(#REF!=#REF!,#REF!=#REF!),"","ERROR IN U")),"ERROR IN J")),"ERROR IN T")</f>
        <v>#REF!</v>
      </c>
      <c r="O98" s="4"/>
      <c r="P98" s="4"/>
      <c r="Q98" s="4"/>
      <c r="R98" s="4"/>
      <c r="S98" s="4"/>
    </row>
    <row r="99" spans="1:19" ht="15.95" customHeight="1" x14ac:dyDescent="0.2">
      <c r="A99" s="4"/>
      <c r="B99" s="9">
        <v>16</v>
      </c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18" t="e">
        <f>IF(AND(L97=L98,L98=L99),(IF(AND(#REF!=#REF!,#REF!=#REF!),(IF(AND(#REF!=#REF!,#REF!=#REF!),"","ERROR IN U")),"ERROR IN J")),"ERROR IN T")</f>
        <v>#REF!</v>
      </c>
      <c r="O99" s="4"/>
      <c r="P99" s="4"/>
      <c r="Q99" s="4"/>
      <c r="R99" s="4"/>
      <c r="S99" s="4"/>
    </row>
    <row r="100" spans="1:19" ht="15.95" customHeight="1" x14ac:dyDescent="0.2">
      <c r="A100" s="4"/>
      <c r="B100" s="9">
        <v>17</v>
      </c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2" t="e">
        <f>IF(AND(L100=L101,L101=L102),(IF(AND(#REF!=#REF!,#REF!=#REF!),(IF(AND(#REF!=#REF!,#REF!=#REF!),"","ERROR IN U")),"ERROR IN J")),"ERROR IN T")</f>
        <v>#REF!</v>
      </c>
      <c r="O100" s="4"/>
      <c r="P100" s="4"/>
      <c r="Q100" s="4"/>
      <c r="R100" s="4"/>
      <c r="S100" s="4"/>
    </row>
    <row r="101" spans="1:19" ht="15.95" customHeight="1" x14ac:dyDescent="0.2">
      <c r="A101" s="4"/>
      <c r="B101" s="9">
        <v>17</v>
      </c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20"/>
      <c r="N101" s="12" t="e">
        <f>IF(AND(L100=L101,L101=L102),(IF(AND(#REF!=#REF!,#REF!=#REF!),(IF(AND(#REF!=#REF!,#REF!=#REF!),"","ERROR IN U")),"ERROR IN J")),"ERROR IN T")</f>
        <v>#REF!</v>
      </c>
      <c r="O101" s="4"/>
      <c r="P101" s="4"/>
      <c r="Q101" s="4"/>
      <c r="R101" s="4"/>
      <c r="S101" s="4"/>
    </row>
    <row r="102" spans="1:19" ht="15.95" customHeight="1" x14ac:dyDescent="0.2">
      <c r="A102" s="4"/>
      <c r="B102" s="9">
        <v>17</v>
      </c>
      <c r="C102" s="19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12" t="e">
        <f>IF(AND(L100=L101,L101=L102),(IF(AND(#REF!=#REF!,#REF!=#REF!),(IF(AND(#REF!=#REF!,#REF!=#REF!),"","ERROR IN U")),"ERROR IN J")),"ERROR IN T")</f>
        <v>#REF!</v>
      </c>
      <c r="O102" s="4"/>
      <c r="P102" s="4"/>
      <c r="Q102" s="4"/>
      <c r="R102" s="4"/>
      <c r="S102" s="4"/>
    </row>
    <row r="103" spans="1:19" ht="15.95" customHeight="1" x14ac:dyDescent="0.2">
      <c r="A103" s="4"/>
      <c r="B103" s="9">
        <v>17</v>
      </c>
      <c r="C103" s="21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18" t="e">
        <f>IF(AND(L103=L104,L104=L105),(IF(AND(#REF!=#REF!,#REF!=#REF!),(IF(AND(#REF!=#REF!,#REF!=#REF!),"","ERROR IN U")),"ERROR IN J")),"ERROR IN T")</f>
        <v>#REF!</v>
      </c>
      <c r="O103" s="4"/>
      <c r="P103" s="4"/>
      <c r="Q103" s="4"/>
      <c r="R103" s="4"/>
      <c r="S103" s="4"/>
    </row>
    <row r="104" spans="1:19" ht="15.95" customHeight="1" x14ac:dyDescent="0.2">
      <c r="A104" s="4"/>
      <c r="B104" s="9">
        <v>17</v>
      </c>
      <c r="C104" s="21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18" t="e">
        <f>IF(AND(L103=L104,L104=L105),(IF(AND(#REF!=#REF!,#REF!=#REF!),(IF(AND(#REF!=#REF!,#REF!=#REF!),"","ERROR IN U")),"ERROR IN J")),"ERROR IN T")</f>
        <v>#REF!</v>
      </c>
      <c r="O104" s="4"/>
      <c r="P104" s="4"/>
      <c r="Q104" s="4"/>
      <c r="R104" s="4"/>
      <c r="S104" s="4"/>
    </row>
    <row r="105" spans="1:19" ht="15.95" customHeight="1" x14ac:dyDescent="0.2">
      <c r="A105" s="4"/>
      <c r="B105" s="9">
        <v>17</v>
      </c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18" t="e">
        <f>IF(AND(L103=L104,L104=L105),(IF(AND(#REF!=#REF!,#REF!=#REF!),(IF(AND(#REF!=#REF!,#REF!=#REF!),"","ERROR IN U")),"ERROR IN J")),"ERROR IN T")</f>
        <v>#REF!</v>
      </c>
      <c r="O105" s="4"/>
      <c r="P105" s="4"/>
      <c r="Q105" s="4"/>
      <c r="R105" s="4"/>
      <c r="S105" s="4"/>
    </row>
    <row r="106" spans="1:19" ht="15.95" customHeight="1" x14ac:dyDescent="0.2">
      <c r="A106" s="4"/>
      <c r="B106" s="9">
        <v>18</v>
      </c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2" t="e">
        <f>IF(AND(L106=L107,L107=L108),(IF(AND(#REF!=#REF!,#REF!=#REF!),(IF(AND(#REF!=#REF!,#REF!=#REF!),"","ERROR IN U")),"ERROR IN J")),"ERROR IN T")</f>
        <v>#REF!</v>
      </c>
      <c r="O106" s="4"/>
      <c r="P106" s="4"/>
      <c r="Q106" s="4"/>
      <c r="R106" s="4"/>
      <c r="S106" s="4"/>
    </row>
    <row r="107" spans="1:19" ht="15.95" customHeight="1" x14ac:dyDescent="0.2">
      <c r="A107" s="4"/>
      <c r="B107" s="9">
        <v>18</v>
      </c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20"/>
      <c r="N107" s="12" t="e">
        <f>IF(AND(L106=L107,L107=L108),(IF(AND(#REF!=#REF!,#REF!=#REF!),(IF(AND(#REF!=#REF!,#REF!=#REF!),"","ERROR IN U")),"ERROR IN J")),"ERROR IN T")</f>
        <v>#REF!</v>
      </c>
      <c r="O107" s="4"/>
      <c r="P107" s="4"/>
      <c r="Q107" s="4"/>
      <c r="R107" s="4"/>
      <c r="S107" s="4"/>
    </row>
    <row r="108" spans="1:19" ht="15.95" customHeight="1" x14ac:dyDescent="0.2">
      <c r="A108" s="4"/>
      <c r="B108" s="9">
        <v>18</v>
      </c>
      <c r="C108" s="19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12" t="e">
        <f>IF(AND(L106=L107,L107=L108),(IF(AND(#REF!=#REF!,#REF!=#REF!),(IF(AND(#REF!=#REF!,#REF!=#REF!),"","ERROR IN U")),"ERROR IN J")),"ERROR IN T")</f>
        <v>#REF!</v>
      </c>
      <c r="O108" s="4"/>
      <c r="P108" s="4"/>
      <c r="Q108" s="4"/>
      <c r="R108" s="4"/>
      <c r="S108" s="4"/>
    </row>
    <row r="109" spans="1:19" ht="15.95" customHeight="1" x14ac:dyDescent="0.2">
      <c r="A109" s="4"/>
      <c r="B109" s="9">
        <v>18</v>
      </c>
      <c r="C109" s="21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18" t="e">
        <f>IF(AND(L109=L110,L110=L111),(IF(AND(#REF!=#REF!,#REF!=#REF!),(IF(AND(#REF!=#REF!,#REF!=#REF!),"","ERROR IN U")),"ERROR IN J")),"ERROR IN T")</f>
        <v>#REF!</v>
      </c>
      <c r="O109" s="4"/>
      <c r="P109" s="4"/>
      <c r="Q109" s="4"/>
      <c r="R109" s="4"/>
      <c r="S109" s="4"/>
    </row>
    <row r="110" spans="1:19" ht="15.95" customHeight="1" x14ac:dyDescent="0.2">
      <c r="A110" s="4"/>
      <c r="B110" s="9">
        <v>18</v>
      </c>
      <c r="C110" s="21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18" t="e">
        <f>IF(AND(L109=L110,L110=L111),(IF(AND(#REF!=#REF!,#REF!=#REF!),(IF(AND(#REF!=#REF!,#REF!=#REF!),"","ERROR IN U")),"ERROR IN J")),"ERROR IN T")</f>
        <v>#REF!</v>
      </c>
      <c r="O110" s="4"/>
      <c r="P110" s="4"/>
      <c r="Q110" s="4"/>
      <c r="R110" s="4"/>
      <c r="S110" s="4"/>
    </row>
    <row r="111" spans="1:19" ht="15.95" customHeight="1" x14ac:dyDescent="0.2">
      <c r="A111" s="4"/>
      <c r="B111" s="9">
        <v>18</v>
      </c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18" t="e">
        <f>IF(AND(L109=L110,L110=L111),(IF(AND(#REF!=#REF!,#REF!=#REF!),(IF(AND(#REF!=#REF!,#REF!=#REF!),"","ERROR IN U")),"ERROR IN J")),"ERROR IN T")</f>
        <v>#REF!</v>
      </c>
      <c r="O111" s="4"/>
      <c r="P111" s="4"/>
      <c r="Q111" s="4"/>
      <c r="R111" s="4"/>
      <c r="S111" s="4"/>
    </row>
    <row r="112" spans="1:19" ht="15.95" customHeight="1" x14ac:dyDescent="0.2">
      <c r="A112" s="4"/>
      <c r="B112" s="9">
        <v>19</v>
      </c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 t="e">
        <f>IF(AND(L112=L113,L113=L114),(IF(AND(#REF!=#REF!,#REF!=#REF!),(IF(AND(#REF!=#REF!,#REF!=#REF!),"","ERROR IN U")),"ERROR IN J")),"ERROR IN T")</f>
        <v>#REF!</v>
      </c>
      <c r="O112" s="4"/>
      <c r="P112" s="4"/>
      <c r="Q112" s="4"/>
      <c r="R112" s="4"/>
      <c r="S112" s="4"/>
    </row>
    <row r="113" spans="1:19" ht="15.95" customHeight="1" x14ac:dyDescent="0.2">
      <c r="A113" s="4"/>
      <c r="B113" s="9">
        <v>19</v>
      </c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 t="e">
        <f>IF(AND(L112=L113,L113=L114),(IF(AND(#REF!=#REF!,#REF!=#REF!),(IF(AND(#REF!=#REF!,#REF!=#REF!),"","ERROR IN U")),"ERROR IN J")),"ERROR IN T")</f>
        <v>#REF!</v>
      </c>
      <c r="O113" s="4"/>
      <c r="P113" s="4"/>
      <c r="Q113" s="4"/>
      <c r="R113" s="4"/>
      <c r="S113" s="4"/>
    </row>
    <row r="114" spans="1:19" ht="15.95" customHeight="1" x14ac:dyDescent="0.2">
      <c r="A114" s="4"/>
      <c r="B114" s="9">
        <v>19</v>
      </c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 t="e">
        <f>IF(AND(L112=L113,L113=L114),(IF(AND(#REF!=#REF!,#REF!=#REF!),(IF(AND(#REF!=#REF!,#REF!=#REF!),"","ERROR IN U")),"ERROR IN J")),"ERROR IN T")</f>
        <v>#REF!</v>
      </c>
      <c r="O114" s="4"/>
      <c r="P114" s="4"/>
      <c r="Q114" s="4"/>
      <c r="R114" s="4"/>
      <c r="S114" s="4"/>
    </row>
    <row r="115" spans="1:19" ht="15.95" customHeight="1" x14ac:dyDescent="0.2">
      <c r="A115" s="4"/>
      <c r="B115" s="9">
        <v>19</v>
      </c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 t="e">
        <f>IF(AND(L115=L116,L116=L117),(IF(AND(#REF!=#REF!,#REF!=#REF!),(IF(AND(#REF!=#REF!,#REF!=#REF!),"","ERROR IN U")),"ERROR IN J")),"ERROR IN T")</f>
        <v>#REF!</v>
      </c>
      <c r="O115" s="4"/>
      <c r="P115" s="4"/>
      <c r="Q115" s="4"/>
      <c r="R115" s="4"/>
      <c r="S115" s="4"/>
    </row>
    <row r="116" spans="1:19" ht="15.95" customHeight="1" x14ac:dyDescent="0.2">
      <c r="A116" s="4"/>
      <c r="B116" s="9">
        <v>19</v>
      </c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 t="e">
        <f>IF(AND(L115=L116,L116=L117),(IF(AND(#REF!=#REF!,#REF!=#REF!),(IF(AND(#REF!=#REF!,#REF!=#REF!),"","ERROR IN U")),"ERROR IN J")),"ERROR IN T")</f>
        <v>#REF!</v>
      </c>
      <c r="O116" s="4"/>
      <c r="P116" s="4"/>
      <c r="Q116" s="4"/>
      <c r="R116" s="4"/>
      <c r="S116" s="4"/>
    </row>
    <row r="117" spans="1:19" ht="15.95" customHeight="1" x14ac:dyDescent="0.2">
      <c r="A117" s="4"/>
      <c r="B117" s="9">
        <v>19</v>
      </c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 t="e">
        <f>IF(AND(L115=L116,L116=L117),(IF(AND(#REF!=#REF!,#REF!=#REF!),(IF(AND(#REF!=#REF!,#REF!=#REF!),"","ERROR IN U")),"ERROR IN J")),"ERROR IN T")</f>
        <v>#REF!</v>
      </c>
      <c r="O117" s="4"/>
      <c r="P117" s="4"/>
      <c r="Q117" s="4"/>
      <c r="R117" s="4"/>
      <c r="S117" s="4"/>
    </row>
    <row r="118" spans="1:19" ht="15.95" customHeight="1" x14ac:dyDescent="0.2">
      <c r="A118" s="4"/>
      <c r="B118" s="9">
        <v>20</v>
      </c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2" t="e">
        <f>IF(AND(L118=L119,L119=L120),(IF(AND(#REF!=#REF!,#REF!=#REF!),(IF(AND(#REF!=#REF!,#REF!=#REF!),"","ERROR IN U")),"ERROR IN J")),"ERROR IN T")</f>
        <v>#REF!</v>
      </c>
      <c r="O118" s="4"/>
      <c r="P118" s="4"/>
      <c r="Q118" s="4"/>
      <c r="R118" s="4"/>
      <c r="S118" s="4"/>
    </row>
    <row r="119" spans="1:19" ht="15.95" customHeight="1" x14ac:dyDescent="0.2">
      <c r="A119" s="4"/>
      <c r="B119" s="9">
        <v>20</v>
      </c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20"/>
      <c r="N119" s="12" t="e">
        <f>IF(AND(L118=L119,L119=L120),(IF(AND(#REF!=#REF!,#REF!=#REF!),(IF(AND(#REF!=#REF!,#REF!=#REF!),"","ERROR IN U")),"ERROR IN J")),"ERROR IN T")</f>
        <v>#REF!</v>
      </c>
      <c r="O119" s="4"/>
      <c r="P119" s="4"/>
      <c r="Q119" s="4"/>
      <c r="R119" s="4"/>
      <c r="S119" s="4"/>
    </row>
    <row r="120" spans="1:19" ht="15.95" customHeight="1" x14ac:dyDescent="0.2">
      <c r="A120" s="4"/>
      <c r="B120" s="9">
        <v>20</v>
      </c>
      <c r="C120" s="19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12" t="e">
        <f>IF(AND(L118=L119,L119=L120),(IF(AND(#REF!=#REF!,#REF!=#REF!),(IF(AND(#REF!=#REF!,#REF!=#REF!),"","ERROR IN U")),"ERROR IN J")),"ERROR IN T")</f>
        <v>#REF!</v>
      </c>
      <c r="O120" s="4"/>
      <c r="P120" s="4"/>
      <c r="Q120" s="4"/>
      <c r="R120" s="4"/>
      <c r="S120" s="4"/>
    </row>
    <row r="121" spans="1:19" ht="15.95" customHeight="1" x14ac:dyDescent="0.2">
      <c r="A121" s="4"/>
      <c r="B121" s="9">
        <v>20</v>
      </c>
      <c r="C121" s="21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18" t="e">
        <f>IF(AND(L121=L122,L122=L123),(IF(AND(#REF!=#REF!,#REF!=#REF!),(IF(AND(#REF!=#REF!,#REF!=#REF!),"","ERROR IN U")),"ERROR IN J")),"ERROR IN T")</f>
        <v>#REF!</v>
      </c>
      <c r="O121" s="4"/>
      <c r="P121" s="4"/>
      <c r="Q121" s="4"/>
      <c r="R121" s="4"/>
      <c r="S121" s="4"/>
    </row>
    <row r="122" spans="1:19" ht="15.95" customHeight="1" x14ac:dyDescent="0.2">
      <c r="A122" s="4"/>
      <c r="B122" s="9">
        <v>20</v>
      </c>
      <c r="C122" s="21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18" t="e">
        <f>IF(AND(L121=L122,L122=L123),(IF(AND(#REF!=#REF!,#REF!=#REF!),(IF(AND(#REF!=#REF!,#REF!=#REF!),"","ERROR IN U")),"ERROR IN J")),"ERROR IN T")</f>
        <v>#REF!</v>
      </c>
      <c r="O122" s="4"/>
      <c r="P122" s="4"/>
      <c r="Q122" s="4"/>
      <c r="R122" s="4"/>
      <c r="S122" s="4"/>
    </row>
    <row r="123" spans="1:19" ht="15.95" customHeight="1" x14ac:dyDescent="0.2">
      <c r="A123" s="4"/>
      <c r="B123" s="9">
        <v>20</v>
      </c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18" t="e">
        <f>IF(AND(L121=L122,L122=L123),(IF(AND(#REF!=#REF!,#REF!=#REF!),(IF(AND(#REF!=#REF!,#REF!=#REF!),"","ERROR IN U")),"ERROR IN J")),"ERROR IN T")</f>
        <v>#REF!</v>
      </c>
      <c r="O123" s="4"/>
      <c r="P123" s="4"/>
      <c r="Q123" s="4"/>
      <c r="R123" s="4"/>
      <c r="S123" s="4"/>
    </row>
    <row r="124" spans="1:19" ht="15.95" customHeight="1" x14ac:dyDescent="0.2">
      <c r="A124" s="4"/>
      <c r="B124" s="9">
        <v>21</v>
      </c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2" t="e">
        <f>IF(AND(L124=L125,L125=L126),(IF(AND(#REF!=#REF!,#REF!=#REF!),(IF(AND(#REF!=#REF!,#REF!=#REF!),"","ERROR IN U")),"ERROR IN J")),"ERROR IN T")</f>
        <v>#REF!</v>
      </c>
      <c r="O124" s="4"/>
      <c r="P124" s="4"/>
      <c r="Q124" s="4"/>
      <c r="R124" s="4"/>
      <c r="S124" s="4"/>
    </row>
    <row r="125" spans="1:19" ht="15.95" customHeight="1" x14ac:dyDescent="0.2">
      <c r="A125" s="4"/>
      <c r="B125" s="9">
        <v>21</v>
      </c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20"/>
      <c r="N125" s="12" t="e">
        <f>IF(AND(L124=L125,L125=L126),(IF(AND(#REF!=#REF!,#REF!=#REF!),(IF(AND(#REF!=#REF!,#REF!=#REF!),"","ERROR IN U")),"ERROR IN J")),"ERROR IN T")</f>
        <v>#REF!</v>
      </c>
      <c r="O125" s="4"/>
      <c r="P125" s="4"/>
      <c r="Q125" s="4"/>
      <c r="R125" s="4"/>
      <c r="S125" s="4"/>
    </row>
    <row r="126" spans="1:19" ht="15.95" customHeight="1" x14ac:dyDescent="0.2">
      <c r="A126" s="4"/>
      <c r="B126" s="9">
        <v>21</v>
      </c>
      <c r="C126" s="19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12" t="e">
        <f>IF(AND(L124=L125,L125=L126),(IF(AND(#REF!=#REF!,#REF!=#REF!),(IF(AND(#REF!=#REF!,#REF!=#REF!),"","ERROR IN U")),"ERROR IN J")),"ERROR IN T")</f>
        <v>#REF!</v>
      </c>
      <c r="O126" s="4"/>
      <c r="P126" s="4"/>
      <c r="Q126" s="4"/>
      <c r="R126" s="4"/>
      <c r="S126" s="4"/>
    </row>
    <row r="127" spans="1:19" ht="15.95" customHeight="1" x14ac:dyDescent="0.2">
      <c r="A127" s="4"/>
      <c r="B127" s="9">
        <v>21</v>
      </c>
      <c r="C127" s="21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18" t="e">
        <f>IF(AND(L127=L128,L128=L129),(IF(AND(#REF!=#REF!,#REF!=#REF!),(IF(AND(#REF!=#REF!,#REF!=#REF!),"","ERROR IN U")),"ERROR IN J")),"ERROR IN T")</f>
        <v>#REF!</v>
      </c>
      <c r="O127" s="4"/>
      <c r="P127" s="4"/>
      <c r="Q127" s="4"/>
      <c r="R127" s="4"/>
      <c r="S127" s="4"/>
    </row>
    <row r="128" spans="1:19" ht="15.95" customHeight="1" x14ac:dyDescent="0.2">
      <c r="A128" s="4"/>
      <c r="B128" s="9">
        <v>21</v>
      </c>
      <c r="C128" s="21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18" t="e">
        <f>IF(AND(L127=L128,L128=L129),(IF(AND(#REF!=#REF!,#REF!=#REF!),(IF(AND(#REF!=#REF!,#REF!=#REF!),"","ERROR IN U")),"ERROR IN J")),"ERROR IN T")</f>
        <v>#REF!</v>
      </c>
      <c r="O128" s="4"/>
      <c r="P128" s="4"/>
      <c r="Q128" s="4"/>
      <c r="R128" s="4"/>
      <c r="S128" s="4"/>
    </row>
    <row r="129" spans="1:19" ht="15.95" customHeight="1" x14ac:dyDescent="0.2">
      <c r="A129" s="4"/>
      <c r="B129" s="9">
        <v>21</v>
      </c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18" t="e">
        <f>IF(AND(L127=L128,L128=L129),(IF(AND(#REF!=#REF!,#REF!=#REF!),(IF(AND(#REF!=#REF!,#REF!=#REF!),"","ERROR IN U")),"ERROR IN J")),"ERROR IN T")</f>
        <v>#REF!</v>
      </c>
      <c r="O129" s="4"/>
      <c r="P129" s="4"/>
      <c r="Q129" s="4"/>
      <c r="R129" s="4"/>
      <c r="S129" s="4"/>
    </row>
    <row r="130" spans="1:19" ht="15.95" customHeight="1" x14ac:dyDescent="0.2">
      <c r="A130" s="4"/>
      <c r="B130" s="9">
        <v>22</v>
      </c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2" t="e">
        <f>IF(AND(L130=L131,L131=L132),(IF(AND(#REF!=#REF!,#REF!=#REF!),(IF(AND(#REF!=#REF!,#REF!=#REF!),"","ERROR IN U")),"ERROR IN J")),"ERROR IN T")</f>
        <v>#REF!</v>
      </c>
      <c r="O130" s="4"/>
      <c r="P130" s="4"/>
      <c r="Q130" s="4"/>
      <c r="R130" s="4"/>
      <c r="S130" s="4"/>
    </row>
    <row r="131" spans="1:19" ht="15.95" customHeight="1" x14ac:dyDescent="0.2">
      <c r="A131" s="4"/>
      <c r="B131" s="9">
        <v>22</v>
      </c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20"/>
      <c r="N131" s="12" t="e">
        <f>IF(AND(L130=L131,L131=L132),(IF(AND(#REF!=#REF!,#REF!=#REF!),(IF(AND(#REF!=#REF!,#REF!=#REF!),"","ERROR IN U")),"ERROR IN J")),"ERROR IN T")</f>
        <v>#REF!</v>
      </c>
      <c r="O131" s="4"/>
      <c r="P131" s="4"/>
      <c r="Q131" s="4"/>
      <c r="R131" s="4"/>
      <c r="S131" s="4"/>
    </row>
    <row r="132" spans="1:19" ht="15.95" customHeight="1" x14ac:dyDescent="0.2">
      <c r="A132" s="4"/>
      <c r="B132" s="9">
        <v>22</v>
      </c>
      <c r="C132" s="19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12" t="e">
        <f>IF(AND(L130=L131,L131=L132),(IF(AND(#REF!=#REF!,#REF!=#REF!),(IF(AND(#REF!=#REF!,#REF!=#REF!),"","ERROR IN U")),"ERROR IN J")),"ERROR IN T")</f>
        <v>#REF!</v>
      </c>
      <c r="O132" s="4"/>
      <c r="P132" s="4"/>
      <c r="Q132" s="4"/>
      <c r="R132" s="4"/>
      <c r="S132" s="4"/>
    </row>
    <row r="133" spans="1:19" ht="15.95" customHeight="1" x14ac:dyDescent="0.2">
      <c r="A133" s="4"/>
      <c r="B133" s="9">
        <v>22</v>
      </c>
      <c r="C133" s="21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18" t="e">
        <f>IF(AND(L133=L134,L134=L135),(IF(AND(#REF!=#REF!,#REF!=#REF!),(IF(AND(#REF!=#REF!,#REF!=#REF!),"","ERROR IN U")),"ERROR IN J")),"ERROR IN T")</f>
        <v>#REF!</v>
      </c>
      <c r="O133" s="4"/>
      <c r="P133" s="4"/>
      <c r="Q133" s="4"/>
      <c r="R133" s="4"/>
      <c r="S133" s="4"/>
    </row>
    <row r="134" spans="1:19" ht="15.95" customHeight="1" x14ac:dyDescent="0.2">
      <c r="A134" s="4"/>
      <c r="B134" s="9">
        <v>22</v>
      </c>
      <c r="C134" s="21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18" t="e">
        <f>IF(AND(L133=L134,L134=L135),(IF(AND(#REF!=#REF!,#REF!=#REF!),(IF(AND(#REF!=#REF!,#REF!=#REF!),"","ERROR IN U")),"ERROR IN J")),"ERROR IN T")</f>
        <v>#REF!</v>
      </c>
      <c r="O134" s="4"/>
      <c r="P134" s="4"/>
      <c r="Q134" s="4"/>
      <c r="R134" s="4"/>
      <c r="S134" s="4"/>
    </row>
    <row r="135" spans="1:19" ht="15.95" customHeight="1" x14ac:dyDescent="0.2">
      <c r="A135" s="4"/>
      <c r="B135" s="9">
        <v>22</v>
      </c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18" t="e">
        <f>IF(AND(L133=L134,L134=L135),(IF(AND(#REF!=#REF!,#REF!=#REF!),(IF(AND(#REF!=#REF!,#REF!=#REF!),"","ERROR IN U")),"ERROR IN J")),"ERROR IN T")</f>
        <v>#REF!</v>
      </c>
      <c r="O135" s="4"/>
      <c r="P135" s="4"/>
      <c r="Q135" s="4"/>
      <c r="R135" s="4"/>
      <c r="S135" s="4"/>
    </row>
    <row r="136" spans="1:19" ht="15.95" customHeight="1" x14ac:dyDescent="0.2">
      <c r="A136" s="4"/>
      <c r="B136" s="9">
        <v>23</v>
      </c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2" t="e">
        <f>IF(AND(L136=L137,L137=L138),(IF(AND(#REF!=#REF!,#REF!=#REF!),(IF(AND(#REF!=#REF!,#REF!=#REF!),"","ERROR IN U")),"ERROR IN J")),"ERROR IN T")</f>
        <v>#REF!</v>
      </c>
      <c r="O136" s="4"/>
      <c r="P136" s="4"/>
      <c r="Q136" s="4"/>
      <c r="R136" s="4"/>
      <c r="S136" s="4"/>
    </row>
    <row r="137" spans="1:19" ht="15.95" customHeight="1" x14ac:dyDescent="0.2">
      <c r="A137" s="4"/>
      <c r="B137" s="9">
        <v>23</v>
      </c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20"/>
      <c r="N137" s="12" t="e">
        <f>IF(AND(L136=L137,L137=L138),(IF(AND(#REF!=#REF!,#REF!=#REF!),(IF(AND(#REF!=#REF!,#REF!=#REF!),"","ERROR IN U")),"ERROR IN J")),"ERROR IN T")</f>
        <v>#REF!</v>
      </c>
      <c r="O137" s="4"/>
      <c r="P137" s="4"/>
      <c r="Q137" s="4"/>
      <c r="R137" s="4"/>
      <c r="S137" s="4"/>
    </row>
    <row r="138" spans="1:19" ht="15.95" customHeight="1" x14ac:dyDescent="0.2">
      <c r="A138" s="4"/>
      <c r="B138" s="9">
        <v>23</v>
      </c>
      <c r="C138" s="19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12" t="e">
        <f>IF(AND(L136=L137,L137=L138),(IF(AND(#REF!=#REF!,#REF!=#REF!),(IF(AND(#REF!=#REF!,#REF!=#REF!),"","ERROR IN U")),"ERROR IN J")),"ERROR IN T")</f>
        <v>#REF!</v>
      </c>
      <c r="O138" s="4"/>
      <c r="P138" s="4"/>
      <c r="Q138" s="4"/>
      <c r="R138" s="4"/>
      <c r="S138" s="4"/>
    </row>
    <row r="139" spans="1:19" ht="15.95" customHeight="1" x14ac:dyDescent="0.2">
      <c r="A139" s="4"/>
      <c r="B139" s="9">
        <v>23</v>
      </c>
      <c r="C139" s="21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18" t="e">
        <f>IF(AND(L139=L140,L140=L141),(IF(AND(#REF!=#REF!,#REF!=#REF!),(IF(AND(#REF!=#REF!,#REF!=#REF!),"","ERROR IN U")),"ERROR IN J")),"ERROR IN T")</f>
        <v>#REF!</v>
      </c>
      <c r="O139" s="4"/>
      <c r="P139" s="4"/>
      <c r="Q139" s="4"/>
      <c r="R139" s="4"/>
      <c r="S139" s="4"/>
    </row>
    <row r="140" spans="1:19" ht="15.95" customHeight="1" x14ac:dyDescent="0.2">
      <c r="A140" s="4"/>
      <c r="B140" s="9">
        <v>23</v>
      </c>
      <c r="C140" s="21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18" t="e">
        <f>IF(AND(L139=L140,L140=L141),(IF(AND(#REF!=#REF!,#REF!=#REF!),(IF(AND(#REF!=#REF!,#REF!=#REF!),"","ERROR IN U")),"ERROR IN J")),"ERROR IN T")</f>
        <v>#REF!</v>
      </c>
      <c r="O140" s="4"/>
      <c r="P140" s="4"/>
      <c r="Q140" s="4"/>
      <c r="R140" s="4"/>
      <c r="S140" s="4"/>
    </row>
    <row r="141" spans="1:19" ht="15.95" customHeight="1" x14ac:dyDescent="0.2">
      <c r="A141" s="4"/>
      <c r="B141" s="9">
        <v>23</v>
      </c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18" t="e">
        <f>IF(AND(L139=L140,L140=L141),(IF(AND(#REF!=#REF!,#REF!=#REF!),(IF(AND(#REF!=#REF!,#REF!=#REF!),"","ERROR IN U")),"ERROR IN J")),"ERROR IN T")</f>
        <v>#REF!</v>
      </c>
      <c r="O141" s="4"/>
      <c r="P141" s="4"/>
      <c r="Q141" s="4"/>
      <c r="R141" s="4"/>
      <c r="S141" s="4"/>
    </row>
    <row r="142" spans="1:19" ht="15.95" customHeight="1" x14ac:dyDescent="0.2">
      <c r="A142" s="4"/>
      <c r="B142" s="9">
        <v>24</v>
      </c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2" t="e">
        <f>IF(AND(L142=L143,L143=L144),(IF(AND(#REF!=#REF!,#REF!=#REF!),(IF(AND(#REF!=#REF!,#REF!=#REF!),"","ERROR IN U")),"ERROR IN J")),"ERROR IN T")</f>
        <v>#REF!</v>
      </c>
      <c r="O142" s="4"/>
      <c r="P142" s="4"/>
      <c r="Q142" s="4"/>
      <c r="R142" s="4"/>
      <c r="S142" s="4"/>
    </row>
    <row r="143" spans="1:19" ht="15.95" customHeight="1" x14ac:dyDescent="0.2">
      <c r="A143" s="4"/>
      <c r="B143" s="9">
        <v>24</v>
      </c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20"/>
      <c r="N143" s="12" t="e">
        <f>IF(AND(L142=L143,L143=L144),(IF(AND(#REF!=#REF!,#REF!=#REF!),(IF(AND(#REF!=#REF!,#REF!=#REF!),"","ERROR IN U")),"ERROR IN J")),"ERROR IN T")</f>
        <v>#REF!</v>
      </c>
      <c r="O143" s="4"/>
      <c r="P143" s="4"/>
      <c r="Q143" s="4"/>
      <c r="R143" s="4"/>
      <c r="S143" s="4"/>
    </row>
    <row r="144" spans="1:19" ht="15.95" customHeight="1" x14ac:dyDescent="0.2">
      <c r="A144" s="4"/>
      <c r="B144" s="9">
        <v>24</v>
      </c>
      <c r="C144" s="19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12" t="e">
        <f>IF(AND(L142=L143,L143=L144),(IF(AND(#REF!=#REF!,#REF!=#REF!),(IF(AND(#REF!=#REF!,#REF!=#REF!),"","ERROR IN U")),"ERROR IN J")),"ERROR IN T")</f>
        <v>#REF!</v>
      </c>
      <c r="O144" s="4"/>
      <c r="P144" s="4"/>
      <c r="Q144" s="4"/>
      <c r="R144" s="4"/>
      <c r="S144" s="4"/>
    </row>
    <row r="145" spans="1:19" ht="15.95" customHeight="1" x14ac:dyDescent="0.2">
      <c r="A145" s="4"/>
      <c r="B145" s="9">
        <v>24</v>
      </c>
      <c r="C145" s="21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18" t="e">
        <f>IF(AND(L145=L146,L146=L147),(IF(AND(#REF!=#REF!,#REF!=#REF!),(IF(AND(#REF!=#REF!,#REF!=#REF!),"","ERROR IN U")),"ERROR IN J")),"ERROR IN T")</f>
        <v>#REF!</v>
      </c>
      <c r="O145" s="4"/>
      <c r="P145" s="4"/>
      <c r="Q145" s="4"/>
      <c r="R145" s="4"/>
      <c r="S145" s="4"/>
    </row>
    <row r="146" spans="1:19" ht="15.95" customHeight="1" x14ac:dyDescent="0.2">
      <c r="A146" s="4"/>
      <c r="B146" s="9">
        <v>24</v>
      </c>
      <c r="C146" s="21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18" t="e">
        <f>IF(AND(L145=L146,L146=L147),(IF(AND(#REF!=#REF!,#REF!=#REF!),(IF(AND(#REF!=#REF!,#REF!=#REF!),"","ERROR IN U")),"ERROR IN J")),"ERROR IN T")</f>
        <v>#REF!</v>
      </c>
      <c r="O146" s="4"/>
      <c r="P146" s="4"/>
      <c r="Q146" s="4"/>
      <c r="R146" s="4"/>
      <c r="S146" s="4"/>
    </row>
    <row r="147" spans="1:19" ht="15.95" customHeight="1" x14ac:dyDescent="0.2">
      <c r="A147" s="4"/>
      <c r="B147" s="9">
        <v>24</v>
      </c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18" t="e">
        <f>IF(AND(L145=L146,L146=L147),(IF(AND(#REF!=#REF!,#REF!=#REF!),(IF(AND(#REF!=#REF!,#REF!=#REF!),"","ERROR IN U")),"ERROR IN J")),"ERROR IN T")</f>
        <v>#REF!</v>
      </c>
      <c r="O147" s="4"/>
      <c r="P147" s="4"/>
      <c r="Q147" s="4"/>
      <c r="R147" s="4"/>
      <c r="S147" s="4"/>
    </row>
    <row r="148" spans="1:19" ht="15.95" customHeight="1" x14ac:dyDescent="0.2">
      <c r="A148" s="4"/>
      <c r="B148" s="9">
        <v>25</v>
      </c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 t="e">
        <f>IF(AND(L148=L149,L149=L150),(IF(AND(#REF!=#REF!,#REF!=#REF!),(IF(AND(#REF!=#REF!,#REF!=#REF!),"","ERROR IN U")),"ERROR IN J")),"ERROR IN T")</f>
        <v>#REF!</v>
      </c>
      <c r="O148" s="4"/>
      <c r="P148" s="4"/>
      <c r="Q148" s="4"/>
      <c r="R148" s="4"/>
      <c r="S148" s="4"/>
    </row>
    <row r="149" spans="1:19" ht="15.95" customHeight="1" x14ac:dyDescent="0.2">
      <c r="A149" s="4"/>
      <c r="B149" s="9">
        <v>25</v>
      </c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 t="e">
        <f>IF(AND(L148=L149,L149=L150),(IF(AND(#REF!=#REF!,#REF!=#REF!),(IF(AND(#REF!=#REF!,#REF!=#REF!),"","ERROR IN U")),"ERROR IN J")),"ERROR IN T")</f>
        <v>#REF!</v>
      </c>
      <c r="O149" s="4"/>
      <c r="P149" s="4"/>
      <c r="Q149" s="4"/>
      <c r="R149" s="4"/>
      <c r="S149" s="4"/>
    </row>
    <row r="150" spans="1:19" ht="15.95" customHeight="1" x14ac:dyDescent="0.2">
      <c r="A150" s="4"/>
      <c r="B150" s="9">
        <v>25</v>
      </c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 t="e">
        <f>IF(AND(L148=L149,L149=L150),(IF(AND(#REF!=#REF!,#REF!=#REF!),(IF(AND(#REF!=#REF!,#REF!=#REF!),"","ERROR IN U")),"ERROR IN J")),"ERROR IN T")</f>
        <v>#REF!</v>
      </c>
      <c r="O150" s="4"/>
      <c r="P150" s="4"/>
      <c r="Q150" s="4"/>
      <c r="R150" s="4"/>
      <c r="S150" s="4"/>
    </row>
    <row r="151" spans="1:19" ht="15.95" customHeight="1" x14ac:dyDescent="0.2">
      <c r="A151" s="4"/>
      <c r="B151" s="9">
        <v>25</v>
      </c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 t="e">
        <f>IF(AND(L151=L152,L152=L153),(IF(AND(#REF!=#REF!,#REF!=#REF!),(IF(AND(#REF!=#REF!,#REF!=#REF!),"","ERROR IN U")),"ERROR IN J")),"ERROR IN T")</f>
        <v>#REF!</v>
      </c>
      <c r="O151" s="4"/>
      <c r="P151" s="4"/>
      <c r="Q151" s="4"/>
      <c r="R151" s="4"/>
      <c r="S151" s="4"/>
    </row>
    <row r="152" spans="1:19" ht="15.95" customHeight="1" x14ac:dyDescent="0.2">
      <c r="A152" s="4"/>
      <c r="B152" s="9">
        <v>25</v>
      </c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 t="e">
        <f>IF(AND(L151=L152,L152=L153),(IF(AND(#REF!=#REF!,#REF!=#REF!),(IF(AND(#REF!=#REF!,#REF!=#REF!),"","ERROR IN U")),"ERROR IN J")),"ERROR IN T")</f>
        <v>#REF!</v>
      </c>
      <c r="O152" s="4"/>
      <c r="P152" s="4"/>
      <c r="Q152" s="4"/>
      <c r="R152" s="4"/>
      <c r="S152" s="4"/>
    </row>
    <row r="153" spans="1:19" ht="15.95" customHeight="1" x14ac:dyDescent="0.2">
      <c r="A153" s="4"/>
      <c r="B153" s="9">
        <v>25</v>
      </c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 t="e">
        <f>IF(AND(L151=L152,L152=L153),(IF(AND(#REF!=#REF!,#REF!=#REF!),(IF(AND(#REF!=#REF!,#REF!=#REF!),"","ERROR IN U")),"ERROR IN J")),"ERROR IN T")</f>
        <v>#REF!</v>
      </c>
      <c r="O153" s="4"/>
      <c r="P153" s="4"/>
      <c r="Q153" s="4"/>
      <c r="R153" s="4"/>
      <c r="S153" s="4"/>
    </row>
    <row r="154" spans="1:19" ht="15.95" customHeight="1" x14ac:dyDescent="0.2">
      <c r="A154" s="4"/>
      <c r="B154" s="9">
        <v>26</v>
      </c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2" t="e">
        <f>IF(AND(L154=L155,L155=L156),(IF(AND(#REF!=#REF!,#REF!=#REF!),(IF(AND(#REF!=#REF!,#REF!=#REF!),"","ERROR IN U")),"ERROR IN J")),"ERROR IN T")</f>
        <v>#REF!</v>
      </c>
      <c r="O154" s="4"/>
      <c r="P154" s="4"/>
      <c r="Q154" s="4"/>
      <c r="R154" s="4"/>
      <c r="S154" s="4"/>
    </row>
    <row r="155" spans="1:19" ht="15.95" customHeight="1" x14ac:dyDescent="0.2">
      <c r="A155" s="4"/>
      <c r="B155" s="9">
        <v>26</v>
      </c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20"/>
      <c r="N155" s="12" t="e">
        <f>IF(AND(L154=L155,L155=L156),(IF(AND(#REF!=#REF!,#REF!=#REF!),(IF(AND(#REF!=#REF!,#REF!=#REF!),"","ERROR IN U")),"ERROR IN J")),"ERROR IN T")</f>
        <v>#REF!</v>
      </c>
      <c r="O155" s="4"/>
      <c r="P155" s="4"/>
      <c r="Q155" s="4"/>
      <c r="R155" s="4"/>
      <c r="S155" s="4"/>
    </row>
    <row r="156" spans="1:19" ht="15.95" customHeight="1" x14ac:dyDescent="0.2">
      <c r="A156" s="4"/>
      <c r="B156" s="9">
        <v>26</v>
      </c>
      <c r="C156" s="19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12" t="e">
        <f>IF(AND(L154=L155,L155=L156),(IF(AND(#REF!=#REF!,#REF!=#REF!),(IF(AND(#REF!=#REF!,#REF!=#REF!),"","ERROR IN U")),"ERROR IN J")),"ERROR IN T")</f>
        <v>#REF!</v>
      </c>
      <c r="O156" s="4"/>
      <c r="P156" s="4"/>
      <c r="Q156" s="4"/>
      <c r="R156" s="4"/>
      <c r="S156" s="4"/>
    </row>
    <row r="157" spans="1:19" ht="15.95" customHeight="1" x14ac:dyDescent="0.2">
      <c r="A157" s="4"/>
      <c r="B157" s="9">
        <v>26</v>
      </c>
      <c r="C157" s="21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18" t="e">
        <f>IF(AND(L157=L158,L158=L159),(IF(AND(#REF!=#REF!,#REF!=#REF!),(IF(AND(#REF!=#REF!,#REF!=#REF!),"","ERROR IN U")),"ERROR IN J")),"ERROR IN T")</f>
        <v>#REF!</v>
      </c>
      <c r="O157" s="4"/>
      <c r="P157" s="4"/>
      <c r="Q157" s="4"/>
      <c r="R157" s="4"/>
      <c r="S157" s="4"/>
    </row>
    <row r="158" spans="1:19" ht="15.95" customHeight="1" x14ac:dyDescent="0.2">
      <c r="A158" s="4"/>
      <c r="B158" s="9">
        <v>26</v>
      </c>
      <c r="C158" s="21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18" t="e">
        <f>IF(AND(L157=L158,L158=L159),(IF(AND(#REF!=#REF!,#REF!=#REF!),(IF(AND(#REF!=#REF!,#REF!=#REF!),"","ERROR IN U")),"ERROR IN J")),"ERROR IN T")</f>
        <v>#REF!</v>
      </c>
      <c r="O158" s="4"/>
      <c r="P158" s="4"/>
      <c r="Q158" s="4"/>
      <c r="R158" s="4"/>
      <c r="S158" s="4"/>
    </row>
    <row r="159" spans="1:19" ht="15.95" customHeight="1" x14ac:dyDescent="0.2">
      <c r="A159" s="4"/>
      <c r="B159" s="9">
        <v>26</v>
      </c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18" t="e">
        <f>IF(AND(L157=L158,L158=L159),(IF(AND(#REF!=#REF!,#REF!=#REF!),(IF(AND(#REF!=#REF!,#REF!=#REF!),"","ERROR IN U")),"ERROR IN J")),"ERROR IN T")</f>
        <v>#REF!</v>
      </c>
      <c r="O159" s="4"/>
      <c r="P159" s="4"/>
      <c r="Q159" s="4"/>
      <c r="R159" s="4"/>
      <c r="S159" s="4"/>
    </row>
    <row r="160" spans="1:19" ht="15.95" customHeight="1" x14ac:dyDescent="0.2">
      <c r="A160" s="4"/>
      <c r="B160" s="9">
        <v>27</v>
      </c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 t="e">
        <f>IF(AND(L160=L161,L161=L162),(IF(AND(#REF!=#REF!,#REF!=#REF!),(IF(AND(#REF!=#REF!,#REF!=#REF!),"","ERROR IN U")),"ERROR IN J")),"ERROR IN T")</f>
        <v>#REF!</v>
      </c>
      <c r="O160" s="4"/>
      <c r="P160" s="4"/>
      <c r="Q160" s="4"/>
      <c r="R160" s="4"/>
      <c r="S160" s="4"/>
    </row>
    <row r="161" spans="1:19" ht="15.95" customHeight="1" x14ac:dyDescent="0.2">
      <c r="A161" s="4"/>
      <c r="B161" s="9">
        <v>27</v>
      </c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 t="e">
        <f>IF(AND(L160=L161,L161=L162),(IF(AND(#REF!=#REF!,#REF!=#REF!),(IF(AND(#REF!=#REF!,#REF!=#REF!),"","ERROR IN U")),"ERROR IN J")),"ERROR IN T")</f>
        <v>#REF!</v>
      </c>
      <c r="O161" s="4"/>
      <c r="P161" s="4"/>
      <c r="Q161" s="4"/>
      <c r="R161" s="4"/>
      <c r="S161" s="4"/>
    </row>
    <row r="162" spans="1:19" ht="15.95" customHeight="1" x14ac:dyDescent="0.2">
      <c r="A162" s="4"/>
      <c r="B162" s="9">
        <v>27</v>
      </c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 t="e">
        <f>IF(AND(L160=L161,L161=L162),(IF(AND(#REF!=#REF!,#REF!=#REF!),(IF(AND(#REF!=#REF!,#REF!=#REF!),"","ERROR IN U")),"ERROR IN J")),"ERROR IN T")</f>
        <v>#REF!</v>
      </c>
      <c r="O162" s="4"/>
      <c r="P162" s="4"/>
      <c r="Q162" s="4"/>
      <c r="R162" s="4"/>
      <c r="S162" s="4"/>
    </row>
    <row r="163" spans="1:19" ht="15.95" customHeight="1" x14ac:dyDescent="0.2">
      <c r="A163" s="4"/>
      <c r="B163" s="9">
        <v>27</v>
      </c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 t="e">
        <f>IF(AND(L163=L164,L164=L165),(IF(AND(#REF!=#REF!,#REF!=#REF!),(IF(AND(#REF!=#REF!,#REF!=#REF!),"","ERROR IN U")),"ERROR IN J")),"ERROR IN T")</f>
        <v>#REF!</v>
      </c>
      <c r="O163" s="4"/>
      <c r="P163" s="4"/>
      <c r="Q163" s="4"/>
      <c r="R163" s="4"/>
      <c r="S163" s="4"/>
    </row>
    <row r="164" spans="1:19" ht="15.95" customHeight="1" x14ac:dyDescent="0.2">
      <c r="A164" s="4"/>
      <c r="B164" s="9">
        <v>27</v>
      </c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 t="e">
        <f>IF(AND(L163=L164,L164=L165),(IF(AND(#REF!=#REF!,#REF!=#REF!),(IF(AND(#REF!=#REF!,#REF!=#REF!),"","ERROR IN U")),"ERROR IN J")),"ERROR IN T")</f>
        <v>#REF!</v>
      </c>
      <c r="O164" s="4"/>
      <c r="P164" s="4"/>
      <c r="Q164" s="4"/>
      <c r="R164" s="4"/>
      <c r="S164" s="4"/>
    </row>
    <row r="165" spans="1:19" ht="15.95" customHeight="1" x14ac:dyDescent="0.2">
      <c r="A165" s="4"/>
      <c r="B165" s="9">
        <v>27</v>
      </c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 t="e">
        <f>IF(AND(L163=L164,L164=L165),(IF(AND(#REF!=#REF!,#REF!=#REF!),(IF(AND(#REF!=#REF!,#REF!=#REF!),"","ERROR IN U")),"ERROR IN J")),"ERROR IN T")</f>
        <v>#REF!</v>
      </c>
      <c r="O165" s="4"/>
      <c r="P165" s="4"/>
      <c r="Q165" s="4"/>
      <c r="R165" s="4"/>
      <c r="S165" s="4"/>
    </row>
    <row r="166" spans="1:19" ht="15.95" customHeight="1" x14ac:dyDescent="0.2">
      <c r="A166" s="4"/>
      <c r="B166" s="9">
        <v>28</v>
      </c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2" t="e">
        <f>IF(AND(L166=L167,L167=L168),(IF(AND(#REF!=#REF!,#REF!=#REF!),(IF(AND(#REF!=#REF!,#REF!=#REF!),"","ERROR IN U")),"ERROR IN J")),"ERROR IN T")</f>
        <v>#REF!</v>
      </c>
      <c r="O166" s="4"/>
      <c r="P166" s="4"/>
      <c r="Q166" s="4"/>
      <c r="R166" s="4"/>
      <c r="S166" s="4"/>
    </row>
    <row r="167" spans="1:19" ht="15.95" customHeight="1" x14ac:dyDescent="0.2">
      <c r="A167" s="4"/>
      <c r="B167" s="9">
        <v>28</v>
      </c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20"/>
      <c r="N167" s="12" t="e">
        <f>IF(AND(L166=L167,L167=L168),(IF(AND(#REF!=#REF!,#REF!=#REF!),(IF(AND(#REF!=#REF!,#REF!=#REF!),"","ERROR IN U")),"ERROR IN J")),"ERROR IN T")</f>
        <v>#REF!</v>
      </c>
      <c r="O167" s="4"/>
      <c r="P167" s="4"/>
      <c r="Q167" s="4"/>
      <c r="R167" s="4"/>
      <c r="S167" s="4"/>
    </row>
    <row r="168" spans="1:19" ht="15.95" customHeight="1" x14ac:dyDescent="0.2">
      <c r="A168" s="4"/>
      <c r="B168" s="9">
        <v>28</v>
      </c>
      <c r="C168" s="19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12" t="e">
        <f>IF(AND(L166=L167,L167=L168),(IF(AND(#REF!=#REF!,#REF!=#REF!),(IF(AND(#REF!=#REF!,#REF!=#REF!),"","ERROR IN U")),"ERROR IN J")),"ERROR IN T")</f>
        <v>#REF!</v>
      </c>
      <c r="O168" s="4"/>
      <c r="P168" s="4"/>
      <c r="Q168" s="4"/>
      <c r="R168" s="4"/>
      <c r="S168" s="4"/>
    </row>
    <row r="169" spans="1:19" ht="15.95" customHeight="1" x14ac:dyDescent="0.2">
      <c r="A169" s="4"/>
      <c r="B169" s="9">
        <v>28</v>
      </c>
      <c r="C169" s="21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18" t="e">
        <f>IF(AND(L169=L170,L170=L171),(IF(AND(#REF!=#REF!,#REF!=#REF!),(IF(AND(#REF!=#REF!,#REF!=#REF!),"","ERROR IN U")),"ERROR IN J")),"ERROR IN T")</f>
        <v>#REF!</v>
      </c>
      <c r="O169" s="4"/>
      <c r="P169" s="4"/>
      <c r="Q169" s="4"/>
      <c r="R169" s="4"/>
      <c r="S169" s="4"/>
    </row>
    <row r="170" spans="1:19" ht="15.95" customHeight="1" x14ac:dyDescent="0.2">
      <c r="A170" s="4"/>
      <c r="B170" s="9">
        <v>28</v>
      </c>
      <c r="C170" s="21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18" t="e">
        <f>IF(AND(L169=L170,L170=L171),(IF(AND(#REF!=#REF!,#REF!=#REF!),(IF(AND(#REF!=#REF!,#REF!=#REF!),"","ERROR IN U")),"ERROR IN J")),"ERROR IN T")</f>
        <v>#REF!</v>
      </c>
      <c r="O170" s="4"/>
      <c r="P170" s="4"/>
      <c r="Q170" s="4"/>
      <c r="R170" s="4"/>
      <c r="S170" s="4"/>
    </row>
    <row r="171" spans="1:19" ht="15.95" customHeight="1" x14ac:dyDescent="0.2">
      <c r="A171" s="4"/>
      <c r="B171" s="9">
        <v>28</v>
      </c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18" t="e">
        <f>IF(AND(L169=L170,L170=L171),(IF(AND(#REF!=#REF!,#REF!=#REF!),(IF(AND(#REF!=#REF!,#REF!=#REF!),"","ERROR IN U")),"ERROR IN J")),"ERROR IN T")</f>
        <v>#REF!</v>
      </c>
      <c r="O171" s="4"/>
      <c r="P171" s="4"/>
      <c r="Q171" s="4"/>
      <c r="R171" s="4"/>
      <c r="S171" s="4"/>
    </row>
    <row r="172" spans="1:19" ht="15.95" customHeight="1" x14ac:dyDescent="0.2">
      <c r="A172" s="4"/>
      <c r="B172" s="9">
        <v>29</v>
      </c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2" t="e">
        <f>IF(AND(L172=L173,L173=L174),(IF(AND(#REF!=#REF!,#REF!=#REF!),(IF(AND(#REF!=#REF!,#REF!=#REF!),"","ERROR IN U")),"ERROR IN J")),"ERROR IN T")</f>
        <v>#REF!</v>
      </c>
      <c r="O172" s="4"/>
      <c r="P172" s="4"/>
      <c r="Q172" s="4"/>
      <c r="R172" s="4"/>
      <c r="S172" s="4"/>
    </row>
    <row r="173" spans="1:19" ht="15.95" customHeight="1" x14ac:dyDescent="0.2">
      <c r="A173" s="4"/>
      <c r="B173" s="9">
        <v>29</v>
      </c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20"/>
      <c r="N173" s="12" t="e">
        <f>IF(AND(L172=L173,L173=L174),(IF(AND(#REF!=#REF!,#REF!=#REF!),(IF(AND(#REF!=#REF!,#REF!=#REF!),"","ERROR IN U")),"ERROR IN J")),"ERROR IN T")</f>
        <v>#REF!</v>
      </c>
      <c r="O173" s="4"/>
      <c r="P173" s="4"/>
      <c r="Q173" s="4"/>
      <c r="R173" s="4"/>
      <c r="S173" s="4"/>
    </row>
    <row r="174" spans="1:19" ht="15.95" customHeight="1" x14ac:dyDescent="0.2">
      <c r="A174" s="4"/>
      <c r="B174" s="9">
        <v>29</v>
      </c>
      <c r="C174" s="19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12" t="e">
        <f>IF(AND(L172=L173,L173=L174),(IF(AND(#REF!=#REF!,#REF!=#REF!),(IF(AND(#REF!=#REF!,#REF!=#REF!),"","ERROR IN U")),"ERROR IN J")),"ERROR IN T")</f>
        <v>#REF!</v>
      </c>
      <c r="O174" s="4"/>
      <c r="P174" s="4"/>
      <c r="Q174" s="4"/>
      <c r="R174" s="4"/>
      <c r="S174" s="4"/>
    </row>
    <row r="175" spans="1:19" ht="15.95" customHeight="1" x14ac:dyDescent="0.2">
      <c r="A175" s="4"/>
      <c r="B175" s="9">
        <v>29</v>
      </c>
      <c r="C175" s="21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18" t="e">
        <f>IF(AND(L175=L176,L176=L177),(IF(AND(#REF!=#REF!,#REF!=#REF!),(IF(AND(#REF!=#REF!,#REF!=#REF!),"","ERROR IN U")),"ERROR IN J")),"ERROR IN T")</f>
        <v>#REF!</v>
      </c>
      <c r="O175" s="4"/>
      <c r="P175" s="4"/>
      <c r="Q175" s="4"/>
      <c r="R175" s="4"/>
      <c r="S175" s="4"/>
    </row>
    <row r="176" spans="1:19" ht="15.95" customHeight="1" x14ac:dyDescent="0.2">
      <c r="A176" s="4"/>
      <c r="B176" s="9">
        <v>29</v>
      </c>
      <c r="C176" s="21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18" t="e">
        <f>IF(AND(L175=L176,L176=L177),(IF(AND(#REF!=#REF!,#REF!=#REF!),(IF(AND(#REF!=#REF!,#REF!=#REF!),"","ERROR IN U")),"ERROR IN J")),"ERROR IN T")</f>
        <v>#REF!</v>
      </c>
      <c r="O176" s="4"/>
      <c r="P176" s="4"/>
      <c r="Q176" s="4"/>
      <c r="R176" s="4"/>
      <c r="S176" s="4"/>
    </row>
    <row r="177" spans="1:19" ht="15.95" customHeight="1" x14ac:dyDescent="0.2">
      <c r="A177" s="4"/>
      <c r="B177" s="9">
        <v>29</v>
      </c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18" t="e">
        <f>IF(AND(L175=L176,L176=L177),(IF(AND(#REF!=#REF!,#REF!=#REF!),(IF(AND(#REF!=#REF!,#REF!=#REF!),"","ERROR IN U")),"ERROR IN J")),"ERROR IN T")</f>
        <v>#REF!</v>
      </c>
      <c r="O177" s="4"/>
      <c r="P177" s="4"/>
      <c r="Q177" s="4"/>
      <c r="R177" s="4"/>
      <c r="S177" s="4"/>
    </row>
    <row r="178" spans="1:19" ht="15.95" customHeight="1" x14ac:dyDescent="0.2">
      <c r="A178" s="4"/>
      <c r="B178" s="9">
        <v>30</v>
      </c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2" t="e">
        <f>IF(AND(L178=L179,L179=L180),(IF(AND(#REF!=#REF!,#REF!=#REF!),(IF(AND(#REF!=#REF!,#REF!=#REF!),"","ERROR IN U")),"ERROR IN J")),"ERROR IN T")</f>
        <v>#REF!</v>
      </c>
      <c r="O178" s="4"/>
      <c r="P178" s="4"/>
      <c r="Q178" s="4"/>
      <c r="R178" s="4"/>
      <c r="S178" s="4"/>
    </row>
    <row r="179" spans="1:19" ht="15.95" customHeight="1" x14ac:dyDescent="0.2">
      <c r="A179" s="4"/>
      <c r="B179" s="9">
        <v>30</v>
      </c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20"/>
      <c r="N179" s="12" t="e">
        <f>IF(AND(L178=L179,L179=L180),(IF(AND(#REF!=#REF!,#REF!=#REF!),(IF(AND(#REF!=#REF!,#REF!=#REF!),"","ERROR IN U")),"ERROR IN J")),"ERROR IN T")</f>
        <v>#REF!</v>
      </c>
      <c r="O179" s="4"/>
      <c r="P179" s="4"/>
      <c r="Q179" s="4"/>
      <c r="R179" s="4"/>
      <c r="S179" s="4"/>
    </row>
    <row r="180" spans="1:19" ht="15.95" customHeight="1" x14ac:dyDescent="0.2">
      <c r="A180" s="4"/>
      <c r="B180" s="9">
        <v>30</v>
      </c>
      <c r="C180" s="19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12" t="e">
        <f>IF(AND(L178=L179,L179=L180),(IF(AND(#REF!=#REF!,#REF!=#REF!),(IF(AND(#REF!=#REF!,#REF!=#REF!),"","ERROR IN U")),"ERROR IN J")),"ERROR IN T")</f>
        <v>#REF!</v>
      </c>
      <c r="O180" s="4"/>
      <c r="P180" s="4"/>
      <c r="Q180" s="4"/>
      <c r="R180" s="4"/>
      <c r="S180" s="4"/>
    </row>
    <row r="181" spans="1:19" ht="15.95" customHeight="1" x14ac:dyDescent="0.2">
      <c r="A181" s="4"/>
      <c r="B181" s="9">
        <v>30</v>
      </c>
      <c r="C181" s="21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18" t="e">
        <f>IF(AND(L181=L182,L182=L183),(IF(AND(#REF!=#REF!,#REF!=#REF!),(IF(AND(#REF!=#REF!,#REF!=#REF!),"","ERROR IN U")),"ERROR IN J")),"ERROR IN T")</f>
        <v>#REF!</v>
      </c>
      <c r="O181" s="4"/>
      <c r="P181" s="4"/>
      <c r="Q181" s="4"/>
      <c r="R181" s="4"/>
      <c r="S181" s="4"/>
    </row>
    <row r="182" spans="1:19" ht="15.95" customHeight="1" x14ac:dyDescent="0.2">
      <c r="A182" s="4"/>
      <c r="B182" s="9">
        <v>30</v>
      </c>
      <c r="C182" s="21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18" t="e">
        <f>IF(AND(L181=L182,L182=L183),(IF(AND(#REF!=#REF!,#REF!=#REF!),(IF(AND(#REF!=#REF!,#REF!=#REF!),"","ERROR IN U")),"ERROR IN J")),"ERROR IN T")</f>
        <v>#REF!</v>
      </c>
      <c r="O182" s="4"/>
      <c r="P182" s="4"/>
      <c r="Q182" s="4"/>
      <c r="R182" s="4"/>
      <c r="S182" s="4"/>
    </row>
    <row r="183" spans="1:19" ht="15.95" customHeight="1" x14ac:dyDescent="0.2">
      <c r="A183" s="4"/>
      <c r="B183" s="9">
        <v>30</v>
      </c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18" t="e">
        <f>IF(AND(L181=L182,L182=L183),(IF(AND(#REF!=#REF!,#REF!=#REF!),(IF(AND(#REF!=#REF!,#REF!=#REF!),"","ERROR IN U")),"ERROR IN J")),"ERROR IN T")</f>
        <v>#REF!</v>
      </c>
      <c r="O183" s="4"/>
      <c r="P183" s="4"/>
      <c r="Q183" s="4"/>
      <c r="R183" s="4"/>
      <c r="S183" s="4"/>
    </row>
    <row r="184" spans="1:19" ht="15.95" customHeight="1" x14ac:dyDescent="0.2">
      <c r="A184" s="4"/>
      <c r="B184" s="9">
        <v>31</v>
      </c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2" t="e">
        <f>IF(AND(L184=L185,L185=L186),(IF(AND(#REF!=#REF!,#REF!=#REF!),(IF(AND(#REF!=#REF!,#REF!=#REF!),"","ERROR IN U")),"ERROR IN J")),"ERROR IN T")</f>
        <v>#REF!</v>
      </c>
      <c r="O184" s="4"/>
      <c r="P184" s="4"/>
      <c r="Q184" s="4"/>
      <c r="R184" s="4"/>
      <c r="S184" s="4"/>
    </row>
    <row r="185" spans="1:19" ht="15.95" customHeight="1" x14ac:dyDescent="0.2">
      <c r="A185" s="4"/>
      <c r="B185" s="9">
        <v>31</v>
      </c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20"/>
      <c r="N185" s="12" t="e">
        <f>IF(AND(L184=L185,L185=L186),(IF(AND(#REF!=#REF!,#REF!=#REF!),(IF(AND(#REF!=#REF!,#REF!=#REF!),"","ERROR IN U")),"ERROR IN J")),"ERROR IN T")</f>
        <v>#REF!</v>
      </c>
      <c r="O185" s="4"/>
      <c r="P185" s="4"/>
      <c r="Q185" s="4"/>
      <c r="R185" s="4"/>
      <c r="S185" s="4"/>
    </row>
    <row r="186" spans="1:19" ht="15.95" customHeight="1" x14ac:dyDescent="0.2">
      <c r="A186" s="4"/>
      <c r="B186" s="9">
        <v>31</v>
      </c>
      <c r="C186" s="19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12" t="e">
        <f>IF(AND(L184=L185,L185=L186),(IF(AND(#REF!=#REF!,#REF!=#REF!),(IF(AND(#REF!=#REF!,#REF!=#REF!),"","ERROR IN U")),"ERROR IN J")),"ERROR IN T")</f>
        <v>#REF!</v>
      </c>
      <c r="O186" s="4"/>
      <c r="P186" s="4"/>
      <c r="Q186" s="4"/>
      <c r="R186" s="4"/>
      <c r="S186" s="4"/>
    </row>
    <row r="187" spans="1:19" ht="15.95" customHeight="1" x14ac:dyDescent="0.2">
      <c r="A187" s="4"/>
      <c r="B187" s="9">
        <v>31</v>
      </c>
      <c r="C187" s="21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18" t="e">
        <f>IF(AND(L187=L188,L188=L189),(IF(AND(#REF!=#REF!,#REF!=#REF!),(IF(AND(#REF!=#REF!,#REF!=#REF!),"","ERROR IN U")),"ERROR IN J")),"ERROR IN T")</f>
        <v>#REF!</v>
      </c>
      <c r="O187" s="4"/>
      <c r="P187" s="4"/>
      <c r="Q187" s="4"/>
      <c r="R187" s="4"/>
      <c r="S187" s="4"/>
    </row>
    <row r="188" spans="1:19" ht="15.95" customHeight="1" x14ac:dyDescent="0.2">
      <c r="A188" s="4"/>
      <c r="B188" s="9">
        <v>31</v>
      </c>
      <c r="C188" s="21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18" t="e">
        <f>IF(AND(L187=L188,L188=L189),(IF(AND(#REF!=#REF!,#REF!=#REF!),(IF(AND(#REF!=#REF!,#REF!=#REF!),"","ERROR IN U")),"ERROR IN J")),"ERROR IN T")</f>
        <v>#REF!</v>
      </c>
      <c r="O188" s="4"/>
      <c r="P188" s="4"/>
      <c r="Q188" s="4"/>
      <c r="R188" s="4"/>
      <c r="S188" s="4"/>
    </row>
    <row r="189" spans="1:19" ht="15.95" customHeight="1" x14ac:dyDescent="0.2">
      <c r="A189" s="4"/>
      <c r="B189" s="9">
        <v>31</v>
      </c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18" t="e">
        <f>IF(AND(L187=L188,L188=L189),(IF(AND(#REF!=#REF!,#REF!=#REF!),(IF(AND(#REF!=#REF!,#REF!=#REF!),"","ERROR IN U")),"ERROR IN J")),"ERROR IN T")</f>
        <v>#REF!</v>
      </c>
      <c r="O189" s="4"/>
      <c r="P189" s="4"/>
      <c r="Q189" s="4"/>
      <c r="R189" s="4"/>
      <c r="S189" s="4"/>
    </row>
    <row r="190" spans="1:19" ht="15.95" customHeight="1" x14ac:dyDescent="0.2">
      <c r="A190" s="4"/>
      <c r="B190" s="9">
        <v>32</v>
      </c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2" t="e">
        <f>IF(AND(L190=L191,L191=L192),(IF(AND(#REF!=#REF!,#REF!=#REF!),(IF(AND(#REF!=#REF!,#REF!=#REF!),"","ERROR IN U")),"ERROR IN J")),"ERROR IN T")</f>
        <v>#REF!</v>
      </c>
      <c r="O190" s="4"/>
      <c r="P190" s="4"/>
      <c r="Q190" s="4"/>
      <c r="R190" s="4"/>
      <c r="S190" s="4"/>
    </row>
    <row r="191" spans="1:19" ht="15.95" customHeight="1" x14ac:dyDescent="0.2">
      <c r="A191" s="4"/>
      <c r="B191" s="9">
        <v>32</v>
      </c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20"/>
      <c r="N191" s="12" t="e">
        <f>IF(AND(L190=L191,L191=L192),(IF(AND(#REF!=#REF!,#REF!=#REF!),(IF(AND(#REF!=#REF!,#REF!=#REF!),"","ERROR IN U")),"ERROR IN J")),"ERROR IN T")</f>
        <v>#REF!</v>
      </c>
      <c r="O191" s="4"/>
      <c r="P191" s="4"/>
      <c r="Q191" s="4"/>
      <c r="R191" s="4"/>
      <c r="S191" s="4"/>
    </row>
    <row r="192" spans="1:19" ht="15.95" customHeight="1" x14ac:dyDescent="0.2">
      <c r="A192" s="4"/>
      <c r="B192" s="9">
        <v>32</v>
      </c>
      <c r="C192" s="19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12" t="e">
        <f>IF(AND(L190=L191,L191=L192),(IF(AND(#REF!=#REF!,#REF!=#REF!),(IF(AND(#REF!=#REF!,#REF!=#REF!),"","ERROR IN U")),"ERROR IN J")),"ERROR IN T")</f>
        <v>#REF!</v>
      </c>
      <c r="O192" s="4"/>
      <c r="P192" s="4"/>
      <c r="Q192" s="4"/>
      <c r="R192" s="4"/>
      <c r="S192" s="4"/>
    </row>
    <row r="193" spans="1:19" ht="15.95" customHeight="1" x14ac:dyDescent="0.2">
      <c r="A193" s="4"/>
      <c r="B193" s="9">
        <v>32</v>
      </c>
      <c r="C193" s="21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18" t="e">
        <f>IF(AND(L193=L194,L194=L195),(IF(AND(#REF!=#REF!,#REF!=#REF!),(IF(AND(#REF!=#REF!,#REF!=#REF!),"","ERROR IN U")),"ERROR IN J")),"ERROR IN T")</f>
        <v>#REF!</v>
      </c>
      <c r="O193" s="4"/>
      <c r="P193" s="4"/>
      <c r="Q193" s="4"/>
      <c r="R193" s="4"/>
      <c r="S193" s="4"/>
    </row>
    <row r="194" spans="1:19" ht="15.95" customHeight="1" x14ac:dyDescent="0.2">
      <c r="A194" s="4"/>
      <c r="B194" s="9">
        <v>32</v>
      </c>
      <c r="C194" s="21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18" t="e">
        <f>IF(AND(L193=L194,L194=L195),(IF(AND(#REF!=#REF!,#REF!=#REF!),(IF(AND(#REF!=#REF!,#REF!=#REF!),"","ERROR IN U")),"ERROR IN J")),"ERROR IN T")</f>
        <v>#REF!</v>
      </c>
      <c r="O194" s="4"/>
      <c r="P194" s="4"/>
      <c r="Q194" s="4"/>
      <c r="R194" s="4"/>
      <c r="S194" s="4"/>
    </row>
    <row r="195" spans="1:19" ht="15.95" customHeight="1" x14ac:dyDescent="0.2">
      <c r="A195" s="4"/>
      <c r="B195" s="9">
        <v>32</v>
      </c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18" t="e">
        <f>IF(AND(L193=L194,L194=L195),(IF(AND(#REF!=#REF!,#REF!=#REF!),(IF(AND(#REF!=#REF!,#REF!=#REF!),"","ERROR IN U")),"ERROR IN J")),"ERROR IN T")</f>
        <v>#REF!</v>
      </c>
      <c r="O195" s="4"/>
      <c r="P195" s="4"/>
      <c r="Q195" s="4"/>
      <c r="R195" s="4"/>
      <c r="S195" s="4"/>
    </row>
    <row r="196" spans="1:19" ht="15.95" customHeight="1" x14ac:dyDescent="0.2">
      <c r="A196" s="4"/>
      <c r="B196" s="9">
        <v>33</v>
      </c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 t="e">
        <f>IF(AND(L196=L197,L197=L198),(IF(AND(#REF!=#REF!,#REF!=#REF!),(IF(AND(#REF!=#REF!,#REF!=#REF!),"","ERROR IN U")),"ERROR IN J")),"ERROR IN T")</f>
        <v>#REF!</v>
      </c>
      <c r="O196" s="4"/>
      <c r="P196" s="4"/>
      <c r="Q196" s="4"/>
      <c r="R196" s="4"/>
      <c r="S196" s="4"/>
    </row>
    <row r="197" spans="1:19" ht="15.95" customHeight="1" x14ac:dyDescent="0.2">
      <c r="A197" s="4"/>
      <c r="B197" s="9">
        <v>33</v>
      </c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 t="e">
        <f>IF(AND(L196=L197,L197=L198),(IF(AND(#REF!=#REF!,#REF!=#REF!),(IF(AND(#REF!=#REF!,#REF!=#REF!),"","ERROR IN U")),"ERROR IN J")),"ERROR IN T")</f>
        <v>#REF!</v>
      </c>
      <c r="O197" s="4"/>
      <c r="P197" s="4"/>
      <c r="Q197" s="4"/>
      <c r="R197" s="4"/>
      <c r="S197" s="4"/>
    </row>
    <row r="198" spans="1:19" ht="15.95" customHeight="1" x14ac:dyDescent="0.2">
      <c r="A198" s="4"/>
      <c r="B198" s="9">
        <v>33</v>
      </c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 t="e">
        <f>IF(AND(L196=L197,L197=L198),(IF(AND(#REF!=#REF!,#REF!=#REF!),(IF(AND(#REF!=#REF!,#REF!=#REF!),"","ERROR IN U")),"ERROR IN J")),"ERROR IN T")</f>
        <v>#REF!</v>
      </c>
      <c r="O198" s="4"/>
      <c r="P198" s="4"/>
      <c r="Q198" s="4"/>
      <c r="R198" s="4"/>
      <c r="S198" s="4"/>
    </row>
    <row r="199" spans="1:19" ht="15.95" customHeight="1" x14ac:dyDescent="0.2">
      <c r="A199" s="4"/>
      <c r="B199" s="9">
        <v>33</v>
      </c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 t="e">
        <f>IF(AND(L199=L200,L200=L201),(IF(AND(#REF!=#REF!,#REF!=#REF!),(IF(AND(#REF!=#REF!,#REF!=#REF!),"","ERROR IN U")),"ERROR IN J")),"ERROR IN T")</f>
        <v>#REF!</v>
      </c>
      <c r="O199" s="4"/>
      <c r="P199" s="4"/>
      <c r="Q199" s="4"/>
      <c r="R199" s="4"/>
      <c r="S199" s="4"/>
    </row>
    <row r="200" spans="1:19" ht="15.95" customHeight="1" x14ac:dyDescent="0.2">
      <c r="A200" s="4"/>
      <c r="B200" s="9">
        <v>33</v>
      </c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 t="e">
        <f>IF(AND(L199=L200,L200=L201),(IF(AND(#REF!=#REF!,#REF!=#REF!),(IF(AND(#REF!=#REF!,#REF!=#REF!),"","ERROR IN U")),"ERROR IN J")),"ERROR IN T")</f>
        <v>#REF!</v>
      </c>
      <c r="O200" s="4"/>
      <c r="P200" s="4"/>
      <c r="Q200" s="4"/>
      <c r="R200" s="4"/>
      <c r="S200" s="4"/>
    </row>
    <row r="201" spans="1:19" ht="15.95" customHeight="1" x14ac:dyDescent="0.2">
      <c r="A201" s="4"/>
      <c r="B201" s="9">
        <v>33</v>
      </c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 t="e">
        <f>IF(AND(L199=L200,L200=L201),(IF(AND(#REF!=#REF!,#REF!=#REF!),(IF(AND(#REF!=#REF!,#REF!=#REF!),"","ERROR IN U")),"ERROR IN J")),"ERROR IN T")</f>
        <v>#REF!</v>
      </c>
      <c r="O201" s="4"/>
      <c r="P201" s="4"/>
      <c r="Q201" s="4"/>
      <c r="R201" s="4"/>
      <c r="S201" s="4"/>
    </row>
    <row r="202" spans="1:19" ht="15.95" customHeight="1" x14ac:dyDescent="0.2">
      <c r="A202" s="4"/>
      <c r="B202" s="9">
        <v>34</v>
      </c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2" t="e">
        <f>IF(AND(L202=L203,L203=L204),(IF(AND(#REF!=#REF!,#REF!=#REF!),(IF(AND(#REF!=#REF!,#REF!=#REF!),"","ERROR IN U")),"ERROR IN J")),"ERROR IN T")</f>
        <v>#REF!</v>
      </c>
      <c r="O202" s="4"/>
      <c r="P202" s="4"/>
      <c r="Q202" s="4"/>
      <c r="R202" s="4"/>
      <c r="S202" s="4"/>
    </row>
    <row r="203" spans="1:19" ht="15.95" customHeight="1" x14ac:dyDescent="0.2">
      <c r="A203" s="4"/>
      <c r="B203" s="9">
        <v>34</v>
      </c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20"/>
      <c r="N203" s="12" t="e">
        <f>IF(AND(L202=L203,L203=L204),(IF(AND(#REF!=#REF!,#REF!=#REF!),(IF(AND(#REF!=#REF!,#REF!=#REF!),"","ERROR IN U")),"ERROR IN J")),"ERROR IN T")</f>
        <v>#REF!</v>
      </c>
      <c r="O203" s="4"/>
      <c r="P203" s="4"/>
      <c r="Q203" s="4"/>
      <c r="R203" s="4"/>
      <c r="S203" s="4"/>
    </row>
    <row r="204" spans="1:19" ht="15.95" customHeight="1" x14ac:dyDescent="0.2">
      <c r="A204" s="4"/>
      <c r="B204" s="9">
        <v>34</v>
      </c>
      <c r="C204" s="19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12" t="e">
        <f>IF(AND(L202=L203,L203=L204),(IF(AND(#REF!=#REF!,#REF!=#REF!),(IF(AND(#REF!=#REF!,#REF!=#REF!),"","ERROR IN U")),"ERROR IN J")),"ERROR IN T")</f>
        <v>#REF!</v>
      </c>
      <c r="O204" s="4"/>
      <c r="P204" s="4"/>
      <c r="Q204" s="4"/>
      <c r="R204" s="4"/>
      <c r="S204" s="4"/>
    </row>
    <row r="205" spans="1:19" ht="15.95" customHeight="1" x14ac:dyDescent="0.2">
      <c r="A205" s="4"/>
      <c r="B205" s="9">
        <v>34</v>
      </c>
      <c r="C205" s="21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18" t="e">
        <f>IF(AND(L205=L206,L206=L207),(IF(AND(#REF!=#REF!,#REF!=#REF!),(IF(AND(#REF!=#REF!,#REF!=#REF!),"","ERROR IN U")),"ERROR IN J")),"ERROR IN T")</f>
        <v>#REF!</v>
      </c>
      <c r="O205" s="4"/>
      <c r="P205" s="4"/>
      <c r="Q205" s="4"/>
      <c r="R205" s="4"/>
      <c r="S205" s="4"/>
    </row>
    <row r="206" spans="1:19" ht="15.95" customHeight="1" x14ac:dyDescent="0.2">
      <c r="A206" s="4"/>
      <c r="B206" s="9">
        <v>34</v>
      </c>
      <c r="C206" s="21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18" t="e">
        <f>IF(AND(L205=L206,L206=L207),(IF(AND(#REF!=#REF!,#REF!=#REF!),(IF(AND(#REF!=#REF!,#REF!=#REF!),"","ERROR IN U")),"ERROR IN J")),"ERROR IN T")</f>
        <v>#REF!</v>
      </c>
      <c r="O206" s="4"/>
      <c r="P206" s="4"/>
      <c r="Q206" s="4"/>
      <c r="R206" s="4"/>
      <c r="S206" s="4"/>
    </row>
    <row r="207" spans="1:19" ht="15.95" customHeight="1" x14ac:dyDescent="0.2">
      <c r="A207" s="4"/>
      <c r="B207" s="9">
        <v>34</v>
      </c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18" t="e">
        <f>IF(AND(L205=L206,L206=L207),(IF(AND(#REF!=#REF!,#REF!=#REF!),(IF(AND(#REF!=#REF!,#REF!=#REF!),"","ERROR IN U")),"ERROR IN J")),"ERROR IN T")</f>
        <v>#REF!</v>
      </c>
      <c r="O207" s="4"/>
      <c r="P207" s="4"/>
      <c r="Q207" s="4"/>
      <c r="R207" s="4"/>
      <c r="S207" s="4"/>
    </row>
    <row r="208" spans="1:19" ht="15.95" customHeight="1" x14ac:dyDescent="0.2">
      <c r="A208" s="4"/>
      <c r="B208" s="9">
        <v>35</v>
      </c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2" t="e">
        <f>IF(AND(L208=L209,L209=L210),(IF(AND(#REF!=#REF!,#REF!=#REF!),(IF(AND(#REF!=#REF!,#REF!=#REF!),"","ERROR IN U")),"ERROR IN J")),"ERROR IN T")</f>
        <v>#REF!</v>
      </c>
      <c r="O208" s="4"/>
      <c r="P208" s="4"/>
      <c r="Q208" s="4"/>
      <c r="R208" s="4"/>
      <c r="S208" s="4"/>
    </row>
    <row r="209" spans="1:19" ht="15.95" customHeight="1" x14ac:dyDescent="0.2">
      <c r="A209" s="4"/>
      <c r="B209" s="9">
        <v>35</v>
      </c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20"/>
      <c r="N209" s="12" t="e">
        <f>IF(AND(L208=L209,L209=L210),(IF(AND(#REF!=#REF!,#REF!=#REF!),(IF(AND(#REF!=#REF!,#REF!=#REF!),"","ERROR IN U")),"ERROR IN J")),"ERROR IN T")</f>
        <v>#REF!</v>
      </c>
      <c r="O209" s="4"/>
      <c r="P209" s="4"/>
      <c r="Q209" s="4"/>
      <c r="R209" s="4"/>
      <c r="S209" s="4"/>
    </row>
    <row r="210" spans="1:19" ht="15.95" customHeight="1" x14ac:dyDescent="0.2">
      <c r="A210" s="4"/>
      <c r="B210" s="9">
        <v>35</v>
      </c>
      <c r="C210" s="19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12" t="e">
        <f>IF(AND(L208=L209,L209=L210),(IF(AND(#REF!=#REF!,#REF!=#REF!),(IF(AND(#REF!=#REF!,#REF!=#REF!),"","ERROR IN U")),"ERROR IN J")),"ERROR IN T")</f>
        <v>#REF!</v>
      </c>
      <c r="O210" s="4"/>
      <c r="P210" s="4"/>
      <c r="Q210" s="4"/>
      <c r="R210" s="4"/>
      <c r="S210" s="4"/>
    </row>
    <row r="211" spans="1:19" ht="15.95" customHeight="1" x14ac:dyDescent="0.2">
      <c r="A211" s="4"/>
      <c r="B211" s="9">
        <v>35</v>
      </c>
      <c r="C211" s="21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18" t="e">
        <f>IF(AND(L211=L212,L212=L213),(IF(AND(#REF!=#REF!,#REF!=#REF!),(IF(AND(#REF!=#REF!,#REF!=#REF!),"","ERROR IN U")),"ERROR IN J")),"ERROR IN T")</f>
        <v>#REF!</v>
      </c>
      <c r="O211" s="4"/>
      <c r="P211" s="4"/>
      <c r="Q211" s="4"/>
      <c r="R211" s="4"/>
      <c r="S211" s="4"/>
    </row>
    <row r="212" spans="1:19" ht="15.95" customHeight="1" x14ac:dyDescent="0.2">
      <c r="A212" s="4"/>
      <c r="B212" s="9">
        <v>35</v>
      </c>
      <c r="C212" s="21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18" t="e">
        <f>IF(AND(L211=L212,L212=L213),(IF(AND(#REF!=#REF!,#REF!=#REF!),(IF(AND(#REF!=#REF!,#REF!=#REF!),"","ERROR IN U")),"ERROR IN J")),"ERROR IN T")</f>
        <v>#REF!</v>
      </c>
      <c r="O212" s="4"/>
      <c r="P212" s="4"/>
      <c r="Q212" s="4"/>
      <c r="R212" s="4"/>
      <c r="S212" s="4"/>
    </row>
    <row r="213" spans="1:19" ht="15.95" customHeight="1" x14ac:dyDescent="0.2">
      <c r="A213" s="4"/>
      <c r="B213" s="9">
        <v>35</v>
      </c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18" t="e">
        <f>IF(AND(L211=L212,L212=L213),(IF(AND(#REF!=#REF!,#REF!=#REF!),(IF(AND(#REF!=#REF!,#REF!=#REF!),"","ERROR IN U")),"ERROR IN J")),"ERROR IN T")</f>
        <v>#REF!</v>
      </c>
      <c r="O213" s="4"/>
      <c r="P213" s="4"/>
      <c r="Q213" s="4"/>
      <c r="R213" s="4"/>
      <c r="S213" s="4"/>
    </row>
    <row r="214" spans="1:19" ht="15.95" customHeight="1" x14ac:dyDescent="0.2">
      <c r="A214" s="4"/>
      <c r="B214" s="9">
        <v>36</v>
      </c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2" t="e">
        <f>IF(AND(L214=L215,L215=L216),(IF(AND(#REF!=#REF!,#REF!=#REF!),(IF(AND(#REF!=#REF!,#REF!=#REF!),"","ERROR IN U")),"ERROR IN J")),"ERROR IN T")</f>
        <v>#REF!</v>
      </c>
      <c r="O214" s="4"/>
      <c r="P214" s="4"/>
      <c r="Q214" s="4"/>
      <c r="R214" s="4"/>
      <c r="S214" s="4"/>
    </row>
    <row r="215" spans="1:19" ht="15.95" customHeight="1" x14ac:dyDescent="0.2">
      <c r="A215" s="4"/>
      <c r="B215" s="9">
        <v>36</v>
      </c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20"/>
      <c r="N215" s="12" t="e">
        <f>IF(AND(L214=L215,L215=L216),(IF(AND(#REF!=#REF!,#REF!=#REF!),(IF(AND(#REF!=#REF!,#REF!=#REF!),"","ERROR IN U")),"ERROR IN J")),"ERROR IN T")</f>
        <v>#REF!</v>
      </c>
      <c r="O215" s="4"/>
      <c r="P215" s="4"/>
      <c r="Q215" s="4"/>
      <c r="R215" s="4"/>
      <c r="S215" s="4"/>
    </row>
    <row r="216" spans="1:19" ht="15.95" customHeight="1" x14ac:dyDescent="0.2">
      <c r="A216" s="4"/>
      <c r="B216" s="9">
        <v>36</v>
      </c>
      <c r="C216" s="19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12" t="e">
        <f>IF(AND(L214=L215,L215=L216),(IF(AND(#REF!=#REF!,#REF!=#REF!),(IF(AND(#REF!=#REF!,#REF!=#REF!),"","ERROR IN U")),"ERROR IN J")),"ERROR IN T")</f>
        <v>#REF!</v>
      </c>
      <c r="O216" s="4"/>
      <c r="P216" s="4"/>
      <c r="Q216" s="4"/>
      <c r="R216" s="4"/>
      <c r="S216" s="4"/>
    </row>
    <row r="217" spans="1:19" ht="15.95" customHeight="1" x14ac:dyDescent="0.2">
      <c r="A217" s="4"/>
      <c r="B217" s="9">
        <v>36</v>
      </c>
      <c r="C217" s="21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18" t="e">
        <f>IF(AND(L217=L218,L218=L219),(IF(AND(#REF!=#REF!,#REF!=#REF!),(IF(AND(#REF!=#REF!,#REF!=#REF!),"","ERROR IN U")),"ERROR IN J")),"ERROR IN T")</f>
        <v>#REF!</v>
      </c>
      <c r="O217" s="4"/>
      <c r="P217" s="4"/>
      <c r="Q217" s="4"/>
      <c r="R217" s="4"/>
      <c r="S217" s="4"/>
    </row>
    <row r="218" spans="1:19" ht="15.95" customHeight="1" x14ac:dyDescent="0.2">
      <c r="A218" s="4"/>
      <c r="B218" s="9">
        <v>36</v>
      </c>
      <c r="C218" s="21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18" t="e">
        <f>IF(AND(L217=L218,L218=L219),(IF(AND(#REF!=#REF!,#REF!=#REF!),(IF(AND(#REF!=#REF!,#REF!=#REF!),"","ERROR IN U")),"ERROR IN J")),"ERROR IN T")</f>
        <v>#REF!</v>
      </c>
      <c r="O218" s="4"/>
      <c r="P218" s="4"/>
      <c r="Q218" s="4"/>
      <c r="R218" s="4"/>
      <c r="S218" s="4"/>
    </row>
    <row r="219" spans="1:19" ht="15.95" customHeight="1" x14ac:dyDescent="0.2">
      <c r="A219" s="4"/>
      <c r="B219" s="9">
        <v>36</v>
      </c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18" t="e">
        <f>IF(AND(L217=L218,L218=L219),(IF(AND(#REF!=#REF!,#REF!=#REF!),(IF(AND(#REF!=#REF!,#REF!=#REF!),"","ERROR IN U")),"ERROR IN J")),"ERROR IN T")</f>
        <v>#REF!</v>
      </c>
      <c r="O219" s="4"/>
      <c r="P219" s="4"/>
      <c r="Q219" s="4"/>
      <c r="R219" s="4"/>
      <c r="S219" s="4"/>
    </row>
    <row r="220" spans="1:19" ht="15.95" customHeight="1" x14ac:dyDescent="0.2">
      <c r="A220" s="4"/>
      <c r="B220" s="9">
        <v>37</v>
      </c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2" t="e">
        <f>IF(AND(L220=L221,L221=L222),(IF(AND(#REF!=#REF!,#REF!=#REF!),(IF(AND(#REF!=#REF!,#REF!=#REF!),"","ERROR IN U")),"ERROR IN J")),"ERROR IN T")</f>
        <v>#REF!</v>
      </c>
      <c r="O220" s="4"/>
      <c r="P220" s="4"/>
      <c r="Q220" s="4"/>
      <c r="R220" s="4"/>
      <c r="S220" s="4"/>
    </row>
    <row r="221" spans="1:19" ht="15.95" customHeight="1" x14ac:dyDescent="0.2">
      <c r="A221" s="4"/>
      <c r="B221" s="9">
        <v>37</v>
      </c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20"/>
      <c r="N221" s="12" t="e">
        <f>IF(AND(L220=L221,L221=L222),(IF(AND(#REF!=#REF!,#REF!=#REF!),(IF(AND(#REF!=#REF!,#REF!=#REF!),"","ERROR IN U")),"ERROR IN J")),"ERROR IN T")</f>
        <v>#REF!</v>
      </c>
      <c r="O221" s="4"/>
      <c r="P221" s="4"/>
      <c r="Q221" s="4"/>
      <c r="R221" s="4"/>
      <c r="S221" s="4"/>
    </row>
    <row r="222" spans="1:19" ht="15.95" customHeight="1" x14ac:dyDescent="0.2">
      <c r="A222" s="4"/>
      <c r="B222" s="9">
        <v>37</v>
      </c>
      <c r="C222" s="19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12" t="e">
        <f>IF(AND(L220=L221,L221=L222),(IF(AND(#REF!=#REF!,#REF!=#REF!),(IF(AND(#REF!=#REF!,#REF!=#REF!),"","ERROR IN U")),"ERROR IN J")),"ERROR IN T")</f>
        <v>#REF!</v>
      </c>
      <c r="O222" s="4"/>
      <c r="P222" s="4"/>
      <c r="Q222" s="4"/>
      <c r="R222" s="4"/>
      <c r="S222" s="4"/>
    </row>
    <row r="223" spans="1:19" ht="15.95" customHeight="1" x14ac:dyDescent="0.2">
      <c r="A223" s="4"/>
      <c r="B223" s="9">
        <v>37</v>
      </c>
      <c r="C223" s="21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18" t="e">
        <f>IF(AND(L223=L224,L224=L225),(IF(AND(#REF!=#REF!,#REF!=#REF!),(IF(AND(#REF!=#REF!,#REF!=#REF!),"","ERROR IN U")),"ERROR IN J")),"ERROR IN T")</f>
        <v>#REF!</v>
      </c>
      <c r="O223" s="4"/>
      <c r="P223" s="4"/>
      <c r="Q223" s="4"/>
      <c r="R223" s="4"/>
      <c r="S223" s="4"/>
    </row>
    <row r="224" spans="1:19" ht="15.95" customHeight="1" x14ac:dyDescent="0.2">
      <c r="A224" s="4"/>
      <c r="B224" s="9">
        <v>37</v>
      </c>
      <c r="C224" s="21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18" t="e">
        <f>IF(AND(L223=L224,L224=L225),(IF(AND(#REF!=#REF!,#REF!=#REF!),(IF(AND(#REF!=#REF!,#REF!=#REF!),"","ERROR IN U")),"ERROR IN J")),"ERROR IN T")</f>
        <v>#REF!</v>
      </c>
      <c r="O224" s="4"/>
      <c r="P224" s="4"/>
      <c r="Q224" s="4"/>
      <c r="R224" s="4"/>
      <c r="S224" s="4"/>
    </row>
    <row r="225" spans="1:19" ht="15.95" customHeight="1" x14ac:dyDescent="0.2">
      <c r="A225" s="4"/>
      <c r="B225" s="9">
        <v>37</v>
      </c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18" t="e">
        <f>IF(AND(L223=L224,L224=L225),(IF(AND(#REF!=#REF!,#REF!=#REF!),(IF(AND(#REF!=#REF!,#REF!=#REF!),"","ERROR IN U")),"ERROR IN J")),"ERROR IN T")</f>
        <v>#REF!</v>
      </c>
      <c r="O225" s="4"/>
      <c r="P225" s="4"/>
      <c r="Q225" s="4"/>
      <c r="R225" s="4"/>
      <c r="S225" s="4"/>
    </row>
    <row r="226" spans="1:19" ht="15.95" customHeight="1" x14ac:dyDescent="0.2">
      <c r="A226" s="4"/>
      <c r="B226" s="9">
        <v>38</v>
      </c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2" t="e">
        <f>IF(AND(L226=L227,L227=L228),(IF(AND(#REF!=#REF!,#REF!=#REF!),(IF(AND(#REF!=#REF!,#REF!=#REF!),"","ERROR IN U")),"ERROR IN J")),"ERROR IN T")</f>
        <v>#REF!</v>
      </c>
      <c r="O226" s="4"/>
      <c r="P226" s="4"/>
      <c r="Q226" s="4"/>
      <c r="R226" s="4"/>
      <c r="S226" s="4"/>
    </row>
    <row r="227" spans="1:19" ht="15.95" customHeight="1" x14ac:dyDescent="0.2">
      <c r="A227" s="4"/>
      <c r="B227" s="9">
        <v>38</v>
      </c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20"/>
      <c r="N227" s="12" t="e">
        <f>IF(AND(L226=L227,L227=L228),(IF(AND(#REF!=#REF!,#REF!=#REF!),(IF(AND(#REF!=#REF!,#REF!=#REF!),"","ERROR IN U")),"ERROR IN J")),"ERROR IN T")</f>
        <v>#REF!</v>
      </c>
      <c r="O227" s="4"/>
      <c r="P227" s="4"/>
      <c r="Q227" s="4"/>
      <c r="R227" s="4"/>
      <c r="S227" s="4"/>
    </row>
    <row r="228" spans="1:19" ht="15.95" customHeight="1" x14ac:dyDescent="0.2">
      <c r="A228" s="4"/>
      <c r="B228" s="9">
        <v>38</v>
      </c>
      <c r="C228" s="19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12" t="e">
        <f>IF(AND(L226=L227,L227=L228),(IF(AND(#REF!=#REF!,#REF!=#REF!),(IF(AND(#REF!=#REF!,#REF!=#REF!),"","ERROR IN U")),"ERROR IN J")),"ERROR IN T")</f>
        <v>#REF!</v>
      </c>
      <c r="O228" s="4"/>
      <c r="P228" s="4"/>
      <c r="Q228" s="4"/>
      <c r="R228" s="4"/>
      <c r="S228" s="4"/>
    </row>
    <row r="229" spans="1:19" ht="15.95" customHeight="1" x14ac:dyDescent="0.2">
      <c r="A229" s="4"/>
      <c r="B229" s="9">
        <v>38</v>
      </c>
      <c r="C229" s="21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18" t="e">
        <f>IF(AND(L229=L230,L230=L231),(IF(AND(#REF!=#REF!,#REF!=#REF!),(IF(AND(#REF!=#REF!,#REF!=#REF!),"","ERROR IN U")),"ERROR IN J")),"ERROR IN T")</f>
        <v>#REF!</v>
      </c>
      <c r="O229" s="4"/>
      <c r="P229" s="4"/>
      <c r="Q229" s="4"/>
      <c r="R229" s="4"/>
      <c r="S229" s="4"/>
    </row>
    <row r="230" spans="1:19" ht="15.95" customHeight="1" x14ac:dyDescent="0.2">
      <c r="A230" s="4"/>
      <c r="B230" s="9">
        <v>38</v>
      </c>
      <c r="C230" s="21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18" t="e">
        <f>IF(AND(L229=L230,L230=L231),(IF(AND(#REF!=#REF!,#REF!=#REF!),(IF(AND(#REF!=#REF!,#REF!=#REF!),"","ERROR IN U")),"ERROR IN J")),"ERROR IN T")</f>
        <v>#REF!</v>
      </c>
      <c r="O230" s="4"/>
      <c r="P230" s="4"/>
      <c r="Q230" s="4"/>
      <c r="R230" s="4"/>
      <c r="S230" s="4"/>
    </row>
    <row r="231" spans="1:19" ht="15.95" customHeight="1" x14ac:dyDescent="0.2">
      <c r="A231" s="4"/>
      <c r="B231" s="9">
        <v>38</v>
      </c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18" t="e">
        <f>IF(AND(L229=L230,L230=L231),(IF(AND(#REF!=#REF!,#REF!=#REF!),(IF(AND(#REF!=#REF!,#REF!=#REF!),"","ERROR IN U")),"ERROR IN J")),"ERROR IN T")</f>
        <v>#REF!</v>
      </c>
      <c r="O231" s="4"/>
      <c r="P231" s="4"/>
      <c r="Q231" s="4"/>
      <c r="R231" s="4"/>
      <c r="S231" s="4"/>
    </row>
    <row r="232" spans="1:19" ht="15.95" customHeight="1" x14ac:dyDescent="0.2">
      <c r="A232" s="4"/>
      <c r="B232" s="9">
        <v>39</v>
      </c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 t="e">
        <f>IF(AND(L232=L233,L233=L234),(IF(AND(#REF!=#REF!,#REF!=#REF!),(IF(AND(#REF!=#REF!,#REF!=#REF!),"","ERROR IN U")),"ERROR IN J")),"ERROR IN T")</f>
        <v>#REF!</v>
      </c>
      <c r="O232" s="4"/>
      <c r="P232" s="4"/>
      <c r="Q232" s="4"/>
      <c r="R232" s="4"/>
      <c r="S232" s="4"/>
    </row>
    <row r="233" spans="1:19" ht="15.95" customHeight="1" x14ac:dyDescent="0.2">
      <c r="A233" s="4"/>
      <c r="B233" s="9">
        <v>39</v>
      </c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 t="e">
        <f>IF(AND(L232=L233,L233=L234),(IF(AND(#REF!=#REF!,#REF!=#REF!),(IF(AND(#REF!=#REF!,#REF!=#REF!),"","ERROR IN U")),"ERROR IN J")),"ERROR IN T")</f>
        <v>#REF!</v>
      </c>
      <c r="O233" s="4"/>
      <c r="P233" s="4"/>
      <c r="Q233" s="4"/>
      <c r="R233" s="4"/>
      <c r="S233" s="4"/>
    </row>
    <row r="234" spans="1:19" ht="15.95" customHeight="1" x14ac:dyDescent="0.2">
      <c r="A234" s="4"/>
      <c r="B234" s="9">
        <v>39</v>
      </c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 t="e">
        <f>IF(AND(L232=L233,L233=L234),(IF(AND(#REF!=#REF!,#REF!=#REF!),(IF(AND(#REF!=#REF!,#REF!=#REF!),"","ERROR IN U")),"ERROR IN J")),"ERROR IN T")</f>
        <v>#REF!</v>
      </c>
      <c r="O234" s="4"/>
      <c r="P234" s="4"/>
      <c r="Q234" s="4"/>
      <c r="R234" s="4"/>
      <c r="S234" s="4"/>
    </row>
    <row r="235" spans="1:19" ht="15.95" customHeight="1" x14ac:dyDescent="0.2">
      <c r="A235" s="4"/>
      <c r="B235" s="9">
        <v>39</v>
      </c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 t="e">
        <f>IF(AND(L235=L236,L236=L237),(IF(AND(#REF!=#REF!,#REF!=#REF!),(IF(AND(#REF!=#REF!,#REF!=#REF!),"","ERROR IN U")),"ERROR IN J")),"ERROR IN T")</f>
        <v>#REF!</v>
      </c>
      <c r="O235" s="4"/>
      <c r="P235" s="4"/>
      <c r="Q235" s="4"/>
      <c r="R235" s="4"/>
      <c r="S235" s="4"/>
    </row>
    <row r="236" spans="1:19" ht="15.95" customHeight="1" x14ac:dyDescent="0.2">
      <c r="A236" s="4"/>
      <c r="B236" s="9">
        <v>39</v>
      </c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 t="e">
        <f>IF(AND(L235=L236,L236=L237),(IF(AND(#REF!=#REF!,#REF!=#REF!),(IF(AND(#REF!=#REF!,#REF!=#REF!),"","ERROR IN U")),"ERROR IN J")),"ERROR IN T")</f>
        <v>#REF!</v>
      </c>
      <c r="O236" s="4"/>
      <c r="P236" s="4"/>
      <c r="Q236" s="4"/>
      <c r="R236" s="4"/>
      <c r="S236" s="4"/>
    </row>
    <row r="237" spans="1:19" ht="15.95" customHeight="1" x14ac:dyDescent="0.2">
      <c r="A237" s="4"/>
      <c r="B237" s="9">
        <v>39</v>
      </c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 t="e">
        <f>IF(AND(L235=L236,L236=L237),(IF(AND(#REF!=#REF!,#REF!=#REF!),(IF(AND(#REF!=#REF!,#REF!=#REF!),"","ERROR IN U")),"ERROR IN J")),"ERROR IN T")</f>
        <v>#REF!</v>
      </c>
      <c r="O237" s="4"/>
      <c r="P237" s="4"/>
      <c r="Q237" s="4"/>
      <c r="R237" s="4"/>
      <c r="S237" s="4"/>
    </row>
    <row r="238" spans="1:19" ht="15.95" customHeight="1" x14ac:dyDescent="0.2">
      <c r="A238" s="4"/>
      <c r="B238" s="9">
        <v>40</v>
      </c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2" t="e">
        <f>IF(AND(L238=L239,L239=L240),(IF(AND(#REF!=#REF!,#REF!=#REF!),(IF(AND(#REF!=#REF!,#REF!=#REF!),"","ERROR IN U")),"ERROR IN J")),"ERROR IN T")</f>
        <v>#REF!</v>
      </c>
      <c r="O238" s="4"/>
      <c r="P238" s="4"/>
      <c r="Q238" s="4"/>
      <c r="R238" s="4"/>
      <c r="S238" s="4"/>
    </row>
    <row r="239" spans="1:19" ht="15.95" customHeight="1" x14ac:dyDescent="0.2">
      <c r="A239" s="4"/>
      <c r="B239" s="9">
        <v>40</v>
      </c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20"/>
      <c r="N239" s="12" t="e">
        <f>IF(AND(L238=L239,L239=L240),(IF(AND(#REF!=#REF!,#REF!=#REF!),(IF(AND(#REF!=#REF!,#REF!=#REF!),"","ERROR IN U")),"ERROR IN J")),"ERROR IN T")</f>
        <v>#REF!</v>
      </c>
      <c r="O239" s="4"/>
      <c r="P239" s="4"/>
      <c r="Q239" s="4"/>
      <c r="R239" s="4"/>
      <c r="S239" s="4"/>
    </row>
    <row r="240" spans="1:19" ht="15.95" customHeight="1" x14ac:dyDescent="0.2">
      <c r="A240" s="4"/>
      <c r="B240" s="9">
        <v>40</v>
      </c>
      <c r="C240" s="19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12" t="e">
        <f>IF(AND(L238=L239,L239=L240),(IF(AND(#REF!=#REF!,#REF!=#REF!),(IF(AND(#REF!=#REF!,#REF!=#REF!),"","ERROR IN U")),"ERROR IN J")),"ERROR IN T")</f>
        <v>#REF!</v>
      </c>
      <c r="O240" s="4"/>
      <c r="P240" s="4"/>
      <c r="Q240" s="4"/>
      <c r="R240" s="4"/>
      <c r="S240" s="4"/>
    </row>
    <row r="241" spans="1:19" ht="15.95" customHeight="1" x14ac:dyDescent="0.2">
      <c r="A241" s="4"/>
      <c r="B241" s="9">
        <v>40</v>
      </c>
      <c r="C241" s="21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18" t="e">
        <f>IF(AND(L241=L242,L242=L243),(IF(AND(#REF!=#REF!,#REF!=#REF!),(IF(AND(#REF!=#REF!,#REF!=#REF!),"","ERROR IN U")),"ERROR IN J")),"ERROR IN T")</f>
        <v>#REF!</v>
      </c>
      <c r="O241" s="4"/>
      <c r="P241" s="4"/>
      <c r="Q241" s="4"/>
      <c r="R241" s="4"/>
      <c r="S241" s="4"/>
    </row>
    <row r="242" spans="1:19" ht="15.95" customHeight="1" x14ac:dyDescent="0.2">
      <c r="A242" s="4"/>
      <c r="B242" s="9">
        <v>40</v>
      </c>
      <c r="C242" s="21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18" t="e">
        <f>IF(AND(L241=L242,L242=L243),(IF(AND(#REF!=#REF!,#REF!=#REF!),(IF(AND(#REF!=#REF!,#REF!=#REF!),"","ERROR IN U")),"ERROR IN J")),"ERROR IN T")</f>
        <v>#REF!</v>
      </c>
      <c r="O242" s="4"/>
      <c r="P242" s="4"/>
      <c r="Q242" s="4"/>
      <c r="R242" s="4"/>
      <c r="S242" s="4"/>
    </row>
    <row r="243" spans="1:19" ht="15.95" customHeight="1" x14ac:dyDescent="0.2">
      <c r="A243" s="4"/>
      <c r="B243" s="9">
        <v>40</v>
      </c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18" t="e">
        <f>IF(AND(L241=L242,L242=L243),(IF(AND(#REF!=#REF!,#REF!=#REF!),(IF(AND(#REF!=#REF!,#REF!=#REF!),"","ERROR IN U")),"ERROR IN J")),"ERROR IN T")</f>
        <v>#REF!</v>
      </c>
      <c r="O243" s="4"/>
      <c r="P243" s="4"/>
      <c r="Q243" s="4"/>
      <c r="R243" s="4"/>
      <c r="S243" s="4"/>
    </row>
    <row r="244" spans="1:19" ht="15.95" customHeight="1" x14ac:dyDescent="0.2">
      <c r="A244" s="4"/>
      <c r="B244" s="9">
        <v>41</v>
      </c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2" t="e">
        <f>IF(AND(L244=L245,L245=L246),(IF(AND(#REF!=#REF!,#REF!=#REF!),(IF(AND(#REF!=#REF!,#REF!=#REF!),"","ERROR IN U")),"ERROR IN J")),"ERROR IN T")</f>
        <v>#REF!</v>
      </c>
      <c r="O244" s="4"/>
      <c r="P244" s="4"/>
      <c r="Q244" s="4"/>
      <c r="R244" s="4"/>
      <c r="S244" s="4"/>
    </row>
    <row r="245" spans="1:19" ht="15.95" customHeight="1" x14ac:dyDescent="0.2">
      <c r="A245" s="4"/>
      <c r="B245" s="9">
        <v>41</v>
      </c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20"/>
      <c r="N245" s="12" t="e">
        <f>IF(AND(L244=L245,L245=L246),(IF(AND(#REF!=#REF!,#REF!=#REF!),(IF(AND(#REF!=#REF!,#REF!=#REF!),"","ERROR IN U")),"ERROR IN J")),"ERROR IN T")</f>
        <v>#REF!</v>
      </c>
      <c r="O245" s="4"/>
      <c r="P245" s="4"/>
      <c r="Q245" s="4"/>
      <c r="R245" s="4"/>
      <c r="S245" s="4"/>
    </row>
    <row r="246" spans="1:19" ht="15.95" customHeight="1" x14ac:dyDescent="0.2">
      <c r="A246" s="4"/>
      <c r="B246" s="9">
        <v>41</v>
      </c>
      <c r="C246" s="19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12" t="e">
        <f>IF(AND(L244=L245,L245=L246),(IF(AND(#REF!=#REF!,#REF!=#REF!),(IF(AND(#REF!=#REF!,#REF!=#REF!),"","ERROR IN U")),"ERROR IN J")),"ERROR IN T")</f>
        <v>#REF!</v>
      </c>
      <c r="O246" s="4"/>
      <c r="P246" s="4"/>
      <c r="Q246" s="4"/>
      <c r="R246" s="4"/>
      <c r="S246" s="4"/>
    </row>
    <row r="247" spans="1:19" ht="15.95" customHeight="1" x14ac:dyDescent="0.2">
      <c r="A247" s="4"/>
      <c r="B247" s="9">
        <v>41</v>
      </c>
      <c r="C247" s="21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18" t="e">
        <f>IF(AND(L247=L248,L248=L249),(IF(AND(#REF!=#REF!,#REF!=#REF!),(IF(AND(#REF!=#REF!,#REF!=#REF!),"","ERROR IN U")),"ERROR IN J")),"ERROR IN T")</f>
        <v>#REF!</v>
      </c>
      <c r="O247" s="4"/>
      <c r="P247" s="4"/>
      <c r="Q247" s="4"/>
      <c r="R247" s="4"/>
      <c r="S247" s="4"/>
    </row>
    <row r="248" spans="1:19" ht="15.95" customHeight="1" x14ac:dyDescent="0.2">
      <c r="A248" s="4"/>
      <c r="B248" s="9">
        <v>41</v>
      </c>
      <c r="C248" s="21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18" t="e">
        <f>IF(AND(L247=L248,L248=L249),(IF(AND(#REF!=#REF!,#REF!=#REF!),(IF(AND(#REF!=#REF!,#REF!=#REF!),"","ERROR IN U")),"ERROR IN J")),"ERROR IN T")</f>
        <v>#REF!</v>
      </c>
      <c r="O248" s="4"/>
      <c r="P248" s="4"/>
      <c r="Q248" s="4"/>
      <c r="R248" s="4"/>
      <c r="S248" s="4"/>
    </row>
    <row r="249" spans="1:19" ht="15.95" customHeight="1" x14ac:dyDescent="0.2">
      <c r="A249" s="4"/>
      <c r="B249" s="9">
        <v>41</v>
      </c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18" t="e">
        <f>IF(AND(L247=L248,L248=L249),(IF(AND(#REF!=#REF!,#REF!=#REF!),(IF(AND(#REF!=#REF!,#REF!=#REF!),"","ERROR IN U")),"ERROR IN J")),"ERROR IN T")</f>
        <v>#REF!</v>
      </c>
      <c r="O249" s="4"/>
      <c r="P249" s="4"/>
      <c r="Q249" s="4"/>
      <c r="R249" s="4"/>
      <c r="S249" s="4"/>
    </row>
    <row r="250" spans="1:19" ht="15.95" customHeight="1" x14ac:dyDescent="0.2">
      <c r="A250" s="4"/>
      <c r="B250" s="9">
        <v>42</v>
      </c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2" t="e">
        <f>IF(AND(L250=L251,L251=L252),(IF(AND(#REF!=#REF!,#REF!=#REF!),(IF(AND(#REF!=#REF!,#REF!=#REF!),"","ERROR IN U")),"ERROR IN J")),"ERROR IN T")</f>
        <v>#REF!</v>
      </c>
      <c r="O250" s="4"/>
      <c r="P250" s="4"/>
      <c r="Q250" s="4"/>
      <c r="R250" s="4"/>
      <c r="S250" s="4"/>
    </row>
    <row r="251" spans="1:19" ht="15.95" customHeight="1" x14ac:dyDescent="0.2">
      <c r="A251" s="4"/>
      <c r="B251" s="9">
        <v>42</v>
      </c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20"/>
      <c r="N251" s="12" t="e">
        <f>IF(AND(L250=L251,L251=L252),(IF(AND(#REF!=#REF!,#REF!=#REF!),(IF(AND(#REF!=#REF!,#REF!=#REF!),"","ERROR IN U")),"ERROR IN J")),"ERROR IN T")</f>
        <v>#REF!</v>
      </c>
      <c r="O251" s="4"/>
      <c r="P251" s="4"/>
      <c r="Q251" s="4"/>
      <c r="R251" s="4"/>
      <c r="S251" s="4"/>
    </row>
    <row r="252" spans="1:19" ht="15.95" customHeight="1" x14ac:dyDescent="0.2">
      <c r="A252" s="4"/>
      <c r="B252" s="9">
        <v>42</v>
      </c>
      <c r="C252" s="19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12" t="e">
        <f>IF(AND(L250=L251,L251=L252),(IF(AND(#REF!=#REF!,#REF!=#REF!),(IF(AND(#REF!=#REF!,#REF!=#REF!),"","ERROR IN U")),"ERROR IN J")),"ERROR IN T")</f>
        <v>#REF!</v>
      </c>
      <c r="O252" s="4"/>
      <c r="P252" s="4"/>
      <c r="Q252" s="4"/>
      <c r="R252" s="4"/>
      <c r="S252" s="4"/>
    </row>
    <row r="253" spans="1:19" ht="15.95" customHeight="1" x14ac:dyDescent="0.2">
      <c r="A253" s="4"/>
      <c r="B253" s="9">
        <v>42</v>
      </c>
      <c r="C253" s="21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18" t="e">
        <f>IF(AND(L253=L254,L254=L255),(IF(AND(#REF!=#REF!,#REF!=#REF!),(IF(AND(#REF!=#REF!,#REF!=#REF!),"","ERROR IN U")),"ERROR IN J")),"ERROR IN T")</f>
        <v>#REF!</v>
      </c>
      <c r="O253" s="4"/>
      <c r="P253" s="4"/>
      <c r="Q253" s="4"/>
      <c r="R253" s="4"/>
      <c r="S253" s="4"/>
    </row>
    <row r="254" spans="1:19" ht="15.95" customHeight="1" x14ac:dyDescent="0.2">
      <c r="A254" s="4"/>
      <c r="B254" s="9">
        <v>42</v>
      </c>
      <c r="C254" s="21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18" t="e">
        <f>IF(AND(L253=L254,L254=L255),(IF(AND(#REF!=#REF!,#REF!=#REF!),(IF(AND(#REF!=#REF!,#REF!=#REF!),"","ERROR IN U")),"ERROR IN J")),"ERROR IN T")</f>
        <v>#REF!</v>
      </c>
      <c r="O254" s="4"/>
      <c r="P254" s="4"/>
      <c r="Q254" s="4"/>
      <c r="R254" s="4"/>
      <c r="S254" s="4"/>
    </row>
    <row r="255" spans="1:19" ht="15.95" customHeight="1" x14ac:dyDescent="0.2">
      <c r="A255" s="4"/>
      <c r="B255" s="9">
        <v>42</v>
      </c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18" t="e">
        <f>IF(AND(L253=L254,L254=L255),(IF(AND(#REF!=#REF!,#REF!=#REF!),(IF(AND(#REF!=#REF!,#REF!=#REF!),"","ERROR IN U")),"ERROR IN J")),"ERROR IN T")</f>
        <v>#REF!</v>
      </c>
      <c r="O255" s="4"/>
      <c r="P255" s="4"/>
      <c r="Q255" s="4"/>
      <c r="R255" s="4"/>
      <c r="S255" s="4"/>
    </row>
    <row r="256" spans="1:19" ht="15.95" customHeight="1" x14ac:dyDescent="0.2">
      <c r="A256" s="4"/>
      <c r="B256" s="9">
        <v>43</v>
      </c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2" t="e">
        <f>IF(AND(L256=L257,L257=L258),(IF(AND(#REF!=#REF!,#REF!=#REF!),(IF(AND(#REF!=#REF!,#REF!=#REF!),"","ERROR IN U")),"ERROR IN J")),"ERROR IN T")</f>
        <v>#REF!</v>
      </c>
      <c r="O256" s="4"/>
      <c r="P256" s="4"/>
      <c r="Q256" s="4"/>
      <c r="R256" s="4"/>
      <c r="S256" s="4"/>
    </row>
    <row r="257" spans="1:19" ht="15.95" customHeight="1" x14ac:dyDescent="0.2">
      <c r="A257" s="4"/>
      <c r="B257" s="9">
        <v>43</v>
      </c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20"/>
      <c r="N257" s="12" t="e">
        <f>IF(AND(L256=L257,L257=L258),(IF(AND(#REF!=#REF!,#REF!=#REF!),(IF(AND(#REF!=#REF!,#REF!=#REF!),"","ERROR IN U")),"ERROR IN J")),"ERROR IN T")</f>
        <v>#REF!</v>
      </c>
      <c r="O257" s="4"/>
      <c r="P257" s="4"/>
      <c r="Q257" s="4"/>
      <c r="R257" s="4"/>
      <c r="S257" s="4"/>
    </row>
    <row r="258" spans="1:19" ht="15.95" customHeight="1" x14ac:dyDescent="0.2">
      <c r="A258" s="4"/>
      <c r="B258" s="9">
        <v>43</v>
      </c>
      <c r="C258" s="19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12" t="e">
        <f>IF(AND(L256=L257,L257=L258),(IF(AND(#REF!=#REF!,#REF!=#REF!),(IF(AND(#REF!=#REF!,#REF!=#REF!),"","ERROR IN U")),"ERROR IN J")),"ERROR IN T")</f>
        <v>#REF!</v>
      </c>
      <c r="O258" s="4"/>
      <c r="P258" s="4"/>
      <c r="Q258" s="4"/>
      <c r="R258" s="4"/>
      <c r="S258" s="4"/>
    </row>
    <row r="259" spans="1:19" ht="15.95" customHeight="1" x14ac:dyDescent="0.2">
      <c r="A259" s="4"/>
      <c r="B259" s="9">
        <v>43</v>
      </c>
      <c r="C259" s="21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18" t="e">
        <f>IF(AND(L259=L260,L260=L261),(IF(AND(#REF!=#REF!,#REF!=#REF!),(IF(AND(#REF!=#REF!,#REF!=#REF!),"","ERROR IN U")),"ERROR IN J")),"ERROR IN T")</f>
        <v>#REF!</v>
      </c>
      <c r="O259" s="4"/>
      <c r="P259" s="4"/>
      <c r="Q259" s="4"/>
      <c r="R259" s="4"/>
      <c r="S259" s="4"/>
    </row>
    <row r="260" spans="1:19" ht="15.95" customHeight="1" x14ac:dyDescent="0.2">
      <c r="A260" s="4"/>
      <c r="B260" s="9">
        <v>43</v>
      </c>
      <c r="C260" s="21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18" t="e">
        <f>IF(AND(L259=L260,L260=L261),(IF(AND(#REF!=#REF!,#REF!=#REF!),(IF(AND(#REF!=#REF!,#REF!=#REF!),"","ERROR IN U")),"ERROR IN J")),"ERROR IN T")</f>
        <v>#REF!</v>
      </c>
      <c r="O260" s="4"/>
      <c r="P260" s="4"/>
      <c r="Q260" s="4"/>
      <c r="R260" s="4"/>
      <c r="S260" s="4"/>
    </row>
    <row r="261" spans="1:19" ht="15.95" customHeight="1" x14ac:dyDescent="0.2">
      <c r="A261" s="4"/>
      <c r="B261" s="9">
        <v>43</v>
      </c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18" t="e">
        <f>IF(AND(L259=L260,L260=L261),(IF(AND(#REF!=#REF!,#REF!=#REF!),(IF(AND(#REF!=#REF!,#REF!=#REF!),"","ERROR IN U")),"ERROR IN J")),"ERROR IN T")</f>
        <v>#REF!</v>
      </c>
      <c r="O261" s="4"/>
      <c r="P261" s="4"/>
      <c r="Q261" s="4"/>
      <c r="R261" s="4"/>
      <c r="S261" s="4"/>
    </row>
    <row r="262" spans="1:19" ht="15.95" customHeight="1" x14ac:dyDescent="0.2">
      <c r="A262" s="4"/>
      <c r="B262" s="9">
        <v>44</v>
      </c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2" t="e">
        <f>IF(AND(L262=L263,L263=L264),(IF(AND(#REF!=#REF!,#REF!=#REF!),(IF(AND(#REF!=#REF!,#REF!=#REF!),"","ERROR IN U")),"ERROR IN J")),"ERROR IN T")</f>
        <v>#REF!</v>
      </c>
      <c r="O262" s="4"/>
      <c r="P262" s="4"/>
      <c r="Q262" s="4"/>
      <c r="R262" s="4"/>
      <c r="S262" s="4"/>
    </row>
    <row r="263" spans="1:19" ht="15.95" customHeight="1" x14ac:dyDescent="0.2">
      <c r="A263" s="4"/>
      <c r="B263" s="9">
        <v>44</v>
      </c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20"/>
      <c r="N263" s="12" t="e">
        <f>IF(AND(L262=L263,L263=L264),(IF(AND(#REF!=#REF!,#REF!=#REF!),(IF(AND(#REF!=#REF!,#REF!=#REF!),"","ERROR IN U")),"ERROR IN J")),"ERROR IN T")</f>
        <v>#REF!</v>
      </c>
      <c r="O263" s="4"/>
      <c r="P263" s="4"/>
      <c r="Q263" s="4"/>
      <c r="R263" s="4"/>
      <c r="S263" s="4"/>
    </row>
    <row r="264" spans="1:19" ht="15.95" customHeight="1" x14ac:dyDescent="0.2">
      <c r="A264" s="4"/>
      <c r="B264" s="9">
        <v>44</v>
      </c>
      <c r="C264" s="19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12" t="e">
        <f>IF(AND(L262=L263,L263=L264),(IF(AND(#REF!=#REF!,#REF!=#REF!),(IF(AND(#REF!=#REF!,#REF!=#REF!),"","ERROR IN U")),"ERROR IN J")),"ERROR IN T")</f>
        <v>#REF!</v>
      </c>
      <c r="O264" s="4"/>
      <c r="P264" s="4"/>
      <c r="Q264" s="4"/>
      <c r="R264" s="4"/>
      <c r="S264" s="4"/>
    </row>
    <row r="265" spans="1:19" ht="15.95" customHeight="1" x14ac:dyDescent="0.2">
      <c r="A265" s="4"/>
      <c r="B265" s="9">
        <v>44</v>
      </c>
      <c r="C265" s="21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18" t="e">
        <f>IF(AND(L265=L266,L266=L267),(IF(AND(#REF!=#REF!,#REF!=#REF!),(IF(AND(#REF!=#REF!,#REF!=#REF!),"","ERROR IN U")),"ERROR IN J")),"ERROR IN T")</f>
        <v>#REF!</v>
      </c>
      <c r="O265" s="4"/>
      <c r="P265" s="4"/>
      <c r="Q265" s="4"/>
      <c r="R265" s="4"/>
      <c r="S265" s="4"/>
    </row>
    <row r="266" spans="1:19" ht="15.95" customHeight="1" x14ac:dyDescent="0.2">
      <c r="A266" s="4"/>
      <c r="B266" s="9">
        <v>44</v>
      </c>
      <c r="C266" s="21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18" t="e">
        <f>IF(AND(L265=L266,L266=L267),(IF(AND(#REF!=#REF!,#REF!=#REF!),(IF(AND(#REF!=#REF!,#REF!=#REF!),"","ERROR IN U")),"ERROR IN J")),"ERROR IN T")</f>
        <v>#REF!</v>
      </c>
      <c r="O266" s="4"/>
      <c r="P266" s="4"/>
      <c r="Q266" s="4"/>
      <c r="R266" s="4"/>
      <c r="S266" s="4"/>
    </row>
    <row r="267" spans="1:19" ht="15.95" customHeight="1" x14ac:dyDescent="0.2">
      <c r="A267" s="4"/>
      <c r="B267" s="9">
        <v>44</v>
      </c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18" t="e">
        <f>IF(AND(L265=L266,L266=L267),(IF(AND(#REF!=#REF!,#REF!=#REF!),(IF(AND(#REF!=#REF!,#REF!=#REF!),"","ERROR IN U")),"ERROR IN J")),"ERROR IN T")</f>
        <v>#REF!</v>
      </c>
      <c r="O267" s="4"/>
      <c r="P267" s="4"/>
      <c r="Q267" s="4"/>
      <c r="R267" s="4"/>
      <c r="S267" s="4"/>
    </row>
    <row r="268" spans="1:19" ht="15.95" customHeight="1" x14ac:dyDescent="0.2">
      <c r="A268" s="4"/>
      <c r="B268" s="9">
        <v>45</v>
      </c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 t="e">
        <f>IF(AND(L268=L269,L269=L270),(IF(AND(#REF!=#REF!,#REF!=#REF!),(IF(AND(#REF!=#REF!,#REF!=#REF!),"","ERROR IN U")),"ERROR IN J")),"ERROR IN T")</f>
        <v>#REF!</v>
      </c>
      <c r="O268" s="4"/>
      <c r="P268" s="4"/>
      <c r="Q268" s="4"/>
      <c r="R268" s="4"/>
      <c r="S268" s="4"/>
    </row>
    <row r="269" spans="1:19" ht="15.95" customHeight="1" x14ac:dyDescent="0.2">
      <c r="A269" s="4"/>
      <c r="B269" s="9">
        <v>45</v>
      </c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 t="e">
        <f>IF(AND(L268=L269,L269=L270),(IF(AND(#REF!=#REF!,#REF!=#REF!),(IF(AND(#REF!=#REF!,#REF!=#REF!),"","ERROR IN U")),"ERROR IN J")),"ERROR IN T")</f>
        <v>#REF!</v>
      </c>
      <c r="O269" s="4"/>
      <c r="P269" s="4"/>
      <c r="Q269" s="4"/>
      <c r="R269" s="4"/>
      <c r="S269" s="4"/>
    </row>
    <row r="270" spans="1:19" ht="15.95" customHeight="1" x14ac:dyDescent="0.2">
      <c r="A270" s="4"/>
      <c r="B270" s="9">
        <v>45</v>
      </c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 t="e">
        <f>IF(AND(L268=L269,L269=L270),(IF(AND(#REF!=#REF!,#REF!=#REF!),(IF(AND(#REF!=#REF!,#REF!=#REF!),"","ERROR IN U")),"ERROR IN J")),"ERROR IN T")</f>
        <v>#REF!</v>
      </c>
      <c r="O270" s="4"/>
      <c r="P270" s="4"/>
      <c r="Q270" s="4"/>
      <c r="R270" s="4"/>
      <c r="S270" s="4"/>
    </row>
    <row r="271" spans="1:19" ht="15.95" customHeight="1" x14ac:dyDescent="0.2">
      <c r="A271" s="4"/>
      <c r="B271" s="9">
        <v>45</v>
      </c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 t="e">
        <f>IF(AND(L271=L272,L272=L273),(IF(AND(#REF!=#REF!,#REF!=#REF!),(IF(AND(#REF!=#REF!,#REF!=#REF!),"","ERROR IN U")),"ERROR IN J")),"ERROR IN T")</f>
        <v>#REF!</v>
      </c>
      <c r="O271" s="4"/>
      <c r="P271" s="4"/>
      <c r="Q271" s="4"/>
      <c r="R271" s="4"/>
      <c r="S271" s="4"/>
    </row>
    <row r="272" spans="1:19" ht="15.95" customHeight="1" x14ac:dyDescent="0.2">
      <c r="A272" s="4"/>
      <c r="B272" s="9">
        <v>45</v>
      </c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 t="e">
        <f>IF(AND(L271=L272,L272=L273),(IF(AND(#REF!=#REF!,#REF!=#REF!),(IF(AND(#REF!=#REF!,#REF!=#REF!),"","ERROR IN U")),"ERROR IN J")),"ERROR IN T")</f>
        <v>#REF!</v>
      </c>
      <c r="O272" s="4"/>
      <c r="P272" s="4"/>
      <c r="Q272" s="4"/>
      <c r="R272" s="4"/>
      <c r="S272" s="4"/>
    </row>
    <row r="273" spans="1:19" ht="15.95" customHeight="1" x14ac:dyDescent="0.2">
      <c r="A273" s="4"/>
      <c r="B273" s="9">
        <v>45</v>
      </c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 t="e">
        <f>IF(AND(L271=L272,L272=L273),(IF(AND(#REF!=#REF!,#REF!=#REF!),(IF(AND(#REF!=#REF!,#REF!=#REF!),"","ERROR IN U")),"ERROR IN J")),"ERROR IN T")</f>
        <v>#REF!</v>
      </c>
      <c r="O273" s="4"/>
      <c r="P273" s="4"/>
      <c r="Q273" s="4"/>
      <c r="R273" s="4"/>
      <c r="S273" s="4"/>
    </row>
    <row r="274" spans="1:19" ht="15.95" customHeight="1" x14ac:dyDescent="0.2">
      <c r="A274" s="4"/>
      <c r="B274" s="9">
        <v>46</v>
      </c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2" t="e">
        <f>IF(AND(L274=L275,L275=L276),(IF(AND(#REF!=#REF!,#REF!=#REF!),(IF(AND(#REF!=#REF!,#REF!=#REF!),"","ERROR IN U")),"ERROR IN J")),"ERROR IN T")</f>
        <v>#REF!</v>
      </c>
      <c r="O274" s="4"/>
      <c r="P274" s="4"/>
      <c r="Q274" s="4"/>
      <c r="R274" s="4"/>
      <c r="S274" s="4"/>
    </row>
    <row r="275" spans="1:19" ht="15.95" customHeight="1" x14ac:dyDescent="0.2">
      <c r="A275" s="4"/>
      <c r="B275" s="9">
        <v>46</v>
      </c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20"/>
      <c r="N275" s="12" t="e">
        <f>IF(AND(L274=L275,L275=L276),(IF(AND(#REF!=#REF!,#REF!=#REF!),(IF(AND(#REF!=#REF!,#REF!=#REF!),"","ERROR IN U")),"ERROR IN J")),"ERROR IN T")</f>
        <v>#REF!</v>
      </c>
      <c r="O275" s="4"/>
      <c r="P275" s="4"/>
      <c r="Q275" s="4"/>
      <c r="R275" s="4"/>
      <c r="S275" s="4"/>
    </row>
    <row r="276" spans="1:19" ht="15.95" customHeight="1" x14ac:dyDescent="0.2">
      <c r="A276" s="4"/>
      <c r="B276" s="9">
        <v>46</v>
      </c>
      <c r="C276" s="19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12" t="e">
        <f>IF(AND(L274=L275,L275=L276),(IF(AND(#REF!=#REF!,#REF!=#REF!),(IF(AND(#REF!=#REF!,#REF!=#REF!),"","ERROR IN U")),"ERROR IN J")),"ERROR IN T")</f>
        <v>#REF!</v>
      </c>
      <c r="O276" s="4"/>
      <c r="P276" s="4"/>
      <c r="Q276" s="4"/>
      <c r="R276" s="4"/>
      <c r="S276" s="4"/>
    </row>
    <row r="277" spans="1:19" ht="15.95" customHeight="1" x14ac:dyDescent="0.2">
      <c r="A277" s="4"/>
      <c r="B277" s="9">
        <v>46</v>
      </c>
      <c r="C277" s="21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18" t="e">
        <f>IF(AND(L277=L278,L278=L279),(IF(AND(#REF!=#REF!,#REF!=#REF!),(IF(AND(#REF!=#REF!,#REF!=#REF!),"","ERROR IN U")),"ERROR IN J")),"ERROR IN T")</f>
        <v>#REF!</v>
      </c>
      <c r="O277" s="4"/>
      <c r="P277" s="4"/>
      <c r="Q277" s="4"/>
      <c r="R277" s="4"/>
      <c r="S277" s="4"/>
    </row>
    <row r="278" spans="1:19" ht="15.95" customHeight="1" x14ac:dyDescent="0.2">
      <c r="A278" s="4"/>
      <c r="B278" s="9">
        <v>46</v>
      </c>
      <c r="C278" s="21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18" t="e">
        <f>IF(AND(L277=L278,L278=L279),(IF(AND(#REF!=#REF!,#REF!=#REF!),(IF(AND(#REF!=#REF!,#REF!=#REF!),"","ERROR IN U")),"ERROR IN J")),"ERROR IN T")</f>
        <v>#REF!</v>
      </c>
      <c r="O278" s="4"/>
      <c r="P278" s="4"/>
      <c r="Q278" s="4"/>
      <c r="R278" s="4"/>
      <c r="S278" s="4"/>
    </row>
    <row r="279" spans="1:19" ht="15.95" customHeight="1" x14ac:dyDescent="0.2">
      <c r="A279" s="4"/>
      <c r="B279" s="9">
        <v>46</v>
      </c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18" t="e">
        <f>IF(AND(L277=L278,L278=L279),(IF(AND(#REF!=#REF!,#REF!=#REF!),(IF(AND(#REF!=#REF!,#REF!=#REF!),"","ERROR IN U")),"ERROR IN J")),"ERROR IN T")</f>
        <v>#REF!</v>
      </c>
      <c r="O279" s="4"/>
      <c r="P279" s="4"/>
      <c r="Q279" s="4"/>
      <c r="R279" s="4"/>
      <c r="S279" s="4"/>
    </row>
    <row r="280" spans="1:19" ht="15.95" customHeight="1" x14ac:dyDescent="0.2">
      <c r="A280" s="4"/>
      <c r="B280" s="9">
        <v>47</v>
      </c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2" t="e">
        <f>IF(AND(L280=L281,L281=L282),(IF(AND(#REF!=#REF!,#REF!=#REF!),(IF(AND(#REF!=#REF!,#REF!=#REF!),"","ERROR IN U")),"ERROR IN J")),"ERROR IN T")</f>
        <v>#REF!</v>
      </c>
      <c r="O280" s="4"/>
      <c r="P280" s="4"/>
      <c r="Q280" s="4"/>
      <c r="R280" s="4"/>
      <c r="S280" s="4"/>
    </row>
    <row r="281" spans="1:19" ht="15.95" customHeight="1" x14ac:dyDescent="0.2">
      <c r="A281" s="4"/>
      <c r="B281" s="9">
        <v>47</v>
      </c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20"/>
      <c r="N281" s="12" t="e">
        <f>IF(AND(L280=L281,L281=L282),(IF(AND(#REF!=#REF!,#REF!=#REF!),(IF(AND(#REF!=#REF!,#REF!=#REF!),"","ERROR IN U")),"ERROR IN J")),"ERROR IN T")</f>
        <v>#REF!</v>
      </c>
      <c r="O281" s="4"/>
      <c r="P281" s="4"/>
      <c r="Q281" s="4"/>
      <c r="R281" s="4"/>
      <c r="S281" s="4"/>
    </row>
    <row r="282" spans="1:19" ht="15.95" customHeight="1" x14ac:dyDescent="0.2">
      <c r="A282" s="4"/>
      <c r="B282" s="9">
        <v>47</v>
      </c>
      <c r="C282" s="19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12" t="e">
        <f>IF(AND(L280=L281,L281=L282),(IF(AND(#REF!=#REF!,#REF!=#REF!),(IF(AND(#REF!=#REF!,#REF!=#REF!),"","ERROR IN U")),"ERROR IN J")),"ERROR IN T")</f>
        <v>#REF!</v>
      </c>
      <c r="O282" s="4"/>
      <c r="P282" s="4"/>
      <c r="Q282" s="4"/>
      <c r="R282" s="4"/>
      <c r="S282" s="4"/>
    </row>
    <row r="283" spans="1:19" ht="15.95" customHeight="1" x14ac:dyDescent="0.2">
      <c r="A283" s="4"/>
      <c r="B283" s="9">
        <v>47</v>
      </c>
      <c r="C283" s="21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18" t="e">
        <f>IF(AND(L283=L284,L284=L285),(IF(AND(#REF!=#REF!,#REF!=#REF!),(IF(AND(#REF!=#REF!,#REF!=#REF!),"","ERROR IN U")),"ERROR IN J")),"ERROR IN T")</f>
        <v>#REF!</v>
      </c>
      <c r="O283" s="4"/>
      <c r="P283" s="4"/>
      <c r="Q283" s="4"/>
      <c r="R283" s="4"/>
      <c r="S283" s="4"/>
    </row>
    <row r="284" spans="1:19" ht="15.95" customHeight="1" x14ac:dyDescent="0.2">
      <c r="A284" s="4"/>
      <c r="B284" s="9">
        <v>47</v>
      </c>
      <c r="C284" s="21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18" t="e">
        <f>IF(AND(L283=L284,L284=L285),(IF(AND(#REF!=#REF!,#REF!=#REF!),(IF(AND(#REF!=#REF!,#REF!=#REF!),"","ERROR IN U")),"ERROR IN J")),"ERROR IN T")</f>
        <v>#REF!</v>
      </c>
      <c r="O284" s="4"/>
      <c r="P284" s="4"/>
      <c r="Q284" s="4"/>
      <c r="R284" s="4"/>
      <c r="S284" s="4"/>
    </row>
    <row r="285" spans="1:19" ht="15.95" customHeight="1" x14ac:dyDescent="0.2">
      <c r="A285" s="4"/>
      <c r="B285" s="9">
        <v>47</v>
      </c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18" t="e">
        <f>IF(AND(L283=L284,L284=L285),(IF(AND(#REF!=#REF!,#REF!=#REF!),(IF(AND(#REF!=#REF!,#REF!=#REF!),"","ERROR IN U")),"ERROR IN J")),"ERROR IN T")</f>
        <v>#REF!</v>
      </c>
      <c r="O285" s="4"/>
      <c r="P285" s="4"/>
      <c r="Q285" s="4"/>
      <c r="R285" s="4"/>
      <c r="S285" s="4"/>
    </row>
    <row r="286" spans="1:19" ht="15.95" customHeight="1" x14ac:dyDescent="0.2">
      <c r="A286" s="4"/>
      <c r="B286" s="9">
        <v>48</v>
      </c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2" t="e">
        <f>IF(AND(L286=L287,L287=L288),(IF(AND(#REF!=#REF!,#REF!=#REF!),(IF(AND(#REF!=#REF!,#REF!=#REF!),"","ERROR IN U")),"ERROR IN J")),"ERROR IN T")</f>
        <v>#REF!</v>
      </c>
      <c r="O286" s="4"/>
      <c r="P286" s="4"/>
      <c r="Q286" s="4"/>
      <c r="R286" s="4"/>
      <c r="S286" s="4"/>
    </row>
    <row r="287" spans="1:19" ht="15.95" customHeight="1" x14ac:dyDescent="0.2">
      <c r="A287" s="4"/>
      <c r="B287" s="9">
        <v>48</v>
      </c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20"/>
      <c r="N287" s="12" t="e">
        <f>IF(AND(L286=L287,L287=L288),(IF(AND(#REF!=#REF!,#REF!=#REF!),(IF(AND(#REF!=#REF!,#REF!=#REF!),"","ERROR IN U")),"ERROR IN J")),"ERROR IN T")</f>
        <v>#REF!</v>
      </c>
      <c r="O287" s="4"/>
      <c r="P287" s="4"/>
      <c r="Q287" s="4"/>
      <c r="R287" s="4"/>
      <c r="S287" s="4"/>
    </row>
    <row r="288" spans="1:19" ht="15.95" customHeight="1" x14ac:dyDescent="0.2">
      <c r="A288" s="4"/>
      <c r="B288" s="9">
        <v>48</v>
      </c>
      <c r="C288" s="19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12" t="e">
        <f>IF(AND(L286=L287,L287=L288),(IF(AND(#REF!=#REF!,#REF!=#REF!),(IF(AND(#REF!=#REF!,#REF!=#REF!),"","ERROR IN U")),"ERROR IN J")),"ERROR IN T")</f>
        <v>#REF!</v>
      </c>
      <c r="O288" s="4"/>
      <c r="P288" s="4"/>
      <c r="Q288" s="4"/>
      <c r="R288" s="4"/>
      <c r="S288" s="4"/>
    </row>
    <row r="289" spans="1:19" ht="15.95" customHeight="1" x14ac:dyDescent="0.2">
      <c r="A289" s="4"/>
      <c r="B289" s="9">
        <v>48</v>
      </c>
      <c r="C289" s="21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18" t="e">
        <f>IF(AND(L289=L290,L290=L291),(IF(AND(#REF!=#REF!,#REF!=#REF!),(IF(AND(#REF!=#REF!,#REF!=#REF!),"","ERROR IN U")),"ERROR IN J")),"ERROR IN T")</f>
        <v>#REF!</v>
      </c>
      <c r="O289" s="4"/>
      <c r="P289" s="4"/>
      <c r="Q289" s="4"/>
      <c r="R289" s="4"/>
      <c r="S289" s="4"/>
    </row>
    <row r="290" spans="1:19" ht="15.95" customHeight="1" x14ac:dyDescent="0.2">
      <c r="A290" s="4"/>
      <c r="B290" s="9">
        <v>48</v>
      </c>
      <c r="C290" s="21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18" t="e">
        <f>IF(AND(L289=L290,L290=L291),(IF(AND(#REF!=#REF!,#REF!=#REF!),(IF(AND(#REF!=#REF!,#REF!=#REF!),"","ERROR IN U")),"ERROR IN J")),"ERROR IN T")</f>
        <v>#REF!</v>
      </c>
      <c r="O290" s="4"/>
      <c r="P290" s="4"/>
      <c r="Q290" s="4"/>
      <c r="R290" s="4"/>
      <c r="S290" s="4"/>
    </row>
    <row r="291" spans="1:19" ht="15.95" customHeight="1" x14ac:dyDescent="0.2">
      <c r="A291" s="4"/>
      <c r="B291" s="9">
        <v>48</v>
      </c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18" t="e">
        <f>IF(AND(L289=L290,L290=L291),(IF(AND(#REF!=#REF!,#REF!=#REF!),(IF(AND(#REF!=#REF!,#REF!=#REF!),"","ERROR IN U")),"ERROR IN J")),"ERROR IN T")</f>
        <v>#REF!</v>
      </c>
      <c r="O291" s="4"/>
      <c r="P291" s="4"/>
      <c r="Q291" s="4"/>
      <c r="R291" s="4"/>
      <c r="S291" s="4"/>
    </row>
    <row r="292" spans="1:19" ht="15.95" customHeight="1" x14ac:dyDescent="0.2">
      <c r="A292" s="4"/>
      <c r="B292" s="9">
        <v>49</v>
      </c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2" t="e">
        <f>IF(AND(L292=L293,L293=L294),(IF(AND(#REF!=#REF!,#REF!=#REF!),(IF(AND(#REF!=#REF!,#REF!=#REF!),"","ERROR IN U")),"ERROR IN J")),"ERROR IN T")</f>
        <v>#REF!</v>
      </c>
      <c r="O292" s="4"/>
      <c r="P292" s="4"/>
      <c r="Q292" s="4"/>
      <c r="R292" s="4"/>
      <c r="S292" s="4"/>
    </row>
    <row r="293" spans="1:19" ht="15.95" customHeight="1" x14ac:dyDescent="0.2">
      <c r="A293" s="4"/>
      <c r="B293" s="9">
        <v>49</v>
      </c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20"/>
      <c r="N293" s="12" t="e">
        <f>IF(AND(L292=L293,L293=L294),(IF(AND(#REF!=#REF!,#REF!=#REF!),(IF(AND(#REF!=#REF!,#REF!=#REF!),"","ERROR IN U")),"ERROR IN J")),"ERROR IN T")</f>
        <v>#REF!</v>
      </c>
      <c r="O293" s="4"/>
      <c r="P293" s="4"/>
      <c r="Q293" s="4"/>
      <c r="R293" s="4"/>
      <c r="S293" s="4"/>
    </row>
    <row r="294" spans="1:19" ht="15.95" customHeight="1" x14ac:dyDescent="0.2">
      <c r="A294" s="4"/>
      <c r="B294" s="9">
        <v>49</v>
      </c>
      <c r="C294" s="19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12" t="e">
        <f>IF(AND(L292=L293,L293=L294),(IF(AND(#REF!=#REF!,#REF!=#REF!),(IF(AND(#REF!=#REF!,#REF!=#REF!),"","ERROR IN U")),"ERROR IN J")),"ERROR IN T")</f>
        <v>#REF!</v>
      </c>
      <c r="O294" s="4"/>
      <c r="P294" s="4"/>
      <c r="Q294" s="4"/>
      <c r="R294" s="4"/>
      <c r="S294" s="4"/>
    </row>
    <row r="295" spans="1:19" ht="15.95" customHeight="1" x14ac:dyDescent="0.2">
      <c r="A295" s="4"/>
      <c r="B295" s="9">
        <v>49</v>
      </c>
      <c r="C295" s="21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18" t="e">
        <f>IF(AND(L295=L296,L296=L297),(IF(AND(#REF!=#REF!,#REF!=#REF!),(IF(AND(#REF!=#REF!,#REF!=#REF!),"","ERROR IN U")),"ERROR IN J")),"ERROR IN T")</f>
        <v>#REF!</v>
      </c>
      <c r="O295" s="4"/>
      <c r="P295" s="4"/>
      <c r="Q295" s="4"/>
      <c r="R295" s="4"/>
      <c r="S295" s="4"/>
    </row>
    <row r="296" spans="1:19" ht="15.95" customHeight="1" x14ac:dyDescent="0.2">
      <c r="A296" s="4"/>
      <c r="B296" s="9">
        <v>49</v>
      </c>
      <c r="C296" s="21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18" t="e">
        <f>IF(AND(L295=L296,L296=L297),(IF(AND(#REF!=#REF!,#REF!=#REF!),(IF(AND(#REF!=#REF!,#REF!=#REF!),"","ERROR IN U")),"ERROR IN J")),"ERROR IN T")</f>
        <v>#REF!</v>
      </c>
      <c r="O296" s="4"/>
      <c r="P296" s="4"/>
      <c r="Q296" s="4"/>
      <c r="R296" s="4"/>
      <c r="S296" s="4"/>
    </row>
    <row r="297" spans="1:19" ht="15.95" customHeight="1" x14ac:dyDescent="0.2">
      <c r="A297" s="4"/>
      <c r="B297" s="9">
        <v>49</v>
      </c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18" t="e">
        <f>IF(AND(L295=L296,L296=L297),(IF(AND(#REF!=#REF!,#REF!=#REF!),(IF(AND(#REF!=#REF!,#REF!=#REF!),"","ERROR IN U")),"ERROR IN J")),"ERROR IN T")</f>
        <v>#REF!</v>
      </c>
      <c r="O297" s="4"/>
      <c r="P297" s="4"/>
      <c r="Q297" s="4"/>
      <c r="R297" s="4"/>
      <c r="S297" s="4"/>
    </row>
    <row r="298" spans="1:19" ht="15.95" customHeight="1" x14ac:dyDescent="0.2">
      <c r="A298" s="4"/>
      <c r="B298" s="9">
        <v>50</v>
      </c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2" t="e">
        <f>IF(AND(L298=L299,L299=L300),(IF(AND(#REF!=#REF!,#REF!=#REF!),(IF(AND(#REF!=#REF!,#REF!=#REF!),"","ERROR IN U")),"ERROR IN J")),"ERROR IN T")</f>
        <v>#REF!</v>
      </c>
      <c r="O298" s="4"/>
      <c r="P298" s="4"/>
      <c r="Q298" s="4"/>
      <c r="R298" s="4"/>
      <c r="S298" s="4"/>
    </row>
    <row r="299" spans="1:19" ht="15.95" customHeight="1" x14ac:dyDescent="0.2">
      <c r="A299" s="4"/>
      <c r="B299" s="9">
        <v>50</v>
      </c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20"/>
      <c r="N299" s="12" t="e">
        <f>IF(AND(L298=L299,L299=L300),(IF(AND(#REF!=#REF!,#REF!=#REF!),(IF(AND(#REF!=#REF!,#REF!=#REF!),"","ERROR IN U")),"ERROR IN J")),"ERROR IN T")</f>
        <v>#REF!</v>
      </c>
      <c r="O299" s="4"/>
      <c r="P299" s="4"/>
      <c r="Q299" s="4"/>
      <c r="R299" s="4"/>
      <c r="S299" s="4"/>
    </row>
    <row r="300" spans="1:19" ht="15.95" customHeight="1" x14ac:dyDescent="0.2">
      <c r="A300" s="4"/>
      <c r="B300" s="9">
        <v>50</v>
      </c>
      <c r="C300" s="19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12" t="e">
        <f>IF(AND(L298=L299,L299=L300),(IF(AND(#REF!=#REF!,#REF!=#REF!),(IF(AND(#REF!=#REF!,#REF!=#REF!),"","ERROR IN U")),"ERROR IN J")),"ERROR IN T")</f>
        <v>#REF!</v>
      </c>
      <c r="O300" s="4"/>
      <c r="P300" s="4"/>
      <c r="Q300" s="4"/>
      <c r="R300" s="4"/>
      <c r="S300" s="4"/>
    </row>
    <row r="301" spans="1:19" ht="15.95" customHeight="1" x14ac:dyDescent="0.2">
      <c r="A301" s="4"/>
      <c r="B301" s="9">
        <v>50</v>
      </c>
      <c r="C301" s="21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18" t="e">
        <f>IF(AND(L301=L302,L302=L303),(IF(AND(#REF!=#REF!,#REF!=#REF!),(IF(AND(#REF!=#REF!,#REF!=#REF!),"","ERROR IN U")),"ERROR IN J")),"ERROR IN T")</f>
        <v>#REF!</v>
      </c>
      <c r="O301" s="4"/>
      <c r="P301" s="4"/>
      <c r="Q301" s="4"/>
      <c r="R301" s="4"/>
      <c r="S301" s="4"/>
    </row>
    <row r="302" spans="1:19" ht="15.95" customHeight="1" x14ac:dyDescent="0.2">
      <c r="A302" s="4"/>
      <c r="B302" s="9">
        <v>50</v>
      </c>
      <c r="C302" s="21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18" t="e">
        <f>IF(AND(L301=L302,L302=L303),(IF(AND(#REF!=#REF!,#REF!=#REF!),(IF(AND(#REF!=#REF!,#REF!=#REF!),"","ERROR IN U")),"ERROR IN J")),"ERROR IN T")</f>
        <v>#REF!</v>
      </c>
      <c r="O302" s="4"/>
      <c r="P302" s="4"/>
      <c r="Q302" s="4"/>
      <c r="R302" s="4"/>
      <c r="S302" s="4"/>
    </row>
    <row r="303" spans="1:19" ht="15.95" customHeight="1" x14ac:dyDescent="0.2">
      <c r="A303" s="4"/>
      <c r="B303" s="9">
        <v>50</v>
      </c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18" t="e">
        <f>IF(AND(L301=L302,L302=L303),(IF(AND(#REF!=#REF!,#REF!=#REF!),(IF(AND(#REF!=#REF!,#REF!=#REF!),"","ERROR IN U")),"ERROR IN J")),"ERROR IN T")</f>
        <v>#REF!</v>
      </c>
      <c r="O303" s="4"/>
      <c r="P303" s="4"/>
      <c r="Q303" s="4"/>
      <c r="R303" s="4"/>
      <c r="S303" s="4"/>
    </row>
    <row r="304" spans="1:19" ht="15.95" customHeight="1" x14ac:dyDescent="0.2">
      <c r="A304" s="4"/>
      <c r="B304" s="9">
        <v>51</v>
      </c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 t="e">
        <f>IF(AND(L304=L305,L305=L306),(IF(AND(#REF!=#REF!,#REF!=#REF!),(IF(AND(#REF!=#REF!,#REF!=#REF!),"","ERROR IN U")),"ERROR IN J")),"ERROR IN T")</f>
        <v>#REF!</v>
      </c>
      <c r="O304" s="4"/>
      <c r="P304" s="4"/>
      <c r="Q304" s="4"/>
      <c r="R304" s="4"/>
      <c r="S304" s="4"/>
    </row>
    <row r="305" spans="1:19" ht="15.95" customHeight="1" x14ac:dyDescent="0.2">
      <c r="A305" s="4"/>
      <c r="B305" s="9">
        <v>51</v>
      </c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 t="e">
        <f>IF(AND(L304=L305,L305=L306),(IF(AND(#REF!=#REF!,#REF!=#REF!),(IF(AND(#REF!=#REF!,#REF!=#REF!),"","ERROR IN U")),"ERROR IN J")),"ERROR IN T")</f>
        <v>#REF!</v>
      </c>
      <c r="O305" s="4"/>
      <c r="P305" s="4"/>
      <c r="Q305" s="4"/>
      <c r="R305" s="4"/>
      <c r="S305" s="4"/>
    </row>
    <row r="306" spans="1:19" ht="15.95" customHeight="1" x14ac:dyDescent="0.2">
      <c r="A306" s="4"/>
      <c r="B306" s="9">
        <v>51</v>
      </c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 t="e">
        <f>IF(AND(L304=L305,L305=L306),(IF(AND(#REF!=#REF!,#REF!=#REF!),(IF(AND(#REF!=#REF!,#REF!=#REF!),"","ERROR IN U")),"ERROR IN J")),"ERROR IN T")</f>
        <v>#REF!</v>
      </c>
      <c r="O306" s="4"/>
      <c r="P306" s="4"/>
      <c r="Q306" s="4"/>
      <c r="R306" s="4"/>
      <c r="S306" s="4"/>
    </row>
    <row r="307" spans="1:19" ht="15.95" customHeight="1" x14ac:dyDescent="0.2">
      <c r="A307" s="4"/>
      <c r="B307" s="9">
        <v>51</v>
      </c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 t="e">
        <f>IF(AND(L307=L308,L308=L309),(IF(AND(#REF!=#REF!,#REF!=#REF!),(IF(AND(#REF!=#REF!,#REF!=#REF!),"","ERROR IN U")),"ERROR IN J")),"ERROR IN T")</f>
        <v>#REF!</v>
      </c>
      <c r="O307" s="4"/>
      <c r="P307" s="4"/>
      <c r="Q307" s="4"/>
      <c r="R307" s="4"/>
      <c r="S307" s="4"/>
    </row>
    <row r="308" spans="1:19" ht="15.95" customHeight="1" x14ac:dyDescent="0.2">
      <c r="A308" s="4"/>
      <c r="B308" s="9">
        <v>51</v>
      </c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 t="e">
        <f>IF(AND(L307=L308,L308=L309),(IF(AND(#REF!=#REF!,#REF!=#REF!),(IF(AND(#REF!=#REF!,#REF!=#REF!),"","ERROR IN U")),"ERROR IN J")),"ERROR IN T")</f>
        <v>#REF!</v>
      </c>
      <c r="O308" s="4"/>
      <c r="P308" s="4"/>
      <c r="Q308" s="4"/>
      <c r="R308" s="4"/>
      <c r="S308" s="4"/>
    </row>
    <row r="309" spans="1:19" ht="15.95" customHeight="1" x14ac:dyDescent="0.2">
      <c r="A309" s="4"/>
      <c r="B309" s="9">
        <v>51</v>
      </c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 t="e">
        <f>IF(AND(L307=L308,L308=L309),(IF(AND(#REF!=#REF!,#REF!=#REF!),(IF(AND(#REF!=#REF!,#REF!=#REF!),"","ERROR IN U")),"ERROR IN J")),"ERROR IN T")</f>
        <v>#REF!</v>
      </c>
      <c r="O309" s="4"/>
      <c r="P309" s="4"/>
      <c r="Q309" s="4"/>
      <c r="R309" s="4"/>
      <c r="S309" s="4"/>
    </row>
    <row r="310" spans="1:19" ht="15.95" customHeight="1" x14ac:dyDescent="0.2">
      <c r="A310" s="4"/>
      <c r="B310" s="9">
        <v>52</v>
      </c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2" t="e">
        <f>IF(AND(L310=L311,L311=L312),(IF(AND(#REF!=#REF!,#REF!=#REF!),(IF(AND(#REF!=#REF!,#REF!=#REF!),"","ERROR IN U")),"ERROR IN J")),"ERROR IN T")</f>
        <v>#REF!</v>
      </c>
      <c r="O310" s="4"/>
      <c r="P310" s="4"/>
      <c r="Q310" s="4"/>
      <c r="R310" s="4"/>
      <c r="S310" s="4"/>
    </row>
    <row r="311" spans="1:19" ht="15.95" customHeight="1" x14ac:dyDescent="0.2">
      <c r="A311" s="4"/>
      <c r="B311" s="9">
        <v>52</v>
      </c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20"/>
      <c r="N311" s="12" t="e">
        <f>IF(AND(L310=L311,L311=L312),(IF(AND(#REF!=#REF!,#REF!=#REF!),(IF(AND(#REF!=#REF!,#REF!=#REF!),"","ERROR IN U")),"ERROR IN J")),"ERROR IN T")</f>
        <v>#REF!</v>
      </c>
      <c r="O311" s="4"/>
      <c r="P311" s="4"/>
      <c r="Q311" s="4"/>
      <c r="R311" s="4"/>
      <c r="S311" s="4"/>
    </row>
    <row r="312" spans="1:19" ht="15.95" customHeight="1" x14ac:dyDescent="0.2">
      <c r="A312" s="4"/>
      <c r="B312" s="9">
        <v>52</v>
      </c>
      <c r="C312" s="19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12" t="e">
        <f>IF(AND(L310=L311,L311=L312),(IF(AND(#REF!=#REF!,#REF!=#REF!),(IF(AND(#REF!=#REF!,#REF!=#REF!),"","ERROR IN U")),"ERROR IN J")),"ERROR IN T")</f>
        <v>#REF!</v>
      </c>
      <c r="O312" s="4"/>
      <c r="P312" s="4"/>
      <c r="Q312" s="4"/>
      <c r="R312" s="4"/>
      <c r="S312" s="4"/>
    </row>
    <row r="313" spans="1:19" ht="15.95" customHeight="1" x14ac:dyDescent="0.2">
      <c r="A313" s="4"/>
      <c r="B313" s="9">
        <v>52</v>
      </c>
      <c r="C313" s="21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18" t="e">
        <f>IF(AND(L313=L314,L314=L315),(IF(AND(#REF!=#REF!,#REF!=#REF!),(IF(AND(#REF!=#REF!,#REF!=#REF!),"","ERROR IN U")),"ERROR IN J")),"ERROR IN T")</f>
        <v>#REF!</v>
      </c>
      <c r="O313" s="4"/>
      <c r="P313" s="4"/>
      <c r="Q313" s="4"/>
      <c r="R313" s="4"/>
      <c r="S313" s="4"/>
    </row>
    <row r="314" spans="1:19" ht="15.95" customHeight="1" x14ac:dyDescent="0.2">
      <c r="A314" s="4"/>
      <c r="B314" s="9">
        <v>52</v>
      </c>
      <c r="C314" s="21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18" t="e">
        <f>IF(AND(L313=L314,L314=L315),(IF(AND(#REF!=#REF!,#REF!=#REF!),(IF(AND(#REF!=#REF!,#REF!=#REF!),"","ERROR IN U")),"ERROR IN J")),"ERROR IN T")</f>
        <v>#REF!</v>
      </c>
      <c r="O314" s="4"/>
      <c r="P314" s="4"/>
      <c r="Q314" s="4"/>
      <c r="R314" s="4"/>
      <c r="S314" s="4"/>
    </row>
    <row r="315" spans="1:19" ht="15.95" customHeight="1" x14ac:dyDescent="0.2">
      <c r="A315" s="4"/>
      <c r="B315" s="9">
        <v>52</v>
      </c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18" t="e">
        <f>IF(AND(L313=L314,L314=L315),(IF(AND(#REF!=#REF!,#REF!=#REF!),(IF(AND(#REF!=#REF!,#REF!=#REF!),"","ERROR IN U")),"ERROR IN J")),"ERROR IN T")</f>
        <v>#REF!</v>
      </c>
      <c r="O315" s="4"/>
      <c r="P315" s="4"/>
      <c r="Q315" s="4"/>
      <c r="R315" s="4"/>
      <c r="S315" s="4"/>
    </row>
    <row r="316" spans="1:19" ht="15.95" customHeight="1" x14ac:dyDescent="0.2">
      <c r="A316" s="4"/>
      <c r="B316" s="9">
        <v>53</v>
      </c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 t="e">
        <f>IF(AND(L316=L317,L317=L318),(IF(AND(#REF!=#REF!,#REF!=#REF!),(IF(AND(#REF!=#REF!,#REF!=#REF!),"","ERROR IN U")),"ERROR IN J")),"ERROR IN T")</f>
        <v>#REF!</v>
      </c>
      <c r="O316" s="4"/>
      <c r="P316" s="4"/>
      <c r="Q316" s="4"/>
      <c r="R316" s="4"/>
      <c r="S316" s="4"/>
    </row>
    <row r="317" spans="1:19" ht="15.95" customHeight="1" x14ac:dyDescent="0.2">
      <c r="A317" s="4"/>
      <c r="B317" s="9">
        <v>53</v>
      </c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 t="e">
        <f>IF(AND(L316=L317,L317=L318),(IF(AND(#REF!=#REF!,#REF!=#REF!),(IF(AND(#REF!=#REF!,#REF!=#REF!),"","ERROR IN U")),"ERROR IN J")),"ERROR IN T")</f>
        <v>#REF!</v>
      </c>
      <c r="O317" s="4"/>
      <c r="P317" s="4"/>
      <c r="Q317" s="4"/>
      <c r="R317" s="4"/>
      <c r="S317" s="4"/>
    </row>
    <row r="318" spans="1:19" ht="15.95" customHeight="1" x14ac:dyDescent="0.2">
      <c r="A318" s="4"/>
      <c r="B318" s="9">
        <v>53</v>
      </c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 t="e">
        <f>IF(AND(L316=L317,L317=L318),(IF(AND(#REF!=#REF!,#REF!=#REF!),(IF(AND(#REF!=#REF!,#REF!=#REF!),"","ERROR IN U")),"ERROR IN J")),"ERROR IN T")</f>
        <v>#REF!</v>
      </c>
      <c r="O318" s="4"/>
      <c r="P318" s="4"/>
      <c r="Q318" s="4"/>
      <c r="R318" s="4"/>
      <c r="S318" s="4"/>
    </row>
    <row r="319" spans="1:19" ht="15.95" customHeight="1" x14ac:dyDescent="0.2">
      <c r="A319" s="4"/>
      <c r="B319" s="9">
        <v>53</v>
      </c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 t="e">
        <f>IF(AND(L319=L320,L320=L321),(IF(AND(#REF!=#REF!,#REF!=#REF!),(IF(AND(#REF!=#REF!,#REF!=#REF!),"","ERROR IN U")),"ERROR IN J")),"ERROR IN T")</f>
        <v>#REF!</v>
      </c>
      <c r="O319" s="4"/>
      <c r="P319" s="4"/>
      <c r="Q319" s="4"/>
      <c r="R319" s="4"/>
      <c r="S319" s="4"/>
    </row>
    <row r="320" spans="1:19" ht="15.95" customHeight="1" x14ac:dyDescent="0.2">
      <c r="A320" s="4"/>
      <c r="B320" s="9">
        <v>53</v>
      </c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 t="e">
        <f>IF(AND(L319=L320,L320=L321),(IF(AND(#REF!=#REF!,#REF!=#REF!),(IF(AND(#REF!=#REF!,#REF!=#REF!),"","ERROR IN U")),"ERROR IN J")),"ERROR IN T")</f>
        <v>#REF!</v>
      </c>
      <c r="O320" s="4"/>
      <c r="P320" s="4"/>
      <c r="Q320" s="4"/>
      <c r="R320" s="4"/>
      <c r="S320" s="4"/>
    </row>
    <row r="321" spans="1:19" ht="15.95" customHeight="1" x14ac:dyDescent="0.2">
      <c r="A321" s="4"/>
      <c r="B321" s="9">
        <v>53</v>
      </c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 t="e">
        <f>IF(AND(L319=L320,L320=L321),(IF(AND(#REF!=#REF!,#REF!=#REF!),(IF(AND(#REF!=#REF!,#REF!=#REF!),"","ERROR IN U")),"ERROR IN J")),"ERROR IN T")</f>
        <v>#REF!</v>
      </c>
      <c r="O321" s="4"/>
      <c r="P321" s="4"/>
      <c r="Q321" s="4"/>
      <c r="R321" s="4"/>
      <c r="S321" s="4"/>
    </row>
    <row r="322" spans="1:19" ht="15.95" customHeight="1" x14ac:dyDescent="0.2">
      <c r="A322" s="4"/>
      <c r="B322" s="9">
        <v>54</v>
      </c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2" t="e">
        <f>IF(AND(L322=L323,L323=L324),(IF(AND(#REF!=#REF!,#REF!=#REF!),(IF(AND(#REF!=#REF!,#REF!=#REF!),"","ERROR IN U")),"ERROR IN J")),"ERROR IN T")</f>
        <v>#REF!</v>
      </c>
      <c r="O322" s="4"/>
      <c r="P322" s="4"/>
      <c r="Q322" s="4"/>
      <c r="R322" s="4"/>
      <c r="S322" s="4"/>
    </row>
    <row r="323" spans="1:19" ht="15.95" customHeight="1" x14ac:dyDescent="0.2">
      <c r="A323" s="4"/>
      <c r="B323" s="9">
        <v>54</v>
      </c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20"/>
      <c r="N323" s="12" t="e">
        <f>IF(AND(L322=L323,L323=L324),(IF(AND(#REF!=#REF!,#REF!=#REF!),(IF(AND(#REF!=#REF!,#REF!=#REF!),"","ERROR IN U")),"ERROR IN J")),"ERROR IN T")</f>
        <v>#REF!</v>
      </c>
      <c r="O323" s="4"/>
      <c r="P323" s="4"/>
      <c r="Q323" s="4"/>
      <c r="R323" s="4"/>
      <c r="S323" s="4"/>
    </row>
    <row r="324" spans="1:19" ht="15.95" customHeight="1" x14ac:dyDescent="0.2">
      <c r="A324" s="4"/>
      <c r="B324" s="9">
        <v>54</v>
      </c>
      <c r="C324" s="19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12" t="e">
        <f>IF(AND(L322=L323,L323=L324),(IF(AND(#REF!=#REF!,#REF!=#REF!),(IF(AND(#REF!=#REF!,#REF!=#REF!),"","ERROR IN U")),"ERROR IN J")),"ERROR IN T")</f>
        <v>#REF!</v>
      </c>
      <c r="O324" s="4"/>
      <c r="P324" s="4"/>
      <c r="Q324" s="4"/>
      <c r="R324" s="4"/>
      <c r="S324" s="4"/>
    </row>
    <row r="325" spans="1:19" ht="15.95" customHeight="1" x14ac:dyDescent="0.2">
      <c r="A325" s="4"/>
      <c r="B325" s="9">
        <v>54</v>
      </c>
      <c r="C325" s="21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18" t="e">
        <f>IF(AND(L325=L326,L326=L327),(IF(AND(#REF!=#REF!,#REF!=#REF!),(IF(AND(#REF!=#REF!,#REF!=#REF!),"","ERROR IN U")),"ERROR IN J")),"ERROR IN T")</f>
        <v>#REF!</v>
      </c>
      <c r="O325" s="4"/>
      <c r="P325" s="4"/>
      <c r="Q325" s="4"/>
      <c r="R325" s="4"/>
      <c r="S325" s="4"/>
    </row>
    <row r="326" spans="1:19" ht="15.95" customHeight="1" x14ac:dyDescent="0.2">
      <c r="A326" s="4"/>
      <c r="B326" s="9">
        <v>54</v>
      </c>
      <c r="C326" s="21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18" t="e">
        <f>IF(AND(L325=L326,L326=L327),(IF(AND(#REF!=#REF!,#REF!=#REF!),(IF(AND(#REF!=#REF!,#REF!=#REF!),"","ERROR IN U")),"ERROR IN J")),"ERROR IN T")</f>
        <v>#REF!</v>
      </c>
      <c r="O326" s="4"/>
      <c r="P326" s="4"/>
      <c r="Q326" s="4"/>
      <c r="R326" s="4"/>
      <c r="S326" s="4"/>
    </row>
    <row r="327" spans="1:19" ht="15.95" customHeight="1" x14ac:dyDescent="0.2">
      <c r="A327" s="4"/>
      <c r="B327" s="9">
        <v>54</v>
      </c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18" t="e">
        <f>IF(AND(L325=L326,L326=L327),(IF(AND(#REF!=#REF!,#REF!=#REF!),(IF(AND(#REF!=#REF!,#REF!=#REF!),"","ERROR IN U")),"ERROR IN J")),"ERROR IN T")</f>
        <v>#REF!</v>
      </c>
      <c r="O327" s="4"/>
      <c r="P327" s="4"/>
      <c r="Q327" s="4"/>
      <c r="R327" s="4"/>
      <c r="S327" s="4"/>
    </row>
    <row r="328" spans="1:19" ht="15.95" customHeight="1" x14ac:dyDescent="0.2">
      <c r="A328" s="4"/>
      <c r="B328" s="9">
        <v>55</v>
      </c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2" t="e">
        <f>IF(AND(L328=L329,L329=L330),(IF(AND(#REF!=#REF!,#REF!=#REF!),(IF(AND(#REF!=#REF!,#REF!=#REF!),"","ERROR IN U")),"ERROR IN J")),"ERROR IN T")</f>
        <v>#REF!</v>
      </c>
      <c r="O328" s="4"/>
      <c r="P328" s="4"/>
      <c r="Q328" s="4"/>
      <c r="R328" s="4"/>
      <c r="S328" s="4"/>
    </row>
    <row r="329" spans="1:19" ht="15.95" customHeight="1" x14ac:dyDescent="0.2">
      <c r="A329" s="4"/>
      <c r="B329" s="9">
        <v>55</v>
      </c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20"/>
      <c r="N329" s="12" t="e">
        <f>IF(AND(L328=L329,L329=L330),(IF(AND(#REF!=#REF!,#REF!=#REF!),(IF(AND(#REF!=#REF!,#REF!=#REF!),"","ERROR IN U")),"ERROR IN J")),"ERROR IN T")</f>
        <v>#REF!</v>
      </c>
      <c r="O329" s="4"/>
      <c r="P329" s="4"/>
      <c r="Q329" s="4"/>
      <c r="R329" s="4"/>
      <c r="S329" s="4"/>
    </row>
    <row r="330" spans="1:19" ht="15.95" customHeight="1" x14ac:dyDescent="0.2">
      <c r="A330" s="4"/>
      <c r="B330" s="9">
        <v>55</v>
      </c>
      <c r="C330" s="19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12" t="e">
        <f>IF(AND(L328=L329,L329=L330),(IF(AND(#REF!=#REF!,#REF!=#REF!),(IF(AND(#REF!=#REF!,#REF!=#REF!),"","ERROR IN U")),"ERROR IN J")),"ERROR IN T")</f>
        <v>#REF!</v>
      </c>
      <c r="O330" s="4"/>
      <c r="P330" s="4"/>
      <c r="Q330" s="4"/>
      <c r="R330" s="4"/>
      <c r="S330" s="4"/>
    </row>
    <row r="331" spans="1:19" ht="15.95" customHeight="1" x14ac:dyDescent="0.2">
      <c r="A331" s="4"/>
      <c r="B331" s="9">
        <v>55</v>
      </c>
      <c r="C331" s="21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18" t="e">
        <f>IF(AND(L331=L332,L332=L333),(IF(AND(#REF!=#REF!,#REF!=#REF!),(IF(AND(#REF!=#REF!,#REF!=#REF!),"","ERROR IN U")),"ERROR IN J")),"ERROR IN T")</f>
        <v>#REF!</v>
      </c>
      <c r="O331" s="4"/>
      <c r="P331" s="4"/>
      <c r="Q331" s="4"/>
      <c r="R331" s="4"/>
      <c r="S331" s="4"/>
    </row>
    <row r="332" spans="1:19" ht="15.95" customHeight="1" x14ac:dyDescent="0.2">
      <c r="A332" s="4"/>
      <c r="B332" s="9">
        <v>55</v>
      </c>
      <c r="C332" s="21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18" t="e">
        <f>IF(AND(L331=L332,L332=L333),(IF(AND(#REF!=#REF!,#REF!=#REF!),(IF(AND(#REF!=#REF!,#REF!=#REF!),"","ERROR IN U")),"ERROR IN J")),"ERROR IN T")</f>
        <v>#REF!</v>
      </c>
      <c r="O332" s="4"/>
      <c r="P332" s="4"/>
      <c r="Q332" s="4"/>
      <c r="R332" s="4"/>
      <c r="S332" s="4"/>
    </row>
    <row r="333" spans="1:19" ht="15.95" customHeight="1" x14ac:dyDescent="0.2">
      <c r="A333" s="4"/>
      <c r="B333" s="9">
        <v>55</v>
      </c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18" t="e">
        <f>IF(AND(L331=L332,L332=L333),(IF(AND(#REF!=#REF!,#REF!=#REF!),(IF(AND(#REF!=#REF!,#REF!=#REF!),"","ERROR IN U")),"ERROR IN J")),"ERROR IN T")</f>
        <v>#REF!</v>
      </c>
      <c r="O333" s="4"/>
      <c r="P333" s="4"/>
      <c r="Q333" s="4"/>
      <c r="R333" s="4"/>
      <c r="S333" s="4"/>
    </row>
    <row r="334" spans="1:19" ht="15.95" customHeight="1" x14ac:dyDescent="0.2">
      <c r="A334" s="4"/>
      <c r="B334" s="9">
        <v>56</v>
      </c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2" t="e">
        <f>IF(AND(L334=L335,L335=L336),(IF(AND(#REF!=#REF!,#REF!=#REF!),(IF(AND(#REF!=#REF!,#REF!=#REF!),"","ERROR IN U")),"ERROR IN J")),"ERROR IN T")</f>
        <v>#REF!</v>
      </c>
      <c r="O334" s="4"/>
      <c r="P334" s="4"/>
      <c r="Q334" s="4"/>
      <c r="R334" s="4"/>
      <c r="S334" s="4"/>
    </row>
    <row r="335" spans="1:19" ht="15.95" customHeight="1" x14ac:dyDescent="0.2">
      <c r="A335" s="4"/>
      <c r="B335" s="9">
        <v>56</v>
      </c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20"/>
      <c r="N335" s="12" t="e">
        <f>IF(AND(L334=L335,L335=L336),(IF(AND(#REF!=#REF!,#REF!=#REF!),(IF(AND(#REF!=#REF!,#REF!=#REF!),"","ERROR IN U")),"ERROR IN J")),"ERROR IN T")</f>
        <v>#REF!</v>
      </c>
      <c r="O335" s="4"/>
      <c r="P335" s="4"/>
      <c r="Q335" s="4"/>
      <c r="R335" s="4"/>
      <c r="S335" s="4"/>
    </row>
    <row r="336" spans="1:19" ht="15.95" customHeight="1" x14ac:dyDescent="0.2">
      <c r="A336" s="4"/>
      <c r="B336" s="9">
        <v>56</v>
      </c>
      <c r="C336" s="19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12" t="e">
        <f>IF(AND(L334=L335,L335=L336),(IF(AND(#REF!=#REF!,#REF!=#REF!),(IF(AND(#REF!=#REF!,#REF!=#REF!),"","ERROR IN U")),"ERROR IN J")),"ERROR IN T")</f>
        <v>#REF!</v>
      </c>
      <c r="O336" s="4"/>
      <c r="P336" s="4"/>
      <c r="Q336" s="4"/>
      <c r="R336" s="4"/>
      <c r="S336" s="4"/>
    </row>
    <row r="337" spans="1:19" ht="15.95" customHeight="1" x14ac:dyDescent="0.2">
      <c r="A337" s="4"/>
      <c r="B337" s="9">
        <v>56</v>
      </c>
      <c r="C337" s="21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18" t="e">
        <f>IF(AND(L337=L338,L338=L339),(IF(AND(#REF!=#REF!,#REF!=#REF!),(IF(AND(#REF!=#REF!,#REF!=#REF!),"","ERROR IN U")),"ERROR IN J")),"ERROR IN T")</f>
        <v>#REF!</v>
      </c>
      <c r="O337" s="4"/>
      <c r="P337" s="4"/>
      <c r="Q337" s="4"/>
      <c r="R337" s="4"/>
      <c r="S337" s="4"/>
    </row>
    <row r="338" spans="1:19" ht="15.95" customHeight="1" x14ac:dyDescent="0.2">
      <c r="A338" s="4"/>
      <c r="B338" s="9">
        <v>56</v>
      </c>
      <c r="C338" s="21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18" t="e">
        <f>IF(AND(L337=L338,L338=L339),(IF(AND(#REF!=#REF!,#REF!=#REF!),(IF(AND(#REF!=#REF!,#REF!=#REF!),"","ERROR IN U")),"ERROR IN J")),"ERROR IN T")</f>
        <v>#REF!</v>
      </c>
      <c r="O338" s="4"/>
      <c r="P338" s="4"/>
      <c r="Q338" s="4"/>
      <c r="R338" s="4"/>
      <c r="S338" s="4"/>
    </row>
    <row r="339" spans="1:19" ht="15.95" customHeight="1" x14ac:dyDescent="0.2">
      <c r="A339" s="4"/>
      <c r="B339" s="9">
        <v>56</v>
      </c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18" t="e">
        <f>IF(AND(L337=L338,L338=L339),(IF(AND(#REF!=#REF!,#REF!=#REF!),(IF(AND(#REF!=#REF!,#REF!=#REF!),"","ERROR IN U")),"ERROR IN J")),"ERROR IN T")</f>
        <v>#REF!</v>
      </c>
      <c r="O339" s="4"/>
      <c r="P339" s="4"/>
      <c r="Q339" s="4"/>
      <c r="R339" s="4"/>
      <c r="S339" s="4"/>
    </row>
    <row r="340" spans="1:19" ht="15.95" customHeight="1" x14ac:dyDescent="0.2">
      <c r="A340" s="4"/>
      <c r="B340" s="9">
        <v>57</v>
      </c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2" t="e">
        <f>IF(AND(L340=L341,L341=L342),(IF(AND(#REF!=#REF!,#REF!=#REF!),(IF(AND(#REF!=#REF!,#REF!=#REF!),"","ERROR IN U")),"ERROR IN J")),"ERROR IN T")</f>
        <v>#REF!</v>
      </c>
      <c r="O340" s="4"/>
      <c r="P340" s="4"/>
      <c r="Q340" s="4"/>
      <c r="R340" s="4"/>
      <c r="S340" s="4"/>
    </row>
    <row r="341" spans="1:19" ht="15.95" customHeight="1" x14ac:dyDescent="0.2">
      <c r="A341" s="4"/>
      <c r="B341" s="9">
        <v>57</v>
      </c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20"/>
      <c r="N341" s="12" t="e">
        <f>IF(AND(L340=L341,L341=L342),(IF(AND(#REF!=#REF!,#REF!=#REF!),(IF(AND(#REF!=#REF!,#REF!=#REF!),"","ERROR IN U")),"ERROR IN J")),"ERROR IN T")</f>
        <v>#REF!</v>
      </c>
      <c r="O341" s="4"/>
      <c r="P341" s="4"/>
      <c r="Q341" s="4"/>
      <c r="R341" s="4"/>
      <c r="S341" s="4"/>
    </row>
    <row r="342" spans="1:19" ht="15.95" customHeight="1" x14ac:dyDescent="0.2">
      <c r="A342" s="4"/>
      <c r="B342" s="9">
        <v>57</v>
      </c>
      <c r="C342" s="19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12" t="e">
        <f>IF(AND(L340=L341,L341=L342),(IF(AND(#REF!=#REF!,#REF!=#REF!),(IF(AND(#REF!=#REF!,#REF!=#REF!),"","ERROR IN U")),"ERROR IN J")),"ERROR IN T")</f>
        <v>#REF!</v>
      </c>
      <c r="O342" s="4"/>
      <c r="P342" s="4"/>
      <c r="Q342" s="4"/>
      <c r="R342" s="4"/>
      <c r="S342" s="4"/>
    </row>
    <row r="343" spans="1:19" ht="15.95" customHeight="1" x14ac:dyDescent="0.2">
      <c r="A343" s="4"/>
      <c r="B343" s="9">
        <v>57</v>
      </c>
      <c r="C343" s="21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18" t="e">
        <f>IF(AND(L343=L344,L344=L345),(IF(AND(#REF!=#REF!,#REF!=#REF!),(IF(AND(#REF!=#REF!,#REF!=#REF!),"","ERROR IN U")),"ERROR IN J")),"ERROR IN T")</f>
        <v>#REF!</v>
      </c>
      <c r="O343" s="4"/>
      <c r="P343" s="4"/>
      <c r="Q343" s="4"/>
      <c r="R343" s="4"/>
      <c r="S343" s="4"/>
    </row>
    <row r="344" spans="1:19" ht="15.95" customHeight="1" x14ac:dyDescent="0.2">
      <c r="A344" s="4"/>
      <c r="B344" s="9">
        <v>57</v>
      </c>
      <c r="C344" s="21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18" t="e">
        <f>IF(AND(L343=L344,L344=L345),(IF(AND(#REF!=#REF!,#REF!=#REF!),(IF(AND(#REF!=#REF!,#REF!=#REF!),"","ERROR IN U")),"ERROR IN J")),"ERROR IN T")</f>
        <v>#REF!</v>
      </c>
      <c r="O344" s="4"/>
      <c r="P344" s="4"/>
      <c r="Q344" s="4"/>
      <c r="R344" s="4"/>
      <c r="S344" s="4"/>
    </row>
    <row r="345" spans="1:19" ht="15.95" customHeight="1" x14ac:dyDescent="0.2">
      <c r="A345" s="4"/>
      <c r="B345" s="9">
        <v>57</v>
      </c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18" t="e">
        <f>IF(AND(L343=L344,L344=L345),(IF(AND(#REF!=#REF!,#REF!=#REF!),(IF(AND(#REF!=#REF!,#REF!=#REF!),"","ERROR IN U")),"ERROR IN J")),"ERROR IN T")</f>
        <v>#REF!</v>
      </c>
      <c r="O345" s="4"/>
      <c r="P345" s="4"/>
      <c r="Q345" s="4"/>
      <c r="R345" s="4"/>
      <c r="S345" s="4"/>
    </row>
    <row r="346" spans="1:19" ht="15.95" customHeight="1" x14ac:dyDescent="0.2">
      <c r="A346" s="4"/>
      <c r="B346" s="9">
        <v>58</v>
      </c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2" t="e">
        <f>IF(AND(L346=L347,L347=L348),(IF(AND(#REF!=#REF!,#REF!=#REF!),(IF(AND(#REF!=#REF!,#REF!=#REF!),"","ERROR IN U")),"ERROR IN J")),"ERROR IN T")</f>
        <v>#REF!</v>
      </c>
      <c r="O346" s="4"/>
      <c r="P346" s="4"/>
      <c r="Q346" s="4"/>
      <c r="R346" s="4"/>
      <c r="S346" s="4"/>
    </row>
    <row r="347" spans="1:19" ht="15.95" customHeight="1" x14ac:dyDescent="0.2">
      <c r="A347" s="4"/>
      <c r="B347" s="9">
        <v>58</v>
      </c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20"/>
      <c r="N347" s="12" t="e">
        <f>IF(AND(L346=L347,L347=L348),(IF(AND(#REF!=#REF!,#REF!=#REF!),(IF(AND(#REF!=#REF!,#REF!=#REF!),"","ERROR IN U")),"ERROR IN J")),"ERROR IN T")</f>
        <v>#REF!</v>
      </c>
      <c r="O347" s="4"/>
      <c r="P347" s="4"/>
      <c r="Q347" s="4"/>
      <c r="R347" s="4"/>
      <c r="S347" s="4"/>
    </row>
    <row r="348" spans="1:19" ht="15.95" customHeight="1" x14ac:dyDescent="0.2">
      <c r="A348" s="4"/>
      <c r="B348" s="9">
        <v>58</v>
      </c>
      <c r="C348" s="19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12" t="e">
        <f>IF(AND(L346=L347,L347=L348),(IF(AND(#REF!=#REF!,#REF!=#REF!),(IF(AND(#REF!=#REF!,#REF!=#REF!),"","ERROR IN U")),"ERROR IN J")),"ERROR IN T")</f>
        <v>#REF!</v>
      </c>
      <c r="O348" s="4"/>
      <c r="P348" s="4"/>
      <c r="Q348" s="4"/>
      <c r="R348" s="4"/>
      <c r="S348" s="4"/>
    </row>
    <row r="349" spans="1:19" ht="15.95" customHeight="1" x14ac:dyDescent="0.2">
      <c r="A349" s="4"/>
      <c r="B349" s="9">
        <v>58</v>
      </c>
      <c r="C349" s="21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18" t="e">
        <f>IF(AND(L349=L350,L350=L351),(IF(AND(#REF!=#REF!,#REF!=#REF!),(IF(AND(#REF!=#REF!,#REF!=#REF!),"","ERROR IN U")),"ERROR IN J")),"ERROR IN T")</f>
        <v>#REF!</v>
      </c>
      <c r="O349" s="4"/>
      <c r="P349" s="4"/>
      <c r="Q349" s="4"/>
      <c r="R349" s="4"/>
      <c r="S349" s="4"/>
    </row>
    <row r="350" spans="1:19" ht="15.95" customHeight="1" x14ac:dyDescent="0.2">
      <c r="A350" s="4"/>
      <c r="B350" s="9">
        <v>58</v>
      </c>
      <c r="C350" s="21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18" t="e">
        <f>IF(AND(L349=L350,L350=L351),(IF(AND(#REF!=#REF!,#REF!=#REF!),(IF(AND(#REF!=#REF!,#REF!=#REF!),"","ERROR IN U")),"ERROR IN J")),"ERROR IN T")</f>
        <v>#REF!</v>
      </c>
      <c r="O350" s="4"/>
      <c r="P350" s="4"/>
      <c r="Q350" s="4"/>
      <c r="R350" s="4"/>
      <c r="S350" s="4"/>
    </row>
    <row r="351" spans="1:19" ht="15.95" customHeight="1" x14ac:dyDescent="0.2">
      <c r="A351" s="4"/>
      <c r="B351" s="9">
        <v>58</v>
      </c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18" t="e">
        <f>IF(AND(L349=L350,L350=L351),(IF(AND(#REF!=#REF!,#REF!=#REF!),(IF(AND(#REF!=#REF!,#REF!=#REF!),"","ERROR IN U")),"ERROR IN J")),"ERROR IN T")</f>
        <v>#REF!</v>
      </c>
      <c r="O351" s="4"/>
      <c r="P351" s="4"/>
      <c r="Q351" s="4"/>
      <c r="R351" s="4"/>
      <c r="S351" s="4"/>
    </row>
    <row r="352" spans="1:19" ht="15.95" customHeight="1" x14ac:dyDescent="0.2">
      <c r="A352" s="4"/>
      <c r="B352" s="9">
        <v>59</v>
      </c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 t="e">
        <f>IF(AND(L352=L353,L353=L354),(IF(AND(#REF!=#REF!,#REF!=#REF!),(IF(AND(#REF!=#REF!,#REF!=#REF!),"","ERROR IN U")),"ERROR IN J")),"ERROR IN T")</f>
        <v>#REF!</v>
      </c>
      <c r="O352" s="4"/>
      <c r="P352" s="4"/>
      <c r="Q352" s="4"/>
      <c r="R352" s="4"/>
      <c r="S352" s="4"/>
    </row>
    <row r="353" spans="1:19" ht="15.95" customHeight="1" x14ac:dyDescent="0.2">
      <c r="A353" s="4"/>
      <c r="B353" s="9">
        <v>59</v>
      </c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 t="e">
        <f>IF(AND(L352=L353,L353=L354),(IF(AND(#REF!=#REF!,#REF!=#REF!),(IF(AND(#REF!=#REF!,#REF!=#REF!),"","ERROR IN U")),"ERROR IN J")),"ERROR IN T")</f>
        <v>#REF!</v>
      </c>
      <c r="O353" s="4"/>
      <c r="P353" s="4"/>
      <c r="Q353" s="4"/>
      <c r="R353" s="4"/>
      <c r="S353" s="4"/>
    </row>
    <row r="354" spans="1:19" ht="15.95" customHeight="1" x14ac:dyDescent="0.2">
      <c r="A354" s="4"/>
      <c r="B354" s="9">
        <v>59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 t="e">
        <f>IF(AND(L352=L353,L353=L354),(IF(AND(#REF!=#REF!,#REF!=#REF!),(IF(AND(#REF!=#REF!,#REF!=#REF!),"","ERROR IN U")),"ERROR IN J")),"ERROR IN T")</f>
        <v>#REF!</v>
      </c>
      <c r="O354" s="4"/>
      <c r="P354" s="4"/>
      <c r="Q354" s="4"/>
      <c r="R354" s="4"/>
      <c r="S354" s="4"/>
    </row>
    <row r="355" spans="1:19" ht="15.95" customHeight="1" x14ac:dyDescent="0.2">
      <c r="A355" s="4"/>
      <c r="B355" s="9">
        <v>59</v>
      </c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 t="e">
        <f>IF(AND(L355=L356,L356=L357),(IF(AND(#REF!=#REF!,#REF!=#REF!),(IF(AND(#REF!=#REF!,#REF!=#REF!),"","ERROR IN U")),"ERROR IN J")),"ERROR IN T")</f>
        <v>#REF!</v>
      </c>
      <c r="O355" s="4"/>
      <c r="P355" s="4"/>
      <c r="Q355" s="4"/>
      <c r="R355" s="4"/>
      <c r="S355" s="4"/>
    </row>
    <row r="356" spans="1:19" ht="15.95" customHeight="1" x14ac:dyDescent="0.2">
      <c r="A356" s="4"/>
      <c r="B356" s="9">
        <v>59</v>
      </c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 t="e">
        <f>IF(AND(L355=L356,L356=L357),(IF(AND(#REF!=#REF!,#REF!=#REF!),(IF(AND(#REF!=#REF!,#REF!=#REF!),"","ERROR IN U")),"ERROR IN J")),"ERROR IN T")</f>
        <v>#REF!</v>
      </c>
      <c r="O356" s="4"/>
      <c r="P356" s="4"/>
      <c r="Q356" s="4"/>
      <c r="R356" s="4"/>
      <c r="S356" s="4"/>
    </row>
    <row r="357" spans="1:19" ht="15.95" customHeight="1" x14ac:dyDescent="0.2">
      <c r="A357" s="4"/>
      <c r="B357" s="9">
        <v>59</v>
      </c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 t="e">
        <f>IF(AND(L355=L356,L356=L357),(IF(AND(#REF!=#REF!,#REF!=#REF!),(IF(AND(#REF!=#REF!,#REF!=#REF!),"","ERROR IN U")),"ERROR IN J")),"ERROR IN T")</f>
        <v>#REF!</v>
      </c>
      <c r="O357" s="4"/>
      <c r="P357" s="4"/>
      <c r="Q357" s="4"/>
      <c r="R357" s="4"/>
      <c r="S357" s="4"/>
    </row>
    <row r="358" spans="1:19" ht="15.95" customHeight="1" x14ac:dyDescent="0.2">
      <c r="A358" s="4"/>
      <c r="B358" s="9">
        <v>60</v>
      </c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2" t="e">
        <f>IF(AND(L358=L359,L359=L360),(IF(AND(#REF!=#REF!,#REF!=#REF!),(IF(AND(#REF!=#REF!,#REF!=#REF!),"","ERROR IN U")),"ERROR IN J")),"ERROR IN T")</f>
        <v>#REF!</v>
      </c>
      <c r="O358" s="4"/>
      <c r="P358" s="4"/>
      <c r="Q358" s="4"/>
      <c r="R358" s="4"/>
      <c r="S358" s="4"/>
    </row>
    <row r="359" spans="1:19" ht="15.95" customHeight="1" x14ac:dyDescent="0.2">
      <c r="A359" s="4"/>
      <c r="B359" s="9">
        <v>60</v>
      </c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20"/>
      <c r="N359" s="12" t="e">
        <f>IF(AND(L358=L359,L359=L360),(IF(AND(#REF!=#REF!,#REF!=#REF!),(IF(AND(#REF!=#REF!,#REF!=#REF!),"","ERROR IN U")),"ERROR IN J")),"ERROR IN T")</f>
        <v>#REF!</v>
      </c>
      <c r="O359" s="4"/>
      <c r="P359" s="4"/>
      <c r="Q359" s="4"/>
      <c r="R359" s="4"/>
      <c r="S359" s="4"/>
    </row>
    <row r="360" spans="1:19" ht="15.95" customHeight="1" x14ac:dyDescent="0.2">
      <c r="A360" s="4"/>
      <c r="B360" s="9">
        <v>60</v>
      </c>
      <c r="C360" s="19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12" t="e">
        <f>IF(AND(L358=L359,L359=L360),(IF(AND(#REF!=#REF!,#REF!=#REF!),(IF(AND(#REF!=#REF!,#REF!=#REF!),"","ERROR IN U")),"ERROR IN J")),"ERROR IN T")</f>
        <v>#REF!</v>
      </c>
      <c r="O360" s="4"/>
      <c r="P360" s="4"/>
      <c r="Q360" s="4"/>
      <c r="R360" s="4"/>
      <c r="S360" s="4"/>
    </row>
    <row r="361" spans="1:19" ht="15.95" customHeight="1" x14ac:dyDescent="0.2">
      <c r="A361" s="4"/>
      <c r="B361" s="9">
        <v>60</v>
      </c>
      <c r="C361" s="21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18" t="e">
        <f>IF(AND(L361=L362,L362=L363),(IF(AND(#REF!=#REF!,#REF!=#REF!),(IF(AND(#REF!=#REF!,#REF!=#REF!),"","ERROR IN U")),"ERROR IN J")),"ERROR IN T")</f>
        <v>#REF!</v>
      </c>
      <c r="O361" s="4"/>
      <c r="P361" s="4"/>
      <c r="Q361" s="4"/>
      <c r="R361" s="4"/>
      <c r="S361" s="4"/>
    </row>
    <row r="362" spans="1:19" ht="15.95" customHeight="1" x14ac:dyDescent="0.2">
      <c r="A362" s="4"/>
      <c r="B362" s="9">
        <v>60</v>
      </c>
      <c r="C362" s="21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18" t="e">
        <f>IF(AND(L361=L362,L362=L363),(IF(AND(#REF!=#REF!,#REF!=#REF!),(IF(AND(#REF!=#REF!,#REF!=#REF!),"","ERROR IN U")),"ERROR IN J")),"ERROR IN T")</f>
        <v>#REF!</v>
      </c>
      <c r="O362" s="4"/>
      <c r="P362" s="4"/>
      <c r="Q362" s="4"/>
      <c r="R362" s="4"/>
      <c r="S362" s="4"/>
    </row>
    <row r="363" spans="1:19" ht="15.95" customHeight="1" x14ac:dyDescent="0.2">
      <c r="A363" s="4"/>
      <c r="B363" s="9">
        <v>60</v>
      </c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  <c r="N363" s="18" t="e">
        <f>IF(AND(L361=L362,L362=L363),(IF(AND(#REF!=#REF!,#REF!=#REF!),(IF(AND(#REF!=#REF!,#REF!=#REF!),"","ERROR IN U")),"ERROR IN J")),"ERROR IN T")</f>
        <v>#REF!</v>
      </c>
      <c r="O363" s="4"/>
      <c r="P363" s="4"/>
      <c r="Q363" s="4"/>
      <c r="R363" s="4"/>
      <c r="S363" s="4"/>
    </row>
    <row r="364" spans="1:19" ht="15.95" customHeight="1" x14ac:dyDescent="0.2">
      <c r="A364" s="4"/>
      <c r="B364" s="9">
        <v>61</v>
      </c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2" t="e">
        <f>IF(AND(L364=L365,L365=L366),(IF(AND(#REF!=#REF!,#REF!=#REF!),(IF(AND(#REF!=#REF!,#REF!=#REF!),"","ERROR IN U")),"ERROR IN J")),"ERROR IN T")</f>
        <v>#REF!</v>
      </c>
      <c r="O364" s="4"/>
      <c r="P364" s="4"/>
      <c r="Q364" s="4"/>
      <c r="R364" s="4"/>
      <c r="S364" s="4"/>
    </row>
    <row r="365" spans="1:19" ht="15.95" customHeight="1" x14ac:dyDescent="0.2">
      <c r="A365" s="4"/>
      <c r="B365" s="9">
        <v>61</v>
      </c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20"/>
      <c r="N365" s="12" t="e">
        <f>IF(AND(L364=L365,L365=L366),(IF(AND(#REF!=#REF!,#REF!=#REF!),(IF(AND(#REF!=#REF!,#REF!=#REF!),"","ERROR IN U")),"ERROR IN J")),"ERROR IN T")</f>
        <v>#REF!</v>
      </c>
      <c r="O365" s="4"/>
      <c r="P365" s="4"/>
      <c r="Q365" s="4"/>
      <c r="R365" s="4"/>
      <c r="S365" s="4"/>
    </row>
    <row r="366" spans="1:19" ht="15.95" customHeight="1" x14ac:dyDescent="0.2">
      <c r="A366" s="4"/>
      <c r="B366" s="9">
        <v>61</v>
      </c>
      <c r="C366" s="19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12" t="e">
        <f>IF(AND(L364=L365,L365=L366),(IF(AND(#REF!=#REF!,#REF!=#REF!),(IF(AND(#REF!=#REF!,#REF!=#REF!),"","ERROR IN U")),"ERROR IN J")),"ERROR IN T")</f>
        <v>#REF!</v>
      </c>
      <c r="O366" s="4"/>
      <c r="P366" s="4"/>
      <c r="Q366" s="4"/>
      <c r="R366" s="4"/>
      <c r="S366" s="4"/>
    </row>
    <row r="367" spans="1:19" ht="15.95" customHeight="1" x14ac:dyDescent="0.2">
      <c r="A367" s="4"/>
      <c r="B367" s="9">
        <v>61</v>
      </c>
      <c r="C367" s="21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18" t="e">
        <f>IF(AND(L367=L368,L368=L369),(IF(AND(#REF!=#REF!,#REF!=#REF!),(IF(AND(#REF!=#REF!,#REF!=#REF!),"","ERROR IN U")),"ERROR IN J")),"ERROR IN T")</f>
        <v>#REF!</v>
      </c>
      <c r="O367" s="4"/>
      <c r="P367" s="4"/>
      <c r="Q367" s="4"/>
      <c r="R367" s="4"/>
      <c r="S367" s="4"/>
    </row>
    <row r="368" spans="1:19" ht="15.95" customHeight="1" x14ac:dyDescent="0.2">
      <c r="A368" s="4"/>
      <c r="B368" s="9">
        <v>61</v>
      </c>
      <c r="C368" s="21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18" t="e">
        <f>IF(AND(L367=L368,L368=L369),(IF(AND(#REF!=#REF!,#REF!=#REF!),(IF(AND(#REF!=#REF!,#REF!=#REF!),"","ERROR IN U")),"ERROR IN J")),"ERROR IN T")</f>
        <v>#REF!</v>
      </c>
      <c r="O368" s="4"/>
      <c r="P368" s="4"/>
      <c r="Q368" s="4"/>
      <c r="R368" s="4"/>
      <c r="S368" s="4"/>
    </row>
    <row r="369" spans="1:19" ht="15.95" customHeight="1" x14ac:dyDescent="0.2">
      <c r="A369" s="4"/>
      <c r="B369" s="9">
        <v>61</v>
      </c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  <c r="N369" s="18" t="e">
        <f>IF(AND(L367=L368,L368=L369),(IF(AND(#REF!=#REF!,#REF!=#REF!),(IF(AND(#REF!=#REF!,#REF!=#REF!),"","ERROR IN U")),"ERROR IN J")),"ERROR IN T")</f>
        <v>#REF!</v>
      </c>
      <c r="O369" s="4"/>
      <c r="P369" s="4"/>
      <c r="Q369" s="4"/>
      <c r="R369" s="4"/>
      <c r="S369" s="4"/>
    </row>
    <row r="370" spans="1:19" ht="15.95" customHeight="1" x14ac:dyDescent="0.2">
      <c r="A370" s="4"/>
      <c r="B370" s="9">
        <v>62</v>
      </c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2" t="e">
        <f>IF(AND(L370=L371,L371=L372),(IF(AND(#REF!=#REF!,#REF!=#REF!),(IF(AND(#REF!=#REF!,#REF!=#REF!),"","ERROR IN U")),"ERROR IN J")),"ERROR IN T")</f>
        <v>#REF!</v>
      </c>
      <c r="O370" s="4"/>
      <c r="P370" s="4"/>
      <c r="Q370" s="4"/>
      <c r="R370" s="4"/>
      <c r="S370" s="4"/>
    </row>
    <row r="371" spans="1:19" ht="15.95" customHeight="1" x14ac:dyDescent="0.2">
      <c r="A371" s="4"/>
      <c r="B371" s="9">
        <v>62</v>
      </c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20"/>
      <c r="N371" s="12" t="e">
        <f>IF(AND(L370=L371,L371=L372),(IF(AND(#REF!=#REF!,#REF!=#REF!),(IF(AND(#REF!=#REF!,#REF!=#REF!),"","ERROR IN U")),"ERROR IN J")),"ERROR IN T")</f>
        <v>#REF!</v>
      </c>
      <c r="O371" s="4"/>
      <c r="P371" s="4"/>
      <c r="Q371" s="4"/>
      <c r="R371" s="4"/>
      <c r="S371" s="4"/>
    </row>
    <row r="372" spans="1:19" ht="15.95" customHeight="1" x14ac:dyDescent="0.2">
      <c r="A372" s="4"/>
      <c r="B372" s="9">
        <v>62</v>
      </c>
      <c r="C372" s="19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12" t="e">
        <f>IF(AND(L370=L371,L371=L372),(IF(AND(#REF!=#REF!,#REF!=#REF!),(IF(AND(#REF!=#REF!,#REF!=#REF!),"","ERROR IN U")),"ERROR IN J")),"ERROR IN T")</f>
        <v>#REF!</v>
      </c>
      <c r="O372" s="4"/>
      <c r="P372" s="4"/>
      <c r="Q372" s="4"/>
      <c r="R372" s="4"/>
      <c r="S372" s="4"/>
    </row>
    <row r="373" spans="1:19" ht="15.95" customHeight="1" x14ac:dyDescent="0.2">
      <c r="A373" s="4"/>
      <c r="B373" s="9">
        <v>62</v>
      </c>
      <c r="C373" s="21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18" t="e">
        <f>IF(AND(L373=L374,L374=L375),(IF(AND(#REF!=#REF!,#REF!=#REF!),(IF(AND(#REF!=#REF!,#REF!=#REF!),"","ERROR IN U")),"ERROR IN J")),"ERROR IN T")</f>
        <v>#REF!</v>
      </c>
      <c r="O373" s="4"/>
      <c r="P373" s="4"/>
      <c r="Q373" s="4"/>
      <c r="R373" s="4"/>
      <c r="S373" s="4"/>
    </row>
    <row r="374" spans="1:19" ht="15.95" customHeight="1" x14ac:dyDescent="0.2">
      <c r="A374" s="4"/>
      <c r="B374" s="9">
        <v>62</v>
      </c>
      <c r="C374" s="21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18" t="e">
        <f>IF(AND(L373=L374,L374=L375),(IF(AND(#REF!=#REF!,#REF!=#REF!),(IF(AND(#REF!=#REF!,#REF!=#REF!),"","ERROR IN U")),"ERROR IN J")),"ERROR IN T")</f>
        <v>#REF!</v>
      </c>
      <c r="O374" s="4"/>
      <c r="P374" s="4"/>
      <c r="Q374" s="4"/>
      <c r="R374" s="4"/>
      <c r="S374" s="4"/>
    </row>
    <row r="375" spans="1:19" ht="15.95" customHeight="1" x14ac:dyDescent="0.2">
      <c r="A375" s="4"/>
      <c r="B375" s="9">
        <v>62</v>
      </c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  <c r="N375" s="18" t="e">
        <f>IF(AND(L373=L374,L374=L375),(IF(AND(#REF!=#REF!,#REF!=#REF!),(IF(AND(#REF!=#REF!,#REF!=#REF!),"","ERROR IN U")),"ERROR IN J")),"ERROR IN T")</f>
        <v>#REF!</v>
      </c>
      <c r="O375" s="4"/>
      <c r="P375" s="4"/>
      <c r="Q375" s="4"/>
      <c r="R375" s="4"/>
      <c r="S375" s="4"/>
    </row>
    <row r="376" spans="1:19" ht="15.95" customHeight="1" x14ac:dyDescent="0.2">
      <c r="A376" s="4"/>
      <c r="B376" s="9">
        <v>63</v>
      </c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2" t="e">
        <f>IF(AND(L376=L377,L377=L378),(IF(AND(#REF!=#REF!,#REF!=#REF!),(IF(AND(#REF!=#REF!,#REF!=#REF!),"","ERROR IN U")),"ERROR IN J")),"ERROR IN T")</f>
        <v>#REF!</v>
      </c>
      <c r="O376" s="4"/>
      <c r="P376" s="4"/>
      <c r="Q376" s="4"/>
      <c r="R376" s="4"/>
      <c r="S376" s="4"/>
    </row>
    <row r="377" spans="1:19" ht="15.95" customHeight="1" x14ac:dyDescent="0.2">
      <c r="A377" s="4"/>
      <c r="B377" s="9">
        <v>63</v>
      </c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20"/>
      <c r="N377" s="12" t="e">
        <f>IF(AND(L376=L377,L377=L378),(IF(AND(#REF!=#REF!,#REF!=#REF!),(IF(AND(#REF!=#REF!,#REF!=#REF!),"","ERROR IN U")),"ERROR IN J")),"ERROR IN T")</f>
        <v>#REF!</v>
      </c>
      <c r="O377" s="4"/>
      <c r="P377" s="4"/>
      <c r="Q377" s="4"/>
      <c r="R377" s="4"/>
      <c r="S377" s="4"/>
    </row>
    <row r="378" spans="1:19" ht="15.95" customHeight="1" x14ac:dyDescent="0.2">
      <c r="A378" s="4"/>
      <c r="B378" s="9">
        <v>63</v>
      </c>
      <c r="C378" s="19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12" t="e">
        <f>IF(AND(L376=L377,L377=L378),(IF(AND(#REF!=#REF!,#REF!=#REF!),(IF(AND(#REF!=#REF!,#REF!=#REF!),"","ERROR IN U")),"ERROR IN J")),"ERROR IN T")</f>
        <v>#REF!</v>
      </c>
      <c r="O378" s="4"/>
      <c r="P378" s="4"/>
      <c r="Q378" s="4"/>
      <c r="R378" s="4"/>
      <c r="S378" s="4"/>
    </row>
    <row r="379" spans="1:19" ht="15.95" customHeight="1" x14ac:dyDescent="0.2">
      <c r="A379" s="4"/>
      <c r="B379" s="9">
        <v>63</v>
      </c>
      <c r="C379" s="21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18" t="e">
        <f>IF(AND(L379=L380,L380=L381),(IF(AND(#REF!=#REF!,#REF!=#REF!),(IF(AND(#REF!=#REF!,#REF!=#REF!),"","ERROR IN U")),"ERROR IN J")),"ERROR IN T")</f>
        <v>#REF!</v>
      </c>
      <c r="O379" s="4"/>
      <c r="P379" s="4"/>
      <c r="Q379" s="4"/>
      <c r="R379" s="4"/>
      <c r="S379" s="4"/>
    </row>
    <row r="380" spans="1:19" ht="15.95" customHeight="1" x14ac:dyDescent="0.2">
      <c r="A380" s="4"/>
      <c r="B380" s="9">
        <v>63</v>
      </c>
      <c r="C380" s="21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18" t="e">
        <f>IF(AND(L379=L380,L380=L381),(IF(AND(#REF!=#REF!,#REF!=#REF!),(IF(AND(#REF!=#REF!,#REF!=#REF!),"","ERROR IN U")),"ERROR IN J")),"ERROR IN T")</f>
        <v>#REF!</v>
      </c>
      <c r="O380" s="4"/>
      <c r="P380" s="4"/>
      <c r="Q380" s="4"/>
      <c r="R380" s="4"/>
      <c r="S380" s="4"/>
    </row>
    <row r="381" spans="1:19" ht="15.95" customHeight="1" x14ac:dyDescent="0.2">
      <c r="A381" s="4"/>
      <c r="B381" s="9">
        <v>63</v>
      </c>
      <c r="C381" s="21"/>
      <c r="D381" s="21"/>
      <c r="E381" s="21"/>
      <c r="F381" s="21"/>
      <c r="G381" s="21"/>
      <c r="H381" s="21"/>
      <c r="I381" s="21"/>
      <c r="J381" s="21"/>
      <c r="K381" s="21"/>
      <c r="L381" s="21"/>
      <c r="M381" s="21"/>
      <c r="N381" s="18" t="e">
        <f>IF(AND(L379=L380,L380=L381),(IF(AND(#REF!=#REF!,#REF!=#REF!),(IF(AND(#REF!=#REF!,#REF!=#REF!),"","ERROR IN U")),"ERROR IN J")),"ERROR IN T")</f>
        <v>#REF!</v>
      </c>
      <c r="O381" s="4"/>
      <c r="P381" s="4"/>
      <c r="Q381" s="4"/>
      <c r="R381" s="4"/>
      <c r="S381" s="4"/>
    </row>
    <row r="382" spans="1:19" ht="15.95" customHeight="1" x14ac:dyDescent="0.2">
      <c r="A382" s="4"/>
      <c r="B382" s="9">
        <v>64</v>
      </c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2" t="e">
        <f>IF(AND(L382=L383,L383=L384),(IF(AND(#REF!=#REF!,#REF!=#REF!),(IF(AND(#REF!=#REF!,#REF!=#REF!),"","ERROR IN U")),"ERROR IN J")),"ERROR IN T")</f>
        <v>#REF!</v>
      </c>
      <c r="O382" s="4"/>
      <c r="P382" s="4"/>
      <c r="Q382" s="4"/>
      <c r="R382" s="4"/>
      <c r="S382" s="4"/>
    </row>
    <row r="383" spans="1:19" ht="15.95" customHeight="1" x14ac:dyDescent="0.2">
      <c r="A383" s="4"/>
      <c r="B383" s="9">
        <v>64</v>
      </c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20"/>
      <c r="N383" s="12" t="e">
        <f>IF(AND(L382=L383,L383=L384),(IF(AND(#REF!=#REF!,#REF!=#REF!),(IF(AND(#REF!=#REF!,#REF!=#REF!),"","ERROR IN U")),"ERROR IN J")),"ERROR IN T")</f>
        <v>#REF!</v>
      </c>
      <c r="O383" s="4"/>
      <c r="P383" s="4"/>
      <c r="Q383" s="4"/>
      <c r="R383" s="4"/>
      <c r="S383" s="4"/>
    </row>
    <row r="384" spans="1:19" ht="15.95" customHeight="1" x14ac:dyDescent="0.2">
      <c r="A384" s="4"/>
      <c r="B384" s="9">
        <v>64</v>
      </c>
      <c r="C384" s="19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12" t="e">
        <f>IF(AND(L382=L383,L383=L384),(IF(AND(#REF!=#REF!,#REF!=#REF!),(IF(AND(#REF!=#REF!,#REF!=#REF!),"","ERROR IN U")),"ERROR IN J")),"ERROR IN T")</f>
        <v>#REF!</v>
      </c>
      <c r="O384" s="4"/>
      <c r="P384" s="4"/>
      <c r="Q384" s="4"/>
      <c r="R384" s="4"/>
      <c r="S384" s="4"/>
    </row>
    <row r="385" spans="1:19" ht="15.95" customHeight="1" x14ac:dyDescent="0.2">
      <c r="A385" s="4"/>
      <c r="B385" s="9">
        <v>64</v>
      </c>
      <c r="C385" s="21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18" t="e">
        <f>IF(AND(L385=L386,L386=L387),(IF(AND(#REF!=#REF!,#REF!=#REF!),(IF(AND(#REF!=#REF!,#REF!=#REF!),"","ERROR IN U")),"ERROR IN J")),"ERROR IN T")</f>
        <v>#REF!</v>
      </c>
      <c r="O385" s="4"/>
      <c r="P385" s="4"/>
      <c r="Q385" s="4"/>
      <c r="R385" s="4"/>
      <c r="S385" s="4"/>
    </row>
    <row r="386" spans="1:19" ht="15.95" customHeight="1" x14ac:dyDescent="0.2">
      <c r="A386" s="4"/>
      <c r="B386" s="9">
        <v>64</v>
      </c>
      <c r="C386" s="21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18" t="e">
        <f>IF(AND(L385=L386,L386=L387),(IF(AND(#REF!=#REF!,#REF!=#REF!),(IF(AND(#REF!=#REF!,#REF!=#REF!),"","ERROR IN U")),"ERROR IN J")),"ERROR IN T")</f>
        <v>#REF!</v>
      </c>
      <c r="O386" s="4"/>
      <c r="P386" s="4"/>
      <c r="Q386" s="4"/>
      <c r="R386" s="4"/>
      <c r="S386" s="4"/>
    </row>
    <row r="387" spans="1:19" ht="15.95" customHeight="1" x14ac:dyDescent="0.2">
      <c r="A387" s="4"/>
      <c r="B387" s="9">
        <v>64</v>
      </c>
      <c r="C387" s="21"/>
      <c r="D387" s="21"/>
      <c r="E387" s="21"/>
      <c r="F387" s="21"/>
      <c r="G387" s="21"/>
      <c r="H387" s="21"/>
      <c r="I387" s="21"/>
      <c r="J387" s="21"/>
      <c r="K387" s="21"/>
      <c r="L387" s="21"/>
      <c r="M387" s="21"/>
      <c r="N387" s="18" t="e">
        <f>IF(AND(L385=L386,L386=L387),(IF(AND(#REF!=#REF!,#REF!=#REF!),(IF(AND(#REF!=#REF!,#REF!=#REF!),"","ERROR IN U")),"ERROR IN J")),"ERROR IN T")</f>
        <v>#REF!</v>
      </c>
      <c r="O387" s="4"/>
      <c r="P387" s="4"/>
      <c r="Q387" s="4"/>
      <c r="R387" s="4"/>
      <c r="S387" s="4"/>
    </row>
    <row r="388" spans="1:19" ht="15.95" customHeight="1" x14ac:dyDescent="0.2">
      <c r="A388" s="4"/>
      <c r="B388" s="9">
        <v>65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 t="e">
        <f>IF(AND(L388=L389,L389=L390),(IF(AND(#REF!=#REF!,#REF!=#REF!),(IF(AND(#REF!=#REF!,#REF!=#REF!),"","ERROR IN U")),"ERROR IN J")),"ERROR IN T")</f>
        <v>#REF!</v>
      </c>
      <c r="O388" s="4"/>
      <c r="P388" s="4"/>
      <c r="Q388" s="4"/>
      <c r="R388" s="4"/>
      <c r="S388" s="4"/>
    </row>
    <row r="389" spans="1:19" ht="15.95" customHeight="1" x14ac:dyDescent="0.2">
      <c r="A389" s="4"/>
      <c r="B389" s="9">
        <v>65</v>
      </c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 t="e">
        <f>IF(AND(L388=L389,L389=L390),(IF(AND(#REF!=#REF!,#REF!=#REF!),(IF(AND(#REF!=#REF!,#REF!=#REF!),"","ERROR IN U")),"ERROR IN J")),"ERROR IN T")</f>
        <v>#REF!</v>
      </c>
      <c r="O389" s="4"/>
      <c r="P389" s="4"/>
      <c r="Q389" s="4"/>
      <c r="R389" s="4"/>
      <c r="S389" s="4"/>
    </row>
    <row r="390" spans="1:19" ht="15.95" customHeight="1" x14ac:dyDescent="0.2">
      <c r="A390" s="4"/>
      <c r="B390" s="9">
        <v>65</v>
      </c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 t="e">
        <f>IF(AND(L388=L389,L389=L390),(IF(AND(#REF!=#REF!,#REF!=#REF!),(IF(AND(#REF!=#REF!,#REF!=#REF!),"","ERROR IN U")),"ERROR IN J")),"ERROR IN T")</f>
        <v>#REF!</v>
      </c>
      <c r="O390" s="4"/>
      <c r="P390" s="4"/>
      <c r="Q390" s="4"/>
      <c r="R390" s="4"/>
      <c r="S390" s="4"/>
    </row>
    <row r="391" spans="1:19" ht="15.95" customHeight="1" x14ac:dyDescent="0.2">
      <c r="A391" s="4"/>
      <c r="B391" s="9">
        <v>65</v>
      </c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 t="e">
        <f>IF(AND(L391=L392,L392=L393),(IF(AND(#REF!=#REF!,#REF!=#REF!),(IF(AND(#REF!=#REF!,#REF!=#REF!),"","ERROR IN U")),"ERROR IN J")),"ERROR IN T")</f>
        <v>#REF!</v>
      </c>
      <c r="O391" s="4"/>
      <c r="P391" s="4"/>
      <c r="Q391" s="4"/>
      <c r="R391" s="4"/>
      <c r="S391" s="4"/>
    </row>
    <row r="392" spans="1:19" ht="15.95" customHeight="1" x14ac:dyDescent="0.2">
      <c r="A392" s="4"/>
      <c r="B392" s="9">
        <v>65</v>
      </c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 t="e">
        <f>IF(AND(L391=L392,L392=L393),(IF(AND(#REF!=#REF!,#REF!=#REF!),(IF(AND(#REF!=#REF!,#REF!=#REF!),"","ERROR IN U")),"ERROR IN J")),"ERROR IN T")</f>
        <v>#REF!</v>
      </c>
      <c r="O392" s="4"/>
      <c r="P392" s="4"/>
      <c r="Q392" s="4"/>
      <c r="R392" s="4"/>
      <c r="S392" s="4"/>
    </row>
    <row r="393" spans="1:19" ht="15.95" customHeight="1" x14ac:dyDescent="0.2">
      <c r="A393" s="4"/>
      <c r="B393" s="9">
        <v>65</v>
      </c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 t="e">
        <f>IF(AND(L391=L392,L392=L393),(IF(AND(#REF!=#REF!,#REF!=#REF!),(IF(AND(#REF!=#REF!,#REF!=#REF!),"","ERROR IN U")),"ERROR IN J")),"ERROR IN T")</f>
        <v>#REF!</v>
      </c>
      <c r="O393" s="4"/>
      <c r="P393" s="4"/>
      <c r="Q393" s="4"/>
      <c r="R393" s="4"/>
      <c r="S393" s="4"/>
    </row>
    <row r="394" spans="1:19" ht="15.95" customHeight="1" x14ac:dyDescent="0.2">
      <c r="A394" s="4"/>
      <c r="B394" s="9">
        <v>66</v>
      </c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2" t="e">
        <f>IF(AND(L394=L395,L395=L396),(IF(AND(#REF!=#REF!,#REF!=#REF!),(IF(AND(#REF!=#REF!,#REF!=#REF!),"","ERROR IN U")),"ERROR IN J")),"ERROR IN T")</f>
        <v>#REF!</v>
      </c>
      <c r="O394" s="4"/>
      <c r="P394" s="4"/>
      <c r="Q394" s="4"/>
      <c r="R394" s="4"/>
      <c r="S394" s="4"/>
    </row>
    <row r="395" spans="1:19" ht="15.95" customHeight="1" x14ac:dyDescent="0.2">
      <c r="A395" s="4"/>
      <c r="B395" s="9">
        <v>66</v>
      </c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20"/>
      <c r="N395" s="12" t="e">
        <f>IF(AND(L394=L395,L395=L396),(IF(AND(#REF!=#REF!,#REF!=#REF!),(IF(AND(#REF!=#REF!,#REF!=#REF!),"","ERROR IN U")),"ERROR IN J")),"ERROR IN T")</f>
        <v>#REF!</v>
      </c>
      <c r="O395" s="4"/>
      <c r="P395" s="4"/>
      <c r="Q395" s="4"/>
      <c r="R395" s="4"/>
      <c r="S395" s="4"/>
    </row>
    <row r="396" spans="1:19" ht="15.95" customHeight="1" x14ac:dyDescent="0.2">
      <c r="A396" s="4"/>
      <c r="B396" s="9">
        <v>66</v>
      </c>
      <c r="C396" s="19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12" t="e">
        <f>IF(AND(L394=L395,L395=L396),(IF(AND(#REF!=#REF!,#REF!=#REF!),(IF(AND(#REF!=#REF!,#REF!=#REF!),"","ERROR IN U")),"ERROR IN J")),"ERROR IN T")</f>
        <v>#REF!</v>
      </c>
      <c r="O396" s="4"/>
      <c r="P396" s="4"/>
      <c r="Q396" s="4"/>
      <c r="R396" s="4"/>
      <c r="S396" s="4"/>
    </row>
    <row r="397" spans="1:19" ht="15.95" customHeight="1" x14ac:dyDescent="0.2">
      <c r="A397" s="4"/>
      <c r="B397" s="9">
        <v>66</v>
      </c>
      <c r="C397" s="21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18" t="e">
        <f>IF(AND(L397=L398,L398=L399),(IF(AND(#REF!=#REF!,#REF!=#REF!),(IF(AND(#REF!=#REF!,#REF!=#REF!),"","ERROR IN U")),"ERROR IN J")),"ERROR IN T")</f>
        <v>#REF!</v>
      </c>
      <c r="O397" s="4"/>
      <c r="P397" s="4"/>
      <c r="Q397" s="4"/>
      <c r="R397" s="4"/>
      <c r="S397" s="4"/>
    </row>
    <row r="398" spans="1:19" ht="15.95" customHeight="1" x14ac:dyDescent="0.2">
      <c r="A398" s="4"/>
      <c r="B398" s="9">
        <v>66</v>
      </c>
      <c r="C398" s="21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18" t="e">
        <f>IF(AND(L397=L398,L398=L399),(IF(AND(#REF!=#REF!,#REF!=#REF!),(IF(AND(#REF!=#REF!,#REF!=#REF!),"","ERROR IN U")),"ERROR IN J")),"ERROR IN T")</f>
        <v>#REF!</v>
      </c>
      <c r="O398" s="4"/>
      <c r="P398" s="4"/>
      <c r="Q398" s="4"/>
      <c r="R398" s="4"/>
      <c r="S398" s="4"/>
    </row>
    <row r="399" spans="1:19" ht="15.95" customHeight="1" x14ac:dyDescent="0.2">
      <c r="A399" s="4"/>
      <c r="B399" s="9">
        <v>66</v>
      </c>
      <c r="C399" s="21"/>
      <c r="D399" s="21"/>
      <c r="E399" s="21"/>
      <c r="F399" s="21"/>
      <c r="G399" s="21"/>
      <c r="H399" s="21"/>
      <c r="I399" s="21"/>
      <c r="J399" s="21"/>
      <c r="K399" s="21"/>
      <c r="L399" s="21"/>
      <c r="M399" s="21"/>
      <c r="N399" s="18" t="e">
        <f>IF(AND(L397=L398,L398=L399),(IF(AND(#REF!=#REF!,#REF!=#REF!),(IF(AND(#REF!=#REF!,#REF!=#REF!),"","ERROR IN U")),"ERROR IN J")),"ERROR IN T")</f>
        <v>#REF!</v>
      </c>
      <c r="O399" s="4"/>
      <c r="P399" s="4"/>
      <c r="Q399" s="4"/>
      <c r="R399" s="4"/>
      <c r="S399" s="4"/>
    </row>
    <row r="400" spans="1:19" ht="15.95" customHeight="1" x14ac:dyDescent="0.2">
      <c r="A400" s="4"/>
      <c r="B400" s="9">
        <v>67</v>
      </c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2" t="e">
        <f>IF(AND(L400=L401,L401=L402),(IF(AND(#REF!=#REF!,#REF!=#REF!),(IF(AND(#REF!=#REF!,#REF!=#REF!),"","ERROR IN U")),"ERROR IN J")),"ERROR IN T")</f>
        <v>#REF!</v>
      </c>
      <c r="O400" s="4"/>
      <c r="P400" s="4"/>
      <c r="Q400" s="4"/>
      <c r="R400" s="4"/>
      <c r="S400" s="4"/>
    </row>
    <row r="401" spans="1:19" ht="15.95" customHeight="1" x14ac:dyDescent="0.2">
      <c r="A401" s="4"/>
      <c r="B401" s="9">
        <v>67</v>
      </c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20"/>
      <c r="N401" s="12" t="e">
        <f>IF(AND(L400=L401,L401=L402),(IF(AND(#REF!=#REF!,#REF!=#REF!),(IF(AND(#REF!=#REF!,#REF!=#REF!),"","ERROR IN U")),"ERROR IN J")),"ERROR IN T")</f>
        <v>#REF!</v>
      </c>
      <c r="O401" s="4"/>
      <c r="P401" s="4"/>
      <c r="Q401" s="4"/>
      <c r="R401" s="4"/>
      <c r="S401" s="4"/>
    </row>
    <row r="402" spans="1:19" ht="15.95" customHeight="1" x14ac:dyDescent="0.2">
      <c r="A402" s="4"/>
      <c r="B402" s="9">
        <v>67</v>
      </c>
      <c r="C402" s="19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12" t="e">
        <f>IF(AND(L400=L401,L401=L402),(IF(AND(#REF!=#REF!,#REF!=#REF!),(IF(AND(#REF!=#REF!,#REF!=#REF!),"","ERROR IN U")),"ERROR IN J")),"ERROR IN T")</f>
        <v>#REF!</v>
      </c>
      <c r="O402" s="4"/>
      <c r="P402" s="4"/>
      <c r="Q402" s="4"/>
      <c r="R402" s="4"/>
      <c r="S402" s="4"/>
    </row>
    <row r="403" spans="1:19" ht="15.95" customHeight="1" x14ac:dyDescent="0.2">
      <c r="A403" s="4"/>
      <c r="B403" s="9">
        <v>67</v>
      </c>
      <c r="C403" s="21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18" t="e">
        <f>IF(AND(L403=L404,L404=L405),(IF(AND(#REF!=#REF!,#REF!=#REF!),(IF(AND(#REF!=#REF!,#REF!=#REF!),"","ERROR IN U")),"ERROR IN J")),"ERROR IN T")</f>
        <v>#REF!</v>
      </c>
      <c r="O403" s="4"/>
      <c r="P403" s="4"/>
      <c r="Q403" s="4"/>
      <c r="R403" s="4"/>
      <c r="S403" s="4"/>
    </row>
    <row r="404" spans="1:19" ht="15.95" customHeight="1" x14ac:dyDescent="0.2">
      <c r="A404" s="4"/>
      <c r="B404" s="9">
        <v>67</v>
      </c>
      <c r="C404" s="21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18" t="e">
        <f>IF(AND(L403=L404,L404=L405),(IF(AND(#REF!=#REF!,#REF!=#REF!),(IF(AND(#REF!=#REF!,#REF!=#REF!),"","ERROR IN U")),"ERROR IN J")),"ERROR IN T")</f>
        <v>#REF!</v>
      </c>
      <c r="O404" s="4"/>
      <c r="P404" s="4"/>
      <c r="Q404" s="4"/>
      <c r="R404" s="4"/>
      <c r="S404" s="4"/>
    </row>
    <row r="405" spans="1:19" ht="15.95" customHeight="1" x14ac:dyDescent="0.2">
      <c r="A405" s="4"/>
      <c r="B405" s="9">
        <v>67</v>
      </c>
      <c r="C405" s="21"/>
      <c r="D405" s="21"/>
      <c r="E405" s="21"/>
      <c r="F405" s="21"/>
      <c r="G405" s="21"/>
      <c r="H405" s="21"/>
      <c r="I405" s="21"/>
      <c r="J405" s="21"/>
      <c r="K405" s="21"/>
      <c r="L405" s="21"/>
      <c r="M405" s="21"/>
      <c r="N405" s="18" t="e">
        <f>IF(AND(L403=L404,L404=L405),(IF(AND(#REF!=#REF!,#REF!=#REF!),(IF(AND(#REF!=#REF!,#REF!=#REF!),"","ERROR IN U")),"ERROR IN J")),"ERROR IN T")</f>
        <v>#REF!</v>
      </c>
      <c r="O405" s="4"/>
      <c r="P405" s="4"/>
      <c r="Q405" s="4"/>
      <c r="R405" s="4"/>
      <c r="S405" s="4"/>
    </row>
    <row r="406" spans="1:19" ht="15.95" customHeight="1" x14ac:dyDescent="0.2">
      <c r="A406" s="4"/>
      <c r="B406" s="9">
        <v>68</v>
      </c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2" t="e">
        <f>IF(AND(L406=L407,L407=L408),(IF(AND(#REF!=#REF!,#REF!=#REF!),(IF(AND(#REF!=#REF!,#REF!=#REF!),"","ERROR IN U")),"ERROR IN J")),"ERROR IN T")</f>
        <v>#REF!</v>
      </c>
      <c r="O406" s="4"/>
      <c r="P406" s="4"/>
      <c r="Q406" s="4"/>
      <c r="R406" s="4"/>
      <c r="S406" s="4"/>
    </row>
    <row r="407" spans="1:19" ht="15.95" customHeight="1" x14ac:dyDescent="0.2">
      <c r="A407" s="4"/>
      <c r="B407" s="9">
        <v>68</v>
      </c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20"/>
      <c r="N407" s="12" t="e">
        <f>IF(AND(L406=L407,L407=L408),(IF(AND(#REF!=#REF!,#REF!=#REF!),(IF(AND(#REF!=#REF!,#REF!=#REF!),"","ERROR IN U")),"ERROR IN J")),"ERROR IN T")</f>
        <v>#REF!</v>
      </c>
      <c r="O407" s="4"/>
      <c r="P407" s="4"/>
      <c r="Q407" s="4"/>
      <c r="R407" s="4"/>
      <c r="S407" s="4"/>
    </row>
    <row r="408" spans="1:19" ht="15.95" customHeight="1" x14ac:dyDescent="0.2">
      <c r="A408" s="4"/>
      <c r="B408" s="9">
        <v>68</v>
      </c>
      <c r="C408" s="19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12" t="e">
        <f>IF(AND(L406=L407,L407=L408),(IF(AND(#REF!=#REF!,#REF!=#REF!),(IF(AND(#REF!=#REF!,#REF!=#REF!),"","ERROR IN U")),"ERROR IN J")),"ERROR IN T")</f>
        <v>#REF!</v>
      </c>
      <c r="O408" s="4"/>
      <c r="P408" s="4"/>
      <c r="Q408" s="4"/>
      <c r="R408" s="4"/>
      <c r="S408" s="4"/>
    </row>
    <row r="409" spans="1:19" ht="15.95" customHeight="1" x14ac:dyDescent="0.2">
      <c r="A409" s="4"/>
      <c r="B409" s="9">
        <v>68</v>
      </c>
      <c r="C409" s="21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18" t="e">
        <f>IF(AND(L409=L410,L410=L411),(IF(AND(#REF!=#REF!,#REF!=#REF!),(IF(AND(#REF!=#REF!,#REF!=#REF!),"","ERROR IN U")),"ERROR IN J")),"ERROR IN T")</f>
        <v>#REF!</v>
      </c>
      <c r="O409" s="4"/>
      <c r="P409" s="4"/>
      <c r="Q409" s="4"/>
      <c r="R409" s="4"/>
      <c r="S409" s="4"/>
    </row>
    <row r="410" spans="1:19" ht="15.95" customHeight="1" x14ac:dyDescent="0.2">
      <c r="A410" s="4"/>
      <c r="B410" s="9">
        <v>68</v>
      </c>
      <c r="C410" s="21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18" t="e">
        <f>IF(AND(L409=L410,L410=L411),(IF(AND(#REF!=#REF!,#REF!=#REF!),(IF(AND(#REF!=#REF!,#REF!=#REF!),"","ERROR IN U")),"ERROR IN J")),"ERROR IN T")</f>
        <v>#REF!</v>
      </c>
      <c r="O410" s="4"/>
      <c r="P410" s="4"/>
      <c r="Q410" s="4"/>
      <c r="R410" s="4"/>
      <c r="S410" s="4"/>
    </row>
    <row r="411" spans="1:19" ht="15.95" customHeight="1" x14ac:dyDescent="0.2">
      <c r="A411" s="4"/>
      <c r="B411" s="9">
        <v>68</v>
      </c>
      <c r="C411" s="21"/>
      <c r="D411" s="21"/>
      <c r="E411" s="21"/>
      <c r="F411" s="21"/>
      <c r="G411" s="21"/>
      <c r="H411" s="21"/>
      <c r="I411" s="21"/>
      <c r="J411" s="21"/>
      <c r="K411" s="21"/>
      <c r="L411" s="21"/>
      <c r="M411" s="21"/>
      <c r="N411" s="18" t="e">
        <f>IF(AND(L409=L410,L410=L411),(IF(AND(#REF!=#REF!,#REF!=#REF!),(IF(AND(#REF!=#REF!,#REF!=#REF!),"","ERROR IN U")),"ERROR IN J")),"ERROR IN T")</f>
        <v>#REF!</v>
      </c>
      <c r="O411" s="4"/>
      <c r="P411" s="4"/>
      <c r="Q411" s="4"/>
      <c r="R411" s="4"/>
      <c r="S411" s="4"/>
    </row>
    <row r="412" spans="1:19" ht="15.95" customHeight="1" x14ac:dyDescent="0.2">
      <c r="A412" s="4"/>
      <c r="B412" s="9">
        <v>69</v>
      </c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2" t="e">
        <f>IF(AND(L412=L413,L413=L414),(IF(AND(#REF!=#REF!,#REF!=#REF!),(IF(AND(#REF!=#REF!,#REF!=#REF!),"","ERROR IN U")),"ERROR IN J")),"ERROR IN T")</f>
        <v>#REF!</v>
      </c>
      <c r="O412" s="4"/>
      <c r="P412" s="4"/>
      <c r="Q412" s="4"/>
      <c r="R412" s="4"/>
      <c r="S412" s="4"/>
    </row>
    <row r="413" spans="1:19" ht="15.95" customHeight="1" x14ac:dyDescent="0.2">
      <c r="A413" s="4"/>
      <c r="B413" s="9">
        <v>69</v>
      </c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20"/>
      <c r="N413" s="12" t="e">
        <f>IF(AND(L412=L413,L413=L414),(IF(AND(#REF!=#REF!,#REF!=#REF!),(IF(AND(#REF!=#REF!,#REF!=#REF!),"","ERROR IN U")),"ERROR IN J")),"ERROR IN T")</f>
        <v>#REF!</v>
      </c>
      <c r="O413" s="4"/>
      <c r="P413" s="4"/>
      <c r="Q413" s="4"/>
      <c r="R413" s="4"/>
      <c r="S413" s="4"/>
    </row>
    <row r="414" spans="1:19" ht="15.95" customHeight="1" x14ac:dyDescent="0.2">
      <c r="A414" s="4"/>
      <c r="B414" s="9">
        <v>69</v>
      </c>
      <c r="C414" s="19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12" t="e">
        <f>IF(AND(L412=L413,L413=L414),(IF(AND(#REF!=#REF!,#REF!=#REF!),(IF(AND(#REF!=#REF!,#REF!=#REF!),"","ERROR IN U")),"ERROR IN J")),"ERROR IN T")</f>
        <v>#REF!</v>
      </c>
      <c r="O414" s="4"/>
      <c r="P414" s="4"/>
      <c r="Q414" s="4"/>
      <c r="R414" s="4"/>
      <c r="S414" s="4"/>
    </row>
    <row r="415" spans="1:19" ht="15.95" customHeight="1" x14ac:dyDescent="0.2">
      <c r="A415" s="4"/>
      <c r="B415" s="9">
        <v>69</v>
      </c>
      <c r="C415" s="21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18" t="e">
        <f>IF(AND(L415=L416,L416=L417),(IF(AND(#REF!=#REF!,#REF!=#REF!),(IF(AND(#REF!=#REF!,#REF!=#REF!),"","ERROR IN U")),"ERROR IN J")),"ERROR IN T")</f>
        <v>#REF!</v>
      </c>
      <c r="O415" s="4"/>
      <c r="P415" s="4"/>
      <c r="Q415" s="4"/>
      <c r="R415" s="4"/>
      <c r="S415" s="4"/>
    </row>
    <row r="416" spans="1:19" ht="15.95" customHeight="1" x14ac:dyDescent="0.2">
      <c r="A416" s="4"/>
      <c r="B416" s="9">
        <v>69</v>
      </c>
      <c r="C416" s="21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18" t="e">
        <f>IF(AND(L415=L416,L416=L417),(IF(AND(#REF!=#REF!,#REF!=#REF!),(IF(AND(#REF!=#REF!,#REF!=#REF!),"","ERROR IN U")),"ERROR IN J")),"ERROR IN T")</f>
        <v>#REF!</v>
      </c>
      <c r="O416" s="4"/>
      <c r="P416" s="4"/>
      <c r="Q416" s="4"/>
      <c r="R416" s="4"/>
      <c r="S416" s="4"/>
    </row>
    <row r="417" spans="1:19" ht="15.95" customHeight="1" x14ac:dyDescent="0.2">
      <c r="A417" s="4"/>
      <c r="B417" s="9">
        <v>69</v>
      </c>
      <c r="C417" s="21"/>
      <c r="D417" s="21"/>
      <c r="E417" s="21"/>
      <c r="F417" s="21"/>
      <c r="G417" s="21"/>
      <c r="H417" s="21"/>
      <c r="I417" s="21"/>
      <c r="J417" s="21"/>
      <c r="K417" s="21"/>
      <c r="L417" s="21"/>
      <c r="M417" s="21"/>
      <c r="N417" s="18" t="e">
        <f>IF(AND(L415=L416,L416=L417),(IF(AND(#REF!=#REF!,#REF!=#REF!),(IF(AND(#REF!=#REF!,#REF!=#REF!),"","ERROR IN U")),"ERROR IN J")),"ERROR IN T")</f>
        <v>#REF!</v>
      </c>
      <c r="O417" s="4"/>
      <c r="P417" s="4"/>
      <c r="Q417" s="4"/>
      <c r="R417" s="4"/>
      <c r="S417" s="4"/>
    </row>
    <row r="418" spans="1:19" ht="15.95" customHeight="1" x14ac:dyDescent="0.2">
      <c r="A418" s="4"/>
      <c r="B418" s="9">
        <v>70</v>
      </c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2" t="e">
        <f>IF(AND(L418=L419,L419=L420),(IF(AND(#REF!=#REF!,#REF!=#REF!),(IF(AND(#REF!=#REF!,#REF!=#REF!),"","ERROR IN U")),"ERROR IN J")),"ERROR IN T")</f>
        <v>#REF!</v>
      </c>
      <c r="O418" s="4"/>
      <c r="P418" s="4"/>
      <c r="Q418" s="4"/>
      <c r="R418" s="4"/>
      <c r="S418" s="4"/>
    </row>
    <row r="419" spans="1:19" ht="15.95" customHeight="1" x14ac:dyDescent="0.2">
      <c r="A419" s="4"/>
      <c r="B419" s="9">
        <v>70</v>
      </c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20"/>
      <c r="N419" s="12" t="e">
        <f>IF(AND(L418=L419,L419=L420),(IF(AND(#REF!=#REF!,#REF!=#REF!),(IF(AND(#REF!=#REF!,#REF!=#REF!),"","ERROR IN U")),"ERROR IN J")),"ERROR IN T")</f>
        <v>#REF!</v>
      </c>
      <c r="O419" s="4"/>
      <c r="P419" s="4"/>
      <c r="Q419" s="4"/>
      <c r="R419" s="4"/>
      <c r="S419" s="4"/>
    </row>
    <row r="420" spans="1:19" ht="15.95" customHeight="1" x14ac:dyDescent="0.2">
      <c r="A420" s="4"/>
      <c r="B420" s="9">
        <v>70</v>
      </c>
      <c r="C420" s="19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12" t="e">
        <f>IF(AND(L418=L419,L419=L420),(IF(AND(#REF!=#REF!,#REF!=#REF!),(IF(AND(#REF!=#REF!,#REF!=#REF!),"","ERROR IN U")),"ERROR IN J")),"ERROR IN T")</f>
        <v>#REF!</v>
      </c>
      <c r="O420" s="4"/>
      <c r="P420" s="4"/>
      <c r="Q420" s="4"/>
      <c r="R420" s="4"/>
      <c r="S420" s="4"/>
    </row>
    <row r="421" spans="1:19" ht="15.95" customHeight="1" x14ac:dyDescent="0.2">
      <c r="A421" s="4"/>
      <c r="B421" s="9">
        <v>70</v>
      </c>
      <c r="C421" s="21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18" t="e">
        <f>IF(AND(L421=L422,L422=L423),(IF(AND(#REF!=#REF!,#REF!=#REF!),(IF(AND(#REF!=#REF!,#REF!=#REF!),"","ERROR IN U")),"ERROR IN J")),"ERROR IN T")</f>
        <v>#REF!</v>
      </c>
      <c r="O421" s="4"/>
      <c r="P421" s="4"/>
      <c r="Q421" s="4"/>
      <c r="R421" s="4"/>
      <c r="S421" s="4"/>
    </row>
    <row r="422" spans="1:19" ht="15.95" customHeight="1" x14ac:dyDescent="0.2">
      <c r="A422" s="4"/>
      <c r="B422" s="9">
        <v>70</v>
      </c>
      <c r="C422" s="21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18" t="e">
        <f>IF(AND(L421=L422,L422=L423),(IF(AND(#REF!=#REF!,#REF!=#REF!),(IF(AND(#REF!=#REF!,#REF!=#REF!),"","ERROR IN U")),"ERROR IN J")),"ERROR IN T")</f>
        <v>#REF!</v>
      </c>
      <c r="O422" s="4"/>
      <c r="P422" s="4"/>
      <c r="Q422" s="4"/>
      <c r="R422" s="4"/>
      <c r="S422" s="4"/>
    </row>
    <row r="423" spans="1:19" ht="15.95" customHeight="1" x14ac:dyDescent="0.2">
      <c r="A423" s="4"/>
      <c r="B423" s="9">
        <v>70</v>
      </c>
      <c r="C423" s="21"/>
      <c r="D423" s="21"/>
      <c r="E423" s="21"/>
      <c r="F423" s="21"/>
      <c r="G423" s="21"/>
      <c r="H423" s="21"/>
      <c r="I423" s="21"/>
      <c r="J423" s="21"/>
      <c r="K423" s="21"/>
      <c r="L423" s="21"/>
      <c r="M423" s="21"/>
      <c r="N423" s="18" t="e">
        <f>IF(AND(L421=L422,L422=L423),(IF(AND(#REF!=#REF!,#REF!=#REF!),(IF(AND(#REF!=#REF!,#REF!=#REF!),"","ERROR IN U")),"ERROR IN J")),"ERROR IN T")</f>
        <v>#REF!</v>
      </c>
      <c r="O423" s="4"/>
      <c r="P423" s="4"/>
      <c r="Q423" s="4"/>
      <c r="R423" s="4"/>
      <c r="S423" s="4"/>
    </row>
    <row r="424" spans="1:19" ht="15.95" customHeight="1" x14ac:dyDescent="0.2">
      <c r="A424" s="4"/>
      <c r="B424" s="9">
        <v>71</v>
      </c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 t="e">
        <f>IF(AND(L424=L425,L425=L426),(IF(AND(#REF!=#REF!,#REF!=#REF!),(IF(AND(#REF!=#REF!,#REF!=#REF!),"","ERROR IN U")),"ERROR IN J")),"ERROR IN T")</f>
        <v>#REF!</v>
      </c>
      <c r="O424" s="4"/>
      <c r="P424" s="4"/>
      <c r="Q424" s="4"/>
      <c r="R424" s="4"/>
      <c r="S424" s="4"/>
    </row>
    <row r="425" spans="1:19" ht="15.95" customHeight="1" x14ac:dyDescent="0.2">
      <c r="A425" s="4"/>
      <c r="B425" s="9">
        <v>71</v>
      </c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 t="e">
        <f>IF(AND(L424=L425,L425=L426),(IF(AND(#REF!=#REF!,#REF!=#REF!),(IF(AND(#REF!=#REF!,#REF!=#REF!),"","ERROR IN U")),"ERROR IN J")),"ERROR IN T")</f>
        <v>#REF!</v>
      </c>
      <c r="O425" s="4"/>
      <c r="P425" s="4"/>
      <c r="Q425" s="4"/>
      <c r="R425" s="4"/>
      <c r="S425" s="4"/>
    </row>
    <row r="426" spans="1:19" ht="15.95" customHeight="1" x14ac:dyDescent="0.2">
      <c r="A426" s="4"/>
      <c r="B426" s="9">
        <v>71</v>
      </c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 t="e">
        <f>IF(AND(L424=L425,L425=L426),(IF(AND(#REF!=#REF!,#REF!=#REF!),(IF(AND(#REF!=#REF!,#REF!=#REF!),"","ERROR IN U")),"ERROR IN J")),"ERROR IN T")</f>
        <v>#REF!</v>
      </c>
      <c r="O426" s="4"/>
      <c r="P426" s="4"/>
      <c r="Q426" s="4"/>
      <c r="R426" s="4"/>
      <c r="S426" s="4"/>
    </row>
    <row r="427" spans="1:19" ht="15.95" customHeight="1" x14ac:dyDescent="0.2">
      <c r="A427" s="4"/>
      <c r="B427" s="9">
        <v>71</v>
      </c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 t="e">
        <f>IF(AND(L427=L428,L428=L429),(IF(AND(#REF!=#REF!,#REF!=#REF!),(IF(AND(#REF!=#REF!,#REF!=#REF!),"","ERROR IN U")),"ERROR IN J")),"ERROR IN T")</f>
        <v>#REF!</v>
      </c>
      <c r="O427" s="4"/>
      <c r="P427" s="4"/>
      <c r="Q427" s="4"/>
      <c r="R427" s="4"/>
      <c r="S427" s="4"/>
    </row>
    <row r="428" spans="1:19" ht="15.95" customHeight="1" x14ac:dyDescent="0.2">
      <c r="A428" s="4"/>
      <c r="B428" s="9">
        <v>71</v>
      </c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 t="e">
        <f>IF(AND(L427=L428,L428=L429),(IF(AND(#REF!=#REF!,#REF!=#REF!),(IF(AND(#REF!=#REF!,#REF!=#REF!),"","ERROR IN U")),"ERROR IN J")),"ERROR IN T")</f>
        <v>#REF!</v>
      </c>
      <c r="O428" s="4"/>
      <c r="P428" s="4"/>
      <c r="Q428" s="4"/>
      <c r="R428" s="4"/>
      <c r="S428" s="4"/>
    </row>
    <row r="429" spans="1:19" ht="15.95" customHeight="1" x14ac:dyDescent="0.2">
      <c r="A429" s="4"/>
      <c r="B429" s="9">
        <v>71</v>
      </c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 t="e">
        <f>IF(AND(L427=L428,L428=L429),(IF(AND(#REF!=#REF!,#REF!=#REF!),(IF(AND(#REF!=#REF!,#REF!=#REF!),"","ERROR IN U")),"ERROR IN J")),"ERROR IN T")</f>
        <v>#REF!</v>
      </c>
      <c r="O429" s="4"/>
      <c r="P429" s="4"/>
      <c r="Q429" s="4"/>
      <c r="R429" s="4"/>
      <c r="S429" s="4"/>
    </row>
    <row r="430" spans="1:19" ht="15.95" customHeight="1" x14ac:dyDescent="0.2">
      <c r="A430" s="4"/>
      <c r="B430" s="9">
        <v>72</v>
      </c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2" t="e">
        <f>IF(AND(L430=L431,L431=L432),(IF(AND(#REF!=#REF!,#REF!=#REF!),(IF(AND(#REF!=#REF!,#REF!=#REF!),"","ERROR IN U")),"ERROR IN J")),"ERROR IN T")</f>
        <v>#REF!</v>
      </c>
      <c r="O430" s="4"/>
      <c r="P430" s="4"/>
      <c r="Q430" s="4"/>
      <c r="R430" s="4"/>
      <c r="S430" s="4"/>
    </row>
    <row r="431" spans="1:19" ht="15.95" customHeight="1" x14ac:dyDescent="0.2">
      <c r="A431" s="4"/>
      <c r="B431" s="9">
        <v>72</v>
      </c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20"/>
      <c r="N431" s="12" t="e">
        <f>IF(AND(L430=L431,L431=L432),(IF(AND(#REF!=#REF!,#REF!=#REF!),(IF(AND(#REF!=#REF!,#REF!=#REF!),"","ERROR IN U")),"ERROR IN J")),"ERROR IN T")</f>
        <v>#REF!</v>
      </c>
      <c r="O431" s="4"/>
      <c r="P431" s="4"/>
      <c r="Q431" s="4"/>
      <c r="R431" s="4"/>
      <c r="S431" s="4"/>
    </row>
    <row r="432" spans="1:19" ht="15.95" customHeight="1" x14ac:dyDescent="0.2">
      <c r="A432" s="4"/>
      <c r="B432" s="9">
        <v>72</v>
      </c>
      <c r="C432" s="19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12" t="e">
        <f>IF(AND(L430=L431,L431=L432),(IF(AND(#REF!=#REF!,#REF!=#REF!),(IF(AND(#REF!=#REF!,#REF!=#REF!),"","ERROR IN U")),"ERROR IN J")),"ERROR IN T")</f>
        <v>#REF!</v>
      </c>
      <c r="O432" s="4"/>
      <c r="P432" s="4"/>
      <c r="Q432" s="4"/>
      <c r="R432" s="4"/>
      <c r="S432" s="4"/>
    </row>
    <row r="433" spans="1:19" ht="15.95" customHeight="1" x14ac:dyDescent="0.2">
      <c r="A433" s="4"/>
      <c r="B433" s="9">
        <v>72</v>
      </c>
      <c r="C433" s="21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18" t="e">
        <f>IF(AND(L433=L434,L434=L435),(IF(AND(#REF!=#REF!,#REF!=#REF!),(IF(AND(#REF!=#REF!,#REF!=#REF!),"","ERROR IN U")),"ERROR IN J")),"ERROR IN T")</f>
        <v>#REF!</v>
      </c>
      <c r="O433" s="4"/>
      <c r="P433" s="4"/>
      <c r="Q433" s="4"/>
      <c r="R433" s="4"/>
      <c r="S433" s="4"/>
    </row>
    <row r="434" spans="1:19" ht="15.95" customHeight="1" x14ac:dyDescent="0.2">
      <c r="A434" s="4"/>
      <c r="B434" s="9">
        <v>72</v>
      </c>
      <c r="C434" s="21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18" t="e">
        <f>IF(AND(L433=L434,L434=L435),(IF(AND(#REF!=#REF!,#REF!=#REF!),(IF(AND(#REF!=#REF!,#REF!=#REF!),"","ERROR IN U")),"ERROR IN J")),"ERROR IN T")</f>
        <v>#REF!</v>
      </c>
      <c r="O434" s="4"/>
      <c r="P434" s="4"/>
      <c r="Q434" s="4"/>
      <c r="R434" s="4"/>
      <c r="S434" s="4"/>
    </row>
    <row r="435" spans="1:19" ht="15.95" customHeight="1" x14ac:dyDescent="0.2">
      <c r="A435" s="4"/>
      <c r="B435" s="9">
        <v>72</v>
      </c>
      <c r="C435" s="21"/>
      <c r="D435" s="21"/>
      <c r="E435" s="21"/>
      <c r="F435" s="21"/>
      <c r="G435" s="21"/>
      <c r="H435" s="21"/>
      <c r="I435" s="21"/>
      <c r="J435" s="21"/>
      <c r="K435" s="21"/>
      <c r="L435" s="21"/>
      <c r="M435" s="21"/>
      <c r="N435" s="18" t="e">
        <f>IF(AND(L433=L434,L434=L435),(IF(AND(#REF!=#REF!,#REF!=#REF!),(IF(AND(#REF!=#REF!,#REF!=#REF!),"","ERROR IN U")),"ERROR IN J")),"ERROR IN T")</f>
        <v>#REF!</v>
      </c>
      <c r="O435" s="4"/>
      <c r="P435" s="4"/>
      <c r="Q435" s="4"/>
      <c r="R435" s="4"/>
      <c r="S435" s="4"/>
    </row>
    <row r="436" spans="1:19" ht="15.95" customHeight="1" x14ac:dyDescent="0.2">
      <c r="A436" s="4"/>
      <c r="B436" s="9">
        <v>73</v>
      </c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2" t="e">
        <f>IF(AND(L436=L437,L437=L438),(IF(AND(#REF!=#REF!,#REF!=#REF!),(IF(AND(#REF!=#REF!,#REF!=#REF!),"","ERROR IN U")),"ERROR IN J")),"ERROR IN T")</f>
        <v>#REF!</v>
      </c>
      <c r="O436" s="4"/>
      <c r="P436" s="4"/>
      <c r="Q436" s="4"/>
      <c r="R436" s="4"/>
      <c r="S436" s="4"/>
    </row>
    <row r="437" spans="1:19" ht="15.95" customHeight="1" x14ac:dyDescent="0.2">
      <c r="A437" s="4"/>
      <c r="B437" s="9">
        <v>73</v>
      </c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20"/>
      <c r="N437" s="12" t="e">
        <f>IF(AND(L436=L437,L437=L438),(IF(AND(#REF!=#REF!,#REF!=#REF!),(IF(AND(#REF!=#REF!,#REF!=#REF!),"","ERROR IN U")),"ERROR IN J")),"ERROR IN T")</f>
        <v>#REF!</v>
      </c>
      <c r="O437" s="4"/>
      <c r="P437" s="4"/>
      <c r="Q437" s="4"/>
      <c r="R437" s="4"/>
      <c r="S437" s="4"/>
    </row>
    <row r="438" spans="1:19" ht="15.95" customHeight="1" x14ac:dyDescent="0.2">
      <c r="A438" s="4"/>
      <c r="B438" s="9">
        <v>73</v>
      </c>
      <c r="C438" s="19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12" t="e">
        <f>IF(AND(L436=L437,L437=L438),(IF(AND(#REF!=#REF!,#REF!=#REF!),(IF(AND(#REF!=#REF!,#REF!=#REF!),"","ERROR IN U")),"ERROR IN J")),"ERROR IN T")</f>
        <v>#REF!</v>
      </c>
      <c r="O438" s="4"/>
      <c r="P438" s="4"/>
      <c r="Q438" s="4"/>
      <c r="R438" s="4"/>
      <c r="S438" s="4"/>
    </row>
    <row r="439" spans="1:19" ht="15.95" customHeight="1" x14ac:dyDescent="0.2">
      <c r="A439" s="4"/>
      <c r="B439" s="9">
        <v>73</v>
      </c>
      <c r="C439" s="21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18" t="e">
        <f>IF(AND(L439=L440,L440=L441),(IF(AND(#REF!=#REF!,#REF!=#REF!),(IF(AND(#REF!=#REF!,#REF!=#REF!),"","ERROR IN U")),"ERROR IN J")),"ERROR IN T")</f>
        <v>#REF!</v>
      </c>
      <c r="O439" s="4"/>
      <c r="P439" s="4"/>
      <c r="Q439" s="4"/>
      <c r="R439" s="4"/>
      <c r="S439" s="4"/>
    </row>
    <row r="440" spans="1:19" ht="15.95" customHeight="1" x14ac:dyDescent="0.2">
      <c r="A440" s="4"/>
      <c r="B440" s="9">
        <v>73</v>
      </c>
      <c r="C440" s="21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18" t="e">
        <f>IF(AND(L439=L440,L440=L441),(IF(AND(#REF!=#REF!,#REF!=#REF!),(IF(AND(#REF!=#REF!,#REF!=#REF!),"","ERROR IN U")),"ERROR IN J")),"ERROR IN T")</f>
        <v>#REF!</v>
      </c>
      <c r="O440" s="4"/>
      <c r="P440" s="4"/>
      <c r="Q440" s="4"/>
      <c r="R440" s="4"/>
      <c r="S440" s="4"/>
    </row>
    <row r="441" spans="1:19" ht="15.95" customHeight="1" x14ac:dyDescent="0.2">
      <c r="A441" s="4"/>
      <c r="B441" s="9">
        <v>73</v>
      </c>
      <c r="C441" s="21"/>
      <c r="D441" s="21"/>
      <c r="E441" s="21"/>
      <c r="F441" s="21"/>
      <c r="G441" s="21"/>
      <c r="H441" s="21"/>
      <c r="I441" s="21"/>
      <c r="J441" s="21"/>
      <c r="K441" s="21"/>
      <c r="L441" s="21"/>
      <c r="M441" s="21"/>
      <c r="N441" s="18" t="e">
        <f>IF(AND(L439=L440,L440=L441),(IF(AND(#REF!=#REF!,#REF!=#REF!),(IF(AND(#REF!=#REF!,#REF!=#REF!),"","ERROR IN U")),"ERROR IN J")),"ERROR IN T")</f>
        <v>#REF!</v>
      </c>
      <c r="O441" s="4"/>
      <c r="P441" s="4"/>
      <c r="Q441" s="4"/>
      <c r="R441" s="4"/>
      <c r="S441" s="4"/>
    </row>
    <row r="442" spans="1:19" ht="15.95" customHeight="1" x14ac:dyDescent="0.2">
      <c r="A442" s="4"/>
      <c r="B442" s="9">
        <v>74</v>
      </c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2" t="e">
        <f>IF(AND(L442=L443,L443=L444),(IF(AND(#REF!=#REF!,#REF!=#REF!),(IF(AND(#REF!=#REF!,#REF!=#REF!),"","ERROR IN U")),"ERROR IN J")),"ERROR IN T")</f>
        <v>#REF!</v>
      </c>
      <c r="O442" s="4"/>
      <c r="P442" s="4"/>
      <c r="Q442" s="4"/>
      <c r="R442" s="4"/>
      <c r="S442" s="4"/>
    </row>
    <row r="443" spans="1:19" ht="15.95" customHeight="1" x14ac:dyDescent="0.2">
      <c r="A443" s="4"/>
      <c r="B443" s="9">
        <v>74</v>
      </c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20"/>
      <c r="N443" s="12" t="e">
        <f>IF(AND(L442=L443,L443=L444),(IF(AND(#REF!=#REF!,#REF!=#REF!),(IF(AND(#REF!=#REF!,#REF!=#REF!),"","ERROR IN U")),"ERROR IN J")),"ERROR IN T")</f>
        <v>#REF!</v>
      </c>
      <c r="O443" s="4"/>
      <c r="P443" s="4"/>
      <c r="Q443" s="4"/>
      <c r="R443" s="4"/>
      <c r="S443" s="4"/>
    </row>
    <row r="444" spans="1:19" ht="15.95" customHeight="1" x14ac:dyDescent="0.2">
      <c r="A444" s="4"/>
      <c r="B444" s="9">
        <v>74</v>
      </c>
      <c r="C444" s="19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12" t="e">
        <f>IF(AND(L442=L443,L443=L444),(IF(AND(#REF!=#REF!,#REF!=#REF!),(IF(AND(#REF!=#REF!,#REF!=#REF!),"","ERROR IN U")),"ERROR IN J")),"ERROR IN T")</f>
        <v>#REF!</v>
      </c>
      <c r="O444" s="4"/>
      <c r="P444" s="4"/>
      <c r="Q444" s="4"/>
      <c r="R444" s="4"/>
      <c r="S444" s="4"/>
    </row>
    <row r="445" spans="1:19" ht="15.95" customHeight="1" x14ac:dyDescent="0.2">
      <c r="A445" s="4"/>
      <c r="B445" s="9">
        <v>74</v>
      </c>
      <c r="C445" s="21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18" t="e">
        <f>IF(AND(L445=L446,L446=L447),(IF(AND(#REF!=#REF!,#REF!=#REF!),(IF(AND(#REF!=#REF!,#REF!=#REF!),"","ERROR IN U")),"ERROR IN J")),"ERROR IN T")</f>
        <v>#REF!</v>
      </c>
      <c r="O445" s="4"/>
      <c r="P445" s="4"/>
      <c r="Q445" s="4"/>
      <c r="R445" s="4"/>
      <c r="S445" s="4"/>
    </row>
    <row r="446" spans="1:19" ht="15.95" customHeight="1" x14ac:dyDescent="0.2">
      <c r="A446" s="4"/>
      <c r="B446" s="9">
        <v>74</v>
      </c>
      <c r="C446" s="21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18" t="e">
        <f>IF(AND(L445=L446,L446=L447),(IF(AND(#REF!=#REF!,#REF!=#REF!),(IF(AND(#REF!=#REF!,#REF!=#REF!),"","ERROR IN U")),"ERROR IN J")),"ERROR IN T")</f>
        <v>#REF!</v>
      </c>
      <c r="O446" s="4"/>
      <c r="P446" s="4"/>
      <c r="Q446" s="4"/>
      <c r="R446" s="4"/>
      <c r="S446" s="4"/>
    </row>
    <row r="447" spans="1:19" ht="15.95" customHeight="1" x14ac:dyDescent="0.2">
      <c r="A447" s="4"/>
      <c r="B447" s="9">
        <v>74</v>
      </c>
      <c r="C447" s="21"/>
      <c r="D447" s="21"/>
      <c r="E447" s="21"/>
      <c r="F447" s="21"/>
      <c r="G447" s="21"/>
      <c r="H447" s="21"/>
      <c r="I447" s="21"/>
      <c r="J447" s="21"/>
      <c r="K447" s="21"/>
      <c r="L447" s="21"/>
      <c r="M447" s="21"/>
      <c r="N447" s="18" t="e">
        <f>IF(AND(L445=L446,L446=L447),(IF(AND(#REF!=#REF!,#REF!=#REF!),(IF(AND(#REF!=#REF!,#REF!=#REF!),"","ERROR IN U")),"ERROR IN J")),"ERROR IN T")</f>
        <v>#REF!</v>
      </c>
      <c r="O447" s="4"/>
      <c r="P447" s="4"/>
      <c r="Q447" s="4"/>
      <c r="R447" s="4"/>
      <c r="S447" s="4"/>
    </row>
    <row r="448" spans="1:19" ht="15.95" customHeight="1" x14ac:dyDescent="0.2">
      <c r="A448" s="4"/>
      <c r="B448" s="9">
        <v>75</v>
      </c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2" t="e">
        <f>IF(AND(L448=L449,L449=L450),(IF(AND(#REF!=#REF!,#REF!=#REF!),(IF(AND(#REF!=#REF!,#REF!=#REF!),"","ERROR IN U")),"ERROR IN J")),"ERROR IN T")</f>
        <v>#REF!</v>
      </c>
      <c r="O448" s="4"/>
      <c r="P448" s="4"/>
      <c r="Q448" s="4"/>
      <c r="R448" s="4"/>
      <c r="S448" s="4"/>
    </row>
    <row r="449" spans="1:19" ht="15.95" customHeight="1" x14ac:dyDescent="0.2">
      <c r="A449" s="4"/>
      <c r="B449" s="9">
        <v>75</v>
      </c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20"/>
      <c r="N449" s="12" t="e">
        <f>IF(AND(L448=L449,L449=L450),(IF(AND(#REF!=#REF!,#REF!=#REF!),(IF(AND(#REF!=#REF!,#REF!=#REF!),"","ERROR IN U")),"ERROR IN J")),"ERROR IN T")</f>
        <v>#REF!</v>
      </c>
      <c r="O449" s="4"/>
      <c r="P449" s="4"/>
      <c r="Q449" s="4"/>
      <c r="R449" s="4"/>
      <c r="S449" s="4"/>
    </row>
    <row r="450" spans="1:19" ht="15.95" customHeight="1" x14ac:dyDescent="0.2">
      <c r="A450" s="4"/>
      <c r="B450" s="9">
        <v>75</v>
      </c>
      <c r="C450" s="19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12" t="e">
        <f>IF(AND(L448=L449,L449=L450),(IF(AND(#REF!=#REF!,#REF!=#REF!),(IF(AND(#REF!=#REF!,#REF!=#REF!),"","ERROR IN U")),"ERROR IN J")),"ERROR IN T")</f>
        <v>#REF!</v>
      </c>
      <c r="O450" s="4"/>
      <c r="P450" s="4"/>
      <c r="Q450" s="4"/>
      <c r="R450" s="4"/>
      <c r="S450" s="4"/>
    </row>
    <row r="451" spans="1:19" ht="15.95" customHeight="1" x14ac:dyDescent="0.2">
      <c r="A451" s="4"/>
      <c r="B451" s="9">
        <v>75</v>
      </c>
      <c r="C451" s="21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18" t="e">
        <f>IF(AND(L451=L452,L452=L453),(IF(AND(#REF!=#REF!,#REF!=#REF!),(IF(AND(#REF!=#REF!,#REF!=#REF!),"","ERROR IN U")),"ERROR IN J")),"ERROR IN T")</f>
        <v>#REF!</v>
      </c>
      <c r="O451" s="4"/>
      <c r="P451" s="4"/>
      <c r="Q451" s="4"/>
      <c r="R451" s="4"/>
      <c r="S451" s="4"/>
    </row>
    <row r="452" spans="1:19" ht="15.95" customHeight="1" x14ac:dyDescent="0.2">
      <c r="A452" s="4"/>
      <c r="B452" s="9">
        <v>75</v>
      </c>
      <c r="C452" s="21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18" t="e">
        <f>IF(AND(L451=L452,L452=L453),(IF(AND(#REF!=#REF!,#REF!=#REF!),(IF(AND(#REF!=#REF!,#REF!=#REF!),"","ERROR IN U")),"ERROR IN J")),"ERROR IN T")</f>
        <v>#REF!</v>
      </c>
      <c r="O452" s="4"/>
      <c r="P452" s="4"/>
      <c r="Q452" s="4"/>
      <c r="R452" s="4"/>
      <c r="S452" s="4"/>
    </row>
    <row r="453" spans="1:19" ht="15.95" customHeight="1" x14ac:dyDescent="0.2">
      <c r="A453" s="4"/>
      <c r="B453" s="9">
        <v>75</v>
      </c>
      <c r="C453" s="21"/>
      <c r="D453" s="21"/>
      <c r="E453" s="21"/>
      <c r="F453" s="21"/>
      <c r="G453" s="21"/>
      <c r="H453" s="21"/>
      <c r="I453" s="21"/>
      <c r="J453" s="21"/>
      <c r="K453" s="21"/>
      <c r="L453" s="21"/>
      <c r="M453" s="21"/>
      <c r="N453" s="18" t="e">
        <f>IF(AND(L451=L452,L452=L453),(IF(AND(#REF!=#REF!,#REF!=#REF!),(IF(AND(#REF!=#REF!,#REF!=#REF!),"","ERROR IN U")),"ERROR IN J")),"ERROR IN T")</f>
        <v>#REF!</v>
      </c>
      <c r="O453" s="4"/>
      <c r="P453" s="4"/>
      <c r="Q453" s="4"/>
      <c r="R453" s="4"/>
      <c r="S453" s="4"/>
    </row>
    <row r="454" spans="1:19" ht="15.95" customHeight="1" x14ac:dyDescent="0.2">
      <c r="A454" s="4"/>
      <c r="B454" s="9">
        <v>76</v>
      </c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2" t="e">
        <f>IF(AND(L454=L455,L455=L456),(IF(AND(#REF!=#REF!,#REF!=#REF!),(IF(AND(#REF!=#REF!,#REF!=#REF!),"","ERROR IN U")),"ERROR IN J")),"ERROR IN T")</f>
        <v>#REF!</v>
      </c>
      <c r="O454" s="4"/>
      <c r="P454" s="4"/>
      <c r="Q454" s="4"/>
      <c r="R454" s="4"/>
      <c r="S454" s="4"/>
    </row>
    <row r="455" spans="1:19" ht="15.95" customHeight="1" x14ac:dyDescent="0.2">
      <c r="A455" s="4"/>
      <c r="B455" s="9">
        <v>76</v>
      </c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20"/>
      <c r="N455" s="12" t="e">
        <f>IF(AND(L454=L455,L455=L456),(IF(AND(#REF!=#REF!,#REF!=#REF!),(IF(AND(#REF!=#REF!,#REF!=#REF!),"","ERROR IN U")),"ERROR IN J")),"ERROR IN T")</f>
        <v>#REF!</v>
      </c>
      <c r="O455" s="4"/>
      <c r="P455" s="4"/>
      <c r="Q455" s="4"/>
      <c r="R455" s="4"/>
      <c r="S455" s="4"/>
    </row>
    <row r="456" spans="1:19" ht="15.95" customHeight="1" x14ac:dyDescent="0.2">
      <c r="A456" s="4"/>
      <c r="B456" s="9">
        <v>76</v>
      </c>
      <c r="C456" s="19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12" t="e">
        <f>IF(AND(L454=L455,L455=L456),(IF(AND(#REF!=#REF!,#REF!=#REF!),(IF(AND(#REF!=#REF!,#REF!=#REF!),"","ERROR IN U")),"ERROR IN J")),"ERROR IN T")</f>
        <v>#REF!</v>
      </c>
      <c r="O456" s="4"/>
      <c r="P456" s="4"/>
      <c r="Q456" s="4"/>
      <c r="R456" s="4"/>
      <c r="S456" s="4"/>
    </row>
    <row r="457" spans="1:19" ht="15.95" customHeight="1" x14ac:dyDescent="0.2">
      <c r="A457" s="4"/>
      <c r="B457" s="9">
        <v>76</v>
      </c>
      <c r="C457" s="21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18" t="e">
        <f>IF(AND(L457=L458,L458=L459),(IF(AND(#REF!=#REF!,#REF!=#REF!),(IF(AND(#REF!=#REF!,#REF!=#REF!),"","ERROR IN U")),"ERROR IN J")),"ERROR IN T")</f>
        <v>#REF!</v>
      </c>
      <c r="O457" s="4"/>
      <c r="P457" s="4"/>
      <c r="Q457" s="4"/>
      <c r="R457" s="4"/>
      <c r="S457" s="4"/>
    </row>
    <row r="458" spans="1:19" ht="15.95" customHeight="1" x14ac:dyDescent="0.2">
      <c r="A458" s="4"/>
      <c r="B458" s="9">
        <v>76</v>
      </c>
      <c r="C458" s="21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18" t="e">
        <f>IF(AND(L457=L458,L458=L459),(IF(AND(#REF!=#REF!,#REF!=#REF!),(IF(AND(#REF!=#REF!,#REF!=#REF!),"","ERROR IN U")),"ERROR IN J")),"ERROR IN T")</f>
        <v>#REF!</v>
      </c>
      <c r="O458" s="4"/>
      <c r="P458" s="4"/>
      <c r="Q458" s="4"/>
      <c r="R458" s="4"/>
      <c r="S458" s="4"/>
    </row>
    <row r="459" spans="1:19" ht="15.95" customHeight="1" x14ac:dyDescent="0.2">
      <c r="A459" s="4"/>
      <c r="B459" s="9">
        <v>76</v>
      </c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  <c r="N459" s="18" t="e">
        <f>IF(AND(L457=L458,L458=L459),(IF(AND(#REF!=#REF!,#REF!=#REF!),(IF(AND(#REF!=#REF!,#REF!=#REF!),"","ERROR IN U")),"ERROR IN J")),"ERROR IN T")</f>
        <v>#REF!</v>
      </c>
      <c r="O459" s="4"/>
      <c r="P459" s="4"/>
      <c r="Q459" s="4"/>
      <c r="R459" s="4"/>
      <c r="S459" s="4"/>
    </row>
    <row r="460" spans="1:19" ht="15.95" customHeight="1" x14ac:dyDescent="0.2">
      <c r="A460" s="4"/>
      <c r="B460" s="9">
        <v>77</v>
      </c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 t="e">
        <f>IF(AND(L460=L461,L461=L462),(IF(AND(#REF!=#REF!,#REF!=#REF!),(IF(AND(#REF!=#REF!,#REF!=#REF!),"","ERROR IN U")),"ERROR IN J")),"ERROR IN T")</f>
        <v>#REF!</v>
      </c>
      <c r="O460" s="4"/>
      <c r="P460" s="4"/>
      <c r="Q460" s="4"/>
      <c r="R460" s="4"/>
      <c r="S460" s="4"/>
    </row>
    <row r="461" spans="1:19" ht="15.95" customHeight="1" x14ac:dyDescent="0.2">
      <c r="A461" s="4"/>
      <c r="B461" s="9">
        <v>77</v>
      </c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 t="e">
        <f>IF(AND(L460=L461,L461=L462),(IF(AND(#REF!=#REF!,#REF!=#REF!),(IF(AND(#REF!=#REF!,#REF!=#REF!),"","ERROR IN U")),"ERROR IN J")),"ERROR IN T")</f>
        <v>#REF!</v>
      </c>
      <c r="O461" s="4"/>
      <c r="P461" s="4"/>
      <c r="Q461" s="4"/>
      <c r="R461" s="4"/>
      <c r="S461" s="4"/>
    </row>
    <row r="462" spans="1:19" ht="15.95" customHeight="1" x14ac:dyDescent="0.2">
      <c r="A462" s="4"/>
      <c r="B462" s="9">
        <v>77</v>
      </c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 t="e">
        <f>IF(AND(L460=L461,L461=L462),(IF(AND(#REF!=#REF!,#REF!=#REF!),(IF(AND(#REF!=#REF!,#REF!=#REF!),"","ERROR IN U")),"ERROR IN J")),"ERROR IN T")</f>
        <v>#REF!</v>
      </c>
      <c r="O462" s="4"/>
      <c r="P462" s="4"/>
      <c r="Q462" s="4"/>
      <c r="R462" s="4"/>
      <c r="S462" s="4"/>
    </row>
    <row r="463" spans="1:19" ht="15.95" customHeight="1" x14ac:dyDescent="0.2">
      <c r="A463" s="4"/>
      <c r="B463" s="9">
        <v>77</v>
      </c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 t="e">
        <f>IF(AND(L463=L464,L464=L465),(IF(AND(#REF!=#REF!,#REF!=#REF!),(IF(AND(#REF!=#REF!,#REF!=#REF!),"","ERROR IN U")),"ERROR IN J")),"ERROR IN T")</f>
        <v>#REF!</v>
      </c>
      <c r="O463" s="4"/>
      <c r="P463" s="4"/>
      <c r="Q463" s="4"/>
      <c r="R463" s="4"/>
      <c r="S463" s="4"/>
    </row>
    <row r="464" spans="1:19" ht="15.95" customHeight="1" x14ac:dyDescent="0.2">
      <c r="A464" s="4"/>
      <c r="B464" s="9">
        <v>77</v>
      </c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 t="e">
        <f>IF(AND(L463=L464,L464=L465),(IF(AND(#REF!=#REF!,#REF!=#REF!),(IF(AND(#REF!=#REF!,#REF!=#REF!),"","ERROR IN U")),"ERROR IN J")),"ERROR IN T")</f>
        <v>#REF!</v>
      </c>
      <c r="O464" s="4"/>
      <c r="P464" s="4"/>
      <c r="Q464" s="4"/>
      <c r="R464" s="4"/>
      <c r="S464" s="4"/>
    </row>
    <row r="465" spans="1:19" ht="15.95" customHeight="1" x14ac:dyDescent="0.2">
      <c r="A465" s="4"/>
      <c r="B465" s="9">
        <v>77</v>
      </c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 t="e">
        <f>IF(AND(L463=L464,L464=L465),(IF(AND(#REF!=#REF!,#REF!=#REF!),(IF(AND(#REF!=#REF!,#REF!=#REF!),"","ERROR IN U")),"ERROR IN J")),"ERROR IN T")</f>
        <v>#REF!</v>
      </c>
      <c r="O465" s="4"/>
      <c r="P465" s="4"/>
      <c r="Q465" s="4"/>
      <c r="R465" s="4"/>
      <c r="S465" s="4"/>
    </row>
    <row r="466" spans="1:19" ht="15.95" customHeight="1" x14ac:dyDescent="0.2">
      <c r="A466" s="4"/>
      <c r="B466" s="9">
        <v>78</v>
      </c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2" t="e">
        <f>IF(AND(L466=L467,L467=L468),(IF(AND(#REF!=#REF!,#REF!=#REF!),(IF(AND(#REF!=#REF!,#REF!=#REF!),"","ERROR IN U")),"ERROR IN J")),"ERROR IN T")</f>
        <v>#REF!</v>
      </c>
      <c r="O466" s="4"/>
      <c r="P466" s="4"/>
      <c r="Q466" s="4"/>
      <c r="R466" s="4"/>
      <c r="S466" s="4"/>
    </row>
    <row r="467" spans="1:19" ht="15.95" customHeight="1" x14ac:dyDescent="0.2">
      <c r="A467" s="4"/>
      <c r="B467" s="9">
        <v>78</v>
      </c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20"/>
      <c r="N467" s="12" t="e">
        <f>IF(AND(L466=L467,L467=L468),(IF(AND(#REF!=#REF!,#REF!=#REF!),(IF(AND(#REF!=#REF!,#REF!=#REF!),"","ERROR IN U")),"ERROR IN J")),"ERROR IN T")</f>
        <v>#REF!</v>
      </c>
      <c r="O467" s="4"/>
      <c r="P467" s="4"/>
      <c r="Q467" s="4"/>
      <c r="R467" s="4"/>
      <c r="S467" s="4"/>
    </row>
    <row r="468" spans="1:19" ht="15.95" customHeight="1" x14ac:dyDescent="0.2">
      <c r="A468" s="4"/>
      <c r="B468" s="9">
        <v>78</v>
      </c>
      <c r="C468" s="19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12" t="e">
        <f>IF(AND(L466=L467,L467=L468),(IF(AND(#REF!=#REF!,#REF!=#REF!),(IF(AND(#REF!=#REF!,#REF!=#REF!),"","ERROR IN U")),"ERROR IN J")),"ERROR IN T")</f>
        <v>#REF!</v>
      </c>
      <c r="O468" s="4"/>
      <c r="P468" s="4"/>
      <c r="Q468" s="4"/>
      <c r="R468" s="4"/>
      <c r="S468" s="4"/>
    </row>
    <row r="469" spans="1:19" ht="15.95" customHeight="1" x14ac:dyDescent="0.2">
      <c r="A469" s="4"/>
      <c r="B469" s="9">
        <v>78</v>
      </c>
      <c r="C469" s="21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18" t="e">
        <f>IF(AND(L469=L470,L470=L471),(IF(AND(#REF!=#REF!,#REF!=#REF!),(IF(AND(#REF!=#REF!,#REF!=#REF!),"","ERROR IN U")),"ERROR IN J")),"ERROR IN T")</f>
        <v>#REF!</v>
      </c>
      <c r="O469" s="4"/>
      <c r="P469" s="4"/>
      <c r="Q469" s="4"/>
      <c r="R469" s="4"/>
      <c r="S469" s="4"/>
    </row>
    <row r="470" spans="1:19" ht="15.95" customHeight="1" x14ac:dyDescent="0.2">
      <c r="A470" s="4"/>
      <c r="B470" s="9">
        <v>78</v>
      </c>
      <c r="C470" s="21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18" t="e">
        <f>IF(AND(L469=L470,L470=L471),(IF(AND(#REF!=#REF!,#REF!=#REF!),(IF(AND(#REF!=#REF!,#REF!=#REF!),"","ERROR IN U")),"ERROR IN J")),"ERROR IN T")</f>
        <v>#REF!</v>
      </c>
      <c r="O470" s="4"/>
      <c r="P470" s="4"/>
      <c r="Q470" s="4"/>
      <c r="R470" s="4"/>
      <c r="S470" s="4"/>
    </row>
    <row r="471" spans="1:19" ht="15.95" customHeight="1" x14ac:dyDescent="0.2">
      <c r="A471" s="4"/>
      <c r="B471" s="9">
        <v>78</v>
      </c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1"/>
      <c r="N471" s="18" t="e">
        <f>IF(AND(L469=L470,L470=L471),(IF(AND(#REF!=#REF!,#REF!=#REF!),(IF(AND(#REF!=#REF!,#REF!=#REF!),"","ERROR IN U")),"ERROR IN J")),"ERROR IN T")</f>
        <v>#REF!</v>
      </c>
      <c r="O471" s="4"/>
      <c r="P471" s="4"/>
      <c r="Q471" s="4"/>
      <c r="R471" s="4"/>
      <c r="S471" s="4"/>
    </row>
    <row r="472" spans="1:19" ht="15.95" customHeight="1" x14ac:dyDescent="0.2">
      <c r="A472" s="4"/>
      <c r="B472" s="9">
        <v>79</v>
      </c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 t="e">
        <f>IF(AND(L472=L473,L473=L474),(IF(AND(#REF!=#REF!,#REF!=#REF!),(IF(AND(#REF!=#REF!,#REF!=#REF!),"","ERROR IN U")),"ERROR IN J")),"ERROR IN T")</f>
        <v>#REF!</v>
      </c>
      <c r="O472" s="4"/>
      <c r="P472" s="4"/>
      <c r="Q472" s="4"/>
      <c r="R472" s="4"/>
      <c r="S472" s="4"/>
    </row>
    <row r="473" spans="1:19" ht="15.95" customHeight="1" x14ac:dyDescent="0.2">
      <c r="A473" s="4"/>
      <c r="B473" s="9">
        <v>79</v>
      </c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 t="e">
        <f>IF(AND(L472=L473,L473=L474),(IF(AND(#REF!=#REF!,#REF!=#REF!),(IF(AND(#REF!=#REF!,#REF!=#REF!),"","ERROR IN U")),"ERROR IN J")),"ERROR IN T")</f>
        <v>#REF!</v>
      </c>
      <c r="O473" s="4"/>
      <c r="P473" s="4"/>
      <c r="Q473" s="4"/>
      <c r="R473" s="4"/>
      <c r="S473" s="4"/>
    </row>
    <row r="474" spans="1:19" ht="15.95" customHeight="1" x14ac:dyDescent="0.2">
      <c r="A474" s="4"/>
      <c r="B474" s="9">
        <v>79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 t="e">
        <f>IF(AND(L472=L473,L473=L474),(IF(AND(#REF!=#REF!,#REF!=#REF!),(IF(AND(#REF!=#REF!,#REF!=#REF!),"","ERROR IN U")),"ERROR IN J")),"ERROR IN T")</f>
        <v>#REF!</v>
      </c>
      <c r="O474" s="4"/>
      <c r="P474" s="4"/>
      <c r="Q474" s="4"/>
      <c r="R474" s="4"/>
      <c r="S474" s="4"/>
    </row>
    <row r="475" spans="1:19" ht="15.95" customHeight="1" x14ac:dyDescent="0.2">
      <c r="A475" s="4"/>
      <c r="B475" s="9">
        <v>79</v>
      </c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 t="e">
        <f>IF(AND(L475=L476,L476=L477),(IF(AND(#REF!=#REF!,#REF!=#REF!),(IF(AND(#REF!=#REF!,#REF!=#REF!),"","ERROR IN U")),"ERROR IN J")),"ERROR IN T")</f>
        <v>#REF!</v>
      </c>
      <c r="O475" s="4"/>
      <c r="P475" s="4"/>
      <c r="Q475" s="4"/>
      <c r="R475" s="4"/>
      <c r="S475" s="4"/>
    </row>
    <row r="476" spans="1:19" ht="15.95" customHeight="1" x14ac:dyDescent="0.2">
      <c r="A476" s="4"/>
      <c r="B476" s="9">
        <v>79</v>
      </c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 t="e">
        <f>IF(AND(L475=L476,L476=L477),(IF(AND(#REF!=#REF!,#REF!=#REF!),(IF(AND(#REF!=#REF!,#REF!=#REF!),"","ERROR IN U")),"ERROR IN J")),"ERROR IN T")</f>
        <v>#REF!</v>
      </c>
      <c r="O476" s="4"/>
      <c r="P476" s="4"/>
      <c r="Q476" s="4"/>
      <c r="R476" s="4"/>
      <c r="S476" s="4"/>
    </row>
    <row r="477" spans="1:19" ht="15.95" customHeight="1" x14ac:dyDescent="0.2">
      <c r="A477" s="4"/>
      <c r="B477" s="9">
        <v>79</v>
      </c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 t="e">
        <f>IF(AND(L475=L476,L476=L477),(IF(AND(#REF!=#REF!,#REF!=#REF!),(IF(AND(#REF!=#REF!,#REF!=#REF!),"","ERROR IN U")),"ERROR IN J")),"ERROR IN T")</f>
        <v>#REF!</v>
      </c>
      <c r="O477" s="4"/>
      <c r="P477" s="4"/>
      <c r="Q477" s="4"/>
      <c r="R477" s="4"/>
      <c r="S477" s="4"/>
    </row>
    <row r="478" spans="1:19" ht="15.95" customHeight="1" x14ac:dyDescent="0.2">
      <c r="A478" s="4"/>
      <c r="B478" s="9">
        <v>80</v>
      </c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2" t="e">
        <f>IF(AND(L478=L479,L479=L480),(IF(AND(#REF!=#REF!,#REF!=#REF!),(IF(AND(#REF!=#REF!,#REF!=#REF!),"","ERROR IN U")),"ERROR IN J")),"ERROR IN T")</f>
        <v>#REF!</v>
      </c>
      <c r="O478" s="4"/>
      <c r="P478" s="4"/>
      <c r="Q478" s="4"/>
      <c r="R478" s="4"/>
      <c r="S478" s="4"/>
    </row>
    <row r="479" spans="1:19" ht="15.95" customHeight="1" x14ac:dyDescent="0.2">
      <c r="A479" s="4"/>
      <c r="B479" s="9">
        <v>80</v>
      </c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20"/>
      <c r="N479" s="12" t="e">
        <f>IF(AND(L478=L479,L479=L480),(IF(AND(#REF!=#REF!,#REF!=#REF!),(IF(AND(#REF!=#REF!,#REF!=#REF!),"","ERROR IN U")),"ERROR IN J")),"ERROR IN T")</f>
        <v>#REF!</v>
      </c>
      <c r="O479" s="4"/>
      <c r="P479" s="4"/>
      <c r="Q479" s="4"/>
      <c r="R479" s="4"/>
      <c r="S479" s="4"/>
    </row>
    <row r="480" spans="1:19" ht="15.95" customHeight="1" x14ac:dyDescent="0.2">
      <c r="A480" s="4"/>
      <c r="B480" s="9">
        <v>80</v>
      </c>
      <c r="C480" s="19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12" t="e">
        <f>IF(AND(L478=L479,L479=L480),(IF(AND(#REF!=#REF!,#REF!=#REF!),(IF(AND(#REF!=#REF!,#REF!=#REF!),"","ERROR IN U")),"ERROR IN J")),"ERROR IN T")</f>
        <v>#REF!</v>
      </c>
      <c r="O480" s="4"/>
      <c r="P480" s="4"/>
      <c r="Q480" s="4"/>
      <c r="R480" s="4"/>
      <c r="S480" s="4"/>
    </row>
    <row r="481" spans="1:19" ht="15.95" customHeight="1" x14ac:dyDescent="0.2">
      <c r="A481" s="4"/>
      <c r="B481" s="9">
        <v>80</v>
      </c>
      <c r="C481" s="21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18" t="e">
        <f>IF(AND(L481=L482,L482=L483),(IF(AND(#REF!=#REF!,#REF!=#REF!),(IF(AND(#REF!=#REF!,#REF!=#REF!),"","ERROR IN U")),"ERROR IN J")),"ERROR IN T")</f>
        <v>#REF!</v>
      </c>
      <c r="O481" s="4"/>
      <c r="P481" s="4"/>
      <c r="Q481" s="4"/>
      <c r="R481" s="4"/>
      <c r="S481" s="4"/>
    </row>
    <row r="482" spans="1:19" ht="15.95" customHeight="1" x14ac:dyDescent="0.2">
      <c r="A482" s="4"/>
      <c r="B482" s="9">
        <v>80</v>
      </c>
      <c r="C482" s="21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18" t="e">
        <f>IF(AND(L481=L482,L482=L483),(IF(AND(#REF!=#REF!,#REF!=#REF!),(IF(AND(#REF!=#REF!,#REF!=#REF!),"","ERROR IN U")),"ERROR IN J")),"ERROR IN T")</f>
        <v>#REF!</v>
      </c>
      <c r="O482" s="4"/>
      <c r="P482" s="4"/>
      <c r="Q482" s="4"/>
      <c r="R482" s="4"/>
      <c r="S482" s="4"/>
    </row>
    <row r="483" spans="1:19" ht="15.95" customHeight="1" x14ac:dyDescent="0.2">
      <c r="A483" s="4"/>
      <c r="B483" s="9">
        <v>80</v>
      </c>
      <c r="C483" s="21"/>
      <c r="D483" s="21"/>
      <c r="E483" s="21"/>
      <c r="F483" s="21"/>
      <c r="G483" s="21"/>
      <c r="H483" s="21"/>
      <c r="I483" s="21"/>
      <c r="J483" s="21"/>
      <c r="K483" s="21"/>
      <c r="L483" s="21"/>
      <c r="M483" s="21"/>
      <c r="N483" s="18" t="e">
        <f>IF(AND(L481=L482,L482=L483),(IF(AND(#REF!=#REF!,#REF!=#REF!),(IF(AND(#REF!=#REF!,#REF!=#REF!),"","ERROR IN U")),"ERROR IN J")),"ERROR IN T")</f>
        <v>#REF!</v>
      </c>
      <c r="O483" s="4"/>
      <c r="P483" s="4"/>
      <c r="Q483" s="4"/>
      <c r="R483" s="4"/>
      <c r="S483" s="4"/>
    </row>
    <row r="484" spans="1:19" ht="15.95" customHeight="1" x14ac:dyDescent="0.2">
      <c r="A484" s="4"/>
      <c r="B484" s="9">
        <v>81</v>
      </c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2" t="e">
        <f>IF(AND(L484=L485,L485=L486),(IF(AND(#REF!=#REF!,#REF!=#REF!),(IF(AND(#REF!=#REF!,#REF!=#REF!),"","ERROR IN U")),"ERROR IN J")),"ERROR IN T")</f>
        <v>#REF!</v>
      </c>
      <c r="O484" s="4"/>
      <c r="P484" s="4"/>
      <c r="Q484" s="4"/>
      <c r="R484" s="4"/>
      <c r="S484" s="4"/>
    </row>
    <row r="485" spans="1:19" ht="15.95" customHeight="1" x14ac:dyDescent="0.2">
      <c r="A485" s="4"/>
      <c r="B485" s="9">
        <v>81</v>
      </c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20"/>
      <c r="N485" s="12" t="e">
        <f>IF(AND(L484=L485,L485=L486),(IF(AND(#REF!=#REF!,#REF!=#REF!),(IF(AND(#REF!=#REF!,#REF!=#REF!),"","ERROR IN U")),"ERROR IN J")),"ERROR IN T")</f>
        <v>#REF!</v>
      </c>
      <c r="O485" s="4"/>
      <c r="P485" s="4"/>
      <c r="Q485" s="4"/>
      <c r="R485" s="4"/>
      <c r="S485" s="4"/>
    </row>
    <row r="486" spans="1:19" ht="15.95" customHeight="1" x14ac:dyDescent="0.2">
      <c r="A486" s="4"/>
      <c r="B486" s="9">
        <v>81</v>
      </c>
      <c r="C486" s="19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12" t="e">
        <f>IF(AND(L484=L485,L485=L486),(IF(AND(#REF!=#REF!,#REF!=#REF!),(IF(AND(#REF!=#REF!,#REF!=#REF!),"","ERROR IN U")),"ERROR IN J")),"ERROR IN T")</f>
        <v>#REF!</v>
      </c>
      <c r="O486" s="4"/>
      <c r="P486" s="4"/>
      <c r="Q486" s="4"/>
      <c r="R486" s="4"/>
      <c r="S486" s="4"/>
    </row>
    <row r="487" spans="1:19" ht="15.95" customHeight="1" x14ac:dyDescent="0.2">
      <c r="A487" s="4"/>
      <c r="B487" s="9">
        <v>81</v>
      </c>
      <c r="C487" s="21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18" t="e">
        <f>IF(AND(L487=L488,L488=L489),(IF(AND(#REF!=#REF!,#REF!=#REF!),(IF(AND(#REF!=#REF!,#REF!=#REF!),"","ERROR IN U")),"ERROR IN J")),"ERROR IN T")</f>
        <v>#REF!</v>
      </c>
      <c r="O487" s="4"/>
      <c r="P487" s="4"/>
      <c r="Q487" s="4"/>
      <c r="R487" s="4"/>
      <c r="S487" s="4"/>
    </row>
    <row r="488" spans="1:19" ht="15.95" customHeight="1" x14ac:dyDescent="0.2">
      <c r="A488" s="4"/>
      <c r="B488" s="9">
        <v>81</v>
      </c>
      <c r="C488" s="21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18" t="e">
        <f>IF(AND(L487=L488,L488=L489),(IF(AND(#REF!=#REF!,#REF!=#REF!),(IF(AND(#REF!=#REF!,#REF!=#REF!),"","ERROR IN U")),"ERROR IN J")),"ERROR IN T")</f>
        <v>#REF!</v>
      </c>
      <c r="O488" s="4"/>
      <c r="P488" s="4"/>
      <c r="Q488" s="4"/>
      <c r="R488" s="4"/>
      <c r="S488" s="4"/>
    </row>
    <row r="489" spans="1:19" ht="15.95" customHeight="1" x14ac:dyDescent="0.2">
      <c r="A489" s="4"/>
      <c r="B489" s="9">
        <v>81</v>
      </c>
      <c r="C489" s="21"/>
      <c r="D489" s="21"/>
      <c r="E489" s="21"/>
      <c r="F489" s="21"/>
      <c r="G489" s="21"/>
      <c r="H489" s="21"/>
      <c r="I489" s="21"/>
      <c r="J489" s="21"/>
      <c r="K489" s="21"/>
      <c r="L489" s="21"/>
      <c r="M489" s="21"/>
      <c r="N489" s="18" t="e">
        <f>IF(AND(L487=L488,L488=L489),(IF(AND(#REF!=#REF!,#REF!=#REF!),(IF(AND(#REF!=#REF!,#REF!=#REF!),"","ERROR IN U")),"ERROR IN J")),"ERROR IN T")</f>
        <v>#REF!</v>
      </c>
      <c r="O489" s="4"/>
      <c r="P489" s="4"/>
      <c r="Q489" s="4"/>
      <c r="R489" s="4"/>
      <c r="S489" s="4"/>
    </row>
    <row r="490" spans="1:19" ht="15.95" customHeight="1" x14ac:dyDescent="0.2">
      <c r="A490" s="4"/>
      <c r="B490" s="9">
        <v>82</v>
      </c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2" t="e">
        <f>IF(AND(L490=L491,L491=L492),(IF(AND(#REF!=#REF!,#REF!=#REF!),(IF(AND(#REF!=#REF!,#REF!=#REF!),"","ERROR IN U")),"ERROR IN J")),"ERROR IN T")</f>
        <v>#REF!</v>
      </c>
      <c r="O490" s="4"/>
      <c r="P490" s="4"/>
      <c r="Q490" s="4"/>
      <c r="R490" s="4"/>
      <c r="S490" s="4"/>
    </row>
    <row r="491" spans="1:19" ht="15.95" customHeight="1" x14ac:dyDescent="0.2">
      <c r="A491" s="4"/>
      <c r="B491" s="9">
        <v>82</v>
      </c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20"/>
      <c r="N491" s="12" t="e">
        <f>IF(AND(L490=L491,L491=L492),(IF(AND(#REF!=#REF!,#REF!=#REF!),(IF(AND(#REF!=#REF!,#REF!=#REF!),"","ERROR IN U")),"ERROR IN J")),"ERROR IN T")</f>
        <v>#REF!</v>
      </c>
      <c r="O491" s="4"/>
      <c r="P491" s="4"/>
      <c r="Q491" s="4"/>
      <c r="R491" s="4"/>
      <c r="S491" s="4"/>
    </row>
    <row r="492" spans="1:19" ht="15.95" customHeight="1" x14ac:dyDescent="0.2">
      <c r="A492" s="4"/>
      <c r="B492" s="9">
        <v>82</v>
      </c>
      <c r="C492" s="19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12" t="e">
        <f>IF(AND(L490=L491,L491=L492),(IF(AND(#REF!=#REF!,#REF!=#REF!),(IF(AND(#REF!=#REF!,#REF!=#REF!),"","ERROR IN U")),"ERROR IN J")),"ERROR IN T")</f>
        <v>#REF!</v>
      </c>
      <c r="O492" s="4"/>
      <c r="P492" s="4"/>
      <c r="Q492" s="4"/>
      <c r="R492" s="4"/>
      <c r="S492" s="4"/>
    </row>
    <row r="493" spans="1:19" ht="15.95" customHeight="1" x14ac:dyDescent="0.2">
      <c r="A493" s="4"/>
      <c r="B493" s="9">
        <v>82</v>
      </c>
      <c r="C493" s="21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18" t="e">
        <f>IF(AND(L493=L494,L494=L495),(IF(AND(#REF!=#REF!,#REF!=#REF!),(IF(AND(#REF!=#REF!,#REF!=#REF!),"","ERROR IN U")),"ERROR IN J")),"ERROR IN T")</f>
        <v>#REF!</v>
      </c>
      <c r="O493" s="4"/>
      <c r="P493" s="4"/>
      <c r="Q493" s="4"/>
      <c r="R493" s="4"/>
      <c r="S493" s="4"/>
    </row>
    <row r="494" spans="1:19" ht="15.95" customHeight="1" x14ac:dyDescent="0.2">
      <c r="A494" s="4"/>
      <c r="B494" s="9">
        <v>82</v>
      </c>
      <c r="C494" s="21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18" t="e">
        <f>IF(AND(L493=L494,L494=L495),(IF(AND(#REF!=#REF!,#REF!=#REF!),(IF(AND(#REF!=#REF!,#REF!=#REF!),"","ERROR IN U")),"ERROR IN J")),"ERROR IN T")</f>
        <v>#REF!</v>
      </c>
      <c r="O494" s="4"/>
      <c r="P494" s="4"/>
      <c r="Q494" s="4"/>
      <c r="R494" s="4"/>
      <c r="S494" s="4"/>
    </row>
    <row r="495" spans="1:19" ht="15.95" customHeight="1" x14ac:dyDescent="0.2">
      <c r="A495" s="4"/>
      <c r="B495" s="9">
        <v>82</v>
      </c>
      <c r="C495" s="21"/>
      <c r="D495" s="21"/>
      <c r="E495" s="21"/>
      <c r="F495" s="21"/>
      <c r="G495" s="21"/>
      <c r="H495" s="21"/>
      <c r="I495" s="21"/>
      <c r="J495" s="21"/>
      <c r="K495" s="21"/>
      <c r="L495" s="21"/>
      <c r="M495" s="21"/>
      <c r="N495" s="18" t="e">
        <f>IF(AND(L493=L494,L494=L495),(IF(AND(#REF!=#REF!,#REF!=#REF!),(IF(AND(#REF!=#REF!,#REF!=#REF!),"","ERROR IN U")),"ERROR IN J")),"ERROR IN T")</f>
        <v>#REF!</v>
      </c>
      <c r="O495" s="4"/>
      <c r="P495" s="4"/>
      <c r="Q495" s="4"/>
      <c r="R495" s="4"/>
      <c r="S495" s="4"/>
    </row>
    <row r="496" spans="1:19" ht="15.95" customHeight="1" x14ac:dyDescent="0.2">
      <c r="A496" s="4"/>
      <c r="B496" s="9">
        <v>83</v>
      </c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2" t="e">
        <f>IF(AND(L496=L497,L497=L498),(IF(AND(#REF!=#REF!,#REF!=#REF!),(IF(AND(#REF!=#REF!,#REF!=#REF!),"","ERROR IN U")),"ERROR IN J")),"ERROR IN T")</f>
        <v>#REF!</v>
      </c>
      <c r="O496" s="4"/>
      <c r="P496" s="4"/>
      <c r="Q496" s="4"/>
      <c r="R496" s="4"/>
      <c r="S496" s="4"/>
    </row>
    <row r="497" spans="1:19" ht="15.95" customHeight="1" x14ac:dyDescent="0.2">
      <c r="A497" s="4"/>
      <c r="B497" s="9">
        <v>83</v>
      </c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20"/>
      <c r="N497" s="12" t="e">
        <f>IF(AND(L496=L497,L497=L498),(IF(AND(#REF!=#REF!,#REF!=#REF!),(IF(AND(#REF!=#REF!,#REF!=#REF!),"","ERROR IN U")),"ERROR IN J")),"ERROR IN T")</f>
        <v>#REF!</v>
      </c>
      <c r="O497" s="4"/>
      <c r="P497" s="4"/>
      <c r="Q497" s="4"/>
      <c r="R497" s="4"/>
      <c r="S497" s="4"/>
    </row>
    <row r="498" spans="1:19" ht="15.95" customHeight="1" x14ac:dyDescent="0.2">
      <c r="A498" s="4"/>
      <c r="B498" s="9">
        <v>83</v>
      </c>
      <c r="C498" s="19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12" t="e">
        <f>IF(AND(L496=L497,L497=L498),(IF(AND(#REF!=#REF!,#REF!=#REF!),(IF(AND(#REF!=#REF!,#REF!=#REF!),"","ERROR IN U")),"ERROR IN J")),"ERROR IN T")</f>
        <v>#REF!</v>
      </c>
      <c r="O498" s="4"/>
      <c r="P498" s="4"/>
      <c r="Q498" s="4"/>
      <c r="R498" s="4"/>
      <c r="S498" s="4"/>
    </row>
    <row r="499" spans="1:19" ht="15.95" customHeight="1" x14ac:dyDescent="0.2">
      <c r="A499" s="4"/>
      <c r="B499" s="9">
        <v>83</v>
      </c>
      <c r="C499" s="21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18" t="e">
        <f>IF(AND(L499=L500,L500=L501),(IF(AND(#REF!=#REF!,#REF!=#REF!),(IF(AND(#REF!=#REF!,#REF!=#REF!),"","ERROR IN U")),"ERROR IN J")),"ERROR IN T")</f>
        <v>#REF!</v>
      </c>
      <c r="O499" s="4"/>
      <c r="P499" s="4"/>
      <c r="Q499" s="4"/>
      <c r="R499" s="4"/>
      <c r="S499" s="4"/>
    </row>
    <row r="500" spans="1:19" ht="15.95" customHeight="1" x14ac:dyDescent="0.2">
      <c r="A500" s="4"/>
      <c r="B500" s="9">
        <v>83</v>
      </c>
      <c r="C500" s="21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18" t="e">
        <f>IF(AND(L499=L500,L500=L501),(IF(AND(#REF!=#REF!,#REF!=#REF!),(IF(AND(#REF!=#REF!,#REF!=#REF!),"","ERROR IN U")),"ERROR IN J")),"ERROR IN T")</f>
        <v>#REF!</v>
      </c>
      <c r="O500" s="4"/>
      <c r="P500" s="4"/>
      <c r="Q500" s="4"/>
      <c r="R500" s="4"/>
      <c r="S500" s="4"/>
    </row>
    <row r="501" spans="1:19" ht="15.95" customHeight="1" x14ac:dyDescent="0.2">
      <c r="A501" s="4"/>
      <c r="B501" s="9">
        <v>83</v>
      </c>
      <c r="C501" s="21"/>
      <c r="D501" s="21"/>
      <c r="E501" s="21"/>
      <c r="F501" s="21"/>
      <c r="G501" s="21"/>
      <c r="H501" s="21"/>
      <c r="I501" s="21"/>
      <c r="J501" s="21"/>
      <c r="K501" s="21"/>
      <c r="L501" s="21"/>
      <c r="M501" s="21"/>
      <c r="N501" s="18" t="e">
        <f>IF(AND(L499=L500,L500=L501),(IF(AND(#REF!=#REF!,#REF!=#REF!),(IF(AND(#REF!=#REF!,#REF!=#REF!),"","ERROR IN U")),"ERROR IN J")),"ERROR IN T")</f>
        <v>#REF!</v>
      </c>
      <c r="O501" s="4"/>
      <c r="P501" s="4"/>
      <c r="Q501" s="4"/>
      <c r="R501" s="4"/>
      <c r="S501" s="4"/>
    </row>
    <row r="502" spans="1:19" ht="15.95" customHeight="1" x14ac:dyDescent="0.2">
      <c r="A502" s="4"/>
      <c r="B502" s="9">
        <v>84</v>
      </c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2" t="e">
        <f>IF(AND(L502=L503,L503=L504),(IF(AND(#REF!=#REF!,#REF!=#REF!),(IF(AND(#REF!=#REF!,#REF!=#REF!),"","ERROR IN U")),"ERROR IN J")),"ERROR IN T")</f>
        <v>#REF!</v>
      </c>
      <c r="O502" s="4"/>
      <c r="P502" s="4"/>
      <c r="Q502" s="4"/>
      <c r="R502" s="4"/>
      <c r="S502" s="4"/>
    </row>
    <row r="503" spans="1:19" ht="15.95" customHeight="1" x14ac:dyDescent="0.2">
      <c r="A503" s="4"/>
      <c r="B503" s="9">
        <v>84</v>
      </c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20"/>
      <c r="N503" s="12" t="e">
        <f>IF(AND(L502=L503,L503=L504),(IF(AND(#REF!=#REF!,#REF!=#REF!),(IF(AND(#REF!=#REF!,#REF!=#REF!),"","ERROR IN U")),"ERROR IN J")),"ERROR IN T")</f>
        <v>#REF!</v>
      </c>
      <c r="O503" s="4"/>
      <c r="P503" s="4"/>
      <c r="Q503" s="4"/>
      <c r="R503" s="4"/>
      <c r="S503" s="4"/>
    </row>
    <row r="504" spans="1:19" ht="15.95" customHeight="1" x14ac:dyDescent="0.2">
      <c r="A504" s="4"/>
      <c r="B504" s="9">
        <v>84</v>
      </c>
      <c r="C504" s="19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12" t="e">
        <f>IF(AND(L502=L503,L503=L504),(IF(AND(#REF!=#REF!,#REF!=#REF!),(IF(AND(#REF!=#REF!,#REF!=#REF!),"","ERROR IN U")),"ERROR IN J")),"ERROR IN T")</f>
        <v>#REF!</v>
      </c>
      <c r="O504" s="4"/>
      <c r="P504" s="4"/>
      <c r="Q504" s="4"/>
      <c r="R504" s="4"/>
      <c r="S504" s="4"/>
    </row>
    <row r="505" spans="1:19" ht="15.95" customHeight="1" x14ac:dyDescent="0.2">
      <c r="A505" s="4"/>
      <c r="B505" s="9">
        <v>84</v>
      </c>
      <c r="C505" s="21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18" t="e">
        <f>IF(AND(L505=L506,L506=L507),(IF(AND(#REF!=#REF!,#REF!=#REF!),(IF(AND(#REF!=#REF!,#REF!=#REF!),"","ERROR IN U")),"ERROR IN J")),"ERROR IN T")</f>
        <v>#REF!</v>
      </c>
      <c r="O505" s="4"/>
      <c r="P505" s="4"/>
      <c r="Q505" s="4"/>
      <c r="R505" s="4"/>
      <c r="S505" s="4"/>
    </row>
    <row r="506" spans="1:19" ht="15.95" customHeight="1" x14ac:dyDescent="0.2">
      <c r="A506" s="4"/>
      <c r="B506" s="9">
        <v>84</v>
      </c>
      <c r="C506" s="21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18" t="e">
        <f>IF(AND(L505=L506,L506=L507),(IF(AND(#REF!=#REF!,#REF!=#REF!),(IF(AND(#REF!=#REF!,#REF!=#REF!),"","ERROR IN U")),"ERROR IN J")),"ERROR IN T")</f>
        <v>#REF!</v>
      </c>
      <c r="O506" s="4"/>
      <c r="P506" s="4"/>
      <c r="Q506" s="4"/>
      <c r="R506" s="4"/>
      <c r="S506" s="4"/>
    </row>
    <row r="507" spans="1:19" ht="15.95" customHeight="1" x14ac:dyDescent="0.2">
      <c r="A507" s="4"/>
      <c r="B507" s="9">
        <v>84</v>
      </c>
      <c r="C507" s="21"/>
      <c r="D507" s="21"/>
      <c r="E507" s="21"/>
      <c r="F507" s="21"/>
      <c r="G507" s="21"/>
      <c r="H507" s="21"/>
      <c r="I507" s="21"/>
      <c r="J507" s="21"/>
      <c r="K507" s="21"/>
      <c r="L507" s="21"/>
      <c r="M507" s="21"/>
      <c r="N507" s="18" t="e">
        <f>IF(AND(L505=L506,L506=L507),(IF(AND(#REF!=#REF!,#REF!=#REF!),(IF(AND(#REF!=#REF!,#REF!=#REF!),"","ERROR IN U")),"ERROR IN J")),"ERROR IN T")</f>
        <v>#REF!</v>
      </c>
      <c r="O507" s="4"/>
      <c r="P507" s="4"/>
      <c r="Q507" s="4"/>
      <c r="R507" s="4"/>
      <c r="S507" s="4"/>
    </row>
    <row r="508" spans="1:19" ht="15.95" customHeight="1" x14ac:dyDescent="0.2">
      <c r="A508" s="4"/>
      <c r="B508" s="9">
        <v>85</v>
      </c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 t="e">
        <f>IF(AND(L508=L509,L509=L510),(IF(AND(#REF!=#REF!,#REF!=#REF!),(IF(AND(#REF!=#REF!,#REF!=#REF!),"","ERROR IN U")),"ERROR IN J")),"ERROR IN T")</f>
        <v>#REF!</v>
      </c>
      <c r="O508" s="4"/>
      <c r="P508" s="4"/>
      <c r="Q508" s="4"/>
      <c r="R508" s="4"/>
      <c r="S508" s="4"/>
    </row>
    <row r="509" spans="1:19" ht="15.95" customHeight="1" x14ac:dyDescent="0.2">
      <c r="A509" s="4"/>
      <c r="B509" s="9">
        <v>85</v>
      </c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 t="e">
        <f>IF(AND(L508=L509,L509=L510),(IF(AND(#REF!=#REF!,#REF!=#REF!),(IF(AND(#REF!=#REF!,#REF!=#REF!),"","ERROR IN U")),"ERROR IN J")),"ERROR IN T")</f>
        <v>#REF!</v>
      </c>
      <c r="O509" s="4"/>
      <c r="P509" s="4"/>
      <c r="Q509" s="4"/>
      <c r="R509" s="4"/>
      <c r="S509" s="4"/>
    </row>
    <row r="510" spans="1:19" ht="15.95" customHeight="1" x14ac:dyDescent="0.2">
      <c r="A510" s="4"/>
      <c r="B510" s="9">
        <v>85</v>
      </c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 t="e">
        <f>IF(AND(L508=L509,L509=L510),(IF(AND(#REF!=#REF!,#REF!=#REF!),(IF(AND(#REF!=#REF!,#REF!=#REF!),"","ERROR IN U")),"ERROR IN J")),"ERROR IN T")</f>
        <v>#REF!</v>
      </c>
      <c r="O510" s="4"/>
      <c r="P510" s="4"/>
      <c r="Q510" s="4"/>
      <c r="R510" s="4"/>
      <c r="S510" s="4"/>
    </row>
    <row r="511" spans="1:19" ht="15.95" customHeight="1" x14ac:dyDescent="0.2">
      <c r="A511" s="4"/>
      <c r="B511" s="9">
        <v>85</v>
      </c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 t="e">
        <f>IF(AND(L511=L512,L512=L513),(IF(AND(#REF!=#REF!,#REF!=#REF!),(IF(AND(#REF!=#REF!,#REF!=#REF!),"","ERROR IN U")),"ERROR IN J")),"ERROR IN T")</f>
        <v>#REF!</v>
      </c>
      <c r="O511" s="4"/>
      <c r="P511" s="4"/>
      <c r="Q511" s="4"/>
      <c r="R511" s="4"/>
      <c r="S511" s="4"/>
    </row>
    <row r="512" spans="1:19" ht="15.95" customHeight="1" x14ac:dyDescent="0.2">
      <c r="A512" s="4"/>
      <c r="B512" s="9">
        <v>85</v>
      </c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 t="e">
        <f>IF(AND(L511=L512,L512=L513),(IF(AND(#REF!=#REF!,#REF!=#REF!),(IF(AND(#REF!=#REF!,#REF!=#REF!),"","ERROR IN U")),"ERROR IN J")),"ERROR IN T")</f>
        <v>#REF!</v>
      </c>
      <c r="O512" s="4"/>
      <c r="P512" s="4"/>
      <c r="Q512" s="4"/>
      <c r="R512" s="4"/>
      <c r="S512" s="4"/>
    </row>
    <row r="513" spans="1:19" ht="15.95" customHeight="1" x14ac:dyDescent="0.2">
      <c r="A513" s="4"/>
      <c r="B513" s="9">
        <v>85</v>
      </c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 t="e">
        <f>IF(AND(L511=L512,L512=L513),(IF(AND(#REF!=#REF!,#REF!=#REF!),(IF(AND(#REF!=#REF!,#REF!=#REF!),"","ERROR IN U")),"ERROR IN J")),"ERROR IN T")</f>
        <v>#REF!</v>
      </c>
      <c r="O513" s="4"/>
      <c r="P513" s="4"/>
      <c r="Q513" s="4"/>
      <c r="R513" s="4"/>
      <c r="S513" s="4"/>
    </row>
    <row r="514" spans="1:19" ht="15.95" customHeight="1" x14ac:dyDescent="0.2">
      <c r="A514" s="4"/>
      <c r="B514" s="9">
        <v>86</v>
      </c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2" t="e">
        <f>IF(AND(L514=L515,L515=L516),(IF(AND(#REF!=#REF!,#REF!=#REF!),(IF(AND(#REF!=#REF!,#REF!=#REF!),"","ERROR IN U")),"ERROR IN J")),"ERROR IN T")</f>
        <v>#REF!</v>
      </c>
      <c r="O514" s="4"/>
      <c r="P514" s="4"/>
      <c r="Q514" s="4"/>
      <c r="R514" s="4"/>
      <c r="S514" s="4"/>
    </row>
    <row r="515" spans="1:19" ht="15.95" customHeight="1" x14ac:dyDescent="0.2">
      <c r="A515" s="4"/>
      <c r="B515" s="9">
        <v>86</v>
      </c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20"/>
      <c r="N515" s="12" t="e">
        <f>IF(AND(L514=L515,L515=L516),(IF(AND(#REF!=#REF!,#REF!=#REF!),(IF(AND(#REF!=#REF!,#REF!=#REF!),"","ERROR IN U")),"ERROR IN J")),"ERROR IN T")</f>
        <v>#REF!</v>
      </c>
      <c r="O515" s="4"/>
      <c r="P515" s="4"/>
      <c r="Q515" s="4"/>
      <c r="R515" s="4"/>
      <c r="S515" s="4"/>
    </row>
    <row r="516" spans="1:19" ht="15.95" customHeight="1" x14ac:dyDescent="0.2">
      <c r="A516" s="4"/>
      <c r="B516" s="9">
        <v>86</v>
      </c>
      <c r="C516" s="19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12" t="e">
        <f>IF(AND(L514=L515,L515=L516),(IF(AND(#REF!=#REF!,#REF!=#REF!),(IF(AND(#REF!=#REF!,#REF!=#REF!),"","ERROR IN U")),"ERROR IN J")),"ERROR IN T")</f>
        <v>#REF!</v>
      </c>
      <c r="O516" s="4"/>
      <c r="P516" s="4"/>
      <c r="Q516" s="4"/>
      <c r="R516" s="4"/>
      <c r="S516" s="4"/>
    </row>
    <row r="517" spans="1:19" ht="15.95" customHeight="1" x14ac:dyDescent="0.2">
      <c r="A517" s="4"/>
      <c r="B517" s="9">
        <v>86</v>
      </c>
      <c r="C517" s="21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18" t="e">
        <f>IF(AND(L517=L518,L518=L519),(IF(AND(#REF!=#REF!,#REF!=#REF!),(IF(AND(#REF!=#REF!,#REF!=#REF!),"","ERROR IN U")),"ERROR IN J")),"ERROR IN T")</f>
        <v>#REF!</v>
      </c>
      <c r="O517" s="4"/>
      <c r="P517" s="4"/>
      <c r="Q517" s="4"/>
      <c r="R517" s="4"/>
      <c r="S517" s="4"/>
    </row>
    <row r="518" spans="1:19" ht="15.95" customHeight="1" x14ac:dyDescent="0.2">
      <c r="A518" s="4"/>
      <c r="B518" s="9">
        <v>86</v>
      </c>
      <c r="C518" s="21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18" t="e">
        <f>IF(AND(L517=L518,L518=L519),(IF(AND(#REF!=#REF!,#REF!=#REF!),(IF(AND(#REF!=#REF!,#REF!=#REF!),"","ERROR IN U")),"ERROR IN J")),"ERROR IN T")</f>
        <v>#REF!</v>
      </c>
      <c r="O518" s="4"/>
      <c r="P518" s="4"/>
      <c r="Q518" s="4"/>
      <c r="R518" s="4"/>
      <c r="S518" s="4"/>
    </row>
    <row r="519" spans="1:19" ht="15.95" customHeight="1" x14ac:dyDescent="0.2">
      <c r="A519" s="4"/>
      <c r="B519" s="9">
        <v>86</v>
      </c>
      <c r="C519" s="21"/>
      <c r="D519" s="21"/>
      <c r="E519" s="21"/>
      <c r="F519" s="21"/>
      <c r="G519" s="21"/>
      <c r="H519" s="21"/>
      <c r="I519" s="21"/>
      <c r="J519" s="21"/>
      <c r="K519" s="21"/>
      <c r="L519" s="21"/>
      <c r="M519" s="21"/>
      <c r="N519" s="18" t="e">
        <f>IF(AND(L517=L518,L518=L519),(IF(AND(#REF!=#REF!,#REF!=#REF!),(IF(AND(#REF!=#REF!,#REF!=#REF!),"","ERROR IN U")),"ERROR IN J")),"ERROR IN T")</f>
        <v>#REF!</v>
      </c>
      <c r="O519" s="4"/>
      <c r="P519" s="4"/>
      <c r="Q519" s="4"/>
      <c r="R519" s="4"/>
      <c r="S519" s="4"/>
    </row>
    <row r="520" spans="1:19" ht="15.95" customHeight="1" x14ac:dyDescent="0.2">
      <c r="A520" s="4"/>
      <c r="B520" s="9">
        <v>87</v>
      </c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2" t="e">
        <f>IF(AND(L520=L521,L521=L522),(IF(AND(#REF!=#REF!,#REF!=#REF!),(IF(AND(#REF!=#REF!,#REF!=#REF!),"","ERROR IN U")),"ERROR IN J")),"ERROR IN T")</f>
        <v>#REF!</v>
      </c>
      <c r="O520" s="4"/>
      <c r="P520" s="4"/>
      <c r="Q520" s="4"/>
      <c r="R520" s="4"/>
      <c r="S520" s="4"/>
    </row>
    <row r="521" spans="1:19" ht="15.95" customHeight="1" x14ac:dyDescent="0.2">
      <c r="A521" s="4"/>
      <c r="B521" s="9">
        <v>87</v>
      </c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20"/>
      <c r="N521" s="12" t="e">
        <f>IF(AND(L520=L521,L521=L522),(IF(AND(#REF!=#REF!,#REF!=#REF!),(IF(AND(#REF!=#REF!,#REF!=#REF!),"","ERROR IN U")),"ERROR IN J")),"ERROR IN T")</f>
        <v>#REF!</v>
      </c>
      <c r="O521" s="4"/>
      <c r="P521" s="4"/>
      <c r="Q521" s="4"/>
      <c r="R521" s="4"/>
      <c r="S521" s="4"/>
    </row>
    <row r="522" spans="1:19" ht="15.95" customHeight="1" x14ac:dyDescent="0.2">
      <c r="A522" s="4"/>
      <c r="B522" s="9">
        <v>87</v>
      </c>
      <c r="C522" s="19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12" t="e">
        <f>IF(AND(L520=L521,L521=L522),(IF(AND(#REF!=#REF!,#REF!=#REF!),(IF(AND(#REF!=#REF!,#REF!=#REF!),"","ERROR IN U")),"ERROR IN J")),"ERROR IN T")</f>
        <v>#REF!</v>
      </c>
      <c r="O522" s="4"/>
      <c r="P522" s="4"/>
      <c r="Q522" s="4"/>
      <c r="R522" s="4"/>
      <c r="S522" s="4"/>
    </row>
    <row r="523" spans="1:19" ht="15.95" customHeight="1" x14ac:dyDescent="0.2">
      <c r="A523" s="4"/>
      <c r="B523" s="9">
        <v>87</v>
      </c>
      <c r="C523" s="21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18" t="e">
        <f>IF(AND(L523=L524,L524=L525),(IF(AND(#REF!=#REF!,#REF!=#REF!),(IF(AND(#REF!=#REF!,#REF!=#REF!),"","ERROR IN U")),"ERROR IN J")),"ERROR IN T")</f>
        <v>#REF!</v>
      </c>
      <c r="O523" s="4"/>
      <c r="P523" s="4"/>
      <c r="Q523" s="4"/>
      <c r="R523" s="4"/>
      <c r="S523" s="4"/>
    </row>
    <row r="524" spans="1:19" ht="15.95" customHeight="1" x14ac:dyDescent="0.2">
      <c r="A524" s="4"/>
      <c r="B524" s="9">
        <v>87</v>
      </c>
      <c r="C524" s="21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18" t="e">
        <f>IF(AND(L523=L524,L524=L525),(IF(AND(#REF!=#REF!,#REF!=#REF!),(IF(AND(#REF!=#REF!,#REF!=#REF!),"","ERROR IN U")),"ERROR IN J")),"ERROR IN T")</f>
        <v>#REF!</v>
      </c>
      <c r="O524" s="4"/>
      <c r="P524" s="4"/>
      <c r="Q524" s="4"/>
      <c r="R524" s="4"/>
      <c r="S524" s="4"/>
    </row>
    <row r="525" spans="1:19" ht="15.95" customHeight="1" x14ac:dyDescent="0.2">
      <c r="A525" s="4"/>
      <c r="B525" s="9">
        <v>87</v>
      </c>
      <c r="C525" s="21"/>
      <c r="D525" s="21"/>
      <c r="E525" s="21"/>
      <c r="F525" s="21"/>
      <c r="G525" s="21"/>
      <c r="H525" s="21"/>
      <c r="I525" s="21"/>
      <c r="J525" s="21"/>
      <c r="K525" s="21"/>
      <c r="L525" s="21"/>
      <c r="M525" s="21"/>
      <c r="N525" s="18" t="e">
        <f>IF(AND(L523=L524,L524=L525),(IF(AND(#REF!=#REF!,#REF!=#REF!),(IF(AND(#REF!=#REF!,#REF!=#REF!),"","ERROR IN U")),"ERROR IN J")),"ERROR IN T")</f>
        <v>#REF!</v>
      </c>
      <c r="O525" s="4"/>
      <c r="P525" s="4"/>
      <c r="Q525" s="4"/>
      <c r="R525" s="4"/>
      <c r="S525" s="4"/>
    </row>
    <row r="526" spans="1:19" ht="15.95" customHeight="1" x14ac:dyDescent="0.2">
      <c r="A526" s="4"/>
      <c r="B526" s="9">
        <v>88</v>
      </c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2" t="e">
        <f>IF(AND(L526=L527,L527=L528),(IF(AND(#REF!=#REF!,#REF!=#REF!),(IF(AND(#REF!=#REF!,#REF!=#REF!),"","ERROR IN U")),"ERROR IN J")),"ERROR IN T")</f>
        <v>#REF!</v>
      </c>
      <c r="O526" s="4"/>
      <c r="P526" s="4"/>
      <c r="Q526" s="4"/>
      <c r="R526" s="4"/>
      <c r="S526" s="4"/>
    </row>
    <row r="527" spans="1:19" ht="15.95" customHeight="1" x14ac:dyDescent="0.2">
      <c r="A527" s="4"/>
      <c r="B527" s="9">
        <v>88</v>
      </c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20"/>
      <c r="N527" s="12" t="e">
        <f>IF(AND(L526=L527,L527=L528),(IF(AND(#REF!=#REF!,#REF!=#REF!),(IF(AND(#REF!=#REF!,#REF!=#REF!),"","ERROR IN U")),"ERROR IN J")),"ERROR IN T")</f>
        <v>#REF!</v>
      </c>
      <c r="O527" s="4"/>
      <c r="P527" s="4"/>
      <c r="Q527" s="4"/>
      <c r="R527" s="4"/>
      <c r="S527" s="4"/>
    </row>
    <row r="528" spans="1:19" ht="15.95" customHeight="1" x14ac:dyDescent="0.2">
      <c r="A528" s="4"/>
      <c r="B528" s="9">
        <v>88</v>
      </c>
      <c r="C528" s="19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12" t="e">
        <f>IF(AND(L526=L527,L527=L528),(IF(AND(#REF!=#REF!,#REF!=#REF!),(IF(AND(#REF!=#REF!,#REF!=#REF!),"","ERROR IN U")),"ERROR IN J")),"ERROR IN T")</f>
        <v>#REF!</v>
      </c>
      <c r="O528" s="4"/>
      <c r="P528" s="4"/>
      <c r="Q528" s="4"/>
      <c r="R528" s="4"/>
      <c r="S528" s="4"/>
    </row>
    <row r="529" spans="1:19" ht="15.95" customHeight="1" x14ac:dyDescent="0.2">
      <c r="A529" s="4"/>
      <c r="B529" s="9">
        <v>88</v>
      </c>
      <c r="C529" s="21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18" t="e">
        <f>IF(AND(L529=L530,L530=L531),(IF(AND(#REF!=#REF!,#REF!=#REF!),(IF(AND(#REF!=#REF!,#REF!=#REF!),"","ERROR IN U")),"ERROR IN J")),"ERROR IN T")</f>
        <v>#REF!</v>
      </c>
      <c r="O529" s="4"/>
      <c r="P529" s="4"/>
      <c r="Q529" s="4"/>
      <c r="R529" s="4"/>
      <c r="S529" s="4"/>
    </row>
    <row r="530" spans="1:19" ht="15.95" customHeight="1" x14ac:dyDescent="0.2">
      <c r="A530" s="4"/>
      <c r="B530" s="9">
        <v>88</v>
      </c>
      <c r="C530" s="21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18" t="e">
        <f>IF(AND(L529=L530,L530=L531),(IF(AND(#REF!=#REF!,#REF!=#REF!),(IF(AND(#REF!=#REF!,#REF!=#REF!),"","ERROR IN U")),"ERROR IN J")),"ERROR IN T")</f>
        <v>#REF!</v>
      </c>
      <c r="O530" s="4"/>
      <c r="P530" s="4"/>
      <c r="Q530" s="4"/>
      <c r="R530" s="4"/>
      <c r="S530" s="4"/>
    </row>
    <row r="531" spans="1:19" ht="15.95" customHeight="1" x14ac:dyDescent="0.2">
      <c r="A531" s="4"/>
      <c r="B531" s="9">
        <v>88</v>
      </c>
      <c r="C531" s="21"/>
      <c r="D531" s="21"/>
      <c r="E531" s="21"/>
      <c r="F531" s="21"/>
      <c r="G531" s="21"/>
      <c r="H531" s="21"/>
      <c r="I531" s="21"/>
      <c r="J531" s="21"/>
      <c r="K531" s="21"/>
      <c r="L531" s="21"/>
      <c r="M531" s="21"/>
      <c r="N531" s="18" t="e">
        <f>IF(AND(L529=L530,L530=L531),(IF(AND(#REF!=#REF!,#REF!=#REF!),(IF(AND(#REF!=#REF!,#REF!=#REF!),"","ERROR IN U")),"ERROR IN J")),"ERROR IN T")</f>
        <v>#REF!</v>
      </c>
      <c r="O531" s="4"/>
      <c r="P531" s="4"/>
      <c r="Q531" s="4"/>
      <c r="R531" s="4"/>
      <c r="S531" s="4"/>
    </row>
    <row r="532" spans="1:19" ht="15.95" customHeight="1" x14ac:dyDescent="0.2">
      <c r="A532" s="4"/>
      <c r="B532" s="9">
        <v>89</v>
      </c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2" t="e">
        <f>IF(AND(L532=L533,L533=L534),(IF(AND(#REF!=#REF!,#REF!=#REF!),(IF(AND(#REF!=#REF!,#REF!=#REF!),"","ERROR IN U")),"ERROR IN J")),"ERROR IN T")</f>
        <v>#REF!</v>
      </c>
      <c r="O532" s="4"/>
      <c r="P532" s="4"/>
      <c r="Q532" s="4"/>
      <c r="R532" s="4"/>
      <c r="S532" s="4"/>
    </row>
    <row r="533" spans="1:19" ht="15.95" customHeight="1" x14ac:dyDescent="0.2">
      <c r="A533" s="4"/>
      <c r="B533" s="9">
        <v>89</v>
      </c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20"/>
      <c r="N533" s="12" t="e">
        <f>IF(AND(L532=L533,L533=L534),(IF(AND(#REF!=#REF!,#REF!=#REF!),(IF(AND(#REF!=#REF!,#REF!=#REF!),"","ERROR IN U")),"ERROR IN J")),"ERROR IN T")</f>
        <v>#REF!</v>
      </c>
      <c r="O533" s="4"/>
      <c r="P533" s="4"/>
      <c r="Q533" s="4"/>
      <c r="R533" s="4"/>
      <c r="S533" s="4"/>
    </row>
    <row r="534" spans="1:19" ht="15.95" customHeight="1" x14ac:dyDescent="0.2">
      <c r="A534" s="4"/>
      <c r="B534" s="9">
        <v>89</v>
      </c>
      <c r="C534" s="19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12" t="e">
        <f>IF(AND(L532=L533,L533=L534),(IF(AND(#REF!=#REF!,#REF!=#REF!),(IF(AND(#REF!=#REF!,#REF!=#REF!),"","ERROR IN U")),"ERROR IN J")),"ERROR IN T")</f>
        <v>#REF!</v>
      </c>
      <c r="O534" s="4"/>
      <c r="P534" s="4"/>
      <c r="Q534" s="4"/>
      <c r="R534" s="4"/>
      <c r="S534" s="4"/>
    </row>
    <row r="535" spans="1:19" ht="15.95" customHeight="1" x14ac:dyDescent="0.2">
      <c r="A535" s="4"/>
      <c r="B535" s="9">
        <v>89</v>
      </c>
      <c r="C535" s="21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18" t="e">
        <f>IF(AND(L535=L536,L536=L537),(IF(AND(#REF!=#REF!,#REF!=#REF!),(IF(AND(#REF!=#REF!,#REF!=#REF!),"","ERROR IN U")),"ERROR IN J")),"ERROR IN T")</f>
        <v>#REF!</v>
      </c>
      <c r="O535" s="4"/>
      <c r="P535" s="4"/>
      <c r="Q535" s="4"/>
      <c r="R535" s="4"/>
      <c r="S535" s="4"/>
    </row>
    <row r="536" spans="1:19" ht="15.95" customHeight="1" x14ac:dyDescent="0.2">
      <c r="A536" s="4"/>
      <c r="B536" s="9">
        <v>89</v>
      </c>
      <c r="C536" s="21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18" t="e">
        <f>IF(AND(L535=L536,L536=L537),(IF(AND(#REF!=#REF!,#REF!=#REF!),(IF(AND(#REF!=#REF!,#REF!=#REF!),"","ERROR IN U")),"ERROR IN J")),"ERROR IN T")</f>
        <v>#REF!</v>
      </c>
      <c r="O536" s="4"/>
      <c r="P536" s="4"/>
      <c r="Q536" s="4"/>
      <c r="R536" s="4"/>
      <c r="S536" s="4"/>
    </row>
    <row r="537" spans="1:19" ht="15.95" customHeight="1" x14ac:dyDescent="0.2">
      <c r="A537" s="4"/>
      <c r="B537" s="9">
        <v>89</v>
      </c>
      <c r="C537" s="21"/>
      <c r="D537" s="21"/>
      <c r="E537" s="21"/>
      <c r="F537" s="21"/>
      <c r="G537" s="21"/>
      <c r="H537" s="21"/>
      <c r="I537" s="21"/>
      <c r="J537" s="21"/>
      <c r="K537" s="21"/>
      <c r="L537" s="21"/>
      <c r="M537" s="21"/>
      <c r="N537" s="18" t="e">
        <f>IF(AND(L535=L536,L536=L537),(IF(AND(#REF!=#REF!,#REF!=#REF!),(IF(AND(#REF!=#REF!,#REF!=#REF!),"","ERROR IN U")),"ERROR IN J")),"ERROR IN T")</f>
        <v>#REF!</v>
      </c>
      <c r="O537" s="4"/>
      <c r="P537" s="4"/>
      <c r="Q537" s="4"/>
      <c r="R537" s="4"/>
      <c r="S537" s="4"/>
    </row>
    <row r="538" spans="1:19" ht="15.95" customHeight="1" x14ac:dyDescent="0.2">
      <c r="A538" s="4"/>
      <c r="B538" s="9">
        <v>90</v>
      </c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2" t="e">
        <f>IF(AND(L538=L539,L539=L540),(IF(AND(#REF!=#REF!,#REF!=#REF!),(IF(AND(#REF!=#REF!,#REF!=#REF!),"","ERROR IN U")),"ERROR IN J")),"ERROR IN T")</f>
        <v>#REF!</v>
      </c>
      <c r="O538" s="4"/>
      <c r="P538" s="4"/>
      <c r="Q538" s="4"/>
      <c r="R538" s="4"/>
      <c r="S538" s="4"/>
    </row>
    <row r="539" spans="1:19" ht="15.95" customHeight="1" x14ac:dyDescent="0.2">
      <c r="A539" s="4"/>
      <c r="B539" s="9">
        <v>90</v>
      </c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20"/>
      <c r="N539" s="12" t="e">
        <f>IF(AND(L538=L539,L539=L540),(IF(AND(#REF!=#REF!,#REF!=#REF!),(IF(AND(#REF!=#REF!,#REF!=#REF!),"","ERROR IN U")),"ERROR IN J")),"ERROR IN T")</f>
        <v>#REF!</v>
      </c>
      <c r="O539" s="4"/>
      <c r="P539" s="4"/>
      <c r="Q539" s="4"/>
      <c r="R539" s="4"/>
      <c r="S539" s="4"/>
    </row>
    <row r="540" spans="1:19" ht="15.95" customHeight="1" x14ac:dyDescent="0.2">
      <c r="A540" s="4"/>
      <c r="B540" s="9">
        <v>90</v>
      </c>
      <c r="C540" s="19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12" t="e">
        <f>IF(AND(L538=L539,L539=L540),(IF(AND(#REF!=#REF!,#REF!=#REF!),(IF(AND(#REF!=#REF!,#REF!=#REF!),"","ERROR IN U")),"ERROR IN J")),"ERROR IN T")</f>
        <v>#REF!</v>
      </c>
      <c r="O540" s="4"/>
      <c r="P540" s="4"/>
      <c r="Q540" s="4"/>
      <c r="R540" s="4"/>
      <c r="S540" s="4"/>
    </row>
    <row r="541" spans="1:19" ht="15.95" customHeight="1" x14ac:dyDescent="0.2">
      <c r="A541" s="4"/>
      <c r="B541" s="9">
        <v>90</v>
      </c>
      <c r="C541" s="21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18" t="e">
        <f>IF(AND(L541=L542,L542=L543),(IF(AND(#REF!=#REF!,#REF!=#REF!),(IF(AND(#REF!=#REF!,#REF!=#REF!),"","ERROR IN U")),"ERROR IN J")),"ERROR IN T")</f>
        <v>#REF!</v>
      </c>
      <c r="O541" s="4"/>
      <c r="P541" s="4"/>
      <c r="Q541" s="4"/>
      <c r="R541" s="4"/>
      <c r="S541" s="4"/>
    </row>
    <row r="542" spans="1:19" ht="15.95" customHeight="1" x14ac:dyDescent="0.2">
      <c r="A542" s="4"/>
      <c r="B542" s="9">
        <v>90</v>
      </c>
      <c r="C542" s="21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18" t="e">
        <f>IF(AND(L541=L542,L542=L543),(IF(AND(#REF!=#REF!,#REF!=#REF!),(IF(AND(#REF!=#REF!,#REF!=#REF!),"","ERROR IN U")),"ERROR IN J")),"ERROR IN T")</f>
        <v>#REF!</v>
      </c>
      <c r="O542" s="4"/>
      <c r="P542" s="4"/>
      <c r="Q542" s="4"/>
      <c r="R542" s="4"/>
      <c r="S542" s="4"/>
    </row>
    <row r="543" spans="1:19" ht="15.95" customHeight="1" x14ac:dyDescent="0.2">
      <c r="A543" s="4"/>
      <c r="B543" s="9">
        <v>90</v>
      </c>
      <c r="C543" s="21"/>
      <c r="D543" s="21"/>
      <c r="E543" s="21"/>
      <c r="F543" s="21"/>
      <c r="G543" s="21"/>
      <c r="H543" s="21"/>
      <c r="I543" s="21"/>
      <c r="J543" s="21"/>
      <c r="K543" s="21"/>
      <c r="L543" s="21"/>
      <c r="M543" s="21"/>
      <c r="N543" s="18" t="e">
        <f>IF(AND(L541=L542,L542=L543),(IF(AND(#REF!=#REF!,#REF!=#REF!),(IF(AND(#REF!=#REF!,#REF!=#REF!),"","ERROR IN U")),"ERROR IN J")),"ERROR IN T")</f>
        <v>#REF!</v>
      </c>
      <c r="O543" s="4"/>
      <c r="P543" s="4"/>
      <c r="Q543" s="4"/>
      <c r="R543" s="4"/>
      <c r="S543" s="4"/>
    </row>
    <row r="544" spans="1:19" ht="15.95" customHeight="1" x14ac:dyDescent="0.2">
      <c r="A544" s="4"/>
      <c r="B544" s="9">
        <v>91</v>
      </c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 t="e">
        <f>IF(AND(L544=L545,L545=L546),(IF(AND(#REF!=#REF!,#REF!=#REF!),(IF(AND(#REF!=#REF!,#REF!=#REF!),"","ERROR IN U")),"ERROR IN J")),"ERROR IN T")</f>
        <v>#REF!</v>
      </c>
      <c r="O544" s="4"/>
      <c r="P544" s="4"/>
      <c r="Q544" s="4"/>
      <c r="R544" s="4"/>
      <c r="S544" s="4"/>
    </row>
    <row r="545" spans="1:19" ht="15.95" customHeight="1" x14ac:dyDescent="0.2">
      <c r="A545" s="4"/>
      <c r="B545" s="9">
        <v>91</v>
      </c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 t="e">
        <f>IF(AND(L544=L545,L545=L546),(IF(AND(#REF!=#REF!,#REF!=#REF!),(IF(AND(#REF!=#REF!,#REF!=#REF!),"","ERROR IN U")),"ERROR IN J")),"ERROR IN T")</f>
        <v>#REF!</v>
      </c>
      <c r="O545" s="4"/>
      <c r="P545" s="4"/>
      <c r="Q545" s="4"/>
      <c r="R545" s="4"/>
      <c r="S545" s="4"/>
    </row>
    <row r="546" spans="1:19" ht="15.95" customHeight="1" x14ac:dyDescent="0.2">
      <c r="A546" s="4"/>
      <c r="B546" s="9">
        <v>91</v>
      </c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 t="e">
        <f>IF(AND(L544=L545,L545=L546),(IF(AND(#REF!=#REF!,#REF!=#REF!),(IF(AND(#REF!=#REF!,#REF!=#REF!),"","ERROR IN U")),"ERROR IN J")),"ERROR IN T")</f>
        <v>#REF!</v>
      </c>
      <c r="O546" s="4"/>
      <c r="P546" s="4"/>
      <c r="Q546" s="4"/>
      <c r="R546" s="4"/>
      <c r="S546" s="4"/>
    </row>
    <row r="547" spans="1:19" ht="15.95" customHeight="1" x14ac:dyDescent="0.2">
      <c r="A547" s="4"/>
      <c r="B547" s="9">
        <v>91</v>
      </c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 t="e">
        <f>IF(AND(L547=L548,L548=L549),(IF(AND(#REF!=#REF!,#REF!=#REF!),(IF(AND(#REF!=#REF!,#REF!=#REF!),"","ERROR IN U")),"ERROR IN J")),"ERROR IN T")</f>
        <v>#REF!</v>
      </c>
      <c r="O547" s="4"/>
      <c r="P547" s="4"/>
      <c r="Q547" s="4"/>
      <c r="R547" s="4"/>
      <c r="S547" s="4"/>
    </row>
    <row r="548" spans="1:19" ht="15.95" customHeight="1" x14ac:dyDescent="0.2">
      <c r="A548" s="4"/>
      <c r="B548" s="9">
        <v>91</v>
      </c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 t="e">
        <f>IF(AND(L547=L548,L548=L549),(IF(AND(#REF!=#REF!,#REF!=#REF!),(IF(AND(#REF!=#REF!,#REF!=#REF!),"","ERROR IN U")),"ERROR IN J")),"ERROR IN T")</f>
        <v>#REF!</v>
      </c>
      <c r="O548" s="4"/>
      <c r="P548" s="4"/>
      <c r="Q548" s="4"/>
      <c r="R548" s="4"/>
      <c r="S548" s="4"/>
    </row>
    <row r="549" spans="1:19" ht="15.95" customHeight="1" x14ac:dyDescent="0.2">
      <c r="A549" s="4"/>
      <c r="B549" s="9">
        <v>91</v>
      </c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 t="e">
        <f>IF(AND(L547=L548,L548=L549),(IF(AND(#REF!=#REF!,#REF!=#REF!),(IF(AND(#REF!=#REF!,#REF!=#REF!),"","ERROR IN U")),"ERROR IN J")),"ERROR IN T")</f>
        <v>#REF!</v>
      </c>
      <c r="O549" s="4"/>
      <c r="P549" s="4"/>
      <c r="Q549" s="4"/>
      <c r="R549" s="4"/>
      <c r="S549" s="4"/>
    </row>
    <row r="550" spans="1:19" ht="15.95" customHeight="1" x14ac:dyDescent="0.2">
      <c r="A550" s="4"/>
      <c r="B550" s="9">
        <v>92</v>
      </c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2" t="e">
        <f>IF(AND(L550=L551,L551=L552),(IF(AND(#REF!=#REF!,#REF!=#REF!),(IF(AND(#REF!=#REF!,#REF!=#REF!),"","ERROR IN U")),"ERROR IN J")),"ERROR IN T")</f>
        <v>#REF!</v>
      </c>
      <c r="O550" s="4"/>
      <c r="P550" s="4"/>
      <c r="Q550" s="4"/>
      <c r="R550" s="4"/>
      <c r="S550" s="4"/>
    </row>
    <row r="551" spans="1:19" ht="15.95" customHeight="1" x14ac:dyDescent="0.2">
      <c r="A551" s="4"/>
      <c r="B551" s="9">
        <v>92</v>
      </c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20"/>
      <c r="N551" s="12" t="e">
        <f>IF(AND(L550=L551,L551=L552),(IF(AND(#REF!=#REF!,#REF!=#REF!),(IF(AND(#REF!=#REF!,#REF!=#REF!),"","ERROR IN U")),"ERROR IN J")),"ERROR IN T")</f>
        <v>#REF!</v>
      </c>
      <c r="O551" s="4"/>
      <c r="P551" s="4"/>
      <c r="Q551" s="4"/>
      <c r="R551" s="4"/>
      <c r="S551" s="4"/>
    </row>
    <row r="552" spans="1:19" ht="15.95" customHeight="1" x14ac:dyDescent="0.2">
      <c r="A552" s="4"/>
      <c r="B552" s="9">
        <v>92</v>
      </c>
      <c r="C552" s="19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12" t="e">
        <f>IF(AND(L550=L551,L551=L552),(IF(AND(#REF!=#REF!,#REF!=#REF!),(IF(AND(#REF!=#REF!,#REF!=#REF!),"","ERROR IN U")),"ERROR IN J")),"ERROR IN T")</f>
        <v>#REF!</v>
      </c>
      <c r="O552" s="4"/>
      <c r="P552" s="4"/>
      <c r="Q552" s="4"/>
      <c r="R552" s="4"/>
      <c r="S552" s="4"/>
    </row>
    <row r="553" spans="1:19" ht="15.95" customHeight="1" x14ac:dyDescent="0.2">
      <c r="A553" s="4"/>
      <c r="B553" s="9">
        <v>92</v>
      </c>
      <c r="C553" s="21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18" t="e">
        <f>IF(AND(L553=L554,L554=L555),(IF(AND(#REF!=#REF!,#REF!=#REF!),(IF(AND(#REF!=#REF!,#REF!=#REF!),"","ERROR IN U")),"ERROR IN J")),"ERROR IN T")</f>
        <v>#REF!</v>
      </c>
      <c r="O553" s="4"/>
      <c r="P553" s="4"/>
      <c r="Q553" s="4"/>
      <c r="R553" s="4"/>
      <c r="S553" s="4"/>
    </row>
    <row r="554" spans="1:19" ht="15.95" customHeight="1" x14ac:dyDescent="0.2">
      <c r="A554" s="4"/>
      <c r="B554" s="9">
        <v>92</v>
      </c>
      <c r="C554" s="21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18" t="e">
        <f>IF(AND(L553=L554,L554=L555),(IF(AND(#REF!=#REF!,#REF!=#REF!),(IF(AND(#REF!=#REF!,#REF!=#REF!),"","ERROR IN U")),"ERROR IN J")),"ERROR IN T")</f>
        <v>#REF!</v>
      </c>
      <c r="O554" s="4"/>
      <c r="P554" s="4"/>
      <c r="Q554" s="4"/>
      <c r="R554" s="4"/>
      <c r="S554" s="4"/>
    </row>
    <row r="555" spans="1:19" ht="15.95" customHeight="1" x14ac:dyDescent="0.2">
      <c r="A555" s="4"/>
      <c r="B555" s="9">
        <v>92</v>
      </c>
      <c r="C555" s="21"/>
      <c r="D555" s="21"/>
      <c r="E555" s="21"/>
      <c r="F555" s="21"/>
      <c r="G555" s="21"/>
      <c r="H555" s="21"/>
      <c r="I555" s="21"/>
      <c r="J555" s="21"/>
      <c r="K555" s="21"/>
      <c r="L555" s="21"/>
      <c r="M555" s="21"/>
      <c r="N555" s="18" t="e">
        <f>IF(AND(L553=L554,L554=L555),(IF(AND(#REF!=#REF!,#REF!=#REF!),(IF(AND(#REF!=#REF!,#REF!=#REF!),"","ERROR IN U")),"ERROR IN J")),"ERROR IN T")</f>
        <v>#REF!</v>
      </c>
      <c r="O555" s="4"/>
      <c r="P555" s="4"/>
      <c r="Q555" s="4"/>
      <c r="R555" s="4"/>
      <c r="S555" s="4"/>
    </row>
    <row r="556" spans="1:19" ht="15.95" customHeight="1" x14ac:dyDescent="0.2">
      <c r="A556" s="4"/>
      <c r="B556" s="9">
        <v>93</v>
      </c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2" t="e">
        <f>IF(AND(L556=L557,L557=L558),(IF(AND(#REF!=#REF!,#REF!=#REF!),(IF(AND(#REF!=#REF!,#REF!=#REF!),"","ERROR IN U")),"ERROR IN J")),"ERROR IN T")</f>
        <v>#REF!</v>
      </c>
      <c r="O556" s="4"/>
      <c r="P556" s="4"/>
      <c r="Q556" s="4"/>
      <c r="R556" s="4"/>
      <c r="S556" s="4"/>
    </row>
    <row r="557" spans="1:19" ht="15.95" customHeight="1" x14ac:dyDescent="0.2">
      <c r="A557" s="4"/>
      <c r="B557" s="9">
        <v>93</v>
      </c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20"/>
      <c r="N557" s="12" t="e">
        <f>IF(AND(L556=L557,L557=L558),(IF(AND(#REF!=#REF!,#REF!=#REF!),(IF(AND(#REF!=#REF!,#REF!=#REF!),"","ERROR IN U")),"ERROR IN J")),"ERROR IN T")</f>
        <v>#REF!</v>
      </c>
      <c r="O557" s="4"/>
      <c r="P557" s="4"/>
      <c r="Q557" s="4"/>
      <c r="R557" s="4"/>
      <c r="S557" s="4"/>
    </row>
    <row r="558" spans="1:19" ht="15.95" customHeight="1" x14ac:dyDescent="0.2">
      <c r="A558" s="4"/>
      <c r="B558" s="9">
        <v>93</v>
      </c>
      <c r="C558" s="19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12" t="e">
        <f>IF(AND(L556=L557,L557=L558),(IF(AND(#REF!=#REF!,#REF!=#REF!),(IF(AND(#REF!=#REF!,#REF!=#REF!),"","ERROR IN U")),"ERROR IN J")),"ERROR IN T")</f>
        <v>#REF!</v>
      </c>
      <c r="O558" s="4"/>
      <c r="P558" s="4"/>
      <c r="Q558" s="4"/>
      <c r="R558" s="4"/>
      <c r="S558" s="4"/>
    </row>
    <row r="559" spans="1:19" ht="15.95" customHeight="1" x14ac:dyDescent="0.2">
      <c r="A559" s="4"/>
      <c r="B559" s="9">
        <v>93</v>
      </c>
      <c r="C559" s="21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18" t="e">
        <f>IF(AND(L559=L560,L560=L561),(IF(AND(#REF!=#REF!,#REF!=#REF!),(IF(AND(#REF!=#REF!,#REF!=#REF!),"","ERROR IN U")),"ERROR IN J")),"ERROR IN T")</f>
        <v>#REF!</v>
      </c>
      <c r="O559" s="4"/>
      <c r="P559" s="4"/>
      <c r="Q559" s="4"/>
      <c r="R559" s="4"/>
      <c r="S559" s="4"/>
    </row>
    <row r="560" spans="1:19" ht="15.95" customHeight="1" x14ac:dyDescent="0.2">
      <c r="A560" s="4"/>
      <c r="B560" s="9">
        <v>93</v>
      </c>
      <c r="C560" s="21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18" t="e">
        <f>IF(AND(L559=L560,L560=L561),(IF(AND(#REF!=#REF!,#REF!=#REF!),(IF(AND(#REF!=#REF!,#REF!=#REF!),"","ERROR IN U")),"ERROR IN J")),"ERROR IN T")</f>
        <v>#REF!</v>
      </c>
      <c r="O560" s="4"/>
      <c r="P560" s="4"/>
      <c r="Q560" s="4"/>
      <c r="R560" s="4"/>
      <c r="S560" s="4"/>
    </row>
    <row r="561" spans="1:19" ht="15.95" customHeight="1" x14ac:dyDescent="0.2">
      <c r="A561" s="4"/>
      <c r="B561" s="9">
        <v>93</v>
      </c>
      <c r="C561" s="21"/>
      <c r="D561" s="21"/>
      <c r="E561" s="21"/>
      <c r="F561" s="21"/>
      <c r="G561" s="21"/>
      <c r="H561" s="21"/>
      <c r="I561" s="21"/>
      <c r="J561" s="21"/>
      <c r="K561" s="21"/>
      <c r="L561" s="21"/>
      <c r="M561" s="21"/>
      <c r="N561" s="18" t="e">
        <f>IF(AND(L559=L560,L560=L561),(IF(AND(#REF!=#REF!,#REF!=#REF!),(IF(AND(#REF!=#REF!,#REF!=#REF!),"","ERROR IN U")),"ERROR IN J")),"ERROR IN T")</f>
        <v>#REF!</v>
      </c>
      <c r="O561" s="4"/>
      <c r="P561" s="4"/>
      <c r="Q561" s="4"/>
      <c r="R561" s="4"/>
      <c r="S561" s="4"/>
    </row>
    <row r="562" spans="1:19" ht="15.95" customHeight="1" x14ac:dyDescent="0.2">
      <c r="A562" s="4"/>
      <c r="B562" s="9">
        <v>94</v>
      </c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2" t="e">
        <f>IF(AND(L562=L563,L563=L564),(IF(AND(#REF!=#REF!,#REF!=#REF!),(IF(AND(#REF!=#REF!,#REF!=#REF!),"","ERROR IN U")),"ERROR IN J")),"ERROR IN T")</f>
        <v>#REF!</v>
      </c>
      <c r="O562" s="4"/>
      <c r="P562" s="4"/>
      <c r="Q562" s="4"/>
      <c r="R562" s="4"/>
      <c r="S562" s="4"/>
    </row>
    <row r="563" spans="1:19" ht="15.95" customHeight="1" x14ac:dyDescent="0.2">
      <c r="A563" s="4"/>
      <c r="B563" s="9">
        <v>94</v>
      </c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20"/>
      <c r="N563" s="12" t="e">
        <f>IF(AND(L562=L563,L563=L564),(IF(AND(#REF!=#REF!,#REF!=#REF!),(IF(AND(#REF!=#REF!,#REF!=#REF!),"","ERROR IN U")),"ERROR IN J")),"ERROR IN T")</f>
        <v>#REF!</v>
      </c>
      <c r="O563" s="4"/>
      <c r="P563" s="4"/>
      <c r="Q563" s="4"/>
      <c r="R563" s="4"/>
      <c r="S563" s="4"/>
    </row>
    <row r="564" spans="1:19" ht="15.95" customHeight="1" x14ac:dyDescent="0.2">
      <c r="A564" s="4"/>
      <c r="B564" s="9">
        <v>94</v>
      </c>
      <c r="C564" s="19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12" t="e">
        <f>IF(AND(L562=L563,L563=L564),(IF(AND(#REF!=#REF!,#REF!=#REF!),(IF(AND(#REF!=#REF!,#REF!=#REF!),"","ERROR IN U")),"ERROR IN J")),"ERROR IN T")</f>
        <v>#REF!</v>
      </c>
      <c r="O564" s="4"/>
      <c r="P564" s="4"/>
      <c r="Q564" s="4"/>
      <c r="R564" s="4"/>
      <c r="S564" s="4"/>
    </row>
    <row r="565" spans="1:19" ht="15.95" customHeight="1" x14ac:dyDescent="0.2">
      <c r="A565" s="4"/>
      <c r="B565" s="9">
        <v>94</v>
      </c>
      <c r="C565" s="21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18" t="e">
        <f>IF(AND(L565=L566,L566=L567),(IF(AND(#REF!=#REF!,#REF!=#REF!),(IF(AND(#REF!=#REF!,#REF!=#REF!),"","ERROR IN U")),"ERROR IN J")),"ERROR IN T")</f>
        <v>#REF!</v>
      </c>
      <c r="O565" s="4"/>
      <c r="P565" s="4"/>
      <c r="Q565" s="4"/>
      <c r="R565" s="4"/>
      <c r="S565" s="4"/>
    </row>
    <row r="566" spans="1:19" ht="15.95" customHeight="1" x14ac:dyDescent="0.2">
      <c r="A566" s="4"/>
      <c r="B566" s="9">
        <v>94</v>
      </c>
      <c r="C566" s="21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18" t="e">
        <f>IF(AND(L565=L566,L566=L567),(IF(AND(#REF!=#REF!,#REF!=#REF!),(IF(AND(#REF!=#REF!,#REF!=#REF!),"","ERROR IN U")),"ERROR IN J")),"ERROR IN T")</f>
        <v>#REF!</v>
      </c>
      <c r="O566" s="4"/>
      <c r="P566" s="4"/>
      <c r="Q566" s="4"/>
      <c r="R566" s="4"/>
      <c r="S566" s="4"/>
    </row>
    <row r="567" spans="1:19" ht="15.95" customHeight="1" x14ac:dyDescent="0.2">
      <c r="A567" s="4"/>
      <c r="B567" s="9">
        <v>94</v>
      </c>
      <c r="C567" s="21"/>
      <c r="D567" s="21"/>
      <c r="E567" s="21"/>
      <c r="F567" s="21"/>
      <c r="G567" s="21"/>
      <c r="H567" s="21"/>
      <c r="I567" s="21"/>
      <c r="J567" s="21"/>
      <c r="K567" s="21"/>
      <c r="L567" s="21"/>
      <c r="M567" s="21"/>
      <c r="N567" s="18" t="e">
        <f>IF(AND(L565=L566,L566=L567),(IF(AND(#REF!=#REF!,#REF!=#REF!),(IF(AND(#REF!=#REF!,#REF!=#REF!),"","ERROR IN U")),"ERROR IN J")),"ERROR IN T")</f>
        <v>#REF!</v>
      </c>
      <c r="O567" s="4"/>
      <c r="P567" s="4"/>
      <c r="Q567" s="4"/>
      <c r="R567" s="4"/>
      <c r="S567" s="4"/>
    </row>
    <row r="568" spans="1:19" ht="15.95" customHeight="1" x14ac:dyDescent="0.2">
      <c r="A568" s="4"/>
      <c r="B568" s="9">
        <v>95</v>
      </c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2" t="e">
        <f>IF(AND(L568=L569,L569=L570),(IF(AND(#REF!=#REF!,#REF!=#REF!),(IF(AND(#REF!=#REF!,#REF!=#REF!),"","ERROR IN U")),"ERROR IN J")),"ERROR IN T")</f>
        <v>#REF!</v>
      </c>
      <c r="O568" s="4"/>
      <c r="P568" s="4"/>
      <c r="Q568" s="4"/>
      <c r="R568" s="4"/>
      <c r="S568" s="4"/>
    </row>
    <row r="569" spans="1:19" ht="15.95" customHeight="1" x14ac:dyDescent="0.2">
      <c r="A569" s="4"/>
      <c r="B569" s="9">
        <v>95</v>
      </c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20"/>
      <c r="N569" s="12" t="e">
        <f>IF(AND(L568=L569,L569=L570),(IF(AND(#REF!=#REF!,#REF!=#REF!),(IF(AND(#REF!=#REF!,#REF!=#REF!),"","ERROR IN U")),"ERROR IN J")),"ERROR IN T")</f>
        <v>#REF!</v>
      </c>
      <c r="O569" s="4"/>
      <c r="P569" s="4"/>
      <c r="Q569" s="4"/>
      <c r="R569" s="4"/>
      <c r="S569" s="4"/>
    </row>
    <row r="570" spans="1:19" ht="15.95" customHeight="1" x14ac:dyDescent="0.2">
      <c r="A570" s="4"/>
      <c r="B570" s="9">
        <v>95</v>
      </c>
      <c r="C570" s="19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12" t="e">
        <f>IF(AND(L568=L569,L569=L570),(IF(AND(#REF!=#REF!,#REF!=#REF!),(IF(AND(#REF!=#REF!,#REF!=#REF!),"","ERROR IN U")),"ERROR IN J")),"ERROR IN T")</f>
        <v>#REF!</v>
      </c>
      <c r="O570" s="4"/>
      <c r="P570" s="4"/>
      <c r="Q570" s="4"/>
      <c r="R570" s="4"/>
      <c r="S570" s="4"/>
    </row>
    <row r="571" spans="1:19" ht="15.95" customHeight="1" x14ac:dyDescent="0.2">
      <c r="A571" s="4"/>
      <c r="B571" s="9">
        <v>95</v>
      </c>
      <c r="C571" s="21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18" t="e">
        <f>IF(AND(L571=L572,L572=L573),(IF(AND(#REF!=#REF!,#REF!=#REF!),(IF(AND(#REF!=#REF!,#REF!=#REF!),"","ERROR IN U")),"ERROR IN J")),"ERROR IN T")</f>
        <v>#REF!</v>
      </c>
      <c r="O571" s="4"/>
      <c r="P571" s="4"/>
      <c r="Q571" s="4"/>
      <c r="R571" s="4"/>
      <c r="S571" s="4"/>
    </row>
    <row r="572" spans="1:19" ht="15.95" customHeight="1" x14ac:dyDescent="0.2">
      <c r="A572" s="4"/>
      <c r="B572" s="9">
        <v>95</v>
      </c>
      <c r="C572" s="21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18" t="e">
        <f>IF(AND(L571=L572,L572=L573),(IF(AND(#REF!=#REF!,#REF!=#REF!),(IF(AND(#REF!=#REF!,#REF!=#REF!),"","ERROR IN U")),"ERROR IN J")),"ERROR IN T")</f>
        <v>#REF!</v>
      </c>
      <c r="O572" s="4"/>
      <c r="P572" s="4"/>
      <c r="Q572" s="4"/>
      <c r="R572" s="4"/>
      <c r="S572" s="4"/>
    </row>
    <row r="573" spans="1:19" ht="15.95" customHeight="1" x14ac:dyDescent="0.2">
      <c r="A573" s="4"/>
      <c r="B573" s="9">
        <v>95</v>
      </c>
      <c r="C573" s="21"/>
      <c r="D573" s="21"/>
      <c r="E573" s="21"/>
      <c r="F573" s="21"/>
      <c r="G573" s="21"/>
      <c r="H573" s="21"/>
      <c r="I573" s="21"/>
      <c r="J573" s="21"/>
      <c r="K573" s="21"/>
      <c r="L573" s="21"/>
      <c r="M573" s="21"/>
      <c r="N573" s="18" t="e">
        <f>IF(AND(L571=L572,L572=L573),(IF(AND(#REF!=#REF!,#REF!=#REF!),(IF(AND(#REF!=#REF!,#REF!=#REF!),"","ERROR IN U")),"ERROR IN J")),"ERROR IN T")</f>
        <v>#REF!</v>
      </c>
      <c r="O573" s="4"/>
      <c r="P573" s="4"/>
      <c r="Q573" s="4"/>
      <c r="R573" s="4"/>
      <c r="S573" s="4"/>
    </row>
    <row r="574" spans="1:19" ht="15.95" customHeight="1" x14ac:dyDescent="0.2">
      <c r="A574" s="4"/>
      <c r="B574" s="9">
        <v>96</v>
      </c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2" t="e">
        <f>IF(AND(L574=L575,L575=L576),(IF(AND(#REF!=#REF!,#REF!=#REF!),(IF(AND(#REF!=#REF!,#REF!=#REF!),"","ERROR IN U")),"ERROR IN J")),"ERROR IN T")</f>
        <v>#REF!</v>
      </c>
      <c r="O574" s="4"/>
      <c r="P574" s="4"/>
      <c r="Q574" s="4"/>
      <c r="R574" s="4"/>
      <c r="S574" s="4"/>
    </row>
    <row r="575" spans="1:19" ht="15.95" customHeight="1" x14ac:dyDescent="0.2">
      <c r="A575" s="4"/>
      <c r="B575" s="9">
        <v>96</v>
      </c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20"/>
      <c r="N575" s="12" t="e">
        <f>IF(AND(L574=L575,L575=L576),(IF(AND(#REF!=#REF!,#REF!=#REF!),(IF(AND(#REF!=#REF!,#REF!=#REF!),"","ERROR IN U")),"ERROR IN J")),"ERROR IN T")</f>
        <v>#REF!</v>
      </c>
      <c r="O575" s="4"/>
      <c r="P575" s="4"/>
      <c r="Q575" s="4"/>
      <c r="R575" s="4"/>
      <c r="S575" s="4"/>
    </row>
    <row r="576" spans="1:19" ht="15.95" customHeight="1" x14ac:dyDescent="0.2">
      <c r="A576" s="4"/>
      <c r="B576" s="9">
        <v>96</v>
      </c>
      <c r="C576" s="19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12" t="e">
        <f>IF(AND(L574=L575,L575=L576),(IF(AND(#REF!=#REF!,#REF!=#REF!),(IF(AND(#REF!=#REF!,#REF!=#REF!),"","ERROR IN U")),"ERROR IN J")),"ERROR IN T")</f>
        <v>#REF!</v>
      </c>
      <c r="O576" s="4"/>
      <c r="P576" s="4"/>
      <c r="Q576" s="4"/>
      <c r="R576" s="4"/>
      <c r="S576" s="4"/>
    </row>
    <row r="577" spans="1:19" ht="15.95" customHeight="1" x14ac:dyDescent="0.2">
      <c r="A577" s="4"/>
      <c r="B577" s="9">
        <v>96</v>
      </c>
      <c r="C577" s="21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18" t="e">
        <f>IF(AND(L577=L578,L578=L579),(IF(AND(#REF!=#REF!,#REF!=#REF!),(IF(AND(#REF!=#REF!,#REF!=#REF!),"","ERROR IN U")),"ERROR IN J")),"ERROR IN T")</f>
        <v>#REF!</v>
      </c>
      <c r="O577" s="4"/>
      <c r="P577" s="4"/>
      <c r="Q577" s="4"/>
      <c r="R577" s="4"/>
      <c r="S577" s="4"/>
    </row>
    <row r="578" spans="1:19" ht="15.95" customHeight="1" x14ac:dyDescent="0.2">
      <c r="A578" s="4"/>
      <c r="B578" s="9">
        <v>96</v>
      </c>
      <c r="C578" s="21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18" t="e">
        <f>IF(AND(L577=L578,L578=L579),(IF(AND(#REF!=#REF!,#REF!=#REF!),(IF(AND(#REF!=#REF!,#REF!=#REF!),"","ERROR IN U")),"ERROR IN J")),"ERROR IN T")</f>
        <v>#REF!</v>
      </c>
      <c r="O578" s="4"/>
      <c r="P578" s="4"/>
      <c r="Q578" s="4"/>
      <c r="R578" s="4"/>
      <c r="S578" s="4"/>
    </row>
    <row r="579" spans="1:19" ht="15.95" customHeight="1" x14ac:dyDescent="0.2">
      <c r="A579" s="4"/>
      <c r="B579" s="9">
        <v>96</v>
      </c>
      <c r="C579" s="21"/>
      <c r="D579" s="21"/>
      <c r="E579" s="21"/>
      <c r="F579" s="21"/>
      <c r="G579" s="21"/>
      <c r="H579" s="21"/>
      <c r="I579" s="21"/>
      <c r="J579" s="21"/>
      <c r="K579" s="21"/>
      <c r="L579" s="21"/>
      <c r="M579" s="21"/>
      <c r="N579" s="18" t="e">
        <f>IF(AND(L577=L578,L578=L579),(IF(AND(#REF!=#REF!,#REF!=#REF!),(IF(AND(#REF!=#REF!,#REF!=#REF!),"","ERROR IN U")),"ERROR IN J")),"ERROR IN T")</f>
        <v>#REF!</v>
      </c>
      <c r="O579" s="4"/>
      <c r="P579" s="4"/>
      <c r="Q579" s="4"/>
      <c r="R579" s="4"/>
      <c r="S579" s="4"/>
    </row>
    <row r="580" spans="1:19" ht="15.95" customHeight="1" x14ac:dyDescent="0.2">
      <c r="A580" s="4"/>
      <c r="B580" s="9">
        <v>97</v>
      </c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 t="e">
        <f>IF(AND(L580=L581,L581=L582),(IF(AND(#REF!=#REF!,#REF!=#REF!),(IF(AND(#REF!=#REF!,#REF!=#REF!),"","ERROR IN U")),"ERROR IN J")),"ERROR IN T")</f>
        <v>#REF!</v>
      </c>
      <c r="O580" s="4"/>
      <c r="P580" s="4"/>
      <c r="Q580" s="4"/>
      <c r="R580" s="4"/>
      <c r="S580" s="4"/>
    </row>
    <row r="581" spans="1:19" ht="15.95" customHeight="1" x14ac:dyDescent="0.2">
      <c r="A581" s="4"/>
      <c r="B581" s="9">
        <v>97</v>
      </c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 t="e">
        <f>IF(AND(L580=L581,L581=L582),(IF(AND(#REF!=#REF!,#REF!=#REF!),(IF(AND(#REF!=#REF!,#REF!=#REF!),"","ERROR IN U")),"ERROR IN J")),"ERROR IN T")</f>
        <v>#REF!</v>
      </c>
      <c r="O581" s="4"/>
      <c r="P581" s="4"/>
      <c r="Q581" s="4"/>
      <c r="R581" s="4"/>
      <c r="S581" s="4"/>
    </row>
    <row r="582" spans="1:19" ht="15.95" customHeight="1" x14ac:dyDescent="0.2">
      <c r="A582" s="4"/>
      <c r="B582" s="9">
        <v>97</v>
      </c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 t="e">
        <f>IF(AND(L580=L581,L581=L582),(IF(AND(#REF!=#REF!,#REF!=#REF!),(IF(AND(#REF!=#REF!,#REF!=#REF!),"","ERROR IN U")),"ERROR IN J")),"ERROR IN T")</f>
        <v>#REF!</v>
      </c>
      <c r="O582" s="4"/>
      <c r="P582" s="4"/>
      <c r="Q582" s="4"/>
      <c r="R582" s="4"/>
      <c r="S582" s="4"/>
    </row>
    <row r="583" spans="1:19" ht="15.95" customHeight="1" x14ac:dyDescent="0.2">
      <c r="A583" s="4"/>
      <c r="B583" s="9">
        <v>97</v>
      </c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 t="e">
        <f>IF(AND(L583=L584,L584=L585),(IF(AND(#REF!=#REF!,#REF!=#REF!),(IF(AND(#REF!=#REF!,#REF!=#REF!),"","ERROR IN U")),"ERROR IN J")),"ERROR IN T")</f>
        <v>#REF!</v>
      </c>
      <c r="O583" s="4"/>
      <c r="P583" s="4"/>
      <c r="Q583" s="4"/>
      <c r="R583" s="4"/>
      <c r="S583" s="4"/>
    </row>
    <row r="584" spans="1:19" ht="15.95" customHeight="1" x14ac:dyDescent="0.2">
      <c r="A584" s="4"/>
      <c r="B584" s="9">
        <v>97</v>
      </c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 t="e">
        <f>IF(AND(L583=L584,L584=L585),(IF(AND(#REF!=#REF!,#REF!=#REF!),(IF(AND(#REF!=#REF!,#REF!=#REF!),"","ERROR IN U")),"ERROR IN J")),"ERROR IN T")</f>
        <v>#REF!</v>
      </c>
      <c r="O584" s="4"/>
      <c r="P584" s="4"/>
      <c r="Q584" s="4"/>
      <c r="R584" s="4"/>
      <c r="S584" s="4"/>
    </row>
    <row r="585" spans="1:19" ht="15.95" customHeight="1" x14ac:dyDescent="0.2">
      <c r="A585" s="4"/>
      <c r="B585" s="9">
        <v>97</v>
      </c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 t="e">
        <f>IF(AND(L583=L584,L584=L585),(IF(AND(#REF!=#REF!,#REF!=#REF!),(IF(AND(#REF!=#REF!,#REF!=#REF!),"","ERROR IN U")),"ERROR IN J")),"ERROR IN T")</f>
        <v>#REF!</v>
      </c>
      <c r="O585" s="4"/>
      <c r="P585" s="4"/>
      <c r="Q585" s="4"/>
      <c r="R585" s="4"/>
      <c r="S585" s="4"/>
    </row>
    <row r="586" spans="1:19" ht="15.95" customHeight="1" x14ac:dyDescent="0.2">
      <c r="A586" s="4"/>
      <c r="B586" s="9">
        <v>98</v>
      </c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2" t="e">
        <f>IF(AND(L586=L587,L587=L588),(IF(AND(#REF!=#REF!,#REF!=#REF!),(IF(AND(#REF!=#REF!,#REF!=#REF!),"","ERROR IN U")),"ERROR IN J")),"ERROR IN T")</f>
        <v>#REF!</v>
      </c>
      <c r="O586" s="4"/>
      <c r="P586" s="4"/>
      <c r="Q586" s="4"/>
      <c r="R586" s="4"/>
      <c r="S586" s="4"/>
    </row>
    <row r="587" spans="1:19" ht="15.95" customHeight="1" x14ac:dyDescent="0.2">
      <c r="A587" s="4"/>
      <c r="B587" s="9">
        <v>98</v>
      </c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20"/>
      <c r="N587" s="12" t="e">
        <f>IF(AND(L586=L587,L587=L588),(IF(AND(#REF!=#REF!,#REF!=#REF!),(IF(AND(#REF!=#REF!,#REF!=#REF!),"","ERROR IN U")),"ERROR IN J")),"ERROR IN T")</f>
        <v>#REF!</v>
      </c>
      <c r="O587" s="4"/>
      <c r="P587" s="4"/>
      <c r="Q587" s="4"/>
      <c r="R587" s="4"/>
      <c r="S587" s="4"/>
    </row>
    <row r="588" spans="1:19" ht="15.95" customHeight="1" x14ac:dyDescent="0.2">
      <c r="A588" s="4"/>
      <c r="B588" s="9">
        <v>98</v>
      </c>
      <c r="C588" s="19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12" t="e">
        <f>IF(AND(L586=L587,L587=L588),(IF(AND(#REF!=#REF!,#REF!=#REF!),(IF(AND(#REF!=#REF!,#REF!=#REF!),"","ERROR IN U")),"ERROR IN J")),"ERROR IN T")</f>
        <v>#REF!</v>
      </c>
      <c r="O588" s="4"/>
      <c r="P588" s="4"/>
      <c r="Q588" s="4"/>
      <c r="R588" s="4"/>
      <c r="S588" s="4"/>
    </row>
    <row r="589" spans="1:19" ht="15.95" customHeight="1" x14ac:dyDescent="0.2">
      <c r="A589" s="4"/>
      <c r="B589" s="9">
        <v>98</v>
      </c>
      <c r="C589" s="21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18" t="e">
        <f>IF(AND(L589=L590,L590=L591),(IF(AND(#REF!=#REF!,#REF!=#REF!),(IF(AND(#REF!=#REF!,#REF!=#REF!),"","ERROR IN U")),"ERROR IN J")),"ERROR IN T")</f>
        <v>#REF!</v>
      </c>
      <c r="O589" s="4"/>
      <c r="P589" s="4"/>
      <c r="Q589" s="4"/>
      <c r="R589" s="4"/>
      <c r="S589" s="4"/>
    </row>
    <row r="590" spans="1:19" ht="15.95" customHeight="1" x14ac:dyDescent="0.2">
      <c r="A590" s="4"/>
      <c r="B590" s="9">
        <v>98</v>
      </c>
      <c r="C590" s="21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18" t="e">
        <f>IF(AND(L589=L590,L590=L591),(IF(AND(#REF!=#REF!,#REF!=#REF!),(IF(AND(#REF!=#REF!,#REF!=#REF!),"","ERROR IN U")),"ERROR IN J")),"ERROR IN T")</f>
        <v>#REF!</v>
      </c>
      <c r="O590" s="4"/>
      <c r="P590" s="4"/>
      <c r="Q590" s="4"/>
      <c r="R590" s="4"/>
      <c r="S590" s="4"/>
    </row>
    <row r="591" spans="1:19" ht="15.95" customHeight="1" x14ac:dyDescent="0.2">
      <c r="A591" s="4"/>
      <c r="B591" s="9">
        <v>98</v>
      </c>
      <c r="C591" s="21"/>
      <c r="D591" s="21"/>
      <c r="E591" s="21"/>
      <c r="F591" s="21"/>
      <c r="G591" s="21"/>
      <c r="H591" s="21"/>
      <c r="I591" s="21"/>
      <c r="J591" s="21"/>
      <c r="K591" s="21"/>
      <c r="L591" s="21"/>
      <c r="M591" s="21"/>
      <c r="N591" s="18" t="e">
        <f>IF(AND(L589=L590,L590=L591),(IF(AND(#REF!=#REF!,#REF!=#REF!),(IF(AND(#REF!=#REF!,#REF!=#REF!),"","ERROR IN U")),"ERROR IN J")),"ERROR IN T")</f>
        <v>#REF!</v>
      </c>
      <c r="O591" s="4"/>
      <c r="P591" s="4"/>
      <c r="Q591" s="4"/>
      <c r="R591" s="4"/>
      <c r="S591" s="4"/>
    </row>
    <row r="592" spans="1:19" ht="15.95" customHeight="1" x14ac:dyDescent="0.2">
      <c r="A592" s="4"/>
      <c r="B592" s="9">
        <v>99</v>
      </c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2" t="e">
        <f>IF(AND(L592=L593,L593=L594),(IF(AND(#REF!=#REF!,#REF!=#REF!),(IF(AND(#REF!=#REF!,#REF!=#REF!),"","ERROR IN U")),"ERROR IN J")),"ERROR IN T")</f>
        <v>#REF!</v>
      </c>
      <c r="O592" s="4"/>
      <c r="P592" s="4"/>
      <c r="Q592" s="4"/>
      <c r="R592" s="4"/>
      <c r="S592" s="4"/>
    </row>
    <row r="593" spans="1:19" ht="15.95" customHeight="1" x14ac:dyDescent="0.2">
      <c r="A593" s="4"/>
      <c r="B593" s="9">
        <v>99</v>
      </c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20"/>
      <c r="N593" s="12" t="e">
        <f>IF(AND(L592=L593,L593=L594),(IF(AND(#REF!=#REF!,#REF!=#REF!),(IF(AND(#REF!=#REF!,#REF!=#REF!),"","ERROR IN U")),"ERROR IN J")),"ERROR IN T")</f>
        <v>#REF!</v>
      </c>
      <c r="O593" s="4"/>
      <c r="P593" s="4"/>
      <c r="Q593" s="4"/>
      <c r="R593" s="4"/>
      <c r="S593" s="4"/>
    </row>
    <row r="594" spans="1:19" ht="15.95" customHeight="1" x14ac:dyDescent="0.2">
      <c r="A594" s="4"/>
      <c r="B594" s="9">
        <v>99</v>
      </c>
      <c r="C594" s="19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12" t="e">
        <f>IF(AND(L592=L593,L593=L594),(IF(AND(#REF!=#REF!,#REF!=#REF!),(IF(AND(#REF!=#REF!,#REF!=#REF!),"","ERROR IN U")),"ERROR IN J")),"ERROR IN T")</f>
        <v>#REF!</v>
      </c>
      <c r="O594" s="4"/>
      <c r="P594" s="4"/>
      <c r="Q594" s="4"/>
      <c r="R594" s="4"/>
      <c r="S594" s="4"/>
    </row>
    <row r="595" spans="1:19" ht="15.95" customHeight="1" x14ac:dyDescent="0.2">
      <c r="A595" s="4"/>
      <c r="B595" s="9">
        <v>99</v>
      </c>
      <c r="C595" s="21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18" t="e">
        <f>IF(AND(L595=L596,L596=L597),(IF(AND(#REF!=#REF!,#REF!=#REF!),(IF(AND(#REF!=#REF!,#REF!=#REF!),"","ERROR IN U")),"ERROR IN J")),"ERROR IN T")</f>
        <v>#REF!</v>
      </c>
      <c r="O595" s="4"/>
      <c r="P595" s="4"/>
      <c r="Q595" s="4"/>
      <c r="R595" s="4"/>
      <c r="S595" s="4"/>
    </row>
    <row r="596" spans="1:19" ht="15.95" customHeight="1" x14ac:dyDescent="0.2">
      <c r="A596" s="4"/>
      <c r="B596" s="9">
        <v>99</v>
      </c>
      <c r="C596" s="21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18" t="e">
        <f>IF(AND(L595=L596,L596=L597),(IF(AND(#REF!=#REF!,#REF!=#REF!),(IF(AND(#REF!=#REF!,#REF!=#REF!),"","ERROR IN U")),"ERROR IN J")),"ERROR IN T")</f>
        <v>#REF!</v>
      </c>
      <c r="O596" s="4"/>
      <c r="P596" s="4"/>
      <c r="Q596" s="4"/>
      <c r="R596" s="4"/>
      <c r="S596" s="4"/>
    </row>
    <row r="597" spans="1:19" ht="15.95" customHeight="1" x14ac:dyDescent="0.2">
      <c r="A597" s="4"/>
      <c r="B597" s="9">
        <v>99</v>
      </c>
      <c r="C597" s="21"/>
      <c r="D597" s="21"/>
      <c r="E597" s="21"/>
      <c r="F597" s="21"/>
      <c r="G597" s="21"/>
      <c r="H597" s="21"/>
      <c r="I597" s="21"/>
      <c r="J597" s="21"/>
      <c r="K597" s="21"/>
      <c r="L597" s="21"/>
      <c r="M597" s="21"/>
      <c r="N597" s="18" t="e">
        <f>IF(AND(L595=L596,L596=L597),(IF(AND(#REF!=#REF!,#REF!=#REF!),(IF(AND(#REF!=#REF!,#REF!=#REF!),"","ERROR IN U")),"ERROR IN J")),"ERROR IN T")</f>
        <v>#REF!</v>
      </c>
      <c r="O597" s="4"/>
      <c r="P597" s="4"/>
      <c r="Q597" s="4"/>
      <c r="R597" s="4"/>
      <c r="S597" s="4"/>
    </row>
    <row r="598" spans="1:19" ht="15.95" customHeight="1" x14ac:dyDescent="0.2">
      <c r="A598" s="4"/>
      <c r="B598" s="9">
        <v>100</v>
      </c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2" t="e">
        <f>IF(AND(L598=L599,L599=L600),(IF(AND(#REF!=#REF!,#REF!=#REF!),(IF(AND(#REF!=#REF!,#REF!=#REF!),"","ERROR IN U")),"ERROR IN J")),"ERROR IN T")</f>
        <v>#REF!</v>
      </c>
      <c r="O598" s="4"/>
      <c r="P598" s="4"/>
      <c r="Q598" s="4"/>
      <c r="R598" s="4"/>
      <c r="S598" s="4"/>
    </row>
    <row r="599" spans="1:19" ht="15.95" customHeight="1" x14ac:dyDescent="0.2">
      <c r="A599" s="4"/>
      <c r="B599" s="9">
        <v>100</v>
      </c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20"/>
      <c r="N599" s="12" t="e">
        <f>IF(AND(L598=L599,L599=L600),(IF(AND(#REF!=#REF!,#REF!=#REF!),(IF(AND(#REF!=#REF!,#REF!=#REF!),"","ERROR IN U")),"ERROR IN J")),"ERROR IN T")</f>
        <v>#REF!</v>
      </c>
      <c r="O599" s="4"/>
      <c r="P599" s="4"/>
      <c r="Q599" s="4"/>
      <c r="R599" s="4"/>
      <c r="S599" s="4"/>
    </row>
    <row r="600" spans="1:19" ht="15.95" customHeight="1" x14ac:dyDescent="0.2">
      <c r="A600" s="4"/>
      <c r="B600" s="9">
        <v>100</v>
      </c>
      <c r="C600" s="19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12" t="e">
        <f>IF(AND(L598=L599,L599=L600),(IF(AND(#REF!=#REF!,#REF!=#REF!),(IF(AND(#REF!=#REF!,#REF!=#REF!),"","ERROR IN U")),"ERROR IN J")),"ERROR IN T")</f>
        <v>#REF!</v>
      </c>
      <c r="O600" s="4"/>
      <c r="P600" s="4"/>
      <c r="Q600" s="4"/>
      <c r="R600" s="4"/>
      <c r="S600" s="4"/>
    </row>
    <row r="601" spans="1:19" ht="15.95" customHeight="1" x14ac:dyDescent="0.2">
      <c r="A601" s="4"/>
      <c r="B601" s="9">
        <v>100</v>
      </c>
      <c r="C601" s="21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18" t="e">
        <f>IF(AND(L601=L602,L602=L603),(IF(AND(#REF!=#REF!,#REF!=#REF!),(IF(AND(#REF!=#REF!,#REF!=#REF!),"","ERROR IN U")),"ERROR IN J")),"ERROR IN T")</f>
        <v>#REF!</v>
      </c>
      <c r="O601" s="4"/>
      <c r="P601" s="4"/>
      <c r="Q601" s="4"/>
      <c r="R601" s="4"/>
      <c r="S601" s="4"/>
    </row>
    <row r="602" spans="1:19" ht="15.95" customHeight="1" x14ac:dyDescent="0.2">
      <c r="A602" s="4"/>
      <c r="B602" s="9">
        <v>100</v>
      </c>
      <c r="C602" s="21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18" t="e">
        <f>IF(AND(L601=L602,L602=L603),(IF(AND(#REF!=#REF!,#REF!=#REF!),(IF(AND(#REF!=#REF!,#REF!=#REF!),"","ERROR IN U")),"ERROR IN J")),"ERROR IN T")</f>
        <v>#REF!</v>
      </c>
      <c r="O602" s="4"/>
      <c r="P602" s="4"/>
      <c r="Q602" s="4"/>
      <c r="R602" s="4"/>
      <c r="S602" s="4"/>
    </row>
    <row r="603" spans="1:19" ht="15.95" customHeight="1" x14ac:dyDescent="0.2">
      <c r="A603" s="4"/>
      <c r="B603" s="9">
        <v>100</v>
      </c>
      <c r="C603" s="21"/>
      <c r="D603" s="21"/>
      <c r="E603" s="21"/>
      <c r="F603" s="21"/>
      <c r="G603" s="21"/>
      <c r="H603" s="21"/>
      <c r="I603" s="21"/>
      <c r="J603" s="21"/>
      <c r="K603" s="21"/>
      <c r="L603" s="21"/>
      <c r="M603" s="21"/>
      <c r="N603" s="18" t="e">
        <f>IF(AND(L601=L602,L602=L603),(IF(AND(#REF!=#REF!,#REF!=#REF!),(IF(AND(#REF!=#REF!,#REF!=#REF!),"","ERROR IN U")),"ERROR IN J")),"ERROR IN T")</f>
        <v>#REF!</v>
      </c>
      <c r="O603" s="4"/>
      <c r="P603" s="4"/>
      <c r="Q603" s="4"/>
      <c r="R603" s="4"/>
      <c r="S603" s="4"/>
    </row>
    <row r="604" spans="1:19" ht="15.95" customHeight="1" x14ac:dyDescent="0.2">
      <c r="A604" s="4"/>
      <c r="B604" s="9">
        <v>101</v>
      </c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2" t="e">
        <f>IF(AND(L604=L605,L605=L606),(IF(AND(#REF!=#REF!,#REF!=#REF!),(IF(AND(#REF!=#REF!,#REF!=#REF!),"","ERROR IN U")),"ERROR IN J")),"ERROR IN T")</f>
        <v>#REF!</v>
      </c>
      <c r="O604" s="4"/>
      <c r="P604" s="4"/>
      <c r="Q604" s="4"/>
      <c r="R604" s="4"/>
      <c r="S604" s="4"/>
    </row>
    <row r="605" spans="1:19" ht="15.95" customHeight="1" x14ac:dyDescent="0.2">
      <c r="A605" s="4"/>
      <c r="B605" s="9">
        <v>101</v>
      </c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20"/>
      <c r="N605" s="12" t="e">
        <f>IF(AND(L604=L605,L605=L606),(IF(AND(#REF!=#REF!,#REF!=#REF!),(IF(AND(#REF!=#REF!,#REF!=#REF!),"","ERROR IN U")),"ERROR IN J")),"ERROR IN T")</f>
        <v>#REF!</v>
      </c>
      <c r="O605" s="4"/>
      <c r="P605" s="4"/>
      <c r="Q605" s="4"/>
      <c r="R605" s="4"/>
      <c r="S605" s="4"/>
    </row>
    <row r="606" spans="1:19" ht="15.95" customHeight="1" x14ac:dyDescent="0.2">
      <c r="A606" s="4"/>
      <c r="B606" s="9">
        <v>101</v>
      </c>
      <c r="C606" s="19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12" t="e">
        <f>IF(AND(L604=L605,L605=L606),(IF(AND(#REF!=#REF!,#REF!=#REF!),(IF(AND(#REF!=#REF!,#REF!=#REF!),"","ERROR IN U")),"ERROR IN J")),"ERROR IN T")</f>
        <v>#REF!</v>
      </c>
      <c r="O606" s="4"/>
      <c r="P606" s="4"/>
      <c r="Q606" s="4"/>
      <c r="R606" s="4"/>
      <c r="S606" s="4"/>
    </row>
    <row r="607" spans="1:19" ht="15.95" customHeight="1" x14ac:dyDescent="0.2">
      <c r="A607" s="4"/>
      <c r="B607" s="9">
        <v>101</v>
      </c>
      <c r="C607" s="21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18" t="e">
        <f>IF(AND(L607=L608,L608=L609),(IF(AND(#REF!=#REF!,#REF!=#REF!),(IF(AND(#REF!=#REF!,#REF!=#REF!),"","ERROR IN U")),"ERROR IN J")),"ERROR IN T")</f>
        <v>#REF!</v>
      </c>
      <c r="O607" s="4"/>
      <c r="P607" s="4"/>
      <c r="Q607" s="4"/>
      <c r="R607" s="4"/>
      <c r="S607" s="4"/>
    </row>
    <row r="608" spans="1:19" ht="15.95" customHeight="1" x14ac:dyDescent="0.2">
      <c r="A608" s="4"/>
      <c r="B608" s="9">
        <v>101</v>
      </c>
      <c r="C608" s="21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18" t="e">
        <f>IF(AND(L607=L608,L608=L609),(IF(AND(#REF!=#REF!,#REF!=#REF!),(IF(AND(#REF!=#REF!,#REF!=#REF!),"","ERROR IN U")),"ERROR IN J")),"ERROR IN T")</f>
        <v>#REF!</v>
      </c>
      <c r="O608" s="4"/>
      <c r="P608" s="4"/>
      <c r="Q608" s="4"/>
      <c r="R608" s="4"/>
      <c r="S608" s="4"/>
    </row>
    <row r="609" spans="1:19" ht="15.95" customHeight="1" x14ac:dyDescent="0.2">
      <c r="A609" s="4"/>
      <c r="B609" s="9">
        <v>101</v>
      </c>
      <c r="C609" s="21"/>
      <c r="D609" s="21"/>
      <c r="E609" s="21"/>
      <c r="F609" s="21"/>
      <c r="G609" s="21"/>
      <c r="H609" s="21"/>
      <c r="I609" s="21"/>
      <c r="J609" s="21"/>
      <c r="K609" s="21"/>
      <c r="L609" s="21"/>
      <c r="M609" s="21"/>
      <c r="N609" s="18" t="e">
        <f>IF(AND(L607=L608,L608=L609),(IF(AND(#REF!=#REF!,#REF!=#REF!),(IF(AND(#REF!=#REF!,#REF!=#REF!),"","ERROR IN U")),"ERROR IN J")),"ERROR IN T")</f>
        <v>#REF!</v>
      </c>
      <c r="O609" s="4"/>
      <c r="P609" s="4"/>
      <c r="Q609" s="4"/>
      <c r="R609" s="4"/>
      <c r="S609" s="4"/>
    </row>
    <row r="610" spans="1:19" ht="15.95" customHeight="1" x14ac:dyDescent="0.2">
      <c r="A610" s="4"/>
      <c r="B610" s="9">
        <v>102</v>
      </c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2" t="e">
        <f>IF(AND(L610=L611,L611=L612),(IF(AND(#REF!=#REF!,#REF!=#REF!),(IF(AND(#REF!=#REF!,#REF!=#REF!),"","ERROR IN U")),"ERROR IN J")),"ERROR IN T")</f>
        <v>#REF!</v>
      </c>
      <c r="O610" s="4"/>
      <c r="P610" s="4"/>
      <c r="Q610" s="4"/>
      <c r="R610" s="4"/>
      <c r="S610" s="4"/>
    </row>
    <row r="611" spans="1:19" ht="15.95" customHeight="1" x14ac:dyDescent="0.2">
      <c r="A611" s="4"/>
      <c r="B611" s="9">
        <v>102</v>
      </c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20"/>
      <c r="N611" s="12" t="e">
        <f>IF(AND(L610=L611,L611=L612),(IF(AND(#REF!=#REF!,#REF!=#REF!),(IF(AND(#REF!=#REF!,#REF!=#REF!),"","ERROR IN U")),"ERROR IN J")),"ERROR IN T")</f>
        <v>#REF!</v>
      </c>
      <c r="O611" s="4"/>
      <c r="P611" s="4"/>
      <c r="Q611" s="4"/>
      <c r="R611" s="4"/>
      <c r="S611" s="4"/>
    </row>
    <row r="612" spans="1:19" ht="15.95" customHeight="1" x14ac:dyDescent="0.2">
      <c r="A612" s="4"/>
      <c r="B612" s="9">
        <v>102</v>
      </c>
      <c r="C612" s="19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12" t="e">
        <f>IF(AND(L610=L611,L611=L612),(IF(AND(#REF!=#REF!,#REF!=#REF!),(IF(AND(#REF!=#REF!,#REF!=#REF!),"","ERROR IN U")),"ERROR IN J")),"ERROR IN T")</f>
        <v>#REF!</v>
      </c>
      <c r="O612" s="4"/>
      <c r="P612" s="4"/>
      <c r="Q612" s="4"/>
      <c r="R612" s="4"/>
      <c r="S612" s="4"/>
    </row>
    <row r="613" spans="1:19" ht="15.95" customHeight="1" x14ac:dyDescent="0.2">
      <c r="A613" s="4"/>
      <c r="B613" s="9">
        <v>102</v>
      </c>
      <c r="C613" s="21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18" t="e">
        <f>IF(AND(L613=L614,L614=L615),(IF(AND(#REF!=#REF!,#REF!=#REF!),(IF(AND(#REF!=#REF!,#REF!=#REF!),"","ERROR IN U")),"ERROR IN J")),"ERROR IN T")</f>
        <v>#REF!</v>
      </c>
      <c r="O613" s="4"/>
      <c r="P613" s="4"/>
      <c r="Q613" s="4"/>
      <c r="R613" s="4"/>
      <c r="S613" s="4"/>
    </row>
    <row r="614" spans="1:19" ht="15.95" customHeight="1" x14ac:dyDescent="0.2">
      <c r="A614" s="4"/>
      <c r="B614" s="9">
        <v>102</v>
      </c>
      <c r="C614" s="21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18" t="e">
        <f>IF(AND(L613=L614,L614=L615),(IF(AND(#REF!=#REF!,#REF!=#REF!),(IF(AND(#REF!=#REF!,#REF!=#REF!),"","ERROR IN U")),"ERROR IN J")),"ERROR IN T")</f>
        <v>#REF!</v>
      </c>
      <c r="O614" s="4"/>
      <c r="P614" s="4"/>
      <c r="Q614" s="4"/>
      <c r="R614" s="4"/>
      <c r="S614" s="4"/>
    </row>
    <row r="615" spans="1:19" ht="15.95" customHeight="1" x14ac:dyDescent="0.2">
      <c r="A615" s="4"/>
      <c r="B615" s="9">
        <v>102</v>
      </c>
      <c r="C615" s="21"/>
      <c r="D615" s="21"/>
      <c r="E615" s="21"/>
      <c r="F615" s="21"/>
      <c r="G615" s="21"/>
      <c r="H615" s="21"/>
      <c r="I615" s="21"/>
      <c r="J615" s="21"/>
      <c r="K615" s="21"/>
      <c r="L615" s="21"/>
      <c r="M615" s="21"/>
      <c r="N615" s="18" t="e">
        <f>IF(AND(L613=L614,L614=L615),(IF(AND(#REF!=#REF!,#REF!=#REF!),(IF(AND(#REF!=#REF!,#REF!=#REF!),"","ERROR IN U")),"ERROR IN J")),"ERROR IN T")</f>
        <v>#REF!</v>
      </c>
      <c r="O615" s="4"/>
      <c r="P615" s="4"/>
      <c r="Q615" s="4"/>
      <c r="R615" s="4"/>
      <c r="S615" s="4"/>
    </row>
    <row r="616" spans="1:19" ht="15.95" customHeight="1" x14ac:dyDescent="0.2">
      <c r="A616" s="4"/>
      <c r="B616" s="9">
        <v>103</v>
      </c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 t="e">
        <f>IF(AND(L616=L617,L617=L618),(IF(AND(#REF!=#REF!,#REF!=#REF!),(IF(AND(#REF!=#REF!,#REF!=#REF!),"","ERROR IN U")),"ERROR IN J")),"ERROR IN T")</f>
        <v>#REF!</v>
      </c>
      <c r="O616" s="4"/>
      <c r="P616" s="4"/>
      <c r="Q616" s="4"/>
      <c r="R616" s="4"/>
      <c r="S616" s="4"/>
    </row>
    <row r="617" spans="1:19" ht="15.95" customHeight="1" x14ac:dyDescent="0.2">
      <c r="A617" s="4"/>
      <c r="B617" s="9">
        <v>103</v>
      </c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 t="e">
        <f>IF(AND(L616=L617,L617=L618),(IF(AND(#REF!=#REF!,#REF!=#REF!),(IF(AND(#REF!=#REF!,#REF!=#REF!),"","ERROR IN U")),"ERROR IN J")),"ERROR IN T")</f>
        <v>#REF!</v>
      </c>
      <c r="O617" s="4"/>
      <c r="P617" s="4"/>
      <c r="Q617" s="4"/>
      <c r="R617" s="4"/>
      <c r="S617" s="4"/>
    </row>
    <row r="618" spans="1:19" ht="15.95" customHeight="1" x14ac:dyDescent="0.2">
      <c r="A618" s="4"/>
      <c r="B618" s="9">
        <v>103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 t="e">
        <f>IF(AND(L616=L617,L617=L618),(IF(AND(#REF!=#REF!,#REF!=#REF!),(IF(AND(#REF!=#REF!,#REF!=#REF!),"","ERROR IN U")),"ERROR IN J")),"ERROR IN T")</f>
        <v>#REF!</v>
      </c>
      <c r="O618" s="4"/>
      <c r="P618" s="4"/>
      <c r="Q618" s="4"/>
      <c r="R618" s="4"/>
      <c r="S618" s="4"/>
    </row>
    <row r="619" spans="1:19" ht="15.95" customHeight="1" x14ac:dyDescent="0.2">
      <c r="A619" s="4"/>
      <c r="B619" s="9">
        <v>103</v>
      </c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 t="e">
        <f>IF(AND(L619=L620,L620=L621),(IF(AND(#REF!=#REF!,#REF!=#REF!),(IF(AND(#REF!=#REF!,#REF!=#REF!),"","ERROR IN U")),"ERROR IN J")),"ERROR IN T")</f>
        <v>#REF!</v>
      </c>
      <c r="O619" s="4"/>
      <c r="P619" s="4"/>
      <c r="Q619" s="4"/>
      <c r="R619" s="4"/>
      <c r="S619" s="4"/>
    </row>
    <row r="620" spans="1:19" ht="15.95" customHeight="1" x14ac:dyDescent="0.2">
      <c r="A620" s="4"/>
      <c r="B620" s="9">
        <v>103</v>
      </c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 t="e">
        <f>IF(AND(L619=L620,L620=L621),(IF(AND(#REF!=#REF!,#REF!=#REF!),(IF(AND(#REF!=#REF!,#REF!=#REF!),"","ERROR IN U")),"ERROR IN J")),"ERROR IN T")</f>
        <v>#REF!</v>
      </c>
      <c r="O620" s="4"/>
      <c r="P620" s="4"/>
      <c r="Q620" s="4"/>
      <c r="R620" s="4"/>
      <c r="S620" s="4"/>
    </row>
    <row r="621" spans="1:19" ht="15.95" customHeight="1" x14ac:dyDescent="0.2">
      <c r="A621" s="4"/>
      <c r="B621" s="9">
        <v>103</v>
      </c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 t="e">
        <f>IF(AND(L619=L620,L620=L621),(IF(AND(#REF!=#REF!,#REF!=#REF!),(IF(AND(#REF!=#REF!,#REF!=#REF!),"","ERROR IN U")),"ERROR IN J")),"ERROR IN T")</f>
        <v>#REF!</v>
      </c>
      <c r="O621" s="4"/>
      <c r="P621" s="4"/>
      <c r="Q621" s="4"/>
      <c r="R621" s="4"/>
      <c r="S621" s="4"/>
    </row>
    <row r="622" spans="1:19" ht="15.95" customHeight="1" x14ac:dyDescent="0.2">
      <c r="A622" s="4"/>
      <c r="B622" s="9">
        <v>104</v>
      </c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2" t="e">
        <f>IF(AND(L622=L623,L623=L624),(IF(AND(#REF!=#REF!,#REF!=#REF!),(IF(AND(#REF!=#REF!,#REF!=#REF!),"","ERROR IN U")),"ERROR IN J")),"ERROR IN T")</f>
        <v>#REF!</v>
      </c>
      <c r="O622" s="4"/>
      <c r="P622" s="4"/>
      <c r="Q622" s="4"/>
      <c r="R622" s="4"/>
      <c r="S622" s="4"/>
    </row>
    <row r="623" spans="1:19" ht="15.95" customHeight="1" x14ac:dyDescent="0.2">
      <c r="A623" s="4"/>
      <c r="B623" s="9">
        <v>104</v>
      </c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20"/>
      <c r="N623" s="12" t="e">
        <f>IF(AND(L622=L623,L623=L624),(IF(AND(#REF!=#REF!,#REF!=#REF!),(IF(AND(#REF!=#REF!,#REF!=#REF!),"","ERROR IN U")),"ERROR IN J")),"ERROR IN T")</f>
        <v>#REF!</v>
      </c>
      <c r="O623" s="4"/>
      <c r="P623" s="4"/>
      <c r="Q623" s="4"/>
      <c r="R623" s="4"/>
      <c r="S623" s="4"/>
    </row>
    <row r="624" spans="1:19" ht="15.95" customHeight="1" x14ac:dyDescent="0.2">
      <c r="A624" s="4"/>
      <c r="B624" s="9">
        <v>104</v>
      </c>
      <c r="C624" s="19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12" t="e">
        <f>IF(AND(L622=L623,L623=L624),(IF(AND(#REF!=#REF!,#REF!=#REF!),(IF(AND(#REF!=#REF!,#REF!=#REF!),"","ERROR IN U")),"ERROR IN J")),"ERROR IN T")</f>
        <v>#REF!</v>
      </c>
      <c r="O624" s="4"/>
      <c r="P624" s="4"/>
      <c r="Q624" s="4"/>
      <c r="R624" s="4"/>
      <c r="S624" s="4"/>
    </row>
    <row r="625" spans="1:19" ht="15.95" customHeight="1" x14ac:dyDescent="0.2">
      <c r="A625" s="4"/>
      <c r="B625" s="9">
        <v>104</v>
      </c>
      <c r="C625" s="21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18" t="e">
        <f>IF(AND(L625=L626,L626=L627),(IF(AND(#REF!=#REF!,#REF!=#REF!),(IF(AND(#REF!=#REF!,#REF!=#REF!),"","ERROR IN U")),"ERROR IN J")),"ERROR IN T")</f>
        <v>#REF!</v>
      </c>
      <c r="O625" s="4"/>
      <c r="P625" s="4"/>
      <c r="Q625" s="4"/>
      <c r="R625" s="4"/>
      <c r="S625" s="4"/>
    </row>
    <row r="626" spans="1:19" ht="15.95" customHeight="1" x14ac:dyDescent="0.2">
      <c r="A626" s="4"/>
      <c r="B626" s="9">
        <v>104</v>
      </c>
      <c r="C626" s="21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18" t="e">
        <f>IF(AND(L625=L626,L626=L627),(IF(AND(#REF!=#REF!,#REF!=#REF!),(IF(AND(#REF!=#REF!,#REF!=#REF!),"","ERROR IN U")),"ERROR IN J")),"ERROR IN T")</f>
        <v>#REF!</v>
      </c>
      <c r="O626" s="4"/>
      <c r="P626" s="4"/>
      <c r="Q626" s="4"/>
      <c r="R626" s="4"/>
      <c r="S626" s="4"/>
    </row>
    <row r="627" spans="1:19" ht="15.95" customHeight="1" x14ac:dyDescent="0.2">
      <c r="A627" s="4"/>
      <c r="B627" s="9">
        <v>104</v>
      </c>
      <c r="C627" s="21"/>
      <c r="D627" s="21"/>
      <c r="E627" s="21"/>
      <c r="F627" s="21"/>
      <c r="G627" s="21"/>
      <c r="H627" s="21"/>
      <c r="I627" s="21"/>
      <c r="J627" s="21"/>
      <c r="K627" s="21"/>
      <c r="L627" s="21"/>
      <c r="M627" s="21"/>
      <c r="N627" s="18" t="e">
        <f>IF(AND(L625=L626,L626=L627),(IF(AND(#REF!=#REF!,#REF!=#REF!),(IF(AND(#REF!=#REF!,#REF!=#REF!),"","ERROR IN U")),"ERROR IN J")),"ERROR IN T")</f>
        <v>#REF!</v>
      </c>
      <c r="O627" s="4"/>
      <c r="P627" s="4"/>
      <c r="Q627" s="4"/>
      <c r="R627" s="4"/>
      <c r="S627" s="4"/>
    </row>
    <row r="628" spans="1:19" ht="15.95" customHeight="1" x14ac:dyDescent="0.2">
      <c r="A628" s="4"/>
      <c r="B628" s="9">
        <v>105</v>
      </c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 t="e">
        <f>IF(AND(L628=L629,L629=L630),(IF(AND(#REF!=#REF!,#REF!=#REF!),(IF(AND(#REF!=#REF!,#REF!=#REF!),"","ERROR IN U")),"ERROR IN J")),"ERROR IN T")</f>
        <v>#REF!</v>
      </c>
      <c r="O628" s="4"/>
      <c r="P628" s="4"/>
      <c r="Q628" s="4"/>
      <c r="R628" s="4"/>
      <c r="S628" s="4"/>
    </row>
    <row r="629" spans="1:19" ht="15.95" customHeight="1" x14ac:dyDescent="0.2">
      <c r="A629" s="4"/>
      <c r="B629" s="9">
        <v>105</v>
      </c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 t="e">
        <f>IF(AND(L628=L629,L629=L630),(IF(AND(#REF!=#REF!,#REF!=#REF!),(IF(AND(#REF!=#REF!,#REF!=#REF!),"","ERROR IN U")),"ERROR IN J")),"ERROR IN T")</f>
        <v>#REF!</v>
      </c>
      <c r="O629" s="4"/>
      <c r="P629" s="4"/>
      <c r="Q629" s="4"/>
      <c r="R629" s="4"/>
      <c r="S629" s="4"/>
    </row>
    <row r="630" spans="1:19" ht="15.95" customHeight="1" x14ac:dyDescent="0.2">
      <c r="A630" s="4"/>
      <c r="B630" s="9">
        <v>105</v>
      </c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 t="e">
        <f>IF(AND(L628=L629,L629=L630),(IF(AND(#REF!=#REF!,#REF!=#REF!),(IF(AND(#REF!=#REF!,#REF!=#REF!),"","ERROR IN U")),"ERROR IN J")),"ERROR IN T")</f>
        <v>#REF!</v>
      </c>
      <c r="O630" s="4"/>
      <c r="P630" s="4"/>
      <c r="Q630" s="4"/>
      <c r="R630" s="4"/>
      <c r="S630" s="4"/>
    </row>
    <row r="631" spans="1:19" ht="15.95" customHeight="1" x14ac:dyDescent="0.2">
      <c r="A631" s="4"/>
      <c r="B631" s="9">
        <v>105</v>
      </c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 t="e">
        <f>IF(AND(L631=L632,L632=L633),(IF(AND(#REF!=#REF!,#REF!=#REF!),(IF(AND(#REF!=#REF!,#REF!=#REF!),"","ERROR IN U")),"ERROR IN J")),"ERROR IN T")</f>
        <v>#REF!</v>
      </c>
      <c r="O631" s="4"/>
      <c r="P631" s="4"/>
      <c r="Q631" s="4"/>
      <c r="R631" s="4"/>
      <c r="S631" s="4"/>
    </row>
    <row r="632" spans="1:19" ht="15.95" customHeight="1" x14ac:dyDescent="0.2">
      <c r="A632" s="4"/>
      <c r="B632" s="9">
        <v>105</v>
      </c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 t="e">
        <f>IF(AND(L631=L632,L632=L633),(IF(AND(#REF!=#REF!,#REF!=#REF!),(IF(AND(#REF!=#REF!,#REF!=#REF!),"","ERROR IN U")),"ERROR IN J")),"ERROR IN T")</f>
        <v>#REF!</v>
      </c>
      <c r="O632" s="4"/>
      <c r="P632" s="4"/>
      <c r="Q632" s="4"/>
      <c r="R632" s="4"/>
      <c r="S632" s="4"/>
    </row>
    <row r="633" spans="1:19" ht="15.95" customHeight="1" x14ac:dyDescent="0.2">
      <c r="A633" s="4"/>
      <c r="B633" s="9">
        <v>105</v>
      </c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 t="e">
        <f>IF(AND(L631=L632,L632=L633),(IF(AND(#REF!=#REF!,#REF!=#REF!),(IF(AND(#REF!=#REF!,#REF!=#REF!),"","ERROR IN U")),"ERROR IN J")),"ERROR IN T")</f>
        <v>#REF!</v>
      </c>
      <c r="O633" s="4"/>
      <c r="P633" s="4"/>
      <c r="Q633" s="4"/>
      <c r="R633" s="4"/>
      <c r="S633" s="4"/>
    </row>
    <row r="634" spans="1:19" ht="15.95" customHeight="1" x14ac:dyDescent="0.2">
      <c r="A634" s="4"/>
      <c r="B634" s="9">
        <v>106</v>
      </c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2" t="e">
        <f>IF(AND(L634=L635,L635=L636),(IF(AND(#REF!=#REF!,#REF!=#REF!),(IF(AND(#REF!=#REF!,#REF!=#REF!),"","ERROR IN U")),"ERROR IN J")),"ERROR IN T")</f>
        <v>#REF!</v>
      </c>
      <c r="O634" s="4"/>
      <c r="P634" s="4"/>
      <c r="Q634" s="4"/>
      <c r="R634" s="4"/>
      <c r="S634" s="4"/>
    </row>
    <row r="635" spans="1:19" ht="15.95" customHeight="1" x14ac:dyDescent="0.2">
      <c r="A635" s="4"/>
      <c r="B635" s="9">
        <v>106</v>
      </c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20"/>
      <c r="N635" s="12" t="e">
        <f>IF(AND(L634=L635,L635=L636),(IF(AND(#REF!=#REF!,#REF!=#REF!),(IF(AND(#REF!=#REF!,#REF!=#REF!),"","ERROR IN U")),"ERROR IN J")),"ERROR IN T")</f>
        <v>#REF!</v>
      </c>
      <c r="O635" s="4"/>
      <c r="P635" s="4"/>
      <c r="Q635" s="4"/>
      <c r="R635" s="4"/>
      <c r="S635" s="4"/>
    </row>
    <row r="636" spans="1:19" ht="15.95" customHeight="1" x14ac:dyDescent="0.2">
      <c r="A636" s="4"/>
      <c r="B636" s="9">
        <v>106</v>
      </c>
      <c r="C636" s="19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12" t="e">
        <f>IF(AND(L634=L635,L635=L636),(IF(AND(#REF!=#REF!,#REF!=#REF!),(IF(AND(#REF!=#REF!,#REF!=#REF!),"","ERROR IN U")),"ERROR IN J")),"ERROR IN T")</f>
        <v>#REF!</v>
      </c>
      <c r="O636" s="4"/>
      <c r="P636" s="4"/>
      <c r="Q636" s="4"/>
      <c r="R636" s="4"/>
      <c r="S636" s="4"/>
    </row>
    <row r="637" spans="1:19" ht="15.95" customHeight="1" x14ac:dyDescent="0.2">
      <c r="A637" s="4"/>
      <c r="B637" s="9">
        <v>106</v>
      </c>
      <c r="C637" s="21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18" t="e">
        <f>IF(AND(L637=L638,L638=L639),(IF(AND(#REF!=#REF!,#REF!=#REF!),(IF(AND(#REF!=#REF!,#REF!=#REF!),"","ERROR IN U")),"ERROR IN J")),"ERROR IN T")</f>
        <v>#REF!</v>
      </c>
      <c r="O637" s="4"/>
      <c r="P637" s="4"/>
      <c r="Q637" s="4"/>
      <c r="R637" s="4"/>
      <c r="S637" s="4"/>
    </row>
    <row r="638" spans="1:19" ht="15.95" customHeight="1" x14ac:dyDescent="0.2">
      <c r="A638" s="4"/>
      <c r="B638" s="9">
        <v>106</v>
      </c>
      <c r="C638" s="21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18" t="e">
        <f>IF(AND(L637=L638,L638=L639),(IF(AND(#REF!=#REF!,#REF!=#REF!),(IF(AND(#REF!=#REF!,#REF!=#REF!),"","ERROR IN U")),"ERROR IN J")),"ERROR IN T")</f>
        <v>#REF!</v>
      </c>
      <c r="O638" s="4"/>
      <c r="P638" s="4"/>
      <c r="Q638" s="4"/>
      <c r="R638" s="4"/>
      <c r="S638" s="4"/>
    </row>
    <row r="639" spans="1:19" ht="15.95" customHeight="1" x14ac:dyDescent="0.2">
      <c r="A639" s="4"/>
      <c r="B639" s="9">
        <v>106</v>
      </c>
      <c r="C639" s="21"/>
      <c r="D639" s="21"/>
      <c r="E639" s="21"/>
      <c r="F639" s="21"/>
      <c r="G639" s="21"/>
      <c r="H639" s="21"/>
      <c r="I639" s="21"/>
      <c r="J639" s="21"/>
      <c r="K639" s="21"/>
      <c r="L639" s="21"/>
      <c r="M639" s="21"/>
      <c r="N639" s="18" t="e">
        <f>IF(AND(L637=L638,L638=L639),(IF(AND(#REF!=#REF!,#REF!=#REF!),(IF(AND(#REF!=#REF!,#REF!=#REF!),"","ERROR IN U")),"ERROR IN J")),"ERROR IN T")</f>
        <v>#REF!</v>
      </c>
      <c r="O639" s="4"/>
      <c r="P639" s="4"/>
      <c r="Q639" s="4"/>
      <c r="R639" s="4"/>
      <c r="S639" s="4"/>
    </row>
    <row r="640" spans="1:19" ht="15.95" customHeight="1" x14ac:dyDescent="0.2">
      <c r="A640" s="4"/>
      <c r="B640" s="9">
        <v>107</v>
      </c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2" t="e">
        <f>IF(AND(L640=L641,L641=L642),(IF(AND(#REF!=#REF!,#REF!=#REF!),(IF(AND(#REF!=#REF!,#REF!=#REF!),"","ERROR IN U")),"ERROR IN J")),"ERROR IN T")</f>
        <v>#REF!</v>
      </c>
      <c r="O640" s="4"/>
      <c r="P640" s="4"/>
      <c r="Q640" s="4"/>
      <c r="R640" s="4"/>
      <c r="S640" s="4"/>
    </row>
    <row r="641" spans="1:19" ht="15.95" customHeight="1" x14ac:dyDescent="0.2">
      <c r="A641" s="4"/>
      <c r="B641" s="9">
        <v>107</v>
      </c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20"/>
      <c r="N641" s="12" t="e">
        <f>IF(AND(L640=L641,L641=L642),(IF(AND(#REF!=#REF!,#REF!=#REF!),(IF(AND(#REF!=#REF!,#REF!=#REF!),"","ERROR IN U")),"ERROR IN J")),"ERROR IN T")</f>
        <v>#REF!</v>
      </c>
      <c r="O641" s="4"/>
      <c r="P641" s="4"/>
      <c r="Q641" s="4"/>
      <c r="R641" s="4"/>
      <c r="S641" s="4"/>
    </row>
    <row r="642" spans="1:19" ht="15.95" customHeight="1" x14ac:dyDescent="0.2">
      <c r="A642" s="4"/>
      <c r="B642" s="9">
        <v>107</v>
      </c>
      <c r="C642" s="19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12" t="e">
        <f>IF(AND(L640=L641,L641=L642),(IF(AND(#REF!=#REF!,#REF!=#REF!),(IF(AND(#REF!=#REF!,#REF!=#REF!),"","ERROR IN U")),"ERROR IN J")),"ERROR IN T")</f>
        <v>#REF!</v>
      </c>
      <c r="O642" s="4"/>
      <c r="P642" s="4"/>
      <c r="Q642" s="4"/>
      <c r="R642" s="4"/>
      <c r="S642" s="4"/>
    </row>
    <row r="643" spans="1:19" ht="15.95" customHeight="1" x14ac:dyDescent="0.2">
      <c r="A643" s="4"/>
      <c r="B643" s="9">
        <v>107</v>
      </c>
      <c r="C643" s="21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18" t="e">
        <f>IF(AND(L643=L644,L644=L645),(IF(AND(#REF!=#REF!,#REF!=#REF!),(IF(AND(#REF!=#REF!,#REF!=#REF!),"","ERROR IN U")),"ERROR IN J")),"ERROR IN T")</f>
        <v>#REF!</v>
      </c>
      <c r="O643" s="4"/>
      <c r="P643" s="4"/>
      <c r="Q643" s="4"/>
      <c r="R643" s="4"/>
      <c r="S643" s="4"/>
    </row>
    <row r="644" spans="1:19" ht="15.95" customHeight="1" x14ac:dyDescent="0.2">
      <c r="A644" s="4"/>
      <c r="B644" s="9">
        <v>107</v>
      </c>
      <c r="C644" s="21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18" t="e">
        <f>IF(AND(L643=L644,L644=L645),(IF(AND(#REF!=#REF!,#REF!=#REF!),(IF(AND(#REF!=#REF!,#REF!=#REF!),"","ERROR IN U")),"ERROR IN J")),"ERROR IN T")</f>
        <v>#REF!</v>
      </c>
      <c r="O644" s="4"/>
      <c r="P644" s="4"/>
      <c r="Q644" s="4"/>
      <c r="R644" s="4"/>
      <c r="S644" s="4"/>
    </row>
    <row r="645" spans="1:19" ht="15.95" customHeight="1" x14ac:dyDescent="0.2">
      <c r="A645" s="4"/>
      <c r="B645" s="9">
        <v>107</v>
      </c>
      <c r="C645" s="21"/>
      <c r="D645" s="21"/>
      <c r="E645" s="21"/>
      <c r="F645" s="21"/>
      <c r="G645" s="21"/>
      <c r="H645" s="21"/>
      <c r="I645" s="21"/>
      <c r="J645" s="21"/>
      <c r="K645" s="21"/>
      <c r="L645" s="21"/>
      <c r="M645" s="21"/>
      <c r="N645" s="18" t="e">
        <f>IF(AND(L643=L644,L644=L645),(IF(AND(#REF!=#REF!,#REF!=#REF!),(IF(AND(#REF!=#REF!,#REF!=#REF!),"","ERROR IN U")),"ERROR IN J")),"ERROR IN T")</f>
        <v>#REF!</v>
      </c>
      <c r="O645" s="4"/>
      <c r="P645" s="4"/>
      <c r="Q645" s="4"/>
      <c r="R645" s="4"/>
      <c r="S645" s="4"/>
    </row>
    <row r="646" spans="1:19" ht="15.95" customHeight="1" x14ac:dyDescent="0.2">
      <c r="A646" s="4"/>
      <c r="B646" s="9">
        <v>108</v>
      </c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2" t="e">
        <f>IF(AND(L646=L647,L647=L648),(IF(AND(#REF!=#REF!,#REF!=#REF!),(IF(AND(#REF!=#REF!,#REF!=#REF!),"","ERROR IN U")),"ERROR IN J")),"ERROR IN T")</f>
        <v>#REF!</v>
      </c>
      <c r="O646" s="4"/>
      <c r="P646" s="4"/>
      <c r="Q646" s="4"/>
      <c r="R646" s="4"/>
      <c r="S646" s="4"/>
    </row>
    <row r="647" spans="1:19" ht="15.95" customHeight="1" x14ac:dyDescent="0.2">
      <c r="A647" s="4"/>
      <c r="B647" s="9">
        <v>108</v>
      </c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20"/>
      <c r="N647" s="12" t="e">
        <f>IF(AND(L646=L647,L647=L648),(IF(AND(#REF!=#REF!,#REF!=#REF!),(IF(AND(#REF!=#REF!,#REF!=#REF!),"","ERROR IN U")),"ERROR IN J")),"ERROR IN T")</f>
        <v>#REF!</v>
      </c>
      <c r="O647" s="4"/>
      <c r="P647" s="4"/>
      <c r="Q647" s="4"/>
      <c r="R647" s="4"/>
      <c r="S647" s="4"/>
    </row>
    <row r="648" spans="1:19" ht="15.95" customHeight="1" x14ac:dyDescent="0.2">
      <c r="A648" s="4"/>
      <c r="B648" s="9">
        <v>108</v>
      </c>
      <c r="C648" s="19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12" t="e">
        <f>IF(AND(L646=L647,L647=L648),(IF(AND(#REF!=#REF!,#REF!=#REF!),(IF(AND(#REF!=#REF!,#REF!=#REF!),"","ERROR IN U")),"ERROR IN J")),"ERROR IN T")</f>
        <v>#REF!</v>
      </c>
      <c r="O648" s="4"/>
      <c r="P648" s="4"/>
      <c r="Q648" s="4"/>
      <c r="R648" s="4"/>
      <c r="S648" s="4"/>
    </row>
    <row r="649" spans="1:19" ht="15.95" customHeight="1" x14ac:dyDescent="0.2">
      <c r="A649" s="4"/>
      <c r="B649" s="9">
        <v>108</v>
      </c>
      <c r="C649" s="21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18" t="e">
        <f>IF(AND(L649=L650,L650=L651),(IF(AND(#REF!=#REF!,#REF!=#REF!),(IF(AND(#REF!=#REF!,#REF!=#REF!),"","ERROR IN U")),"ERROR IN J")),"ERROR IN T")</f>
        <v>#REF!</v>
      </c>
      <c r="O649" s="4"/>
      <c r="P649" s="4"/>
      <c r="Q649" s="4"/>
      <c r="R649" s="4"/>
      <c r="S649" s="4"/>
    </row>
    <row r="650" spans="1:19" ht="15.95" customHeight="1" x14ac:dyDescent="0.2">
      <c r="A650" s="4"/>
      <c r="B650" s="9">
        <v>108</v>
      </c>
      <c r="C650" s="21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18" t="e">
        <f>IF(AND(L649=L650,L650=L651),(IF(AND(#REF!=#REF!,#REF!=#REF!),(IF(AND(#REF!=#REF!,#REF!=#REF!),"","ERROR IN U")),"ERROR IN J")),"ERROR IN T")</f>
        <v>#REF!</v>
      </c>
      <c r="O650" s="4"/>
      <c r="P650" s="4"/>
      <c r="Q650" s="4"/>
      <c r="R650" s="4"/>
      <c r="S650" s="4"/>
    </row>
    <row r="651" spans="1:19" ht="15.95" customHeight="1" x14ac:dyDescent="0.2">
      <c r="A651" s="4"/>
      <c r="B651" s="9">
        <v>108</v>
      </c>
      <c r="C651" s="21"/>
      <c r="D651" s="21"/>
      <c r="E651" s="21"/>
      <c r="F651" s="21"/>
      <c r="G651" s="21"/>
      <c r="H651" s="21"/>
      <c r="I651" s="21"/>
      <c r="J651" s="21"/>
      <c r="K651" s="21"/>
      <c r="L651" s="21"/>
      <c r="M651" s="21"/>
      <c r="N651" s="18" t="e">
        <f>IF(AND(L649=L650,L650=L651),(IF(AND(#REF!=#REF!,#REF!=#REF!),(IF(AND(#REF!=#REF!,#REF!=#REF!),"","ERROR IN U")),"ERROR IN J")),"ERROR IN T")</f>
        <v>#REF!</v>
      </c>
      <c r="O651" s="4"/>
      <c r="P651" s="4"/>
      <c r="Q651" s="4"/>
      <c r="R651" s="4"/>
      <c r="S651" s="4"/>
    </row>
    <row r="652" spans="1:19" ht="15.95" customHeight="1" x14ac:dyDescent="0.2">
      <c r="A652" s="4"/>
      <c r="B652" s="9">
        <v>109</v>
      </c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2" t="e">
        <f>IF(AND(L652=L653,L653=L654),(IF(AND(#REF!=#REF!,#REF!=#REF!),(IF(AND(#REF!=#REF!,#REF!=#REF!),"","ERROR IN U")),"ERROR IN J")),"ERROR IN T")</f>
        <v>#REF!</v>
      </c>
      <c r="O652" s="4"/>
      <c r="P652" s="4"/>
      <c r="Q652" s="4"/>
      <c r="R652" s="4"/>
      <c r="S652" s="4"/>
    </row>
    <row r="653" spans="1:19" ht="15.95" customHeight="1" x14ac:dyDescent="0.2">
      <c r="A653" s="4"/>
      <c r="B653" s="9">
        <v>109</v>
      </c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20"/>
      <c r="N653" s="12" t="e">
        <f>IF(AND(L652=L653,L653=L654),(IF(AND(#REF!=#REF!,#REF!=#REF!),(IF(AND(#REF!=#REF!,#REF!=#REF!),"","ERROR IN U")),"ERROR IN J")),"ERROR IN T")</f>
        <v>#REF!</v>
      </c>
      <c r="O653" s="4"/>
      <c r="P653" s="4"/>
      <c r="Q653" s="4"/>
      <c r="R653" s="4"/>
      <c r="S653" s="4"/>
    </row>
    <row r="654" spans="1:19" ht="15.95" customHeight="1" x14ac:dyDescent="0.2">
      <c r="A654" s="4"/>
      <c r="B654" s="9">
        <v>109</v>
      </c>
      <c r="C654" s="19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12" t="e">
        <f>IF(AND(L652=L653,L653=L654),(IF(AND(#REF!=#REF!,#REF!=#REF!),(IF(AND(#REF!=#REF!,#REF!=#REF!),"","ERROR IN U")),"ERROR IN J")),"ERROR IN T")</f>
        <v>#REF!</v>
      </c>
      <c r="O654" s="4"/>
      <c r="P654" s="4"/>
      <c r="Q654" s="4"/>
      <c r="R654" s="4"/>
      <c r="S654" s="4"/>
    </row>
    <row r="655" spans="1:19" ht="15.95" customHeight="1" x14ac:dyDescent="0.2">
      <c r="A655" s="4"/>
      <c r="B655" s="9">
        <v>109</v>
      </c>
      <c r="C655" s="21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18" t="e">
        <f>IF(AND(L655=L656,L656=L657),(IF(AND(#REF!=#REF!,#REF!=#REF!),(IF(AND(#REF!=#REF!,#REF!=#REF!),"","ERROR IN U")),"ERROR IN J")),"ERROR IN T")</f>
        <v>#REF!</v>
      </c>
      <c r="O655" s="4"/>
      <c r="P655" s="4"/>
      <c r="Q655" s="4"/>
      <c r="R655" s="4"/>
      <c r="S655" s="4"/>
    </row>
    <row r="656" spans="1:19" ht="15.95" customHeight="1" x14ac:dyDescent="0.2">
      <c r="A656" s="4"/>
      <c r="B656" s="9">
        <v>109</v>
      </c>
      <c r="C656" s="21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18" t="e">
        <f>IF(AND(L655=L656,L656=L657),(IF(AND(#REF!=#REF!,#REF!=#REF!),(IF(AND(#REF!=#REF!,#REF!=#REF!),"","ERROR IN U")),"ERROR IN J")),"ERROR IN T")</f>
        <v>#REF!</v>
      </c>
      <c r="O656" s="4"/>
      <c r="P656" s="4"/>
      <c r="Q656" s="4"/>
      <c r="R656" s="4"/>
      <c r="S656" s="4"/>
    </row>
    <row r="657" spans="1:19" ht="15.95" customHeight="1" x14ac:dyDescent="0.2">
      <c r="A657" s="4"/>
      <c r="B657" s="9">
        <v>109</v>
      </c>
      <c r="C657" s="21"/>
      <c r="D657" s="21"/>
      <c r="E657" s="21"/>
      <c r="F657" s="21"/>
      <c r="G657" s="21"/>
      <c r="H657" s="21"/>
      <c r="I657" s="21"/>
      <c r="J657" s="21"/>
      <c r="K657" s="21"/>
      <c r="L657" s="21"/>
      <c r="M657" s="21"/>
      <c r="N657" s="18" t="e">
        <f>IF(AND(L655=L656,L656=L657),(IF(AND(#REF!=#REF!,#REF!=#REF!),(IF(AND(#REF!=#REF!,#REF!=#REF!),"","ERROR IN U")),"ERROR IN J")),"ERROR IN T")</f>
        <v>#REF!</v>
      </c>
      <c r="O657" s="4"/>
      <c r="P657" s="4"/>
      <c r="Q657" s="4"/>
      <c r="R657" s="4"/>
      <c r="S657" s="4"/>
    </row>
    <row r="658" spans="1:19" ht="15.95" customHeight="1" x14ac:dyDescent="0.2">
      <c r="A658" s="4"/>
      <c r="B658" s="9">
        <v>110</v>
      </c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2" t="e">
        <f>IF(AND(L658=L659,L659=L660),(IF(AND(#REF!=#REF!,#REF!=#REF!),(IF(AND(#REF!=#REF!,#REF!=#REF!),"","ERROR IN U")),"ERROR IN J")),"ERROR IN T")</f>
        <v>#REF!</v>
      </c>
      <c r="O658" s="4"/>
      <c r="P658" s="4"/>
      <c r="Q658" s="4"/>
      <c r="R658" s="4"/>
      <c r="S658" s="4"/>
    </row>
    <row r="659" spans="1:19" ht="15.95" customHeight="1" x14ac:dyDescent="0.2">
      <c r="A659" s="4"/>
      <c r="B659" s="9">
        <v>110</v>
      </c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20"/>
      <c r="N659" s="12" t="e">
        <f>IF(AND(L658=L659,L659=L660),(IF(AND(#REF!=#REF!,#REF!=#REF!),(IF(AND(#REF!=#REF!,#REF!=#REF!),"","ERROR IN U")),"ERROR IN J")),"ERROR IN T")</f>
        <v>#REF!</v>
      </c>
      <c r="O659" s="4"/>
      <c r="P659" s="4"/>
      <c r="Q659" s="4"/>
      <c r="R659" s="4"/>
      <c r="S659" s="4"/>
    </row>
    <row r="660" spans="1:19" ht="15.95" customHeight="1" x14ac:dyDescent="0.2">
      <c r="A660" s="4"/>
      <c r="B660" s="9">
        <v>110</v>
      </c>
      <c r="C660" s="19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12" t="e">
        <f>IF(AND(L658=L659,L659=L660),(IF(AND(#REF!=#REF!,#REF!=#REF!),(IF(AND(#REF!=#REF!,#REF!=#REF!),"","ERROR IN U")),"ERROR IN J")),"ERROR IN T")</f>
        <v>#REF!</v>
      </c>
      <c r="O660" s="4"/>
      <c r="P660" s="4"/>
      <c r="Q660" s="4"/>
      <c r="R660" s="4"/>
      <c r="S660" s="4"/>
    </row>
    <row r="661" spans="1:19" ht="15.95" customHeight="1" x14ac:dyDescent="0.2">
      <c r="A661" s="4"/>
      <c r="B661" s="9">
        <v>110</v>
      </c>
      <c r="C661" s="21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18" t="e">
        <f>IF(AND(L661=L662,L662=L663),(IF(AND(#REF!=#REF!,#REF!=#REF!),(IF(AND(#REF!=#REF!,#REF!=#REF!),"","ERROR IN U")),"ERROR IN J")),"ERROR IN T")</f>
        <v>#REF!</v>
      </c>
      <c r="O661" s="4"/>
      <c r="P661" s="4"/>
      <c r="Q661" s="4"/>
      <c r="R661" s="4"/>
      <c r="S661" s="4"/>
    </row>
    <row r="662" spans="1:19" ht="15.95" customHeight="1" x14ac:dyDescent="0.2">
      <c r="A662" s="4"/>
      <c r="B662" s="9">
        <v>110</v>
      </c>
      <c r="C662" s="21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18" t="e">
        <f>IF(AND(L661=L662,L662=L663),(IF(AND(#REF!=#REF!,#REF!=#REF!),(IF(AND(#REF!=#REF!,#REF!=#REF!),"","ERROR IN U")),"ERROR IN J")),"ERROR IN T")</f>
        <v>#REF!</v>
      </c>
      <c r="O662" s="4"/>
      <c r="P662" s="4"/>
      <c r="Q662" s="4"/>
      <c r="R662" s="4"/>
      <c r="S662" s="4"/>
    </row>
    <row r="663" spans="1:19" ht="15.95" customHeight="1" x14ac:dyDescent="0.2">
      <c r="A663" s="4"/>
      <c r="B663" s="9">
        <v>110</v>
      </c>
      <c r="C663" s="21"/>
      <c r="D663" s="21"/>
      <c r="E663" s="21"/>
      <c r="F663" s="21"/>
      <c r="G663" s="21"/>
      <c r="H663" s="21"/>
      <c r="I663" s="21"/>
      <c r="J663" s="21"/>
      <c r="K663" s="21"/>
      <c r="L663" s="21"/>
      <c r="M663" s="21"/>
      <c r="N663" s="18" t="e">
        <f>IF(AND(L661=L662,L662=L663),(IF(AND(#REF!=#REF!,#REF!=#REF!),(IF(AND(#REF!=#REF!,#REF!=#REF!),"","ERROR IN U")),"ERROR IN J")),"ERROR IN T")</f>
        <v>#REF!</v>
      </c>
      <c r="O663" s="4"/>
      <c r="P663" s="4"/>
      <c r="Q663" s="4"/>
      <c r="R663" s="4"/>
      <c r="S663" s="4"/>
    </row>
    <row r="664" spans="1:19" ht="15.95" customHeight="1" x14ac:dyDescent="0.2">
      <c r="A664" s="4"/>
      <c r="B664" s="9">
        <v>111</v>
      </c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 t="e">
        <f>IF(AND(L664=L665,L665=L666),(IF(AND(#REF!=#REF!,#REF!=#REF!),(IF(AND(#REF!=#REF!,#REF!=#REF!),"","ERROR IN U")),"ERROR IN J")),"ERROR IN T")</f>
        <v>#REF!</v>
      </c>
      <c r="O664" s="4"/>
      <c r="P664" s="4"/>
      <c r="Q664" s="4"/>
      <c r="R664" s="4"/>
      <c r="S664" s="4"/>
    </row>
    <row r="665" spans="1:19" ht="15.95" customHeight="1" x14ac:dyDescent="0.2">
      <c r="A665" s="4"/>
      <c r="B665" s="9">
        <v>111</v>
      </c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 t="e">
        <f>IF(AND(L664=L665,L665=L666),(IF(AND(#REF!=#REF!,#REF!=#REF!),(IF(AND(#REF!=#REF!,#REF!=#REF!),"","ERROR IN U")),"ERROR IN J")),"ERROR IN T")</f>
        <v>#REF!</v>
      </c>
      <c r="O665" s="4"/>
      <c r="P665" s="4"/>
      <c r="Q665" s="4"/>
      <c r="R665" s="4"/>
      <c r="S665" s="4"/>
    </row>
    <row r="666" spans="1:19" ht="15.95" customHeight="1" x14ac:dyDescent="0.2">
      <c r="A666" s="4"/>
      <c r="B666" s="9">
        <v>111</v>
      </c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 t="e">
        <f>IF(AND(L664=L665,L665=L666),(IF(AND(#REF!=#REF!,#REF!=#REF!),(IF(AND(#REF!=#REF!,#REF!=#REF!),"","ERROR IN U")),"ERROR IN J")),"ERROR IN T")</f>
        <v>#REF!</v>
      </c>
      <c r="O666" s="4"/>
      <c r="P666" s="4"/>
      <c r="Q666" s="4"/>
      <c r="R666" s="4"/>
      <c r="S666" s="4"/>
    </row>
    <row r="667" spans="1:19" ht="15.95" customHeight="1" x14ac:dyDescent="0.2">
      <c r="A667" s="4"/>
      <c r="B667" s="9">
        <v>111</v>
      </c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 t="e">
        <f>IF(AND(L667=L668,L668=L669),(IF(AND(#REF!=#REF!,#REF!=#REF!),(IF(AND(#REF!=#REF!,#REF!=#REF!),"","ERROR IN U")),"ERROR IN J")),"ERROR IN T")</f>
        <v>#REF!</v>
      </c>
      <c r="O667" s="4"/>
      <c r="P667" s="4"/>
      <c r="Q667" s="4"/>
      <c r="R667" s="4"/>
      <c r="S667" s="4"/>
    </row>
    <row r="668" spans="1:19" ht="15.95" customHeight="1" x14ac:dyDescent="0.2">
      <c r="A668" s="4"/>
      <c r="B668" s="9">
        <v>111</v>
      </c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 t="e">
        <f>IF(AND(L667=L668,L668=L669),(IF(AND(#REF!=#REF!,#REF!=#REF!),(IF(AND(#REF!=#REF!,#REF!=#REF!),"","ERROR IN U")),"ERROR IN J")),"ERROR IN T")</f>
        <v>#REF!</v>
      </c>
      <c r="O668" s="4"/>
      <c r="P668" s="4"/>
      <c r="Q668" s="4"/>
      <c r="R668" s="4"/>
      <c r="S668" s="4"/>
    </row>
    <row r="669" spans="1:19" ht="15.95" customHeight="1" x14ac:dyDescent="0.2">
      <c r="A669" s="4"/>
      <c r="B669" s="9">
        <v>111</v>
      </c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 t="e">
        <f>IF(AND(L667=L668,L668=L669),(IF(AND(#REF!=#REF!,#REF!=#REF!),(IF(AND(#REF!=#REF!,#REF!=#REF!),"","ERROR IN U")),"ERROR IN J")),"ERROR IN T")</f>
        <v>#REF!</v>
      </c>
      <c r="O669" s="4"/>
      <c r="P669" s="4"/>
      <c r="Q669" s="4"/>
      <c r="R669" s="4"/>
      <c r="S669" s="4"/>
    </row>
    <row r="670" spans="1:19" ht="15.95" customHeight="1" x14ac:dyDescent="0.2">
      <c r="A670" s="4"/>
      <c r="B670" s="9">
        <v>112</v>
      </c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2" t="e">
        <f>IF(AND(L670=L671,L671=L672),(IF(AND(#REF!=#REF!,#REF!=#REF!),(IF(AND(#REF!=#REF!,#REF!=#REF!),"","ERROR IN U")),"ERROR IN J")),"ERROR IN T")</f>
        <v>#REF!</v>
      </c>
      <c r="O670" s="4"/>
      <c r="P670" s="4"/>
      <c r="Q670" s="4"/>
      <c r="R670" s="4"/>
      <c r="S670" s="4"/>
    </row>
    <row r="671" spans="1:19" ht="15.95" customHeight="1" x14ac:dyDescent="0.2">
      <c r="A671" s="4"/>
      <c r="B671" s="9">
        <v>112</v>
      </c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20"/>
      <c r="N671" s="12" t="e">
        <f>IF(AND(L670=L671,L671=L672),(IF(AND(#REF!=#REF!,#REF!=#REF!),(IF(AND(#REF!=#REF!,#REF!=#REF!),"","ERROR IN U")),"ERROR IN J")),"ERROR IN T")</f>
        <v>#REF!</v>
      </c>
      <c r="O671" s="4"/>
      <c r="P671" s="4"/>
      <c r="Q671" s="4"/>
      <c r="R671" s="4"/>
      <c r="S671" s="4"/>
    </row>
    <row r="672" spans="1:19" ht="15.95" customHeight="1" x14ac:dyDescent="0.2">
      <c r="A672" s="4"/>
      <c r="B672" s="9">
        <v>112</v>
      </c>
      <c r="C672" s="19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12" t="e">
        <f>IF(AND(L670=L671,L671=L672),(IF(AND(#REF!=#REF!,#REF!=#REF!),(IF(AND(#REF!=#REF!,#REF!=#REF!),"","ERROR IN U")),"ERROR IN J")),"ERROR IN T")</f>
        <v>#REF!</v>
      </c>
      <c r="O672" s="4"/>
      <c r="P672" s="4"/>
      <c r="Q672" s="4"/>
      <c r="R672" s="4"/>
      <c r="S672" s="4"/>
    </row>
    <row r="673" spans="1:19" ht="15.95" customHeight="1" x14ac:dyDescent="0.2">
      <c r="A673" s="4"/>
      <c r="B673" s="9">
        <v>112</v>
      </c>
      <c r="C673" s="21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18" t="e">
        <f>IF(AND(L673=L674,L674=L675),(IF(AND(#REF!=#REF!,#REF!=#REF!),(IF(AND(#REF!=#REF!,#REF!=#REF!),"","ERROR IN U")),"ERROR IN J")),"ERROR IN T")</f>
        <v>#REF!</v>
      </c>
      <c r="O673" s="4"/>
      <c r="P673" s="4"/>
      <c r="Q673" s="4"/>
      <c r="R673" s="4"/>
      <c r="S673" s="4"/>
    </row>
    <row r="674" spans="1:19" ht="15.95" customHeight="1" x14ac:dyDescent="0.2">
      <c r="A674" s="4"/>
      <c r="B674" s="9">
        <v>112</v>
      </c>
      <c r="C674" s="21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18" t="e">
        <f>IF(AND(L673=L674,L674=L675),(IF(AND(#REF!=#REF!,#REF!=#REF!),(IF(AND(#REF!=#REF!,#REF!=#REF!),"","ERROR IN U")),"ERROR IN J")),"ERROR IN T")</f>
        <v>#REF!</v>
      </c>
      <c r="O674" s="4"/>
      <c r="P674" s="4"/>
      <c r="Q674" s="4"/>
      <c r="R674" s="4"/>
      <c r="S674" s="4"/>
    </row>
    <row r="675" spans="1:19" ht="15.95" customHeight="1" x14ac:dyDescent="0.2">
      <c r="A675" s="4"/>
      <c r="B675" s="9">
        <v>112</v>
      </c>
      <c r="C675" s="21"/>
      <c r="D675" s="21"/>
      <c r="E675" s="21"/>
      <c r="F675" s="21"/>
      <c r="G675" s="21"/>
      <c r="H675" s="21"/>
      <c r="I675" s="21"/>
      <c r="J675" s="21"/>
      <c r="K675" s="21"/>
      <c r="L675" s="21"/>
      <c r="M675" s="21"/>
      <c r="N675" s="18" t="e">
        <f>IF(AND(L673=L674,L674=L675),(IF(AND(#REF!=#REF!,#REF!=#REF!),(IF(AND(#REF!=#REF!,#REF!=#REF!),"","ERROR IN U")),"ERROR IN J")),"ERROR IN T")</f>
        <v>#REF!</v>
      </c>
      <c r="O675" s="4"/>
      <c r="P675" s="4"/>
      <c r="Q675" s="4"/>
      <c r="R675" s="4"/>
      <c r="S675" s="4"/>
    </row>
    <row r="676" spans="1:19" ht="15.95" customHeight="1" x14ac:dyDescent="0.2">
      <c r="A676" s="4"/>
      <c r="B676" s="9">
        <v>113</v>
      </c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2" t="e">
        <f>IF(AND(L676=L677,L677=L678),(IF(AND(#REF!=#REF!,#REF!=#REF!),(IF(AND(#REF!=#REF!,#REF!=#REF!),"","ERROR IN U")),"ERROR IN J")),"ERROR IN T")</f>
        <v>#REF!</v>
      </c>
      <c r="O676" s="4"/>
      <c r="P676" s="4"/>
      <c r="Q676" s="4"/>
      <c r="R676" s="4"/>
      <c r="S676" s="4"/>
    </row>
    <row r="677" spans="1:19" ht="15.95" customHeight="1" x14ac:dyDescent="0.2">
      <c r="A677" s="4"/>
      <c r="B677" s="9">
        <v>113</v>
      </c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20"/>
      <c r="N677" s="12" t="e">
        <f>IF(AND(L676=L677,L677=L678),(IF(AND(#REF!=#REF!,#REF!=#REF!),(IF(AND(#REF!=#REF!,#REF!=#REF!),"","ERROR IN U")),"ERROR IN J")),"ERROR IN T")</f>
        <v>#REF!</v>
      </c>
      <c r="O677" s="4"/>
      <c r="P677" s="4"/>
      <c r="Q677" s="4"/>
      <c r="R677" s="4"/>
      <c r="S677" s="4"/>
    </row>
    <row r="678" spans="1:19" ht="15.95" customHeight="1" x14ac:dyDescent="0.2">
      <c r="A678" s="4"/>
      <c r="B678" s="9">
        <v>113</v>
      </c>
      <c r="C678" s="19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12" t="e">
        <f>IF(AND(L676=L677,L677=L678),(IF(AND(#REF!=#REF!,#REF!=#REF!),(IF(AND(#REF!=#REF!,#REF!=#REF!),"","ERROR IN U")),"ERROR IN J")),"ERROR IN T")</f>
        <v>#REF!</v>
      </c>
      <c r="O678" s="4"/>
      <c r="P678" s="4"/>
      <c r="Q678" s="4"/>
      <c r="R678" s="4"/>
      <c r="S678" s="4"/>
    </row>
    <row r="679" spans="1:19" ht="15.95" customHeight="1" x14ac:dyDescent="0.2">
      <c r="A679" s="4"/>
      <c r="B679" s="9">
        <v>113</v>
      </c>
      <c r="C679" s="21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18" t="e">
        <f>IF(AND(L679=L680,L680=L681),(IF(AND(#REF!=#REF!,#REF!=#REF!),(IF(AND(#REF!=#REF!,#REF!=#REF!),"","ERROR IN U")),"ERROR IN J")),"ERROR IN T")</f>
        <v>#REF!</v>
      </c>
      <c r="O679" s="4"/>
      <c r="P679" s="4"/>
      <c r="Q679" s="4"/>
      <c r="R679" s="4"/>
      <c r="S679" s="4"/>
    </row>
    <row r="680" spans="1:19" ht="15.95" customHeight="1" x14ac:dyDescent="0.2">
      <c r="A680" s="4"/>
      <c r="B680" s="9">
        <v>113</v>
      </c>
      <c r="C680" s="21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18" t="e">
        <f>IF(AND(L679=L680,L680=L681),(IF(AND(#REF!=#REF!,#REF!=#REF!),(IF(AND(#REF!=#REF!,#REF!=#REF!),"","ERROR IN U")),"ERROR IN J")),"ERROR IN T")</f>
        <v>#REF!</v>
      </c>
      <c r="O680" s="4"/>
      <c r="P680" s="4"/>
      <c r="Q680" s="4"/>
      <c r="R680" s="4"/>
      <c r="S680" s="4"/>
    </row>
    <row r="681" spans="1:19" ht="15.95" customHeight="1" x14ac:dyDescent="0.2">
      <c r="A681" s="4"/>
      <c r="B681" s="9">
        <v>113</v>
      </c>
      <c r="C681" s="21"/>
      <c r="D681" s="21"/>
      <c r="E681" s="21"/>
      <c r="F681" s="21"/>
      <c r="G681" s="21"/>
      <c r="H681" s="21"/>
      <c r="I681" s="21"/>
      <c r="J681" s="21"/>
      <c r="K681" s="21"/>
      <c r="L681" s="21"/>
      <c r="M681" s="21"/>
      <c r="N681" s="18" t="e">
        <f>IF(AND(L679=L680,L680=L681),(IF(AND(#REF!=#REF!,#REF!=#REF!),(IF(AND(#REF!=#REF!,#REF!=#REF!),"","ERROR IN U")),"ERROR IN J")),"ERROR IN T")</f>
        <v>#REF!</v>
      </c>
      <c r="O681" s="4"/>
      <c r="P681" s="4"/>
      <c r="Q681" s="4"/>
      <c r="R681" s="4"/>
      <c r="S681" s="4"/>
    </row>
    <row r="682" spans="1:19" ht="15.95" customHeight="1" x14ac:dyDescent="0.2">
      <c r="A682" s="4"/>
      <c r="B682" s="9">
        <v>114</v>
      </c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2" t="e">
        <f>IF(AND(L682=L683,L683=L684),(IF(AND(#REF!=#REF!,#REF!=#REF!),(IF(AND(#REF!=#REF!,#REF!=#REF!),"","ERROR IN U")),"ERROR IN J")),"ERROR IN T")</f>
        <v>#REF!</v>
      </c>
      <c r="O682" s="4"/>
      <c r="P682" s="4"/>
      <c r="Q682" s="4"/>
      <c r="R682" s="4"/>
      <c r="S682" s="4"/>
    </row>
    <row r="683" spans="1:19" ht="15.95" customHeight="1" x14ac:dyDescent="0.2">
      <c r="A683" s="4"/>
      <c r="B683" s="9">
        <v>114</v>
      </c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20"/>
      <c r="N683" s="12" t="e">
        <f>IF(AND(L682=L683,L683=L684),(IF(AND(#REF!=#REF!,#REF!=#REF!),(IF(AND(#REF!=#REF!,#REF!=#REF!),"","ERROR IN U")),"ERROR IN J")),"ERROR IN T")</f>
        <v>#REF!</v>
      </c>
      <c r="O683" s="4"/>
      <c r="P683" s="4"/>
      <c r="Q683" s="4"/>
      <c r="R683" s="4"/>
      <c r="S683" s="4"/>
    </row>
    <row r="684" spans="1:19" ht="15.95" customHeight="1" x14ac:dyDescent="0.2">
      <c r="A684" s="4"/>
      <c r="B684" s="9">
        <v>114</v>
      </c>
      <c r="C684" s="19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12" t="e">
        <f>IF(AND(L682=L683,L683=L684),(IF(AND(#REF!=#REF!,#REF!=#REF!),(IF(AND(#REF!=#REF!,#REF!=#REF!),"","ERROR IN U")),"ERROR IN J")),"ERROR IN T")</f>
        <v>#REF!</v>
      </c>
      <c r="O684" s="4"/>
      <c r="P684" s="4"/>
      <c r="Q684" s="4"/>
      <c r="R684" s="4"/>
      <c r="S684" s="4"/>
    </row>
    <row r="685" spans="1:19" ht="15.95" customHeight="1" x14ac:dyDescent="0.2">
      <c r="A685" s="4"/>
      <c r="B685" s="9">
        <v>114</v>
      </c>
      <c r="C685" s="21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18" t="e">
        <f>IF(AND(L685=L686,L686=L687),(IF(AND(#REF!=#REF!,#REF!=#REF!),(IF(AND(#REF!=#REF!,#REF!=#REF!),"","ERROR IN U")),"ERROR IN J")),"ERROR IN T")</f>
        <v>#REF!</v>
      </c>
      <c r="O685" s="4"/>
      <c r="P685" s="4"/>
      <c r="Q685" s="4"/>
      <c r="R685" s="4"/>
      <c r="S685" s="4"/>
    </row>
    <row r="686" spans="1:19" ht="15.95" customHeight="1" x14ac:dyDescent="0.2">
      <c r="A686" s="4"/>
      <c r="B686" s="9">
        <v>114</v>
      </c>
      <c r="C686" s="21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18" t="e">
        <f>IF(AND(L685=L686,L686=L687),(IF(AND(#REF!=#REF!,#REF!=#REF!),(IF(AND(#REF!=#REF!,#REF!=#REF!),"","ERROR IN U")),"ERROR IN J")),"ERROR IN T")</f>
        <v>#REF!</v>
      </c>
      <c r="O686" s="4"/>
      <c r="P686" s="4"/>
      <c r="Q686" s="4"/>
      <c r="R686" s="4"/>
      <c r="S686" s="4"/>
    </row>
    <row r="687" spans="1:19" ht="15.95" customHeight="1" x14ac:dyDescent="0.2">
      <c r="A687" s="4"/>
      <c r="B687" s="9">
        <v>114</v>
      </c>
      <c r="C687" s="21"/>
      <c r="D687" s="21"/>
      <c r="E687" s="21"/>
      <c r="F687" s="21"/>
      <c r="G687" s="21"/>
      <c r="H687" s="21"/>
      <c r="I687" s="21"/>
      <c r="J687" s="21"/>
      <c r="K687" s="21"/>
      <c r="L687" s="21"/>
      <c r="M687" s="21"/>
      <c r="N687" s="18" t="e">
        <f>IF(AND(L685=L686,L686=L687),(IF(AND(#REF!=#REF!,#REF!=#REF!),(IF(AND(#REF!=#REF!,#REF!=#REF!),"","ERROR IN U")),"ERROR IN J")),"ERROR IN T")</f>
        <v>#REF!</v>
      </c>
      <c r="O687" s="4"/>
      <c r="P687" s="4"/>
      <c r="Q687" s="4"/>
      <c r="R687" s="4"/>
      <c r="S687" s="4"/>
    </row>
    <row r="688" spans="1:19" ht="15.95" customHeight="1" x14ac:dyDescent="0.2">
      <c r="A688" s="4"/>
      <c r="B688" s="9">
        <v>115</v>
      </c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2" t="e">
        <f>IF(AND(L688=L689,L689=L690),(IF(AND(#REF!=#REF!,#REF!=#REF!),(IF(AND(#REF!=#REF!,#REF!=#REF!),"","ERROR IN U")),"ERROR IN J")),"ERROR IN T")</f>
        <v>#REF!</v>
      </c>
      <c r="O688" s="4"/>
      <c r="P688" s="4"/>
      <c r="Q688" s="4"/>
      <c r="R688" s="4"/>
      <c r="S688" s="4"/>
    </row>
    <row r="689" spans="1:19" ht="15.95" customHeight="1" x14ac:dyDescent="0.2">
      <c r="A689" s="4"/>
      <c r="B689" s="9">
        <v>115</v>
      </c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20"/>
      <c r="N689" s="12" t="e">
        <f>IF(AND(L688=L689,L689=L690),(IF(AND(#REF!=#REF!,#REF!=#REF!),(IF(AND(#REF!=#REF!,#REF!=#REF!),"","ERROR IN U")),"ERROR IN J")),"ERROR IN T")</f>
        <v>#REF!</v>
      </c>
      <c r="O689" s="4"/>
      <c r="P689" s="4"/>
      <c r="Q689" s="4"/>
      <c r="R689" s="4"/>
      <c r="S689" s="4"/>
    </row>
    <row r="690" spans="1:19" ht="15.95" customHeight="1" x14ac:dyDescent="0.2">
      <c r="A690" s="4"/>
      <c r="B690" s="9">
        <v>115</v>
      </c>
      <c r="C690" s="19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12" t="e">
        <f>IF(AND(L688=L689,L689=L690),(IF(AND(#REF!=#REF!,#REF!=#REF!),(IF(AND(#REF!=#REF!,#REF!=#REF!),"","ERROR IN U")),"ERROR IN J")),"ERROR IN T")</f>
        <v>#REF!</v>
      </c>
      <c r="O690" s="4"/>
      <c r="P690" s="4"/>
      <c r="Q690" s="4"/>
      <c r="R690" s="4"/>
      <c r="S690" s="4"/>
    </row>
    <row r="691" spans="1:19" ht="15.95" customHeight="1" x14ac:dyDescent="0.2">
      <c r="A691" s="4"/>
      <c r="B691" s="9">
        <v>115</v>
      </c>
      <c r="C691" s="21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18" t="e">
        <f>IF(AND(L691=L692,L692=L693),(IF(AND(#REF!=#REF!,#REF!=#REF!),(IF(AND(#REF!=#REF!,#REF!=#REF!),"","ERROR IN U")),"ERROR IN J")),"ERROR IN T")</f>
        <v>#REF!</v>
      </c>
      <c r="O691" s="4"/>
      <c r="P691" s="4"/>
      <c r="Q691" s="4"/>
      <c r="R691" s="4"/>
      <c r="S691" s="4"/>
    </row>
    <row r="692" spans="1:19" ht="15.95" customHeight="1" x14ac:dyDescent="0.2">
      <c r="A692" s="4"/>
      <c r="B692" s="9">
        <v>115</v>
      </c>
      <c r="C692" s="21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18" t="e">
        <f>IF(AND(L691=L692,L692=L693),(IF(AND(#REF!=#REF!,#REF!=#REF!),(IF(AND(#REF!=#REF!,#REF!=#REF!),"","ERROR IN U")),"ERROR IN J")),"ERROR IN T")</f>
        <v>#REF!</v>
      </c>
      <c r="O692" s="4"/>
      <c r="P692" s="4"/>
      <c r="Q692" s="4"/>
      <c r="R692" s="4"/>
      <c r="S692" s="4"/>
    </row>
    <row r="693" spans="1:19" ht="15.95" customHeight="1" x14ac:dyDescent="0.2">
      <c r="A693" s="4"/>
      <c r="B693" s="9">
        <v>115</v>
      </c>
      <c r="C693" s="21"/>
      <c r="D693" s="21"/>
      <c r="E693" s="21"/>
      <c r="F693" s="21"/>
      <c r="G693" s="21"/>
      <c r="H693" s="21"/>
      <c r="I693" s="21"/>
      <c r="J693" s="21"/>
      <c r="K693" s="21"/>
      <c r="L693" s="21"/>
      <c r="M693" s="21"/>
      <c r="N693" s="18" t="e">
        <f>IF(AND(L691=L692,L692=L693),(IF(AND(#REF!=#REF!,#REF!=#REF!),(IF(AND(#REF!=#REF!,#REF!=#REF!),"","ERROR IN U")),"ERROR IN J")),"ERROR IN T")</f>
        <v>#REF!</v>
      </c>
      <c r="O693" s="4"/>
      <c r="P693" s="4"/>
      <c r="Q693" s="4"/>
      <c r="R693" s="4"/>
      <c r="S693" s="4"/>
    </row>
    <row r="694" spans="1:19" ht="15.95" customHeight="1" x14ac:dyDescent="0.2">
      <c r="A694" s="4"/>
      <c r="B694" s="9">
        <v>116</v>
      </c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2" t="e">
        <f>IF(AND(L694=L695,L695=L696),(IF(AND(#REF!=#REF!,#REF!=#REF!),(IF(AND(#REF!=#REF!,#REF!=#REF!),"","ERROR IN U")),"ERROR IN J")),"ERROR IN T")</f>
        <v>#REF!</v>
      </c>
      <c r="O694" s="4"/>
      <c r="P694" s="4"/>
      <c r="Q694" s="4"/>
      <c r="R694" s="4"/>
      <c r="S694" s="4"/>
    </row>
    <row r="695" spans="1:19" ht="15.95" customHeight="1" x14ac:dyDescent="0.2">
      <c r="A695" s="4"/>
      <c r="B695" s="9">
        <v>116</v>
      </c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20"/>
      <c r="N695" s="12" t="e">
        <f>IF(AND(L694=L695,L695=L696),(IF(AND(#REF!=#REF!,#REF!=#REF!),(IF(AND(#REF!=#REF!,#REF!=#REF!),"","ERROR IN U")),"ERROR IN J")),"ERROR IN T")</f>
        <v>#REF!</v>
      </c>
      <c r="O695" s="4"/>
      <c r="P695" s="4"/>
      <c r="Q695" s="4"/>
      <c r="R695" s="4"/>
      <c r="S695" s="4"/>
    </row>
    <row r="696" spans="1:19" ht="15.95" customHeight="1" x14ac:dyDescent="0.2">
      <c r="A696" s="4"/>
      <c r="B696" s="9">
        <v>116</v>
      </c>
      <c r="C696" s="19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12" t="e">
        <f>IF(AND(L694=L695,L695=L696),(IF(AND(#REF!=#REF!,#REF!=#REF!),(IF(AND(#REF!=#REF!,#REF!=#REF!),"","ERROR IN U")),"ERROR IN J")),"ERROR IN T")</f>
        <v>#REF!</v>
      </c>
      <c r="O696" s="4"/>
      <c r="P696" s="4"/>
      <c r="Q696" s="4"/>
      <c r="R696" s="4"/>
      <c r="S696" s="4"/>
    </row>
    <row r="697" spans="1:19" ht="15.95" customHeight="1" x14ac:dyDescent="0.2">
      <c r="A697" s="4"/>
      <c r="B697" s="9">
        <v>116</v>
      </c>
      <c r="C697" s="21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18" t="e">
        <f>IF(AND(L697=L698,L698=L699),(IF(AND(#REF!=#REF!,#REF!=#REF!),(IF(AND(#REF!=#REF!,#REF!=#REF!),"","ERROR IN U")),"ERROR IN J")),"ERROR IN T")</f>
        <v>#REF!</v>
      </c>
      <c r="O697" s="4"/>
      <c r="P697" s="4"/>
      <c r="Q697" s="4"/>
      <c r="R697" s="4"/>
      <c r="S697" s="4"/>
    </row>
    <row r="698" spans="1:19" ht="15.95" customHeight="1" x14ac:dyDescent="0.2">
      <c r="A698" s="4"/>
      <c r="B698" s="9">
        <v>116</v>
      </c>
      <c r="C698" s="21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18" t="e">
        <f>IF(AND(L697=L698,L698=L699),(IF(AND(#REF!=#REF!,#REF!=#REF!),(IF(AND(#REF!=#REF!,#REF!=#REF!),"","ERROR IN U")),"ERROR IN J")),"ERROR IN T")</f>
        <v>#REF!</v>
      </c>
      <c r="O698" s="4"/>
      <c r="P698" s="4"/>
      <c r="Q698" s="4"/>
      <c r="R698" s="4"/>
      <c r="S698" s="4"/>
    </row>
    <row r="699" spans="1:19" ht="15.95" customHeight="1" x14ac:dyDescent="0.2">
      <c r="A699" s="4"/>
      <c r="B699" s="9">
        <v>116</v>
      </c>
      <c r="C699" s="21"/>
      <c r="D699" s="21"/>
      <c r="E699" s="21"/>
      <c r="F699" s="21"/>
      <c r="G699" s="21"/>
      <c r="H699" s="21"/>
      <c r="I699" s="21"/>
      <c r="J699" s="21"/>
      <c r="K699" s="21"/>
      <c r="L699" s="21"/>
      <c r="M699" s="21"/>
      <c r="N699" s="18" t="e">
        <f>IF(AND(L697=L698,L698=L699),(IF(AND(#REF!=#REF!,#REF!=#REF!),(IF(AND(#REF!=#REF!,#REF!=#REF!),"","ERROR IN U")),"ERROR IN J")),"ERROR IN T")</f>
        <v>#REF!</v>
      </c>
      <c r="O699" s="4"/>
      <c r="P699" s="4"/>
      <c r="Q699" s="4"/>
      <c r="R699" s="4"/>
      <c r="S699" s="4"/>
    </row>
    <row r="700" spans="1:19" ht="15.95" customHeight="1" x14ac:dyDescent="0.2">
      <c r="A700" s="4"/>
      <c r="B700" s="9">
        <v>117</v>
      </c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 t="e">
        <f>IF(AND(L700=L701,L701=L702),(IF(AND(#REF!=#REF!,#REF!=#REF!),(IF(AND(#REF!=#REF!,#REF!=#REF!),"","ERROR IN U")),"ERROR IN J")),"ERROR IN T")</f>
        <v>#REF!</v>
      </c>
      <c r="O700" s="4"/>
      <c r="P700" s="4"/>
      <c r="Q700" s="4"/>
      <c r="R700" s="4"/>
      <c r="S700" s="4"/>
    </row>
    <row r="701" spans="1:19" ht="15.95" customHeight="1" x14ac:dyDescent="0.2">
      <c r="A701" s="4"/>
      <c r="B701" s="9">
        <v>117</v>
      </c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 t="e">
        <f>IF(AND(L700=L701,L701=L702),(IF(AND(#REF!=#REF!,#REF!=#REF!),(IF(AND(#REF!=#REF!,#REF!=#REF!),"","ERROR IN U")),"ERROR IN J")),"ERROR IN T")</f>
        <v>#REF!</v>
      </c>
      <c r="O701" s="4"/>
      <c r="P701" s="4"/>
      <c r="Q701" s="4"/>
      <c r="R701" s="4"/>
      <c r="S701" s="4"/>
    </row>
    <row r="702" spans="1:19" ht="15.95" customHeight="1" x14ac:dyDescent="0.2">
      <c r="A702" s="4"/>
      <c r="B702" s="9">
        <v>117</v>
      </c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 t="e">
        <f>IF(AND(L700=L701,L701=L702),(IF(AND(#REF!=#REF!,#REF!=#REF!),(IF(AND(#REF!=#REF!,#REF!=#REF!),"","ERROR IN U")),"ERROR IN J")),"ERROR IN T")</f>
        <v>#REF!</v>
      </c>
      <c r="O702" s="4"/>
      <c r="P702" s="4"/>
      <c r="Q702" s="4"/>
      <c r="R702" s="4"/>
      <c r="S702" s="4"/>
    </row>
    <row r="703" spans="1:19" ht="15.95" customHeight="1" x14ac:dyDescent="0.2">
      <c r="A703" s="4"/>
      <c r="B703" s="9">
        <v>117</v>
      </c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 t="e">
        <f>IF(AND(L703=L704,L704=L705),(IF(AND(#REF!=#REF!,#REF!=#REF!),(IF(AND(#REF!=#REF!,#REF!=#REF!),"","ERROR IN U")),"ERROR IN J")),"ERROR IN T")</f>
        <v>#REF!</v>
      </c>
      <c r="O703" s="4"/>
      <c r="P703" s="4"/>
      <c r="Q703" s="4"/>
      <c r="R703" s="4"/>
      <c r="S703" s="4"/>
    </row>
    <row r="704" spans="1:19" ht="15.95" customHeight="1" x14ac:dyDescent="0.2">
      <c r="A704" s="4"/>
      <c r="B704" s="9">
        <v>117</v>
      </c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 t="e">
        <f>IF(AND(L703=L704,L704=L705),(IF(AND(#REF!=#REF!,#REF!=#REF!),(IF(AND(#REF!=#REF!,#REF!=#REF!),"","ERROR IN U")),"ERROR IN J")),"ERROR IN T")</f>
        <v>#REF!</v>
      </c>
      <c r="O704" s="4"/>
      <c r="P704" s="4"/>
      <c r="Q704" s="4"/>
      <c r="R704" s="4"/>
      <c r="S704" s="4"/>
    </row>
    <row r="705" spans="1:19" ht="15.95" customHeight="1" x14ac:dyDescent="0.2">
      <c r="A705" s="4"/>
      <c r="B705" s="9">
        <v>117</v>
      </c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 t="e">
        <f>IF(AND(L703=L704,L704=L705),(IF(AND(#REF!=#REF!,#REF!=#REF!),(IF(AND(#REF!=#REF!,#REF!=#REF!),"","ERROR IN U")),"ERROR IN J")),"ERROR IN T")</f>
        <v>#REF!</v>
      </c>
      <c r="O705" s="4"/>
      <c r="P705" s="4"/>
      <c r="Q705" s="4"/>
      <c r="R705" s="4"/>
      <c r="S705" s="4"/>
    </row>
    <row r="706" spans="1:19" ht="15.95" customHeight="1" x14ac:dyDescent="0.2">
      <c r="A706" s="4"/>
      <c r="B706" s="9">
        <v>118</v>
      </c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2" t="e">
        <f>IF(AND(L706=L707,L707=L708),(IF(AND(#REF!=#REF!,#REF!=#REF!),(IF(AND(#REF!=#REF!,#REF!=#REF!),"","ERROR IN U")),"ERROR IN J")),"ERROR IN T")</f>
        <v>#REF!</v>
      </c>
      <c r="O706" s="4"/>
      <c r="P706" s="4"/>
      <c r="Q706" s="4"/>
      <c r="R706" s="4"/>
      <c r="S706" s="4"/>
    </row>
    <row r="707" spans="1:19" ht="15.95" customHeight="1" x14ac:dyDescent="0.2">
      <c r="A707" s="4"/>
      <c r="B707" s="9">
        <v>118</v>
      </c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20"/>
      <c r="N707" s="12" t="e">
        <f>IF(AND(L706=L707,L707=L708),(IF(AND(#REF!=#REF!,#REF!=#REF!),(IF(AND(#REF!=#REF!,#REF!=#REF!),"","ERROR IN U")),"ERROR IN J")),"ERROR IN T")</f>
        <v>#REF!</v>
      </c>
      <c r="O707" s="4"/>
      <c r="P707" s="4"/>
      <c r="Q707" s="4"/>
      <c r="R707" s="4"/>
      <c r="S707" s="4"/>
    </row>
    <row r="708" spans="1:19" ht="15.95" customHeight="1" x14ac:dyDescent="0.2">
      <c r="A708" s="4"/>
      <c r="B708" s="9">
        <v>118</v>
      </c>
      <c r="C708" s="19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12" t="e">
        <f>IF(AND(L706=L707,L707=L708),(IF(AND(#REF!=#REF!,#REF!=#REF!),(IF(AND(#REF!=#REF!,#REF!=#REF!),"","ERROR IN U")),"ERROR IN J")),"ERROR IN T")</f>
        <v>#REF!</v>
      </c>
      <c r="O708" s="4"/>
      <c r="P708" s="4"/>
      <c r="Q708" s="4"/>
      <c r="R708" s="4"/>
      <c r="S708" s="4"/>
    </row>
    <row r="709" spans="1:19" ht="15.95" customHeight="1" x14ac:dyDescent="0.2">
      <c r="A709" s="4"/>
      <c r="B709" s="9">
        <v>118</v>
      </c>
      <c r="C709" s="21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18" t="e">
        <f>IF(AND(L709=L710,L710=L711),(IF(AND(#REF!=#REF!,#REF!=#REF!),(IF(AND(#REF!=#REF!,#REF!=#REF!),"","ERROR IN U")),"ERROR IN J")),"ERROR IN T")</f>
        <v>#REF!</v>
      </c>
      <c r="O709" s="4"/>
      <c r="P709" s="4"/>
      <c r="Q709" s="4"/>
      <c r="R709" s="4"/>
      <c r="S709" s="4"/>
    </row>
    <row r="710" spans="1:19" ht="15.95" customHeight="1" x14ac:dyDescent="0.2">
      <c r="A710" s="4"/>
      <c r="B710" s="9">
        <v>118</v>
      </c>
      <c r="C710" s="21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18" t="e">
        <f>IF(AND(L709=L710,L710=L711),(IF(AND(#REF!=#REF!,#REF!=#REF!),(IF(AND(#REF!=#REF!,#REF!=#REF!),"","ERROR IN U")),"ERROR IN J")),"ERROR IN T")</f>
        <v>#REF!</v>
      </c>
      <c r="O710" s="4"/>
      <c r="P710" s="4"/>
      <c r="Q710" s="4"/>
      <c r="R710" s="4"/>
      <c r="S710" s="4"/>
    </row>
    <row r="711" spans="1:19" ht="15.95" customHeight="1" x14ac:dyDescent="0.2">
      <c r="A711" s="4"/>
      <c r="B711" s="9">
        <v>118</v>
      </c>
      <c r="C711" s="21"/>
      <c r="D711" s="21"/>
      <c r="E711" s="21"/>
      <c r="F711" s="21"/>
      <c r="G711" s="21"/>
      <c r="H711" s="21"/>
      <c r="I711" s="21"/>
      <c r="J711" s="21"/>
      <c r="K711" s="21"/>
      <c r="L711" s="21"/>
      <c r="M711" s="21"/>
      <c r="N711" s="18" t="e">
        <f>IF(AND(L709=L710,L710=L711),(IF(AND(#REF!=#REF!,#REF!=#REF!),(IF(AND(#REF!=#REF!,#REF!=#REF!),"","ERROR IN U")),"ERROR IN J")),"ERROR IN T")</f>
        <v>#REF!</v>
      </c>
      <c r="O711" s="4"/>
      <c r="P711" s="4"/>
      <c r="Q711" s="4"/>
      <c r="R711" s="4"/>
      <c r="S711" s="4"/>
    </row>
    <row r="712" spans="1:19" ht="15.95" customHeight="1" x14ac:dyDescent="0.2">
      <c r="A712" s="4"/>
      <c r="B712" s="9">
        <v>119</v>
      </c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2" t="e">
        <f>IF(AND(L712=L713,L713=L714),(IF(AND(#REF!=#REF!,#REF!=#REF!),(IF(AND(#REF!=#REF!,#REF!=#REF!),"","ERROR IN U")),"ERROR IN J")),"ERROR IN T")</f>
        <v>#REF!</v>
      </c>
      <c r="O712" s="4"/>
      <c r="P712" s="4"/>
      <c r="Q712" s="4"/>
      <c r="R712" s="4"/>
      <c r="S712" s="4"/>
    </row>
    <row r="713" spans="1:19" ht="15.95" customHeight="1" x14ac:dyDescent="0.2">
      <c r="A713" s="4"/>
      <c r="B713" s="9">
        <v>119</v>
      </c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20"/>
      <c r="N713" s="12" t="e">
        <f>IF(AND(L712=L713,L713=L714),(IF(AND(#REF!=#REF!,#REF!=#REF!),(IF(AND(#REF!=#REF!,#REF!=#REF!),"","ERROR IN U")),"ERROR IN J")),"ERROR IN T")</f>
        <v>#REF!</v>
      </c>
      <c r="O713" s="4"/>
      <c r="P713" s="4"/>
      <c r="Q713" s="4"/>
      <c r="R713" s="4"/>
      <c r="S713" s="4"/>
    </row>
    <row r="714" spans="1:19" ht="15.95" customHeight="1" x14ac:dyDescent="0.2">
      <c r="A714" s="4"/>
      <c r="B714" s="9">
        <v>119</v>
      </c>
      <c r="C714" s="19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12" t="e">
        <f>IF(AND(L712=L713,L713=L714),(IF(AND(#REF!=#REF!,#REF!=#REF!),(IF(AND(#REF!=#REF!,#REF!=#REF!),"","ERROR IN U")),"ERROR IN J")),"ERROR IN T")</f>
        <v>#REF!</v>
      </c>
      <c r="O714" s="4"/>
      <c r="P714" s="4"/>
      <c r="Q714" s="4"/>
      <c r="R714" s="4"/>
      <c r="S714" s="4"/>
    </row>
    <row r="715" spans="1:19" ht="15.95" customHeight="1" x14ac:dyDescent="0.2">
      <c r="A715" s="4"/>
      <c r="B715" s="9">
        <v>119</v>
      </c>
      <c r="C715" s="21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18" t="e">
        <f>IF(AND(L715=L716,L716=L717),(IF(AND(#REF!=#REF!,#REF!=#REF!),(IF(AND(#REF!=#REF!,#REF!=#REF!),"","ERROR IN U")),"ERROR IN J")),"ERROR IN T")</f>
        <v>#REF!</v>
      </c>
      <c r="O715" s="4"/>
      <c r="P715" s="4"/>
      <c r="Q715" s="4"/>
      <c r="R715" s="4"/>
      <c r="S715" s="4"/>
    </row>
    <row r="716" spans="1:19" ht="15.95" customHeight="1" x14ac:dyDescent="0.2">
      <c r="A716" s="4"/>
      <c r="B716" s="9">
        <v>119</v>
      </c>
      <c r="C716" s="21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18" t="e">
        <f>IF(AND(L715=L716,L716=L717),(IF(AND(#REF!=#REF!,#REF!=#REF!),(IF(AND(#REF!=#REF!,#REF!=#REF!),"","ERROR IN U")),"ERROR IN J")),"ERROR IN T")</f>
        <v>#REF!</v>
      </c>
      <c r="O716" s="4"/>
      <c r="P716" s="4"/>
      <c r="Q716" s="4"/>
      <c r="R716" s="4"/>
      <c r="S716" s="4"/>
    </row>
    <row r="717" spans="1:19" ht="15.95" customHeight="1" x14ac:dyDescent="0.2">
      <c r="A717" s="4"/>
      <c r="B717" s="9">
        <v>119</v>
      </c>
      <c r="C717" s="21"/>
      <c r="D717" s="21"/>
      <c r="E717" s="21"/>
      <c r="F717" s="21"/>
      <c r="G717" s="21"/>
      <c r="H717" s="21"/>
      <c r="I717" s="21"/>
      <c r="J717" s="21"/>
      <c r="K717" s="21"/>
      <c r="L717" s="21"/>
      <c r="M717" s="21"/>
      <c r="N717" s="18" t="e">
        <f>IF(AND(L715=L716,L716=L717),(IF(AND(#REF!=#REF!,#REF!=#REF!),(IF(AND(#REF!=#REF!,#REF!=#REF!),"","ERROR IN U")),"ERROR IN J")),"ERROR IN T")</f>
        <v>#REF!</v>
      </c>
      <c r="O717" s="4"/>
      <c r="P717" s="4"/>
      <c r="Q717" s="4"/>
      <c r="R717" s="4"/>
      <c r="S717" s="4"/>
    </row>
    <row r="718" spans="1:19" ht="15.95" customHeight="1" x14ac:dyDescent="0.2">
      <c r="A718" s="4"/>
      <c r="B718" s="9">
        <v>120</v>
      </c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2" t="e">
        <f>IF(AND(L718=L719,L719=L720),(IF(AND(#REF!=#REF!,#REF!=#REF!),(IF(AND(#REF!=#REF!,#REF!=#REF!),"","ERROR IN U")),"ERROR IN J")),"ERROR IN T")</f>
        <v>#REF!</v>
      </c>
      <c r="O718" s="4"/>
      <c r="P718" s="4"/>
      <c r="Q718" s="4"/>
      <c r="R718" s="4"/>
      <c r="S718" s="4"/>
    </row>
    <row r="719" spans="1:19" ht="15.95" customHeight="1" x14ac:dyDescent="0.2">
      <c r="A719" s="4"/>
      <c r="B719" s="9">
        <v>120</v>
      </c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20"/>
      <c r="N719" s="12" t="e">
        <f>IF(AND(L718=L719,L719=L720),(IF(AND(#REF!=#REF!,#REF!=#REF!),(IF(AND(#REF!=#REF!,#REF!=#REF!),"","ERROR IN U")),"ERROR IN J")),"ERROR IN T")</f>
        <v>#REF!</v>
      </c>
      <c r="O719" s="4"/>
      <c r="P719" s="4"/>
      <c r="Q719" s="4"/>
      <c r="R719" s="4"/>
      <c r="S719" s="4"/>
    </row>
    <row r="720" spans="1:19" ht="15.95" customHeight="1" x14ac:dyDescent="0.2">
      <c r="A720" s="4"/>
      <c r="B720" s="9">
        <v>120</v>
      </c>
      <c r="C720" s="19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12" t="e">
        <f>IF(AND(L718=L719,L719=L720),(IF(AND(#REF!=#REF!,#REF!=#REF!),(IF(AND(#REF!=#REF!,#REF!=#REF!),"","ERROR IN U")),"ERROR IN J")),"ERROR IN T")</f>
        <v>#REF!</v>
      </c>
      <c r="O720" s="4"/>
      <c r="P720" s="4"/>
      <c r="Q720" s="4"/>
      <c r="R720" s="4"/>
      <c r="S720" s="4"/>
    </row>
    <row r="721" spans="1:19" ht="15.95" customHeight="1" x14ac:dyDescent="0.2">
      <c r="A721" s="4"/>
      <c r="B721" s="9">
        <v>120</v>
      </c>
      <c r="C721" s="21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18" t="e">
        <f>IF(AND(L721=L722,L722=L723),(IF(AND(#REF!=#REF!,#REF!=#REF!),(IF(AND(#REF!=#REF!,#REF!=#REF!),"","ERROR IN U")),"ERROR IN J")),"ERROR IN T")</f>
        <v>#REF!</v>
      </c>
      <c r="O721" s="4"/>
      <c r="P721" s="4"/>
      <c r="Q721" s="4"/>
      <c r="R721" s="4"/>
      <c r="S721" s="4"/>
    </row>
    <row r="722" spans="1:19" ht="15.95" customHeight="1" x14ac:dyDescent="0.2">
      <c r="A722" s="4"/>
      <c r="B722" s="9">
        <v>120</v>
      </c>
      <c r="C722" s="21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18" t="e">
        <f>IF(AND(L721=L722,L722=L723),(IF(AND(#REF!=#REF!,#REF!=#REF!),(IF(AND(#REF!=#REF!,#REF!=#REF!),"","ERROR IN U")),"ERROR IN J")),"ERROR IN T")</f>
        <v>#REF!</v>
      </c>
      <c r="O722" s="4"/>
      <c r="P722" s="4"/>
      <c r="Q722" s="4"/>
      <c r="R722" s="4"/>
      <c r="S722" s="4"/>
    </row>
    <row r="723" spans="1:19" ht="15.95" customHeight="1" x14ac:dyDescent="0.2">
      <c r="A723" s="4"/>
      <c r="B723" s="9">
        <v>120</v>
      </c>
      <c r="C723" s="21"/>
      <c r="D723" s="21"/>
      <c r="E723" s="21"/>
      <c r="F723" s="21"/>
      <c r="G723" s="21"/>
      <c r="H723" s="21"/>
      <c r="I723" s="21"/>
      <c r="J723" s="21"/>
      <c r="K723" s="21"/>
      <c r="L723" s="21"/>
      <c r="M723" s="21"/>
      <c r="N723" s="18" t="e">
        <f>IF(AND(L721=L722,L722=L723),(IF(AND(#REF!=#REF!,#REF!=#REF!),(IF(AND(#REF!=#REF!,#REF!=#REF!),"","ERROR IN U")),"ERROR IN J")),"ERROR IN T")</f>
        <v>#REF!</v>
      </c>
      <c r="O723" s="4"/>
      <c r="P723" s="4"/>
      <c r="Q723" s="4"/>
      <c r="R723" s="4"/>
      <c r="S723" s="4"/>
    </row>
    <row r="724" spans="1:19" ht="15.95" customHeight="1" x14ac:dyDescent="0.2">
      <c r="A724" s="4"/>
      <c r="B724" s="9">
        <v>121</v>
      </c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2" t="e">
        <f>IF(AND(L724=L725,L725=L726),(IF(AND(#REF!=#REF!,#REF!=#REF!),(IF(AND(#REF!=#REF!,#REF!=#REF!),"","ERROR IN U")),"ERROR IN J")),"ERROR IN T")</f>
        <v>#REF!</v>
      </c>
      <c r="O724" s="4"/>
      <c r="P724" s="4"/>
      <c r="Q724" s="4"/>
      <c r="R724" s="4"/>
      <c r="S724" s="4"/>
    </row>
    <row r="725" spans="1:19" ht="15.95" customHeight="1" x14ac:dyDescent="0.2">
      <c r="A725" s="4"/>
      <c r="B725" s="9">
        <v>121</v>
      </c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20"/>
      <c r="N725" s="12" t="e">
        <f>IF(AND(L724=L725,L725=L726),(IF(AND(#REF!=#REF!,#REF!=#REF!),(IF(AND(#REF!=#REF!,#REF!=#REF!),"","ERROR IN U")),"ERROR IN J")),"ERROR IN T")</f>
        <v>#REF!</v>
      </c>
      <c r="O725" s="4"/>
      <c r="P725" s="4"/>
      <c r="Q725" s="4"/>
      <c r="R725" s="4"/>
      <c r="S725" s="4"/>
    </row>
    <row r="726" spans="1:19" ht="15.95" customHeight="1" x14ac:dyDescent="0.2">
      <c r="A726" s="4"/>
      <c r="B726" s="9">
        <v>121</v>
      </c>
      <c r="C726" s="19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12" t="e">
        <f>IF(AND(L724=L725,L725=L726),(IF(AND(#REF!=#REF!,#REF!=#REF!),(IF(AND(#REF!=#REF!,#REF!=#REF!),"","ERROR IN U")),"ERROR IN J")),"ERROR IN T")</f>
        <v>#REF!</v>
      </c>
      <c r="O726" s="4"/>
      <c r="P726" s="4"/>
      <c r="Q726" s="4"/>
      <c r="R726" s="4"/>
      <c r="S726" s="4"/>
    </row>
    <row r="727" spans="1:19" ht="15.95" customHeight="1" x14ac:dyDescent="0.2">
      <c r="A727" s="4"/>
      <c r="B727" s="9">
        <v>121</v>
      </c>
      <c r="C727" s="21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18" t="e">
        <f>IF(AND(L727=L728,L728=L729),(IF(AND(#REF!=#REF!,#REF!=#REF!),(IF(AND(#REF!=#REF!,#REF!=#REF!),"","ERROR IN U")),"ERROR IN J")),"ERROR IN T")</f>
        <v>#REF!</v>
      </c>
      <c r="O727" s="4"/>
      <c r="P727" s="4"/>
      <c r="Q727" s="4"/>
      <c r="R727" s="4"/>
      <c r="S727" s="4"/>
    </row>
    <row r="728" spans="1:19" ht="15.95" customHeight="1" x14ac:dyDescent="0.2">
      <c r="A728" s="4"/>
      <c r="B728" s="9">
        <v>121</v>
      </c>
      <c r="C728" s="21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18" t="e">
        <f>IF(AND(L727=L728,L728=L729),(IF(AND(#REF!=#REF!,#REF!=#REF!),(IF(AND(#REF!=#REF!,#REF!=#REF!),"","ERROR IN U")),"ERROR IN J")),"ERROR IN T")</f>
        <v>#REF!</v>
      </c>
      <c r="O728" s="4"/>
      <c r="P728" s="4"/>
      <c r="Q728" s="4"/>
      <c r="R728" s="4"/>
      <c r="S728" s="4"/>
    </row>
    <row r="729" spans="1:19" ht="15.95" customHeight="1" x14ac:dyDescent="0.2">
      <c r="A729" s="4"/>
      <c r="B729" s="9">
        <v>121</v>
      </c>
      <c r="C729" s="21"/>
      <c r="D729" s="21"/>
      <c r="E729" s="21"/>
      <c r="F729" s="21"/>
      <c r="G729" s="21"/>
      <c r="H729" s="21"/>
      <c r="I729" s="21"/>
      <c r="J729" s="21"/>
      <c r="K729" s="21"/>
      <c r="L729" s="21"/>
      <c r="M729" s="21"/>
      <c r="N729" s="18" t="e">
        <f>IF(AND(L727=L728,L728=L729),(IF(AND(#REF!=#REF!,#REF!=#REF!),(IF(AND(#REF!=#REF!,#REF!=#REF!),"","ERROR IN U")),"ERROR IN J")),"ERROR IN T")</f>
        <v>#REF!</v>
      </c>
      <c r="O729" s="4"/>
      <c r="P729" s="4"/>
      <c r="Q729" s="4"/>
      <c r="R729" s="4"/>
      <c r="S729" s="4"/>
    </row>
    <row r="730" spans="1:19" ht="15.95" customHeight="1" x14ac:dyDescent="0.2">
      <c r="A730" s="4"/>
      <c r="B730" s="9">
        <v>122</v>
      </c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2" t="e">
        <f>IF(AND(L730=L731,L731=L732),(IF(AND(#REF!=#REF!,#REF!=#REF!),(IF(AND(#REF!=#REF!,#REF!=#REF!),"","ERROR IN U")),"ERROR IN J")),"ERROR IN T")</f>
        <v>#REF!</v>
      </c>
      <c r="O730" s="4"/>
      <c r="P730" s="4"/>
      <c r="Q730" s="4"/>
      <c r="R730" s="4"/>
      <c r="S730" s="4"/>
    </row>
    <row r="731" spans="1:19" ht="15.95" customHeight="1" x14ac:dyDescent="0.2">
      <c r="A731" s="4"/>
      <c r="B731" s="9">
        <v>122</v>
      </c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20"/>
      <c r="N731" s="12" t="e">
        <f>IF(AND(L730=L731,L731=L732),(IF(AND(#REF!=#REF!,#REF!=#REF!),(IF(AND(#REF!=#REF!,#REF!=#REF!),"","ERROR IN U")),"ERROR IN J")),"ERROR IN T")</f>
        <v>#REF!</v>
      </c>
      <c r="O731" s="4"/>
      <c r="P731" s="4"/>
      <c r="Q731" s="4"/>
      <c r="R731" s="4"/>
      <c r="S731" s="4"/>
    </row>
    <row r="732" spans="1:19" ht="15.95" customHeight="1" x14ac:dyDescent="0.2">
      <c r="A732" s="4"/>
      <c r="B732" s="9">
        <v>122</v>
      </c>
      <c r="C732" s="19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12" t="e">
        <f>IF(AND(L730=L731,L731=L732),(IF(AND(#REF!=#REF!,#REF!=#REF!),(IF(AND(#REF!=#REF!,#REF!=#REF!),"","ERROR IN U")),"ERROR IN J")),"ERROR IN T")</f>
        <v>#REF!</v>
      </c>
      <c r="O732" s="4"/>
      <c r="P732" s="4"/>
      <c r="Q732" s="4"/>
      <c r="R732" s="4"/>
      <c r="S732" s="4"/>
    </row>
    <row r="733" spans="1:19" ht="15.95" customHeight="1" x14ac:dyDescent="0.2">
      <c r="A733" s="4"/>
      <c r="B733" s="9">
        <v>122</v>
      </c>
      <c r="C733" s="21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18" t="e">
        <f>IF(AND(L733=L734,L734=L735),(IF(AND(#REF!=#REF!,#REF!=#REF!),(IF(AND(#REF!=#REF!,#REF!=#REF!),"","ERROR IN U")),"ERROR IN J")),"ERROR IN T")</f>
        <v>#REF!</v>
      </c>
      <c r="O733" s="4"/>
      <c r="P733" s="4"/>
      <c r="Q733" s="4"/>
      <c r="R733" s="4"/>
      <c r="S733" s="4"/>
    </row>
    <row r="734" spans="1:19" ht="15.95" customHeight="1" x14ac:dyDescent="0.2">
      <c r="A734" s="4"/>
      <c r="B734" s="9">
        <v>122</v>
      </c>
      <c r="C734" s="21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18" t="e">
        <f>IF(AND(L733=L734,L734=L735),(IF(AND(#REF!=#REF!,#REF!=#REF!),(IF(AND(#REF!=#REF!,#REF!=#REF!),"","ERROR IN U")),"ERROR IN J")),"ERROR IN T")</f>
        <v>#REF!</v>
      </c>
      <c r="O734" s="4"/>
      <c r="P734" s="4"/>
      <c r="Q734" s="4"/>
      <c r="R734" s="4"/>
      <c r="S734" s="4"/>
    </row>
    <row r="735" spans="1:19" ht="15.95" customHeight="1" x14ac:dyDescent="0.2">
      <c r="A735" s="4"/>
      <c r="B735" s="9">
        <v>122</v>
      </c>
      <c r="C735" s="21"/>
      <c r="D735" s="21"/>
      <c r="E735" s="21"/>
      <c r="F735" s="21"/>
      <c r="G735" s="21"/>
      <c r="H735" s="21"/>
      <c r="I735" s="21"/>
      <c r="J735" s="21"/>
      <c r="K735" s="21"/>
      <c r="L735" s="21"/>
      <c r="M735" s="21"/>
      <c r="N735" s="18" t="e">
        <f>IF(AND(L733=L734,L734=L735),(IF(AND(#REF!=#REF!,#REF!=#REF!),(IF(AND(#REF!=#REF!,#REF!=#REF!),"","ERROR IN U")),"ERROR IN J")),"ERROR IN T")</f>
        <v>#REF!</v>
      </c>
      <c r="O735" s="4"/>
      <c r="P735" s="4"/>
      <c r="Q735" s="4"/>
      <c r="R735" s="4"/>
      <c r="S735" s="4"/>
    </row>
    <row r="736" spans="1:19" ht="15.95" customHeight="1" x14ac:dyDescent="0.2">
      <c r="A736" s="4"/>
      <c r="B736" s="9">
        <v>123</v>
      </c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 t="e">
        <f>IF(AND(L736=L737,L737=L738),(IF(AND(#REF!=#REF!,#REF!=#REF!),(IF(AND(#REF!=#REF!,#REF!=#REF!),"","ERROR IN U")),"ERROR IN J")),"ERROR IN T")</f>
        <v>#REF!</v>
      </c>
      <c r="O736" s="4"/>
      <c r="P736" s="4"/>
      <c r="Q736" s="4"/>
      <c r="R736" s="4"/>
      <c r="S736" s="4"/>
    </row>
    <row r="737" spans="1:19" ht="15.95" customHeight="1" x14ac:dyDescent="0.2">
      <c r="A737" s="4"/>
      <c r="B737" s="9">
        <v>123</v>
      </c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 t="e">
        <f>IF(AND(L736=L737,L737=L738),(IF(AND(#REF!=#REF!,#REF!=#REF!),(IF(AND(#REF!=#REF!,#REF!=#REF!),"","ERROR IN U")),"ERROR IN J")),"ERROR IN T")</f>
        <v>#REF!</v>
      </c>
      <c r="O737" s="4"/>
      <c r="P737" s="4"/>
      <c r="Q737" s="4"/>
      <c r="R737" s="4"/>
      <c r="S737" s="4"/>
    </row>
    <row r="738" spans="1:19" ht="15.95" customHeight="1" x14ac:dyDescent="0.2">
      <c r="A738" s="4"/>
      <c r="B738" s="9">
        <v>123</v>
      </c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 t="e">
        <f>IF(AND(L736=L737,L737=L738),(IF(AND(#REF!=#REF!,#REF!=#REF!),(IF(AND(#REF!=#REF!,#REF!=#REF!),"","ERROR IN U")),"ERROR IN J")),"ERROR IN T")</f>
        <v>#REF!</v>
      </c>
      <c r="O738" s="4"/>
      <c r="P738" s="4"/>
      <c r="Q738" s="4"/>
      <c r="R738" s="4"/>
      <c r="S738" s="4"/>
    </row>
    <row r="739" spans="1:19" ht="15.95" customHeight="1" x14ac:dyDescent="0.2">
      <c r="A739" s="4"/>
      <c r="B739" s="9">
        <v>123</v>
      </c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 t="e">
        <f>IF(AND(L739=L740,L740=L741),(IF(AND(#REF!=#REF!,#REF!=#REF!),(IF(AND(#REF!=#REF!,#REF!=#REF!),"","ERROR IN U")),"ERROR IN J")),"ERROR IN T")</f>
        <v>#REF!</v>
      </c>
      <c r="O739" s="4"/>
      <c r="P739" s="4"/>
      <c r="Q739" s="4"/>
      <c r="R739" s="4"/>
      <c r="S739" s="4"/>
    </row>
    <row r="740" spans="1:19" ht="15.95" customHeight="1" x14ac:dyDescent="0.2">
      <c r="A740" s="4"/>
      <c r="B740" s="9">
        <v>123</v>
      </c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 t="e">
        <f>IF(AND(L739=L740,L740=L741),(IF(AND(#REF!=#REF!,#REF!=#REF!),(IF(AND(#REF!=#REF!,#REF!=#REF!),"","ERROR IN U")),"ERROR IN J")),"ERROR IN T")</f>
        <v>#REF!</v>
      </c>
      <c r="O740" s="4"/>
      <c r="P740" s="4"/>
      <c r="Q740" s="4"/>
      <c r="R740" s="4"/>
      <c r="S740" s="4"/>
    </row>
    <row r="741" spans="1:19" ht="15.95" customHeight="1" x14ac:dyDescent="0.2">
      <c r="A741" s="4"/>
      <c r="B741" s="9">
        <v>123</v>
      </c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 t="e">
        <f>IF(AND(L739=L740,L740=L741),(IF(AND(#REF!=#REF!,#REF!=#REF!),(IF(AND(#REF!=#REF!,#REF!=#REF!),"","ERROR IN U")),"ERROR IN J")),"ERROR IN T")</f>
        <v>#REF!</v>
      </c>
      <c r="O741" s="4"/>
      <c r="P741" s="4"/>
      <c r="Q741" s="4"/>
      <c r="R741" s="4"/>
      <c r="S741" s="4"/>
    </row>
    <row r="742" spans="1:19" ht="15.95" customHeight="1" x14ac:dyDescent="0.2">
      <c r="A742" s="4"/>
      <c r="B742" s="9">
        <v>124</v>
      </c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2" t="e">
        <f>IF(AND(L742=L743,L743=L744),(IF(AND(#REF!=#REF!,#REF!=#REF!),(IF(AND(#REF!=#REF!,#REF!=#REF!),"","ERROR IN U")),"ERROR IN J")),"ERROR IN T")</f>
        <v>#REF!</v>
      </c>
      <c r="O742" s="4"/>
      <c r="P742" s="4"/>
      <c r="Q742" s="4"/>
      <c r="R742" s="4"/>
      <c r="S742" s="4"/>
    </row>
    <row r="743" spans="1:19" ht="15.95" customHeight="1" x14ac:dyDescent="0.2">
      <c r="A743" s="4"/>
      <c r="B743" s="9">
        <v>124</v>
      </c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20"/>
      <c r="N743" s="12" t="e">
        <f>IF(AND(L742=L743,L743=L744),(IF(AND(#REF!=#REF!,#REF!=#REF!),(IF(AND(#REF!=#REF!,#REF!=#REF!),"","ERROR IN U")),"ERROR IN J")),"ERROR IN T")</f>
        <v>#REF!</v>
      </c>
      <c r="O743" s="4"/>
      <c r="P743" s="4"/>
      <c r="Q743" s="4"/>
      <c r="R743" s="4"/>
      <c r="S743" s="4"/>
    </row>
    <row r="744" spans="1:19" ht="15.95" customHeight="1" x14ac:dyDescent="0.2">
      <c r="A744" s="4"/>
      <c r="B744" s="9">
        <v>124</v>
      </c>
      <c r="C744" s="19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12" t="e">
        <f>IF(AND(L742=L743,L743=L744),(IF(AND(#REF!=#REF!,#REF!=#REF!),(IF(AND(#REF!=#REF!,#REF!=#REF!),"","ERROR IN U")),"ERROR IN J")),"ERROR IN T")</f>
        <v>#REF!</v>
      </c>
      <c r="O744" s="4"/>
      <c r="P744" s="4"/>
      <c r="Q744" s="4"/>
      <c r="R744" s="4"/>
      <c r="S744" s="4"/>
    </row>
    <row r="745" spans="1:19" ht="15.95" customHeight="1" x14ac:dyDescent="0.2">
      <c r="A745" s="4"/>
      <c r="B745" s="9">
        <v>124</v>
      </c>
      <c r="C745" s="21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18" t="e">
        <f>IF(AND(L745=L746,L746=L747),(IF(AND(#REF!=#REF!,#REF!=#REF!),(IF(AND(#REF!=#REF!,#REF!=#REF!),"","ERROR IN U")),"ERROR IN J")),"ERROR IN T")</f>
        <v>#REF!</v>
      </c>
      <c r="O745" s="4"/>
      <c r="P745" s="4"/>
      <c r="Q745" s="4"/>
      <c r="R745" s="4"/>
      <c r="S745" s="4"/>
    </row>
    <row r="746" spans="1:19" ht="15.95" customHeight="1" x14ac:dyDescent="0.2">
      <c r="A746" s="4"/>
      <c r="B746" s="9">
        <v>124</v>
      </c>
      <c r="C746" s="21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18" t="e">
        <f>IF(AND(L745=L746,L746=L747),(IF(AND(#REF!=#REF!,#REF!=#REF!),(IF(AND(#REF!=#REF!,#REF!=#REF!),"","ERROR IN U")),"ERROR IN J")),"ERROR IN T")</f>
        <v>#REF!</v>
      </c>
      <c r="O746" s="4"/>
      <c r="P746" s="4"/>
      <c r="Q746" s="4"/>
      <c r="R746" s="4"/>
      <c r="S746" s="4"/>
    </row>
    <row r="747" spans="1:19" ht="15.95" customHeight="1" x14ac:dyDescent="0.2">
      <c r="A747" s="4"/>
      <c r="B747" s="9">
        <v>124</v>
      </c>
      <c r="C747" s="21"/>
      <c r="D747" s="21"/>
      <c r="E747" s="21"/>
      <c r="F747" s="21"/>
      <c r="G747" s="21"/>
      <c r="H747" s="21"/>
      <c r="I747" s="21"/>
      <c r="J747" s="21"/>
      <c r="K747" s="21"/>
      <c r="L747" s="21"/>
      <c r="M747" s="21"/>
      <c r="N747" s="18" t="e">
        <f>IF(AND(L745=L746,L746=L747),(IF(AND(#REF!=#REF!,#REF!=#REF!),(IF(AND(#REF!=#REF!,#REF!=#REF!),"","ERROR IN U")),"ERROR IN J")),"ERROR IN T")</f>
        <v>#REF!</v>
      </c>
      <c r="O747" s="4"/>
      <c r="P747" s="4"/>
      <c r="Q747" s="4"/>
      <c r="R747" s="4"/>
      <c r="S747" s="4"/>
    </row>
    <row r="748" spans="1:19" ht="15.95" customHeight="1" x14ac:dyDescent="0.2">
      <c r="A748" s="4"/>
      <c r="B748" s="9">
        <v>125</v>
      </c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2" t="e">
        <f>IF(AND(L748=L749,L749=L750),(IF(AND(#REF!=#REF!,#REF!=#REF!),(IF(AND(#REF!=#REF!,#REF!=#REF!),"","ERROR IN U")),"ERROR IN J")),"ERROR IN T")</f>
        <v>#REF!</v>
      </c>
      <c r="O748" s="4"/>
      <c r="P748" s="4"/>
      <c r="Q748" s="4"/>
      <c r="R748" s="4"/>
      <c r="S748" s="4"/>
    </row>
    <row r="749" spans="1:19" ht="15.95" customHeight="1" x14ac:dyDescent="0.2">
      <c r="A749" s="4"/>
      <c r="B749" s="9">
        <v>125</v>
      </c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20"/>
      <c r="N749" s="12" t="e">
        <f>IF(AND(L748=L749,L749=L750),(IF(AND(#REF!=#REF!,#REF!=#REF!),(IF(AND(#REF!=#REF!,#REF!=#REF!),"","ERROR IN U")),"ERROR IN J")),"ERROR IN T")</f>
        <v>#REF!</v>
      </c>
      <c r="O749" s="4"/>
      <c r="P749" s="4"/>
      <c r="Q749" s="4"/>
      <c r="R749" s="4"/>
      <c r="S749" s="4"/>
    </row>
    <row r="750" spans="1:19" ht="15.95" customHeight="1" x14ac:dyDescent="0.2">
      <c r="A750" s="4"/>
      <c r="B750" s="9">
        <v>125</v>
      </c>
      <c r="C750" s="19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12" t="e">
        <f>IF(AND(L748=L749,L749=L750),(IF(AND(#REF!=#REF!,#REF!=#REF!),(IF(AND(#REF!=#REF!,#REF!=#REF!),"","ERROR IN U")),"ERROR IN J")),"ERROR IN T")</f>
        <v>#REF!</v>
      </c>
      <c r="O750" s="4"/>
      <c r="P750" s="4"/>
      <c r="Q750" s="4"/>
      <c r="R750" s="4"/>
      <c r="S750" s="4"/>
    </row>
    <row r="751" spans="1:19" ht="15.95" customHeight="1" x14ac:dyDescent="0.2">
      <c r="A751" s="4"/>
      <c r="B751" s="9">
        <v>125</v>
      </c>
      <c r="C751" s="21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18" t="e">
        <f>IF(AND(L751=L752,L752=L753),(IF(AND(#REF!=#REF!,#REF!=#REF!),(IF(AND(#REF!=#REF!,#REF!=#REF!),"","ERROR IN U")),"ERROR IN J")),"ERROR IN T")</f>
        <v>#REF!</v>
      </c>
      <c r="O751" s="4"/>
      <c r="P751" s="4"/>
      <c r="Q751" s="4"/>
      <c r="R751" s="4"/>
      <c r="S751" s="4"/>
    </row>
    <row r="752" spans="1:19" ht="15.95" customHeight="1" x14ac:dyDescent="0.2">
      <c r="A752" s="4"/>
      <c r="B752" s="9">
        <v>125</v>
      </c>
      <c r="C752" s="21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18" t="e">
        <f>IF(AND(L751=L752,L752=L753),(IF(AND(#REF!=#REF!,#REF!=#REF!),(IF(AND(#REF!=#REF!,#REF!=#REF!),"","ERROR IN U")),"ERROR IN J")),"ERROR IN T")</f>
        <v>#REF!</v>
      </c>
      <c r="O752" s="4"/>
      <c r="P752" s="4"/>
      <c r="Q752" s="4"/>
      <c r="R752" s="4"/>
      <c r="S752" s="4"/>
    </row>
    <row r="753" spans="1:19" ht="15.95" customHeight="1" x14ac:dyDescent="0.2">
      <c r="A753" s="4"/>
      <c r="B753" s="9">
        <v>125</v>
      </c>
      <c r="C753" s="21"/>
      <c r="D753" s="21"/>
      <c r="E753" s="21"/>
      <c r="F753" s="21"/>
      <c r="G753" s="21"/>
      <c r="H753" s="21"/>
      <c r="I753" s="21"/>
      <c r="J753" s="21"/>
      <c r="K753" s="21"/>
      <c r="L753" s="21"/>
      <c r="M753" s="21"/>
      <c r="N753" s="18" t="e">
        <f>IF(AND(L751=L752,L752=L753),(IF(AND(#REF!=#REF!,#REF!=#REF!),(IF(AND(#REF!=#REF!,#REF!=#REF!),"","ERROR IN U")),"ERROR IN J")),"ERROR IN T")</f>
        <v>#REF!</v>
      </c>
      <c r="O753" s="4"/>
      <c r="P753" s="4"/>
      <c r="Q753" s="4"/>
      <c r="R753" s="4"/>
      <c r="S753" s="4"/>
    </row>
    <row r="754" spans="1:19" ht="15.95" customHeight="1" x14ac:dyDescent="0.2">
      <c r="A754" s="4"/>
      <c r="B754" s="9">
        <v>126</v>
      </c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2" t="e">
        <f>IF(AND(L754=L755,L755=L756),(IF(AND(#REF!=#REF!,#REF!=#REF!),(IF(AND(#REF!=#REF!,#REF!=#REF!),"","ERROR IN U")),"ERROR IN J")),"ERROR IN T")</f>
        <v>#REF!</v>
      </c>
      <c r="O754" s="4"/>
      <c r="P754" s="4"/>
      <c r="Q754" s="4"/>
      <c r="R754" s="4"/>
      <c r="S754" s="4"/>
    </row>
    <row r="755" spans="1:19" ht="15.95" customHeight="1" x14ac:dyDescent="0.2">
      <c r="A755" s="4"/>
      <c r="B755" s="9">
        <v>126</v>
      </c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20"/>
      <c r="N755" s="12" t="e">
        <f>IF(AND(L754=L755,L755=L756),(IF(AND(#REF!=#REF!,#REF!=#REF!),(IF(AND(#REF!=#REF!,#REF!=#REF!),"","ERROR IN U")),"ERROR IN J")),"ERROR IN T")</f>
        <v>#REF!</v>
      </c>
      <c r="O755" s="4"/>
      <c r="P755" s="4"/>
      <c r="Q755" s="4"/>
      <c r="R755" s="4"/>
      <c r="S755" s="4"/>
    </row>
    <row r="756" spans="1:19" ht="15.95" customHeight="1" x14ac:dyDescent="0.2">
      <c r="A756" s="4"/>
      <c r="B756" s="9">
        <v>126</v>
      </c>
      <c r="C756" s="19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12" t="e">
        <f>IF(AND(L754=L755,L755=L756),(IF(AND(#REF!=#REF!,#REF!=#REF!),(IF(AND(#REF!=#REF!,#REF!=#REF!),"","ERROR IN U")),"ERROR IN J")),"ERROR IN T")</f>
        <v>#REF!</v>
      </c>
      <c r="O756" s="4"/>
      <c r="P756" s="4"/>
      <c r="Q756" s="4"/>
      <c r="R756" s="4"/>
      <c r="S756" s="4"/>
    </row>
    <row r="757" spans="1:19" ht="15.95" customHeight="1" x14ac:dyDescent="0.2">
      <c r="A757" s="4"/>
      <c r="B757" s="9">
        <v>126</v>
      </c>
      <c r="C757" s="21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18" t="e">
        <f>IF(AND(L757=L758,L758=L759),(IF(AND(#REF!=#REF!,#REF!=#REF!),(IF(AND(#REF!=#REF!,#REF!=#REF!),"","ERROR IN U")),"ERROR IN J")),"ERROR IN T")</f>
        <v>#REF!</v>
      </c>
      <c r="O757" s="4"/>
      <c r="P757" s="4"/>
      <c r="Q757" s="4"/>
      <c r="R757" s="4"/>
      <c r="S757" s="4"/>
    </row>
    <row r="758" spans="1:19" ht="15.95" customHeight="1" x14ac:dyDescent="0.2">
      <c r="A758" s="4"/>
      <c r="B758" s="9">
        <v>126</v>
      </c>
      <c r="C758" s="21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18" t="e">
        <f>IF(AND(L757=L758,L758=L759),(IF(AND(#REF!=#REF!,#REF!=#REF!),(IF(AND(#REF!=#REF!,#REF!=#REF!),"","ERROR IN U")),"ERROR IN J")),"ERROR IN T")</f>
        <v>#REF!</v>
      </c>
      <c r="O758" s="4"/>
      <c r="P758" s="4"/>
      <c r="Q758" s="4"/>
      <c r="R758" s="4"/>
      <c r="S758" s="4"/>
    </row>
    <row r="759" spans="1:19" ht="15.95" customHeight="1" x14ac:dyDescent="0.2">
      <c r="A759" s="4"/>
      <c r="B759" s="9">
        <v>126</v>
      </c>
      <c r="C759" s="21"/>
      <c r="D759" s="21"/>
      <c r="E759" s="21"/>
      <c r="F759" s="21"/>
      <c r="G759" s="21"/>
      <c r="H759" s="21"/>
      <c r="I759" s="21"/>
      <c r="J759" s="21"/>
      <c r="K759" s="21"/>
      <c r="L759" s="21"/>
      <c r="M759" s="21"/>
      <c r="N759" s="18" t="e">
        <f>IF(AND(L757=L758,L758=L759),(IF(AND(#REF!=#REF!,#REF!=#REF!),(IF(AND(#REF!=#REF!,#REF!=#REF!),"","ERROR IN U")),"ERROR IN J")),"ERROR IN T")</f>
        <v>#REF!</v>
      </c>
      <c r="O759" s="4"/>
      <c r="P759" s="4"/>
      <c r="Q759" s="4"/>
      <c r="R759" s="4"/>
      <c r="S759" s="4"/>
    </row>
    <row r="760" spans="1:19" ht="15.95" customHeight="1" x14ac:dyDescent="0.2">
      <c r="A760" s="4"/>
      <c r="B760" s="9">
        <v>127</v>
      </c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2" t="e">
        <f>IF(AND(L760=L761,L761=L762),(IF(AND(#REF!=#REF!,#REF!=#REF!),(IF(AND(#REF!=#REF!,#REF!=#REF!),"","ERROR IN U")),"ERROR IN J")),"ERROR IN T")</f>
        <v>#REF!</v>
      </c>
      <c r="O760" s="4"/>
      <c r="P760" s="4"/>
      <c r="Q760" s="4"/>
      <c r="R760" s="4"/>
      <c r="S760" s="4"/>
    </row>
    <row r="761" spans="1:19" ht="15.95" customHeight="1" x14ac:dyDescent="0.2">
      <c r="A761" s="4"/>
      <c r="B761" s="9">
        <v>127</v>
      </c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20"/>
      <c r="N761" s="12" t="e">
        <f>IF(AND(L760=L761,L761=L762),(IF(AND(#REF!=#REF!,#REF!=#REF!),(IF(AND(#REF!=#REF!,#REF!=#REF!),"","ERROR IN U")),"ERROR IN J")),"ERROR IN T")</f>
        <v>#REF!</v>
      </c>
      <c r="O761" s="4"/>
      <c r="P761" s="4"/>
      <c r="Q761" s="4"/>
      <c r="R761" s="4"/>
      <c r="S761" s="4"/>
    </row>
    <row r="762" spans="1:19" ht="15.95" customHeight="1" x14ac:dyDescent="0.2">
      <c r="A762" s="4"/>
      <c r="B762" s="9">
        <v>127</v>
      </c>
      <c r="C762" s="19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12" t="e">
        <f>IF(AND(L760=L761,L761=L762),(IF(AND(#REF!=#REF!,#REF!=#REF!),(IF(AND(#REF!=#REF!,#REF!=#REF!),"","ERROR IN U")),"ERROR IN J")),"ERROR IN T")</f>
        <v>#REF!</v>
      </c>
      <c r="O762" s="4"/>
      <c r="P762" s="4"/>
      <c r="Q762" s="4"/>
      <c r="R762" s="4"/>
      <c r="S762" s="4"/>
    </row>
    <row r="763" spans="1:19" ht="15.95" customHeight="1" x14ac:dyDescent="0.2">
      <c r="A763" s="4"/>
      <c r="B763" s="9">
        <v>127</v>
      </c>
      <c r="C763" s="21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18" t="e">
        <f>IF(AND(L763=L764,L764=L765),(IF(AND(#REF!=#REF!,#REF!=#REF!),(IF(AND(#REF!=#REF!,#REF!=#REF!),"","ERROR IN U")),"ERROR IN J")),"ERROR IN T")</f>
        <v>#REF!</v>
      </c>
      <c r="O763" s="4"/>
      <c r="P763" s="4"/>
      <c r="Q763" s="4"/>
      <c r="R763" s="4"/>
      <c r="S763" s="4"/>
    </row>
    <row r="764" spans="1:19" ht="15.95" customHeight="1" x14ac:dyDescent="0.2">
      <c r="A764" s="4"/>
      <c r="B764" s="9">
        <v>127</v>
      </c>
      <c r="C764" s="21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18" t="e">
        <f>IF(AND(L763=L764,L764=L765),(IF(AND(#REF!=#REF!,#REF!=#REF!),(IF(AND(#REF!=#REF!,#REF!=#REF!),"","ERROR IN U")),"ERROR IN J")),"ERROR IN T")</f>
        <v>#REF!</v>
      </c>
      <c r="O764" s="4"/>
      <c r="P764" s="4"/>
      <c r="Q764" s="4"/>
      <c r="R764" s="4"/>
      <c r="S764" s="4"/>
    </row>
    <row r="765" spans="1:19" ht="15.95" customHeight="1" x14ac:dyDescent="0.2">
      <c r="A765" s="4"/>
      <c r="B765" s="9">
        <v>127</v>
      </c>
      <c r="C765" s="21"/>
      <c r="D765" s="21"/>
      <c r="E765" s="21"/>
      <c r="F765" s="21"/>
      <c r="G765" s="21"/>
      <c r="H765" s="21"/>
      <c r="I765" s="21"/>
      <c r="J765" s="21"/>
      <c r="K765" s="21"/>
      <c r="L765" s="21"/>
      <c r="M765" s="21"/>
      <c r="N765" s="18" t="e">
        <f>IF(AND(L763=L764,L764=L765),(IF(AND(#REF!=#REF!,#REF!=#REF!),(IF(AND(#REF!=#REF!,#REF!=#REF!),"","ERROR IN U")),"ERROR IN J")),"ERROR IN T")</f>
        <v>#REF!</v>
      </c>
      <c r="O765" s="4"/>
      <c r="P765" s="4"/>
      <c r="Q765" s="4"/>
      <c r="R765" s="4"/>
      <c r="S765" s="4"/>
    </row>
    <row r="766" spans="1:19" ht="15.95" customHeight="1" x14ac:dyDescent="0.2">
      <c r="A766" s="4"/>
      <c r="B766" s="9">
        <v>128</v>
      </c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2" t="e">
        <f>IF(AND(L766=L767,L767=L768),(IF(AND(#REF!=#REF!,#REF!=#REF!),(IF(AND(#REF!=#REF!,#REF!=#REF!),"","ERROR IN U")),"ERROR IN J")),"ERROR IN T")</f>
        <v>#REF!</v>
      </c>
      <c r="O766" s="4"/>
      <c r="P766" s="4"/>
      <c r="Q766" s="4"/>
      <c r="R766" s="4"/>
      <c r="S766" s="4"/>
    </row>
    <row r="767" spans="1:19" ht="15.95" customHeight="1" x14ac:dyDescent="0.2">
      <c r="A767" s="4"/>
      <c r="B767" s="9">
        <v>128</v>
      </c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20"/>
      <c r="N767" s="12" t="e">
        <f>IF(AND(L766=L767,L767=L768),(IF(AND(#REF!=#REF!,#REF!=#REF!),(IF(AND(#REF!=#REF!,#REF!=#REF!),"","ERROR IN U")),"ERROR IN J")),"ERROR IN T")</f>
        <v>#REF!</v>
      </c>
      <c r="O767" s="4"/>
      <c r="P767" s="4"/>
      <c r="Q767" s="4"/>
      <c r="R767" s="4"/>
      <c r="S767" s="4"/>
    </row>
    <row r="768" spans="1:19" ht="15.95" customHeight="1" x14ac:dyDescent="0.2">
      <c r="A768" s="4"/>
      <c r="B768" s="9">
        <v>128</v>
      </c>
      <c r="C768" s="19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12" t="e">
        <f>IF(AND(L766=L767,L767=L768),(IF(AND(#REF!=#REF!,#REF!=#REF!),(IF(AND(#REF!=#REF!,#REF!=#REF!),"","ERROR IN U")),"ERROR IN J")),"ERROR IN T")</f>
        <v>#REF!</v>
      </c>
      <c r="O768" s="4"/>
      <c r="P768" s="4"/>
      <c r="Q768" s="4"/>
      <c r="R768" s="4"/>
      <c r="S768" s="4"/>
    </row>
    <row r="769" spans="1:19" ht="15.95" customHeight="1" x14ac:dyDescent="0.2">
      <c r="A769" s="4"/>
      <c r="B769" s="9">
        <v>128</v>
      </c>
      <c r="C769" s="21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18" t="e">
        <f>IF(AND(L769=L770,L770=L771),(IF(AND(#REF!=#REF!,#REF!=#REF!),(IF(AND(#REF!=#REF!,#REF!=#REF!),"","ERROR IN U")),"ERROR IN J")),"ERROR IN T")</f>
        <v>#REF!</v>
      </c>
      <c r="O769" s="4"/>
      <c r="P769" s="4"/>
      <c r="Q769" s="4"/>
      <c r="R769" s="4"/>
      <c r="S769" s="4"/>
    </row>
    <row r="770" spans="1:19" ht="15.95" customHeight="1" x14ac:dyDescent="0.2">
      <c r="A770" s="4"/>
      <c r="B770" s="9">
        <v>128</v>
      </c>
      <c r="C770" s="21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18" t="e">
        <f>IF(AND(L769=L770,L770=L771),(IF(AND(#REF!=#REF!,#REF!=#REF!),(IF(AND(#REF!=#REF!,#REF!=#REF!),"","ERROR IN U")),"ERROR IN J")),"ERROR IN T")</f>
        <v>#REF!</v>
      </c>
      <c r="O770" s="4"/>
      <c r="P770" s="4"/>
      <c r="Q770" s="4"/>
      <c r="R770" s="4"/>
      <c r="S770" s="4"/>
    </row>
    <row r="771" spans="1:19" ht="15.95" customHeight="1" x14ac:dyDescent="0.2">
      <c r="A771" s="4"/>
      <c r="B771" s="9">
        <v>128</v>
      </c>
      <c r="C771" s="21"/>
      <c r="D771" s="21"/>
      <c r="E771" s="21"/>
      <c r="F771" s="21"/>
      <c r="G771" s="21"/>
      <c r="H771" s="21"/>
      <c r="I771" s="21"/>
      <c r="J771" s="21"/>
      <c r="K771" s="21"/>
      <c r="L771" s="21"/>
      <c r="M771" s="21"/>
      <c r="N771" s="18" t="e">
        <f>IF(AND(L769=L770,L770=L771),(IF(AND(#REF!=#REF!,#REF!=#REF!),(IF(AND(#REF!=#REF!,#REF!=#REF!),"","ERROR IN U")),"ERROR IN J")),"ERROR IN T")</f>
        <v>#REF!</v>
      </c>
      <c r="O771" s="4"/>
      <c r="P771" s="4"/>
      <c r="Q771" s="4"/>
      <c r="R771" s="4"/>
      <c r="S771" s="4"/>
    </row>
    <row r="772" spans="1:19" ht="15.95" customHeight="1" x14ac:dyDescent="0.2">
      <c r="A772" s="4"/>
      <c r="B772" s="9">
        <v>129</v>
      </c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 t="e">
        <f>IF(AND(L772=L773,L773=L774),(IF(AND(#REF!=#REF!,#REF!=#REF!),(IF(AND(#REF!=#REF!,#REF!=#REF!),"","ERROR IN U")),"ERROR IN J")),"ERROR IN T")</f>
        <v>#REF!</v>
      </c>
      <c r="O772" s="4"/>
      <c r="P772" s="4"/>
      <c r="Q772" s="4"/>
      <c r="R772" s="4"/>
      <c r="S772" s="4"/>
    </row>
    <row r="773" spans="1:19" ht="15.95" customHeight="1" x14ac:dyDescent="0.2">
      <c r="A773" s="4"/>
      <c r="B773" s="9">
        <v>129</v>
      </c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 t="e">
        <f>IF(AND(L772=L773,L773=L774),(IF(AND(#REF!=#REF!,#REF!=#REF!),(IF(AND(#REF!=#REF!,#REF!=#REF!),"","ERROR IN U")),"ERROR IN J")),"ERROR IN T")</f>
        <v>#REF!</v>
      </c>
      <c r="O773" s="4"/>
      <c r="P773" s="4"/>
      <c r="Q773" s="4"/>
      <c r="R773" s="4"/>
      <c r="S773" s="4"/>
    </row>
    <row r="774" spans="1:19" ht="15.95" customHeight="1" x14ac:dyDescent="0.2">
      <c r="A774" s="4"/>
      <c r="B774" s="9">
        <v>129</v>
      </c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 t="e">
        <f>IF(AND(L772=L773,L773=L774),(IF(AND(#REF!=#REF!,#REF!=#REF!),(IF(AND(#REF!=#REF!,#REF!=#REF!),"","ERROR IN U")),"ERROR IN J")),"ERROR IN T")</f>
        <v>#REF!</v>
      </c>
      <c r="O774" s="4"/>
      <c r="P774" s="4"/>
      <c r="Q774" s="4"/>
      <c r="R774" s="4"/>
      <c r="S774" s="4"/>
    </row>
    <row r="775" spans="1:19" ht="15.95" customHeight="1" x14ac:dyDescent="0.2">
      <c r="A775" s="4"/>
      <c r="B775" s="9">
        <v>129</v>
      </c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 t="e">
        <f>IF(AND(L775=L776,L776=L777),(IF(AND(#REF!=#REF!,#REF!=#REF!),(IF(AND(#REF!=#REF!,#REF!=#REF!),"","ERROR IN U")),"ERROR IN J")),"ERROR IN T")</f>
        <v>#REF!</v>
      </c>
      <c r="O775" s="4"/>
      <c r="P775" s="4"/>
      <c r="Q775" s="4"/>
      <c r="R775" s="4"/>
      <c r="S775" s="4"/>
    </row>
    <row r="776" spans="1:19" ht="15.95" customHeight="1" x14ac:dyDescent="0.2">
      <c r="A776" s="4"/>
      <c r="B776" s="9">
        <v>129</v>
      </c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 t="e">
        <f>IF(AND(L775=L776,L776=L777),(IF(AND(#REF!=#REF!,#REF!=#REF!),(IF(AND(#REF!=#REF!,#REF!=#REF!),"","ERROR IN U")),"ERROR IN J")),"ERROR IN T")</f>
        <v>#REF!</v>
      </c>
      <c r="O776" s="4"/>
      <c r="P776" s="4"/>
      <c r="Q776" s="4"/>
      <c r="R776" s="4"/>
      <c r="S776" s="4"/>
    </row>
    <row r="777" spans="1:19" ht="15.95" customHeight="1" x14ac:dyDescent="0.2">
      <c r="A777" s="4"/>
      <c r="B777" s="9">
        <v>129</v>
      </c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 t="e">
        <f>IF(AND(L775=L776,L776=L777),(IF(AND(#REF!=#REF!,#REF!=#REF!),(IF(AND(#REF!=#REF!,#REF!=#REF!),"","ERROR IN U")),"ERROR IN J")),"ERROR IN T")</f>
        <v>#REF!</v>
      </c>
      <c r="O777" s="4"/>
      <c r="P777" s="4"/>
      <c r="Q777" s="4"/>
      <c r="R777" s="4"/>
      <c r="S777" s="4"/>
    </row>
    <row r="778" spans="1:19" ht="15.95" customHeight="1" x14ac:dyDescent="0.2">
      <c r="A778" s="4"/>
      <c r="B778" s="9">
        <v>130</v>
      </c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2" t="e">
        <f>IF(AND(L778=L779,L779=L780),(IF(AND(#REF!=#REF!,#REF!=#REF!),(IF(AND(#REF!=#REF!,#REF!=#REF!),"","ERROR IN U")),"ERROR IN J")),"ERROR IN T")</f>
        <v>#REF!</v>
      </c>
      <c r="O778" s="4"/>
      <c r="P778" s="4"/>
      <c r="Q778" s="4"/>
      <c r="R778" s="4"/>
      <c r="S778" s="4"/>
    </row>
    <row r="779" spans="1:19" ht="15.95" customHeight="1" x14ac:dyDescent="0.2">
      <c r="A779" s="4"/>
      <c r="B779" s="9">
        <v>130</v>
      </c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20"/>
      <c r="N779" s="12" t="e">
        <f>IF(AND(L778=L779,L779=L780),(IF(AND(#REF!=#REF!,#REF!=#REF!),(IF(AND(#REF!=#REF!,#REF!=#REF!),"","ERROR IN U")),"ERROR IN J")),"ERROR IN T")</f>
        <v>#REF!</v>
      </c>
      <c r="O779" s="4"/>
      <c r="P779" s="4"/>
      <c r="Q779" s="4"/>
      <c r="R779" s="4"/>
      <c r="S779" s="4"/>
    </row>
    <row r="780" spans="1:19" ht="15.95" customHeight="1" x14ac:dyDescent="0.2">
      <c r="A780" s="4"/>
      <c r="B780" s="9">
        <v>130</v>
      </c>
      <c r="C780" s="19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12" t="e">
        <f>IF(AND(L778=L779,L779=L780),(IF(AND(#REF!=#REF!,#REF!=#REF!),(IF(AND(#REF!=#REF!,#REF!=#REF!),"","ERROR IN U")),"ERROR IN J")),"ERROR IN T")</f>
        <v>#REF!</v>
      </c>
      <c r="O780" s="4"/>
      <c r="P780" s="4"/>
      <c r="Q780" s="4"/>
      <c r="R780" s="4"/>
      <c r="S780" s="4"/>
    </row>
    <row r="781" spans="1:19" ht="15.95" customHeight="1" x14ac:dyDescent="0.2">
      <c r="A781" s="4"/>
      <c r="B781" s="9">
        <v>130</v>
      </c>
      <c r="C781" s="21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18" t="e">
        <f>IF(AND(L781=L782,L782=L783),(IF(AND(#REF!=#REF!,#REF!=#REF!),(IF(AND(#REF!=#REF!,#REF!=#REF!),"","ERROR IN U")),"ERROR IN J")),"ERROR IN T")</f>
        <v>#REF!</v>
      </c>
      <c r="O781" s="4"/>
      <c r="P781" s="4"/>
      <c r="Q781" s="4"/>
      <c r="R781" s="4"/>
      <c r="S781" s="4"/>
    </row>
    <row r="782" spans="1:19" ht="15.95" customHeight="1" x14ac:dyDescent="0.2">
      <c r="A782" s="4"/>
      <c r="B782" s="9">
        <v>130</v>
      </c>
      <c r="C782" s="21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18" t="e">
        <f>IF(AND(L781=L782,L782=L783),(IF(AND(#REF!=#REF!,#REF!=#REF!),(IF(AND(#REF!=#REF!,#REF!=#REF!),"","ERROR IN U")),"ERROR IN J")),"ERROR IN T")</f>
        <v>#REF!</v>
      </c>
      <c r="O782" s="4"/>
      <c r="P782" s="4"/>
      <c r="Q782" s="4"/>
      <c r="R782" s="4"/>
      <c r="S782" s="4"/>
    </row>
    <row r="783" spans="1:19" ht="15.95" customHeight="1" x14ac:dyDescent="0.2">
      <c r="A783" s="4"/>
      <c r="B783" s="9">
        <v>130</v>
      </c>
      <c r="C783" s="21"/>
      <c r="D783" s="21"/>
      <c r="E783" s="21"/>
      <c r="F783" s="21"/>
      <c r="G783" s="21"/>
      <c r="H783" s="21"/>
      <c r="I783" s="21"/>
      <c r="J783" s="21"/>
      <c r="K783" s="21"/>
      <c r="L783" s="21"/>
      <c r="M783" s="21"/>
      <c r="N783" s="18" t="e">
        <f>IF(AND(L781=L782,L782=L783),(IF(AND(#REF!=#REF!,#REF!=#REF!),(IF(AND(#REF!=#REF!,#REF!=#REF!),"","ERROR IN U")),"ERROR IN J")),"ERROR IN T")</f>
        <v>#REF!</v>
      </c>
      <c r="O783" s="4"/>
      <c r="P783" s="4"/>
      <c r="Q783" s="4"/>
      <c r="R783" s="4"/>
      <c r="S783" s="4"/>
    </row>
    <row r="784" spans="1:19" ht="15.95" customHeight="1" x14ac:dyDescent="0.2">
      <c r="A784" s="4"/>
      <c r="B784" s="9">
        <v>131</v>
      </c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 t="e">
        <f>IF(AND(L784=L785,L785=L786),(IF(AND(#REF!=#REF!,#REF!=#REF!),(IF(AND(#REF!=#REF!,#REF!=#REF!),"","ERROR IN U")),"ERROR IN J")),"ERROR IN T")</f>
        <v>#REF!</v>
      </c>
      <c r="O784" s="4"/>
      <c r="P784" s="4"/>
      <c r="Q784" s="4"/>
      <c r="R784" s="4"/>
      <c r="S784" s="4"/>
    </row>
    <row r="785" spans="1:19" ht="15.95" customHeight="1" x14ac:dyDescent="0.2">
      <c r="A785" s="4"/>
      <c r="B785" s="9">
        <v>131</v>
      </c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 t="e">
        <f>IF(AND(L784=L785,L785=L786),(IF(AND(#REF!=#REF!,#REF!=#REF!),(IF(AND(#REF!=#REF!,#REF!=#REF!),"","ERROR IN U")),"ERROR IN J")),"ERROR IN T")</f>
        <v>#REF!</v>
      </c>
      <c r="O785" s="4"/>
      <c r="P785" s="4"/>
      <c r="Q785" s="4"/>
      <c r="R785" s="4"/>
      <c r="S785" s="4"/>
    </row>
    <row r="786" spans="1:19" ht="15.95" customHeight="1" x14ac:dyDescent="0.2">
      <c r="A786" s="4"/>
      <c r="B786" s="9">
        <v>131</v>
      </c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 t="e">
        <f>IF(AND(L784=L785,L785=L786),(IF(AND(#REF!=#REF!,#REF!=#REF!),(IF(AND(#REF!=#REF!,#REF!=#REF!),"","ERROR IN U")),"ERROR IN J")),"ERROR IN T")</f>
        <v>#REF!</v>
      </c>
      <c r="O786" s="4"/>
      <c r="P786" s="4"/>
      <c r="Q786" s="4"/>
      <c r="R786" s="4"/>
      <c r="S786" s="4"/>
    </row>
    <row r="787" spans="1:19" ht="15.95" customHeight="1" x14ac:dyDescent="0.2">
      <c r="A787" s="4"/>
      <c r="B787" s="9">
        <v>131</v>
      </c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 t="e">
        <f>IF(AND(L787=L788,L788=L789),(IF(AND(#REF!=#REF!,#REF!=#REF!),(IF(AND(#REF!=#REF!,#REF!=#REF!),"","ERROR IN U")),"ERROR IN J")),"ERROR IN T")</f>
        <v>#REF!</v>
      </c>
      <c r="O787" s="4"/>
      <c r="P787" s="4"/>
      <c r="Q787" s="4"/>
      <c r="R787" s="4"/>
      <c r="S787" s="4"/>
    </row>
    <row r="788" spans="1:19" ht="15.95" customHeight="1" x14ac:dyDescent="0.2">
      <c r="A788" s="4"/>
      <c r="B788" s="9">
        <v>131</v>
      </c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 t="e">
        <f>IF(AND(L787=L788,L788=L789),(IF(AND(#REF!=#REF!,#REF!=#REF!),(IF(AND(#REF!=#REF!,#REF!=#REF!),"","ERROR IN U")),"ERROR IN J")),"ERROR IN T")</f>
        <v>#REF!</v>
      </c>
      <c r="O788" s="4"/>
      <c r="P788" s="4"/>
      <c r="Q788" s="4"/>
      <c r="R788" s="4"/>
      <c r="S788" s="4"/>
    </row>
    <row r="789" spans="1:19" ht="15.95" customHeight="1" x14ac:dyDescent="0.2">
      <c r="A789" s="4"/>
      <c r="B789" s="9">
        <v>131</v>
      </c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 t="e">
        <f>IF(AND(L787=L788,L788=L789),(IF(AND(#REF!=#REF!,#REF!=#REF!),(IF(AND(#REF!=#REF!,#REF!=#REF!),"","ERROR IN U")),"ERROR IN J")),"ERROR IN T")</f>
        <v>#REF!</v>
      </c>
      <c r="O789" s="4"/>
      <c r="P789" s="4"/>
      <c r="Q789" s="4"/>
      <c r="R789" s="4"/>
      <c r="S789" s="4"/>
    </row>
    <row r="790" spans="1:19" ht="15.95" customHeight="1" x14ac:dyDescent="0.2">
      <c r="A790" s="4"/>
      <c r="B790" s="9">
        <v>132</v>
      </c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2" t="e">
        <f>IF(AND(L790=L791,L791=L792),(IF(AND(#REF!=#REF!,#REF!=#REF!),(IF(AND(#REF!=#REF!,#REF!=#REF!),"","ERROR IN U")),"ERROR IN J")),"ERROR IN T")</f>
        <v>#REF!</v>
      </c>
      <c r="O790" s="4"/>
      <c r="P790" s="4"/>
      <c r="Q790" s="4"/>
      <c r="R790" s="4"/>
      <c r="S790" s="4"/>
    </row>
    <row r="791" spans="1:19" ht="15.95" customHeight="1" x14ac:dyDescent="0.2">
      <c r="A791" s="4"/>
      <c r="B791" s="9">
        <v>132</v>
      </c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20"/>
      <c r="N791" s="12" t="e">
        <f>IF(AND(L790=L791,L791=L792),(IF(AND(#REF!=#REF!,#REF!=#REF!),(IF(AND(#REF!=#REF!,#REF!=#REF!),"","ERROR IN U")),"ERROR IN J")),"ERROR IN T")</f>
        <v>#REF!</v>
      </c>
      <c r="O791" s="4"/>
      <c r="P791" s="4"/>
      <c r="Q791" s="4"/>
      <c r="R791" s="4"/>
      <c r="S791" s="4"/>
    </row>
    <row r="792" spans="1:19" ht="15.95" customHeight="1" x14ac:dyDescent="0.2">
      <c r="A792" s="4"/>
      <c r="B792" s="9">
        <v>132</v>
      </c>
      <c r="C792" s="19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12" t="e">
        <f>IF(AND(L790=L791,L791=L792),(IF(AND(#REF!=#REF!,#REF!=#REF!),(IF(AND(#REF!=#REF!,#REF!=#REF!),"","ERROR IN U")),"ERROR IN J")),"ERROR IN T")</f>
        <v>#REF!</v>
      </c>
      <c r="O792" s="4"/>
      <c r="P792" s="4"/>
      <c r="Q792" s="4"/>
      <c r="R792" s="4"/>
      <c r="S792" s="4"/>
    </row>
    <row r="793" spans="1:19" ht="15.95" customHeight="1" x14ac:dyDescent="0.2">
      <c r="A793" s="4"/>
      <c r="B793" s="9">
        <v>132</v>
      </c>
      <c r="C793" s="21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18" t="e">
        <f>IF(AND(L793=L794,L794=L795),(IF(AND(#REF!=#REF!,#REF!=#REF!),(IF(AND(#REF!=#REF!,#REF!=#REF!),"","ERROR IN U")),"ERROR IN J")),"ERROR IN T")</f>
        <v>#REF!</v>
      </c>
      <c r="O793" s="4"/>
      <c r="P793" s="4"/>
      <c r="Q793" s="4"/>
      <c r="R793" s="4"/>
      <c r="S793" s="4"/>
    </row>
    <row r="794" spans="1:19" ht="15.95" customHeight="1" x14ac:dyDescent="0.2">
      <c r="A794" s="4"/>
      <c r="B794" s="9">
        <v>132</v>
      </c>
      <c r="C794" s="21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18" t="e">
        <f>IF(AND(L793=L794,L794=L795),(IF(AND(#REF!=#REF!,#REF!=#REF!),(IF(AND(#REF!=#REF!,#REF!=#REF!),"","ERROR IN U")),"ERROR IN J")),"ERROR IN T")</f>
        <v>#REF!</v>
      </c>
      <c r="O794" s="4"/>
      <c r="P794" s="4"/>
      <c r="Q794" s="4"/>
      <c r="R794" s="4"/>
      <c r="S794" s="4"/>
    </row>
    <row r="795" spans="1:19" ht="15.95" customHeight="1" x14ac:dyDescent="0.2">
      <c r="A795" s="4"/>
      <c r="B795" s="9">
        <v>132</v>
      </c>
      <c r="C795" s="21"/>
      <c r="D795" s="21"/>
      <c r="E795" s="21"/>
      <c r="F795" s="21"/>
      <c r="G795" s="21"/>
      <c r="H795" s="21"/>
      <c r="I795" s="21"/>
      <c r="J795" s="21"/>
      <c r="K795" s="21"/>
      <c r="L795" s="21"/>
      <c r="M795" s="21"/>
      <c r="N795" s="18" t="e">
        <f>IF(AND(L793=L794,L794=L795),(IF(AND(#REF!=#REF!,#REF!=#REF!),(IF(AND(#REF!=#REF!,#REF!=#REF!),"","ERROR IN U")),"ERROR IN J")),"ERROR IN T")</f>
        <v>#REF!</v>
      </c>
      <c r="O795" s="4"/>
      <c r="P795" s="4"/>
      <c r="Q795" s="4"/>
      <c r="R795" s="4"/>
      <c r="S795" s="4"/>
    </row>
    <row r="796" spans="1:19" ht="15.95" customHeight="1" x14ac:dyDescent="0.2">
      <c r="A796" s="4"/>
      <c r="B796" s="9">
        <v>133</v>
      </c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2" t="e">
        <f>IF(AND(L796=L797,L797=L798),(IF(AND(#REF!=#REF!,#REF!=#REF!),(IF(AND(#REF!=#REF!,#REF!=#REF!),"","ERROR IN U")),"ERROR IN J")),"ERROR IN T")</f>
        <v>#REF!</v>
      </c>
      <c r="O796" s="4"/>
      <c r="P796" s="4"/>
      <c r="Q796" s="4"/>
      <c r="R796" s="4"/>
      <c r="S796" s="4"/>
    </row>
    <row r="797" spans="1:19" ht="15.95" customHeight="1" x14ac:dyDescent="0.2">
      <c r="A797" s="4"/>
      <c r="B797" s="9">
        <v>133</v>
      </c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20"/>
      <c r="N797" s="12" t="e">
        <f>IF(AND(L796=L797,L797=L798),(IF(AND(#REF!=#REF!,#REF!=#REF!),(IF(AND(#REF!=#REF!,#REF!=#REF!),"","ERROR IN U")),"ERROR IN J")),"ERROR IN T")</f>
        <v>#REF!</v>
      </c>
      <c r="O797" s="4"/>
      <c r="P797" s="4"/>
      <c r="Q797" s="4"/>
      <c r="R797" s="4"/>
      <c r="S797" s="4"/>
    </row>
    <row r="798" spans="1:19" ht="15.95" customHeight="1" x14ac:dyDescent="0.2">
      <c r="A798" s="4"/>
      <c r="B798" s="9">
        <v>133</v>
      </c>
      <c r="C798" s="19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12" t="e">
        <f>IF(AND(L796=L797,L797=L798),(IF(AND(#REF!=#REF!,#REF!=#REF!),(IF(AND(#REF!=#REF!,#REF!=#REF!),"","ERROR IN U")),"ERROR IN J")),"ERROR IN T")</f>
        <v>#REF!</v>
      </c>
      <c r="O798" s="4"/>
      <c r="P798" s="4"/>
      <c r="Q798" s="4"/>
      <c r="R798" s="4"/>
      <c r="S798" s="4"/>
    </row>
    <row r="799" spans="1:19" ht="15.95" customHeight="1" x14ac:dyDescent="0.2">
      <c r="A799" s="4"/>
      <c r="B799" s="9">
        <v>133</v>
      </c>
      <c r="C799" s="21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18" t="e">
        <f>IF(AND(L799=L800,L800=L801),(IF(AND(#REF!=#REF!,#REF!=#REF!),(IF(AND(#REF!=#REF!,#REF!=#REF!),"","ERROR IN U")),"ERROR IN J")),"ERROR IN T")</f>
        <v>#REF!</v>
      </c>
      <c r="O799" s="4"/>
      <c r="P799" s="4"/>
      <c r="Q799" s="4"/>
      <c r="R799" s="4"/>
      <c r="S799" s="4"/>
    </row>
    <row r="800" spans="1:19" ht="15.95" customHeight="1" x14ac:dyDescent="0.2">
      <c r="A800" s="4"/>
      <c r="B800" s="9">
        <v>133</v>
      </c>
      <c r="C800" s="21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18" t="e">
        <f>IF(AND(L799=L800,L800=L801),(IF(AND(#REF!=#REF!,#REF!=#REF!),(IF(AND(#REF!=#REF!,#REF!=#REF!),"","ERROR IN U")),"ERROR IN J")),"ERROR IN T")</f>
        <v>#REF!</v>
      </c>
      <c r="O800" s="4"/>
      <c r="P800" s="4"/>
      <c r="Q800" s="4"/>
      <c r="R800" s="4"/>
      <c r="S800" s="4"/>
    </row>
    <row r="801" spans="1:19" ht="15.95" customHeight="1" x14ac:dyDescent="0.2">
      <c r="A801" s="4"/>
      <c r="B801" s="9">
        <v>133</v>
      </c>
      <c r="C801" s="21"/>
      <c r="D801" s="21"/>
      <c r="E801" s="21"/>
      <c r="F801" s="21"/>
      <c r="G801" s="21"/>
      <c r="H801" s="21"/>
      <c r="I801" s="21"/>
      <c r="J801" s="21"/>
      <c r="K801" s="21"/>
      <c r="L801" s="21"/>
      <c r="M801" s="21"/>
      <c r="N801" s="18" t="e">
        <f>IF(AND(L799=L800,L800=L801),(IF(AND(#REF!=#REF!,#REF!=#REF!),(IF(AND(#REF!=#REF!,#REF!=#REF!),"","ERROR IN U")),"ERROR IN J")),"ERROR IN T")</f>
        <v>#REF!</v>
      </c>
      <c r="O801" s="4"/>
      <c r="P801" s="4"/>
      <c r="Q801" s="4"/>
      <c r="R801" s="4"/>
      <c r="S801" s="4"/>
    </row>
    <row r="802" spans="1:19" ht="15.95" customHeight="1" x14ac:dyDescent="0.2">
      <c r="A802" s="4"/>
      <c r="B802" s="9">
        <v>134</v>
      </c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2" t="e">
        <f>IF(AND(L802=L803,L803=L804),(IF(AND(#REF!=#REF!,#REF!=#REF!),(IF(AND(#REF!=#REF!,#REF!=#REF!),"","ERROR IN U")),"ERROR IN J")),"ERROR IN T")</f>
        <v>#REF!</v>
      </c>
      <c r="O802" s="4"/>
      <c r="P802" s="4"/>
      <c r="Q802" s="4"/>
      <c r="R802" s="4"/>
      <c r="S802" s="4"/>
    </row>
    <row r="803" spans="1:19" ht="15.95" customHeight="1" x14ac:dyDescent="0.2">
      <c r="A803" s="4"/>
      <c r="B803" s="9">
        <v>134</v>
      </c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20"/>
      <c r="N803" s="12" t="e">
        <f>IF(AND(L802=L803,L803=L804),(IF(AND(#REF!=#REF!,#REF!=#REF!),(IF(AND(#REF!=#REF!,#REF!=#REF!),"","ERROR IN U")),"ERROR IN J")),"ERROR IN T")</f>
        <v>#REF!</v>
      </c>
      <c r="O803" s="4"/>
      <c r="P803" s="4"/>
      <c r="Q803" s="4"/>
      <c r="R803" s="4"/>
      <c r="S803" s="4"/>
    </row>
    <row r="804" spans="1:19" ht="15.95" customHeight="1" x14ac:dyDescent="0.2">
      <c r="A804" s="4"/>
      <c r="B804" s="9">
        <v>134</v>
      </c>
      <c r="C804" s="19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12" t="e">
        <f>IF(AND(L802=L803,L803=L804),(IF(AND(#REF!=#REF!,#REF!=#REF!),(IF(AND(#REF!=#REF!,#REF!=#REF!),"","ERROR IN U")),"ERROR IN J")),"ERROR IN T")</f>
        <v>#REF!</v>
      </c>
      <c r="O804" s="4"/>
      <c r="P804" s="4"/>
      <c r="Q804" s="4"/>
      <c r="R804" s="4"/>
      <c r="S804" s="4"/>
    </row>
    <row r="805" spans="1:19" ht="15.95" customHeight="1" x14ac:dyDescent="0.2">
      <c r="A805" s="4"/>
      <c r="B805" s="9">
        <v>134</v>
      </c>
      <c r="C805" s="21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18" t="e">
        <f>IF(AND(L805=L806,L806=L807),(IF(AND(#REF!=#REF!,#REF!=#REF!),(IF(AND(#REF!=#REF!,#REF!=#REF!),"","ERROR IN U")),"ERROR IN J")),"ERROR IN T")</f>
        <v>#REF!</v>
      </c>
      <c r="O805" s="4"/>
      <c r="P805" s="4"/>
      <c r="Q805" s="4"/>
      <c r="R805" s="4"/>
      <c r="S805" s="4"/>
    </row>
    <row r="806" spans="1:19" ht="15.95" customHeight="1" x14ac:dyDescent="0.2">
      <c r="A806" s="4"/>
      <c r="B806" s="9">
        <v>134</v>
      </c>
      <c r="C806" s="21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18" t="e">
        <f>IF(AND(L805=L806,L806=L807),(IF(AND(#REF!=#REF!,#REF!=#REF!),(IF(AND(#REF!=#REF!,#REF!=#REF!),"","ERROR IN U")),"ERROR IN J")),"ERROR IN T")</f>
        <v>#REF!</v>
      </c>
      <c r="O806" s="4"/>
      <c r="P806" s="4"/>
      <c r="Q806" s="4"/>
      <c r="R806" s="4"/>
      <c r="S806" s="4"/>
    </row>
    <row r="807" spans="1:19" ht="15.95" customHeight="1" x14ac:dyDescent="0.2">
      <c r="A807" s="4"/>
      <c r="B807" s="9">
        <v>134</v>
      </c>
      <c r="C807" s="21"/>
      <c r="D807" s="21"/>
      <c r="E807" s="21"/>
      <c r="F807" s="21"/>
      <c r="G807" s="21"/>
      <c r="H807" s="21"/>
      <c r="I807" s="21"/>
      <c r="J807" s="21"/>
      <c r="K807" s="21"/>
      <c r="L807" s="21"/>
      <c r="M807" s="21"/>
      <c r="N807" s="18" t="e">
        <f>IF(AND(L805=L806,L806=L807),(IF(AND(#REF!=#REF!,#REF!=#REF!),(IF(AND(#REF!=#REF!,#REF!=#REF!),"","ERROR IN U")),"ERROR IN J")),"ERROR IN T")</f>
        <v>#REF!</v>
      </c>
      <c r="O807" s="4"/>
      <c r="P807" s="4"/>
      <c r="Q807" s="4"/>
      <c r="R807" s="4"/>
      <c r="S807" s="4"/>
    </row>
    <row r="808" spans="1:19" ht="15.95" customHeight="1" x14ac:dyDescent="0.2">
      <c r="A808" s="4"/>
      <c r="B808" s="9">
        <v>135</v>
      </c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2" t="e">
        <f>IF(AND(L808=L809,L809=L810),(IF(AND(#REF!=#REF!,#REF!=#REF!),(IF(AND(#REF!=#REF!,#REF!=#REF!),"","ERROR IN U")),"ERROR IN J")),"ERROR IN T")</f>
        <v>#REF!</v>
      </c>
      <c r="O808" s="4"/>
      <c r="P808" s="4"/>
      <c r="Q808" s="4"/>
      <c r="R808" s="4"/>
      <c r="S808" s="4"/>
    </row>
    <row r="809" spans="1:19" ht="15.95" customHeight="1" x14ac:dyDescent="0.2">
      <c r="A809" s="4"/>
      <c r="B809" s="9">
        <v>135</v>
      </c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20"/>
      <c r="N809" s="12" t="e">
        <f>IF(AND(L808=L809,L809=L810),(IF(AND(#REF!=#REF!,#REF!=#REF!),(IF(AND(#REF!=#REF!,#REF!=#REF!),"","ERROR IN U")),"ERROR IN J")),"ERROR IN T")</f>
        <v>#REF!</v>
      </c>
      <c r="O809" s="4"/>
      <c r="P809" s="4"/>
      <c r="Q809" s="4"/>
      <c r="R809" s="4"/>
      <c r="S809" s="4"/>
    </row>
    <row r="810" spans="1:19" ht="15.95" customHeight="1" x14ac:dyDescent="0.2">
      <c r="A810" s="4"/>
      <c r="B810" s="9">
        <v>135</v>
      </c>
      <c r="C810" s="19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12" t="e">
        <f>IF(AND(L808=L809,L809=L810),(IF(AND(#REF!=#REF!,#REF!=#REF!),(IF(AND(#REF!=#REF!,#REF!=#REF!),"","ERROR IN U")),"ERROR IN J")),"ERROR IN T")</f>
        <v>#REF!</v>
      </c>
      <c r="O810" s="4"/>
      <c r="P810" s="4"/>
      <c r="Q810" s="4"/>
      <c r="R810" s="4"/>
      <c r="S810" s="4"/>
    </row>
    <row r="811" spans="1:19" ht="15.95" customHeight="1" x14ac:dyDescent="0.2">
      <c r="A811" s="4"/>
      <c r="B811" s="9">
        <v>135</v>
      </c>
      <c r="C811" s="21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18" t="e">
        <f>IF(AND(L811=L812,L812=L813),(IF(AND(#REF!=#REF!,#REF!=#REF!),(IF(AND(#REF!=#REF!,#REF!=#REF!),"","ERROR IN U")),"ERROR IN J")),"ERROR IN T")</f>
        <v>#REF!</v>
      </c>
      <c r="O811" s="4"/>
      <c r="P811" s="4"/>
      <c r="Q811" s="4"/>
      <c r="R811" s="4"/>
      <c r="S811" s="4"/>
    </row>
    <row r="812" spans="1:19" ht="15.95" customHeight="1" x14ac:dyDescent="0.2">
      <c r="A812" s="4"/>
      <c r="B812" s="9">
        <v>135</v>
      </c>
      <c r="C812" s="21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18" t="e">
        <f>IF(AND(L811=L812,L812=L813),(IF(AND(#REF!=#REF!,#REF!=#REF!),(IF(AND(#REF!=#REF!,#REF!=#REF!),"","ERROR IN U")),"ERROR IN J")),"ERROR IN T")</f>
        <v>#REF!</v>
      </c>
      <c r="O812" s="4"/>
      <c r="P812" s="4"/>
      <c r="Q812" s="4"/>
      <c r="R812" s="4"/>
      <c r="S812" s="4"/>
    </row>
    <row r="813" spans="1:19" ht="15.95" customHeight="1" x14ac:dyDescent="0.2">
      <c r="A813" s="4"/>
      <c r="B813" s="9">
        <v>135</v>
      </c>
      <c r="C813" s="21"/>
      <c r="D813" s="21"/>
      <c r="E813" s="21"/>
      <c r="F813" s="21"/>
      <c r="G813" s="21"/>
      <c r="H813" s="21"/>
      <c r="I813" s="21"/>
      <c r="J813" s="21"/>
      <c r="K813" s="21"/>
      <c r="L813" s="21"/>
      <c r="M813" s="21"/>
      <c r="N813" s="18" t="e">
        <f>IF(AND(L811=L812,L812=L813),(IF(AND(#REF!=#REF!,#REF!=#REF!),(IF(AND(#REF!=#REF!,#REF!=#REF!),"","ERROR IN U")),"ERROR IN J")),"ERROR IN T")</f>
        <v>#REF!</v>
      </c>
      <c r="O813" s="4"/>
      <c r="P813" s="4"/>
      <c r="Q813" s="4"/>
      <c r="R813" s="4"/>
      <c r="S813" s="4"/>
    </row>
    <row r="814" spans="1:19" ht="15.95" customHeight="1" x14ac:dyDescent="0.2">
      <c r="A814" s="4"/>
      <c r="B814" s="9">
        <v>136</v>
      </c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2" t="e">
        <f>IF(AND(L814=L815,L815=L816),(IF(AND(#REF!=#REF!,#REF!=#REF!),(IF(AND(#REF!=#REF!,#REF!=#REF!),"","ERROR IN U")),"ERROR IN J")),"ERROR IN T")</f>
        <v>#REF!</v>
      </c>
      <c r="O814" s="4"/>
      <c r="P814" s="4"/>
      <c r="Q814" s="4"/>
      <c r="R814" s="4"/>
      <c r="S814" s="4"/>
    </row>
    <row r="815" spans="1:19" ht="15.95" customHeight="1" x14ac:dyDescent="0.2">
      <c r="A815" s="4"/>
      <c r="B815" s="9">
        <v>136</v>
      </c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20"/>
      <c r="N815" s="12" t="e">
        <f>IF(AND(L814=L815,L815=L816),(IF(AND(#REF!=#REF!,#REF!=#REF!),(IF(AND(#REF!=#REF!,#REF!=#REF!),"","ERROR IN U")),"ERROR IN J")),"ERROR IN T")</f>
        <v>#REF!</v>
      </c>
      <c r="O815" s="4"/>
      <c r="P815" s="4"/>
      <c r="Q815" s="4"/>
      <c r="R815" s="4"/>
      <c r="S815" s="4"/>
    </row>
    <row r="816" spans="1:19" ht="15.95" customHeight="1" x14ac:dyDescent="0.2">
      <c r="A816" s="4"/>
      <c r="B816" s="9">
        <v>136</v>
      </c>
      <c r="C816" s="19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12" t="e">
        <f>IF(AND(L814=L815,L815=L816),(IF(AND(#REF!=#REF!,#REF!=#REF!),(IF(AND(#REF!=#REF!,#REF!=#REF!),"","ERROR IN U")),"ERROR IN J")),"ERROR IN T")</f>
        <v>#REF!</v>
      </c>
      <c r="O816" s="4"/>
      <c r="P816" s="4"/>
      <c r="Q816" s="4"/>
      <c r="R816" s="4"/>
      <c r="S816" s="4"/>
    </row>
    <row r="817" spans="1:19" ht="15.95" customHeight="1" x14ac:dyDescent="0.2">
      <c r="A817" s="4"/>
      <c r="B817" s="9">
        <v>136</v>
      </c>
      <c r="C817" s="21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18" t="e">
        <f>IF(AND(L817=L818,L818=L819),(IF(AND(#REF!=#REF!,#REF!=#REF!),(IF(AND(#REF!=#REF!,#REF!=#REF!),"","ERROR IN U")),"ERROR IN J")),"ERROR IN T")</f>
        <v>#REF!</v>
      </c>
      <c r="O817" s="4"/>
      <c r="P817" s="4"/>
      <c r="Q817" s="4"/>
      <c r="R817" s="4"/>
      <c r="S817" s="4"/>
    </row>
    <row r="818" spans="1:19" ht="15.95" customHeight="1" x14ac:dyDescent="0.2">
      <c r="A818" s="4"/>
      <c r="B818" s="9">
        <v>136</v>
      </c>
      <c r="C818" s="21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18" t="e">
        <f>IF(AND(L817=L818,L818=L819),(IF(AND(#REF!=#REF!,#REF!=#REF!),(IF(AND(#REF!=#REF!,#REF!=#REF!),"","ERROR IN U")),"ERROR IN J")),"ERROR IN T")</f>
        <v>#REF!</v>
      </c>
      <c r="O818" s="4"/>
      <c r="P818" s="4"/>
      <c r="Q818" s="4"/>
      <c r="R818" s="4"/>
      <c r="S818" s="4"/>
    </row>
    <row r="819" spans="1:19" ht="15.95" customHeight="1" x14ac:dyDescent="0.2">
      <c r="A819" s="4"/>
      <c r="B819" s="9">
        <v>136</v>
      </c>
      <c r="C819" s="21"/>
      <c r="D819" s="21"/>
      <c r="E819" s="21"/>
      <c r="F819" s="21"/>
      <c r="G819" s="21"/>
      <c r="H819" s="21"/>
      <c r="I819" s="21"/>
      <c r="J819" s="21"/>
      <c r="K819" s="21"/>
      <c r="L819" s="21"/>
      <c r="M819" s="21"/>
      <c r="N819" s="18" t="e">
        <f>IF(AND(L817=L818,L818=L819),(IF(AND(#REF!=#REF!,#REF!=#REF!),(IF(AND(#REF!=#REF!,#REF!=#REF!),"","ERROR IN U")),"ERROR IN J")),"ERROR IN T")</f>
        <v>#REF!</v>
      </c>
      <c r="O819" s="4"/>
      <c r="P819" s="4"/>
      <c r="Q819" s="4"/>
      <c r="R819" s="4"/>
      <c r="S819" s="4"/>
    </row>
    <row r="820" spans="1:19" ht="15.95" customHeight="1" x14ac:dyDescent="0.2">
      <c r="A820" s="4"/>
      <c r="B820" s="9">
        <v>137</v>
      </c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 t="e">
        <f>IF(AND(L820=L821,L821=L822),(IF(AND(#REF!=#REF!,#REF!=#REF!),(IF(AND(#REF!=#REF!,#REF!=#REF!),"","ERROR IN U")),"ERROR IN J")),"ERROR IN T")</f>
        <v>#REF!</v>
      </c>
      <c r="O820" s="4"/>
      <c r="P820" s="4"/>
      <c r="Q820" s="4"/>
      <c r="R820" s="4"/>
      <c r="S820" s="4"/>
    </row>
    <row r="821" spans="1:19" ht="15.95" customHeight="1" x14ac:dyDescent="0.2">
      <c r="A821" s="4"/>
      <c r="B821" s="9">
        <v>137</v>
      </c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 t="e">
        <f>IF(AND(L820=L821,L821=L822),(IF(AND(#REF!=#REF!,#REF!=#REF!),(IF(AND(#REF!=#REF!,#REF!=#REF!),"","ERROR IN U")),"ERROR IN J")),"ERROR IN T")</f>
        <v>#REF!</v>
      </c>
      <c r="O821" s="4"/>
      <c r="P821" s="4"/>
      <c r="Q821" s="4"/>
      <c r="R821" s="4"/>
      <c r="S821" s="4"/>
    </row>
    <row r="822" spans="1:19" ht="15.95" customHeight="1" x14ac:dyDescent="0.2">
      <c r="A822" s="4"/>
      <c r="B822" s="9">
        <v>137</v>
      </c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 t="e">
        <f>IF(AND(L820=L821,L821=L822),(IF(AND(#REF!=#REF!,#REF!=#REF!),(IF(AND(#REF!=#REF!,#REF!=#REF!),"","ERROR IN U")),"ERROR IN J")),"ERROR IN T")</f>
        <v>#REF!</v>
      </c>
      <c r="O822" s="4"/>
      <c r="P822" s="4"/>
      <c r="Q822" s="4"/>
      <c r="R822" s="4"/>
      <c r="S822" s="4"/>
    </row>
    <row r="823" spans="1:19" ht="15.95" customHeight="1" x14ac:dyDescent="0.2">
      <c r="A823" s="4"/>
      <c r="B823" s="9">
        <v>137</v>
      </c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 t="e">
        <f>IF(AND(L823=L824,L824=L825),(IF(AND(#REF!=#REF!,#REF!=#REF!),(IF(AND(#REF!=#REF!,#REF!=#REF!),"","ERROR IN U")),"ERROR IN J")),"ERROR IN T")</f>
        <v>#REF!</v>
      </c>
      <c r="O823" s="4"/>
      <c r="P823" s="4"/>
      <c r="Q823" s="4"/>
      <c r="R823" s="4"/>
      <c r="S823" s="4"/>
    </row>
    <row r="824" spans="1:19" ht="15.95" customHeight="1" x14ac:dyDescent="0.2">
      <c r="A824" s="4"/>
      <c r="B824" s="9">
        <v>137</v>
      </c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 t="e">
        <f>IF(AND(L823=L824,L824=L825),(IF(AND(#REF!=#REF!,#REF!=#REF!),(IF(AND(#REF!=#REF!,#REF!=#REF!),"","ERROR IN U")),"ERROR IN J")),"ERROR IN T")</f>
        <v>#REF!</v>
      </c>
      <c r="O824" s="4"/>
      <c r="P824" s="4"/>
      <c r="Q824" s="4"/>
      <c r="R824" s="4"/>
      <c r="S824" s="4"/>
    </row>
    <row r="825" spans="1:19" ht="15.95" customHeight="1" x14ac:dyDescent="0.2">
      <c r="A825" s="4"/>
      <c r="B825" s="9">
        <v>137</v>
      </c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 t="e">
        <f>IF(AND(L823=L824,L824=L825),(IF(AND(#REF!=#REF!,#REF!=#REF!),(IF(AND(#REF!=#REF!,#REF!=#REF!),"","ERROR IN U")),"ERROR IN J")),"ERROR IN T")</f>
        <v>#REF!</v>
      </c>
      <c r="O825" s="4"/>
      <c r="P825" s="4"/>
      <c r="Q825" s="4"/>
      <c r="R825" s="4"/>
      <c r="S825" s="4"/>
    </row>
    <row r="826" spans="1:19" ht="15.95" customHeight="1" x14ac:dyDescent="0.2">
      <c r="A826" s="4"/>
      <c r="B826" s="9">
        <v>138</v>
      </c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2" t="e">
        <f>IF(AND(L826=L827,L827=L828),(IF(AND(#REF!=#REF!,#REF!=#REF!),(IF(AND(#REF!=#REF!,#REF!=#REF!),"","ERROR IN U")),"ERROR IN J")),"ERROR IN T")</f>
        <v>#REF!</v>
      </c>
      <c r="O826" s="4"/>
      <c r="P826" s="4"/>
      <c r="Q826" s="4"/>
      <c r="R826" s="4"/>
      <c r="S826" s="4"/>
    </row>
    <row r="827" spans="1:19" ht="15.95" customHeight="1" x14ac:dyDescent="0.2">
      <c r="A827" s="4"/>
      <c r="B827" s="9">
        <v>138</v>
      </c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20"/>
      <c r="N827" s="12" t="e">
        <f>IF(AND(L826=L827,L827=L828),(IF(AND(#REF!=#REF!,#REF!=#REF!),(IF(AND(#REF!=#REF!,#REF!=#REF!),"","ERROR IN U")),"ERROR IN J")),"ERROR IN T")</f>
        <v>#REF!</v>
      </c>
      <c r="O827" s="4"/>
      <c r="P827" s="4"/>
      <c r="Q827" s="4"/>
      <c r="R827" s="4"/>
      <c r="S827" s="4"/>
    </row>
    <row r="828" spans="1:19" ht="15.95" customHeight="1" x14ac:dyDescent="0.2">
      <c r="A828" s="4"/>
      <c r="B828" s="9">
        <v>138</v>
      </c>
      <c r="C828" s="19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12" t="e">
        <f>IF(AND(L826=L827,L827=L828),(IF(AND(#REF!=#REF!,#REF!=#REF!),(IF(AND(#REF!=#REF!,#REF!=#REF!),"","ERROR IN U")),"ERROR IN J")),"ERROR IN T")</f>
        <v>#REF!</v>
      </c>
      <c r="O828" s="4"/>
      <c r="P828" s="4"/>
      <c r="Q828" s="4"/>
      <c r="R828" s="4"/>
      <c r="S828" s="4"/>
    </row>
    <row r="829" spans="1:19" ht="15.95" customHeight="1" x14ac:dyDescent="0.2">
      <c r="A829" s="4"/>
      <c r="B829" s="9">
        <v>138</v>
      </c>
      <c r="C829" s="21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18" t="e">
        <f>IF(AND(L829=L830,L830=L831),(IF(AND(#REF!=#REF!,#REF!=#REF!),(IF(AND(#REF!=#REF!,#REF!=#REF!),"","ERROR IN U")),"ERROR IN J")),"ERROR IN T")</f>
        <v>#REF!</v>
      </c>
      <c r="O829" s="4"/>
      <c r="P829" s="4"/>
      <c r="Q829" s="4"/>
      <c r="R829" s="4"/>
      <c r="S829" s="4"/>
    </row>
    <row r="830" spans="1:19" ht="15.95" customHeight="1" x14ac:dyDescent="0.2">
      <c r="A830" s="4"/>
      <c r="B830" s="9">
        <v>138</v>
      </c>
      <c r="C830" s="21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18" t="e">
        <f>IF(AND(L829=L830,L830=L831),(IF(AND(#REF!=#REF!,#REF!=#REF!),(IF(AND(#REF!=#REF!,#REF!=#REF!),"","ERROR IN U")),"ERROR IN J")),"ERROR IN T")</f>
        <v>#REF!</v>
      </c>
      <c r="O830" s="4"/>
      <c r="P830" s="4"/>
      <c r="Q830" s="4"/>
      <c r="R830" s="4"/>
      <c r="S830" s="4"/>
    </row>
    <row r="831" spans="1:19" ht="15.95" customHeight="1" x14ac:dyDescent="0.2">
      <c r="A831" s="4"/>
      <c r="B831" s="9">
        <v>138</v>
      </c>
      <c r="C831" s="21"/>
      <c r="D831" s="21"/>
      <c r="E831" s="21"/>
      <c r="F831" s="21"/>
      <c r="G831" s="21"/>
      <c r="H831" s="21"/>
      <c r="I831" s="21"/>
      <c r="J831" s="21"/>
      <c r="K831" s="21"/>
      <c r="L831" s="21"/>
      <c r="M831" s="21"/>
      <c r="N831" s="18" t="e">
        <f>IF(AND(L829=L830,L830=L831),(IF(AND(#REF!=#REF!,#REF!=#REF!),(IF(AND(#REF!=#REF!,#REF!=#REF!),"","ERROR IN U")),"ERROR IN J")),"ERROR IN T")</f>
        <v>#REF!</v>
      </c>
      <c r="O831" s="4"/>
      <c r="P831" s="4"/>
      <c r="Q831" s="4"/>
      <c r="R831" s="4"/>
      <c r="S831" s="4"/>
    </row>
    <row r="832" spans="1:19" ht="15.95" customHeight="1" x14ac:dyDescent="0.2">
      <c r="A832" s="4"/>
      <c r="B832" s="9">
        <v>139</v>
      </c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2" t="e">
        <f>IF(AND(L832=L833,L833=L834),(IF(AND(#REF!=#REF!,#REF!=#REF!),(IF(AND(#REF!=#REF!,#REF!=#REF!),"","ERROR IN U")),"ERROR IN J")),"ERROR IN T")</f>
        <v>#REF!</v>
      </c>
      <c r="O832" s="4"/>
      <c r="P832" s="4"/>
      <c r="Q832" s="4"/>
      <c r="R832" s="4"/>
      <c r="S832" s="4"/>
    </row>
    <row r="833" spans="1:19" ht="15.95" customHeight="1" x14ac:dyDescent="0.2">
      <c r="A833" s="4"/>
      <c r="B833" s="9">
        <v>139</v>
      </c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20"/>
      <c r="N833" s="12" t="e">
        <f>IF(AND(L832=L833,L833=L834),(IF(AND(#REF!=#REF!,#REF!=#REF!),(IF(AND(#REF!=#REF!,#REF!=#REF!),"","ERROR IN U")),"ERROR IN J")),"ERROR IN T")</f>
        <v>#REF!</v>
      </c>
      <c r="O833" s="4"/>
      <c r="P833" s="4"/>
      <c r="Q833" s="4"/>
      <c r="R833" s="4"/>
      <c r="S833" s="4"/>
    </row>
    <row r="834" spans="1:19" ht="15.95" customHeight="1" x14ac:dyDescent="0.2">
      <c r="A834" s="4"/>
      <c r="B834" s="9">
        <v>139</v>
      </c>
      <c r="C834" s="19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12" t="e">
        <f>IF(AND(L832=L833,L833=L834),(IF(AND(#REF!=#REF!,#REF!=#REF!),(IF(AND(#REF!=#REF!,#REF!=#REF!),"","ERROR IN U")),"ERROR IN J")),"ERROR IN T")</f>
        <v>#REF!</v>
      </c>
      <c r="O834" s="4"/>
      <c r="P834" s="4"/>
      <c r="Q834" s="4"/>
      <c r="R834" s="4"/>
      <c r="S834" s="4"/>
    </row>
    <row r="835" spans="1:19" ht="15.95" customHeight="1" x14ac:dyDescent="0.2">
      <c r="A835" s="4"/>
      <c r="B835" s="9">
        <v>139</v>
      </c>
      <c r="C835" s="21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18" t="e">
        <f>IF(AND(L835=L836,L836=L837),(IF(AND(#REF!=#REF!,#REF!=#REF!),(IF(AND(#REF!=#REF!,#REF!=#REF!),"","ERROR IN U")),"ERROR IN J")),"ERROR IN T")</f>
        <v>#REF!</v>
      </c>
      <c r="O835" s="4"/>
      <c r="P835" s="4"/>
      <c r="Q835" s="4"/>
      <c r="R835" s="4"/>
      <c r="S835" s="4"/>
    </row>
    <row r="836" spans="1:19" ht="15.95" customHeight="1" x14ac:dyDescent="0.2">
      <c r="A836" s="4"/>
      <c r="B836" s="9">
        <v>139</v>
      </c>
      <c r="C836" s="21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18" t="e">
        <f>IF(AND(L835=L836,L836=L837),(IF(AND(#REF!=#REF!,#REF!=#REF!),(IF(AND(#REF!=#REF!,#REF!=#REF!),"","ERROR IN U")),"ERROR IN J")),"ERROR IN T")</f>
        <v>#REF!</v>
      </c>
      <c r="O836" s="4"/>
      <c r="P836" s="4"/>
      <c r="Q836" s="4"/>
      <c r="R836" s="4"/>
      <c r="S836" s="4"/>
    </row>
    <row r="837" spans="1:19" ht="15.95" customHeight="1" x14ac:dyDescent="0.2">
      <c r="A837" s="4"/>
      <c r="B837" s="9">
        <v>139</v>
      </c>
      <c r="C837" s="21"/>
      <c r="D837" s="21"/>
      <c r="E837" s="21"/>
      <c r="F837" s="21"/>
      <c r="G837" s="21"/>
      <c r="H837" s="21"/>
      <c r="I837" s="21"/>
      <c r="J837" s="21"/>
      <c r="K837" s="21"/>
      <c r="L837" s="21"/>
      <c r="M837" s="21"/>
      <c r="N837" s="18" t="e">
        <f>IF(AND(L835=L836,L836=L837),(IF(AND(#REF!=#REF!,#REF!=#REF!),(IF(AND(#REF!=#REF!,#REF!=#REF!),"","ERROR IN U")),"ERROR IN J")),"ERROR IN T")</f>
        <v>#REF!</v>
      </c>
      <c r="O837" s="4"/>
      <c r="P837" s="4"/>
      <c r="Q837" s="4"/>
      <c r="R837" s="4"/>
      <c r="S837" s="4"/>
    </row>
    <row r="838" spans="1:19" ht="15.95" customHeight="1" x14ac:dyDescent="0.2">
      <c r="A838" s="4"/>
      <c r="B838" s="9">
        <v>140</v>
      </c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2" t="e">
        <f>IF(AND(L838=L839,L839=L840),(IF(AND(#REF!=#REF!,#REF!=#REF!),(IF(AND(#REF!=#REF!,#REF!=#REF!),"","ERROR IN U")),"ERROR IN J")),"ERROR IN T")</f>
        <v>#REF!</v>
      </c>
      <c r="O838" s="4"/>
      <c r="P838" s="4"/>
      <c r="Q838" s="4"/>
      <c r="R838" s="4"/>
      <c r="S838" s="4"/>
    </row>
    <row r="839" spans="1:19" ht="15.95" customHeight="1" x14ac:dyDescent="0.2">
      <c r="A839" s="4"/>
      <c r="B839" s="9">
        <v>140</v>
      </c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20"/>
      <c r="N839" s="12" t="e">
        <f>IF(AND(L838=L839,L839=L840),(IF(AND(#REF!=#REF!,#REF!=#REF!),(IF(AND(#REF!=#REF!,#REF!=#REF!),"","ERROR IN U")),"ERROR IN J")),"ERROR IN T")</f>
        <v>#REF!</v>
      </c>
      <c r="O839" s="4"/>
      <c r="P839" s="4"/>
      <c r="Q839" s="4"/>
      <c r="R839" s="4"/>
      <c r="S839" s="4"/>
    </row>
    <row r="840" spans="1:19" ht="15.95" customHeight="1" x14ac:dyDescent="0.2">
      <c r="A840" s="4"/>
      <c r="B840" s="9">
        <v>140</v>
      </c>
      <c r="C840" s="19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12" t="e">
        <f>IF(AND(L838=L839,L839=L840),(IF(AND(#REF!=#REF!,#REF!=#REF!),(IF(AND(#REF!=#REF!,#REF!=#REF!),"","ERROR IN U")),"ERROR IN J")),"ERROR IN T")</f>
        <v>#REF!</v>
      </c>
      <c r="O840" s="4"/>
      <c r="P840" s="4"/>
      <c r="Q840" s="4"/>
      <c r="R840" s="4"/>
      <c r="S840" s="4"/>
    </row>
    <row r="841" spans="1:19" ht="15.95" customHeight="1" x14ac:dyDescent="0.2">
      <c r="A841" s="4"/>
      <c r="B841" s="9">
        <v>140</v>
      </c>
      <c r="C841" s="21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18" t="e">
        <f>IF(AND(L841=L842,L842=L843),(IF(AND(#REF!=#REF!,#REF!=#REF!),(IF(AND(#REF!=#REF!,#REF!=#REF!),"","ERROR IN U")),"ERROR IN J")),"ERROR IN T")</f>
        <v>#REF!</v>
      </c>
      <c r="O841" s="4"/>
      <c r="P841" s="4"/>
      <c r="Q841" s="4"/>
      <c r="R841" s="4"/>
      <c r="S841" s="4"/>
    </row>
    <row r="842" spans="1:19" ht="15.95" customHeight="1" x14ac:dyDescent="0.2">
      <c r="A842" s="4"/>
      <c r="B842" s="9">
        <v>140</v>
      </c>
      <c r="C842" s="21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18" t="e">
        <f>IF(AND(L841=L842,L842=L843),(IF(AND(#REF!=#REF!,#REF!=#REF!),(IF(AND(#REF!=#REF!,#REF!=#REF!),"","ERROR IN U")),"ERROR IN J")),"ERROR IN T")</f>
        <v>#REF!</v>
      </c>
      <c r="O842" s="4"/>
      <c r="P842" s="4"/>
      <c r="Q842" s="4"/>
      <c r="R842" s="4"/>
      <c r="S842" s="4"/>
    </row>
    <row r="843" spans="1:19" ht="15.95" customHeight="1" x14ac:dyDescent="0.2">
      <c r="A843" s="4"/>
      <c r="B843" s="9">
        <v>140</v>
      </c>
      <c r="C843" s="21"/>
      <c r="D843" s="21"/>
      <c r="E843" s="21"/>
      <c r="F843" s="21"/>
      <c r="G843" s="21"/>
      <c r="H843" s="21"/>
      <c r="I843" s="21"/>
      <c r="J843" s="21"/>
      <c r="K843" s="21"/>
      <c r="L843" s="21"/>
      <c r="M843" s="21"/>
      <c r="N843" s="18" t="e">
        <f>IF(AND(L841=L842,L842=L843),(IF(AND(#REF!=#REF!,#REF!=#REF!),(IF(AND(#REF!=#REF!,#REF!=#REF!),"","ERROR IN U")),"ERROR IN J")),"ERROR IN T")</f>
        <v>#REF!</v>
      </c>
      <c r="O843" s="4"/>
      <c r="P843" s="4"/>
      <c r="Q843" s="4"/>
      <c r="R843" s="4"/>
      <c r="S843" s="4"/>
    </row>
    <row r="844" spans="1:19" ht="15.95" customHeight="1" x14ac:dyDescent="0.2">
      <c r="A844" s="4"/>
      <c r="B844" s="9">
        <v>141</v>
      </c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2" t="e">
        <f>IF(AND(L844=L845,L845=L846),(IF(AND(#REF!=#REF!,#REF!=#REF!),(IF(AND(#REF!=#REF!,#REF!=#REF!),"","ERROR IN U")),"ERROR IN J")),"ERROR IN T")</f>
        <v>#REF!</v>
      </c>
      <c r="O844" s="4"/>
      <c r="P844" s="4"/>
      <c r="Q844" s="4"/>
      <c r="R844" s="4"/>
      <c r="S844" s="4"/>
    </row>
    <row r="845" spans="1:19" ht="15.95" customHeight="1" x14ac:dyDescent="0.2">
      <c r="A845" s="4"/>
      <c r="B845" s="9">
        <v>141</v>
      </c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20"/>
      <c r="N845" s="12" t="e">
        <f>IF(AND(L844=L845,L845=L846),(IF(AND(#REF!=#REF!,#REF!=#REF!),(IF(AND(#REF!=#REF!,#REF!=#REF!),"","ERROR IN U")),"ERROR IN J")),"ERROR IN T")</f>
        <v>#REF!</v>
      </c>
      <c r="O845" s="4"/>
      <c r="P845" s="4"/>
      <c r="Q845" s="4"/>
      <c r="R845" s="4"/>
      <c r="S845" s="4"/>
    </row>
    <row r="846" spans="1:19" ht="15.95" customHeight="1" x14ac:dyDescent="0.2">
      <c r="A846" s="4"/>
      <c r="B846" s="9">
        <v>141</v>
      </c>
      <c r="C846" s="19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12" t="e">
        <f>IF(AND(L844=L845,L845=L846),(IF(AND(#REF!=#REF!,#REF!=#REF!),(IF(AND(#REF!=#REF!,#REF!=#REF!),"","ERROR IN U")),"ERROR IN J")),"ERROR IN T")</f>
        <v>#REF!</v>
      </c>
      <c r="O846" s="4"/>
      <c r="P846" s="4"/>
      <c r="Q846" s="4"/>
      <c r="R846" s="4"/>
      <c r="S846" s="4"/>
    </row>
    <row r="847" spans="1:19" ht="15.95" customHeight="1" x14ac:dyDescent="0.2">
      <c r="A847" s="4"/>
      <c r="B847" s="9">
        <v>141</v>
      </c>
      <c r="C847" s="21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18" t="e">
        <f>IF(AND(L847=L848,L848=L849),(IF(AND(#REF!=#REF!,#REF!=#REF!),(IF(AND(#REF!=#REF!,#REF!=#REF!),"","ERROR IN U")),"ERROR IN J")),"ERROR IN T")</f>
        <v>#REF!</v>
      </c>
      <c r="O847" s="4"/>
      <c r="P847" s="4"/>
      <c r="Q847" s="4"/>
      <c r="R847" s="4"/>
      <c r="S847" s="4"/>
    </row>
    <row r="848" spans="1:19" ht="15.95" customHeight="1" x14ac:dyDescent="0.2">
      <c r="A848" s="4"/>
      <c r="B848" s="9">
        <v>141</v>
      </c>
      <c r="C848" s="21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18" t="e">
        <f>IF(AND(L847=L848,L848=L849),(IF(AND(#REF!=#REF!,#REF!=#REF!),(IF(AND(#REF!=#REF!,#REF!=#REF!),"","ERROR IN U")),"ERROR IN J")),"ERROR IN T")</f>
        <v>#REF!</v>
      </c>
      <c r="O848" s="4"/>
      <c r="P848" s="4"/>
      <c r="Q848" s="4"/>
      <c r="R848" s="4"/>
      <c r="S848" s="4"/>
    </row>
    <row r="849" spans="1:19" ht="15.95" customHeight="1" x14ac:dyDescent="0.2">
      <c r="A849" s="4"/>
      <c r="B849" s="9">
        <v>141</v>
      </c>
      <c r="C849" s="21"/>
      <c r="D849" s="21"/>
      <c r="E849" s="21"/>
      <c r="F849" s="21"/>
      <c r="G849" s="21"/>
      <c r="H849" s="21"/>
      <c r="I849" s="21"/>
      <c r="J849" s="21"/>
      <c r="K849" s="21"/>
      <c r="L849" s="21"/>
      <c r="M849" s="21"/>
      <c r="N849" s="18" t="e">
        <f>IF(AND(L847=L848,L848=L849),(IF(AND(#REF!=#REF!,#REF!=#REF!),(IF(AND(#REF!=#REF!,#REF!=#REF!),"","ERROR IN U")),"ERROR IN J")),"ERROR IN T")</f>
        <v>#REF!</v>
      </c>
      <c r="O849" s="4"/>
      <c r="P849" s="4"/>
      <c r="Q849" s="4"/>
      <c r="R849" s="4"/>
      <c r="S849" s="4"/>
    </row>
    <row r="850" spans="1:19" ht="15.95" customHeight="1" x14ac:dyDescent="0.2">
      <c r="A850" s="4"/>
      <c r="B850" s="9">
        <v>142</v>
      </c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2" t="e">
        <f>IF(AND(L850=L851,L851=L852),(IF(AND(#REF!=#REF!,#REF!=#REF!),(IF(AND(#REF!=#REF!,#REF!=#REF!),"","ERROR IN U")),"ERROR IN J")),"ERROR IN T")</f>
        <v>#REF!</v>
      </c>
      <c r="O850" s="4"/>
      <c r="P850" s="4"/>
      <c r="Q850" s="4"/>
      <c r="R850" s="4"/>
      <c r="S850" s="4"/>
    </row>
    <row r="851" spans="1:19" ht="15.95" customHeight="1" x14ac:dyDescent="0.2">
      <c r="A851" s="4"/>
      <c r="B851" s="9">
        <v>142</v>
      </c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20"/>
      <c r="N851" s="12" t="e">
        <f>IF(AND(L850=L851,L851=L852),(IF(AND(#REF!=#REF!,#REF!=#REF!),(IF(AND(#REF!=#REF!,#REF!=#REF!),"","ERROR IN U")),"ERROR IN J")),"ERROR IN T")</f>
        <v>#REF!</v>
      </c>
      <c r="O851" s="4"/>
      <c r="P851" s="4"/>
      <c r="Q851" s="4"/>
      <c r="R851" s="4"/>
      <c r="S851" s="4"/>
    </row>
    <row r="852" spans="1:19" ht="15.95" customHeight="1" x14ac:dyDescent="0.2">
      <c r="A852" s="4"/>
      <c r="B852" s="9">
        <v>142</v>
      </c>
      <c r="C852" s="19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12" t="e">
        <f>IF(AND(L850=L851,L851=L852),(IF(AND(#REF!=#REF!,#REF!=#REF!),(IF(AND(#REF!=#REF!,#REF!=#REF!),"","ERROR IN U")),"ERROR IN J")),"ERROR IN T")</f>
        <v>#REF!</v>
      </c>
      <c r="O852" s="4"/>
      <c r="P852" s="4"/>
      <c r="Q852" s="4"/>
      <c r="R852" s="4"/>
      <c r="S852" s="4"/>
    </row>
    <row r="853" spans="1:19" ht="15.95" customHeight="1" x14ac:dyDescent="0.2">
      <c r="A853" s="4"/>
      <c r="B853" s="9">
        <v>142</v>
      </c>
      <c r="C853" s="21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18" t="e">
        <f>IF(AND(L853=L854,L854=L855),(IF(AND(#REF!=#REF!,#REF!=#REF!),(IF(AND(#REF!=#REF!,#REF!=#REF!),"","ERROR IN U")),"ERROR IN J")),"ERROR IN T")</f>
        <v>#REF!</v>
      </c>
      <c r="O853" s="4"/>
      <c r="P853" s="4"/>
      <c r="Q853" s="4"/>
      <c r="R853" s="4"/>
      <c r="S853" s="4"/>
    </row>
    <row r="854" spans="1:19" ht="15.95" customHeight="1" x14ac:dyDescent="0.2">
      <c r="A854" s="4"/>
      <c r="B854" s="9">
        <v>142</v>
      </c>
      <c r="C854" s="21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18" t="e">
        <f>IF(AND(L853=L854,L854=L855),(IF(AND(#REF!=#REF!,#REF!=#REF!),(IF(AND(#REF!=#REF!,#REF!=#REF!),"","ERROR IN U")),"ERROR IN J")),"ERROR IN T")</f>
        <v>#REF!</v>
      </c>
      <c r="O854" s="4"/>
      <c r="P854" s="4"/>
      <c r="Q854" s="4"/>
      <c r="R854" s="4"/>
      <c r="S854" s="4"/>
    </row>
    <row r="855" spans="1:19" ht="15.95" customHeight="1" x14ac:dyDescent="0.2">
      <c r="A855" s="4"/>
      <c r="B855" s="9">
        <v>142</v>
      </c>
      <c r="C855" s="21"/>
      <c r="D855" s="21"/>
      <c r="E855" s="21"/>
      <c r="F855" s="21"/>
      <c r="G855" s="21"/>
      <c r="H855" s="21"/>
      <c r="I855" s="21"/>
      <c r="J855" s="21"/>
      <c r="K855" s="21"/>
      <c r="L855" s="21"/>
      <c r="M855" s="21"/>
      <c r="N855" s="18" t="e">
        <f>IF(AND(L853=L854,L854=L855),(IF(AND(#REF!=#REF!,#REF!=#REF!),(IF(AND(#REF!=#REF!,#REF!=#REF!),"","ERROR IN U")),"ERROR IN J")),"ERROR IN T")</f>
        <v>#REF!</v>
      </c>
      <c r="O855" s="4"/>
      <c r="P855" s="4"/>
      <c r="Q855" s="4"/>
      <c r="R855" s="4"/>
      <c r="S855" s="4"/>
    </row>
    <row r="856" spans="1:19" ht="15.95" customHeight="1" x14ac:dyDescent="0.2">
      <c r="A856" s="4"/>
      <c r="B856" s="9">
        <v>143</v>
      </c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 t="e">
        <f>IF(AND(L856=L857,L857=L858),(IF(AND(#REF!=#REF!,#REF!=#REF!),(IF(AND(#REF!=#REF!,#REF!=#REF!),"","ERROR IN U")),"ERROR IN J")),"ERROR IN T")</f>
        <v>#REF!</v>
      </c>
      <c r="O856" s="4"/>
      <c r="P856" s="4"/>
      <c r="Q856" s="4"/>
      <c r="R856" s="4"/>
      <c r="S856" s="4"/>
    </row>
    <row r="857" spans="1:19" ht="15.95" customHeight="1" x14ac:dyDescent="0.2">
      <c r="A857" s="4"/>
      <c r="B857" s="9">
        <v>143</v>
      </c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 t="e">
        <f>IF(AND(L856=L857,L857=L858),(IF(AND(#REF!=#REF!,#REF!=#REF!),(IF(AND(#REF!=#REF!,#REF!=#REF!),"","ERROR IN U")),"ERROR IN J")),"ERROR IN T")</f>
        <v>#REF!</v>
      </c>
      <c r="O857" s="4"/>
      <c r="P857" s="4"/>
      <c r="Q857" s="4"/>
      <c r="R857" s="4"/>
      <c r="S857" s="4"/>
    </row>
    <row r="858" spans="1:19" ht="15.95" customHeight="1" x14ac:dyDescent="0.2">
      <c r="A858" s="4"/>
      <c r="B858" s="9">
        <v>143</v>
      </c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 t="e">
        <f>IF(AND(L856=L857,L857=L858),(IF(AND(#REF!=#REF!,#REF!=#REF!),(IF(AND(#REF!=#REF!,#REF!=#REF!),"","ERROR IN U")),"ERROR IN J")),"ERROR IN T")</f>
        <v>#REF!</v>
      </c>
      <c r="O858" s="4"/>
      <c r="P858" s="4"/>
      <c r="Q858" s="4"/>
      <c r="R858" s="4"/>
      <c r="S858" s="4"/>
    </row>
    <row r="859" spans="1:19" ht="15.95" customHeight="1" x14ac:dyDescent="0.2">
      <c r="A859" s="4"/>
      <c r="B859" s="9">
        <v>143</v>
      </c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 t="e">
        <f>IF(AND(L859=L860,L860=L861),(IF(AND(#REF!=#REF!,#REF!=#REF!),(IF(AND(#REF!=#REF!,#REF!=#REF!),"","ERROR IN U")),"ERROR IN J")),"ERROR IN T")</f>
        <v>#REF!</v>
      </c>
      <c r="O859" s="4"/>
      <c r="P859" s="4"/>
      <c r="Q859" s="4"/>
      <c r="R859" s="4"/>
      <c r="S859" s="4"/>
    </row>
    <row r="860" spans="1:19" ht="15.95" customHeight="1" x14ac:dyDescent="0.2">
      <c r="A860" s="4"/>
      <c r="B860" s="9">
        <v>143</v>
      </c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 t="e">
        <f>IF(AND(L859=L860,L860=L861),(IF(AND(#REF!=#REF!,#REF!=#REF!),(IF(AND(#REF!=#REF!,#REF!=#REF!),"","ERROR IN U")),"ERROR IN J")),"ERROR IN T")</f>
        <v>#REF!</v>
      </c>
      <c r="O860" s="4"/>
      <c r="P860" s="4"/>
      <c r="Q860" s="4"/>
      <c r="R860" s="4"/>
      <c r="S860" s="4"/>
    </row>
    <row r="861" spans="1:19" ht="15.95" customHeight="1" x14ac:dyDescent="0.2">
      <c r="A861" s="4"/>
      <c r="B861" s="9">
        <v>143</v>
      </c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 t="e">
        <f>IF(AND(L859=L860,L860=L861),(IF(AND(#REF!=#REF!,#REF!=#REF!),(IF(AND(#REF!=#REF!,#REF!=#REF!),"","ERROR IN U")),"ERROR IN J")),"ERROR IN T")</f>
        <v>#REF!</v>
      </c>
      <c r="O861" s="4"/>
      <c r="P861" s="4"/>
      <c r="Q861" s="4"/>
      <c r="R861" s="4"/>
      <c r="S861" s="4"/>
    </row>
    <row r="862" spans="1:19" ht="15.95" customHeight="1" x14ac:dyDescent="0.2">
      <c r="A862" s="4"/>
      <c r="B862" s="9">
        <v>144</v>
      </c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2" t="e">
        <f>IF(AND(L862=L863,L863=L864),(IF(AND(#REF!=#REF!,#REF!=#REF!),(IF(AND(#REF!=#REF!,#REF!=#REF!),"","ERROR IN U")),"ERROR IN J")),"ERROR IN T")</f>
        <v>#REF!</v>
      </c>
      <c r="O862" s="4"/>
      <c r="P862" s="4"/>
      <c r="Q862" s="4"/>
      <c r="R862" s="4"/>
      <c r="S862" s="4"/>
    </row>
    <row r="863" spans="1:19" ht="15.95" customHeight="1" x14ac:dyDescent="0.2">
      <c r="A863" s="4"/>
      <c r="B863" s="9">
        <v>144</v>
      </c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20"/>
      <c r="N863" s="12" t="e">
        <f>IF(AND(L862=L863,L863=L864),(IF(AND(#REF!=#REF!,#REF!=#REF!),(IF(AND(#REF!=#REF!,#REF!=#REF!),"","ERROR IN U")),"ERROR IN J")),"ERROR IN T")</f>
        <v>#REF!</v>
      </c>
      <c r="O863" s="4"/>
      <c r="P863" s="4"/>
      <c r="Q863" s="4"/>
      <c r="R863" s="4"/>
      <c r="S863" s="4"/>
    </row>
    <row r="864" spans="1:19" ht="15.95" customHeight="1" x14ac:dyDescent="0.2">
      <c r="A864" s="4"/>
      <c r="B864" s="9">
        <v>144</v>
      </c>
      <c r="C864" s="19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12" t="e">
        <f>IF(AND(L862=L863,L863=L864),(IF(AND(#REF!=#REF!,#REF!=#REF!),(IF(AND(#REF!=#REF!,#REF!=#REF!),"","ERROR IN U")),"ERROR IN J")),"ERROR IN T")</f>
        <v>#REF!</v>
      </c>
      <c r="O864" s="4"/>
      <c r="P864" s="4"/>
      <c r="Q864" s="4"/>
      <c r="R864" s="4"/>
      <c r="S864" s="4"/>
    </row>
    <row r="865" spans="1:19" ht="15.95" customHeight="1" x14ac:dyDescent="0.2">
      <c r="A865" s="4"/>
      <c r="B865" s="9">
        <v>144</v>
      </c>
      <c r="C865" s="21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18" t="e">
        <f>IF(AND(L865=L866,L866=L867),(IF(AND(#REF!=#REF!,#REF!=#REF!),(IF(AND(#REF!=#REF!,#REF!=#REF!),"","ERROR IN U")),"ERROR IN J")),"ERROR IN T")</f>
        <v>#REF!</v>
      </c>
      <c r="O865" s="4"/>
      <c r="P865" s="4"/>
      <c r="Q865" s="4"/>
      <c r="R865" s="4"/>
      <c r="S865" s="4"/>
    </row>
    <row r="866" spans="1:19" ht="15.95" customHeight="1" x14ac:dyDescent="0.2">
      <c r="A866" s="4"/>
      <c r="B866" s="9">
        <v>144</v>
      </c>
      <c r="C866" s="21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18" t="e">
        <f>IF(AND(L865=L866,L866=L867),(IF(AND(#REF!=#REF!,#REF!=#REF!),(IF(AND(#REF!=#REF!,#REF!=#REF!),"","ERROR IN U")),"ERROR IN J")),"ERROR IN T")</f>
        <v>#REF!</v>
      </c>
      <c r="O866" s="4"/>
      <c r="P866" s="4"/>
      <c r="Q866" s="4"/>
      <c r="R866" s="4"/>
      <c r="S866" s="4"/>
    </row>
    <row r="867" spans="1:19" ht="15.95" customHeight="1" x14ac:dyDescent="0.2">
      <c r="A867" s="4"/>
      <c r="B867" s="9">
        <v>144</v>
      </c>
      <c r="C867" s="21"/>
      <c r="D867" s="21"/>
      <c r="E867" s="21"/>
      <c r="F867" s="21"/>
      <c r="G867" s="21"/>
      <c r="H867" s="21"/>
      <c r="I867" s="21"/>
      <c r="J867" s="21"/>
      <c r="K867" s="21"/>
      <c r="L867" s="21"/>
      <c r="M867" s="21"/>
      <c r="N867" s="18" t="e">
        <f>IF(AND(L865=L866,L866=L867),(IF(AND(#REF!=#REF!,#REF!=#REF!),(IF(AND(#REF!=#REF!,#REF!=#REF!),"","ERROR IN U")),"ERROR IN J")),"ERROR IN T")</f>
        <v>#REF!</v>
      </c>
      <c r="O867" s="4"/>
      <c r="P867" s="4"/>
      <c r="Q867" s="4"/>
      <c r="R867" s="4"/>
      <c r="S867" s="4"/>
    </row>
    <row r="868" spans="1:19" ht="15.95" customHeight="1" x14ac:dyDescent="0.2">
      <c r="A868" s="4"/>
      <c r="B868" s="9">
        <v>145</v>
      </c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2" t="e">
        <f>IF(AND(L868=L869,L869=L870),(IF(AND(#REF!=#REF!,#REF!=#REF!),(IF(AND(#REF!=#REF!,#REF!=#REF!),"","ERROR IN U")),"ERROR IN J")),"ERROR IN T")</f>
        <v>#REF!</v>
      </c>
      <c r="O868" s="4"/>
      <c r="P868" s="4"/>
      <c r="Q868" s="4"/>
      <c r="R868" s="4"/>
      <c r="S868" s="4"/>
    </row>
    <row r="869" spans="1:19" ht="15.95" customHeight="1" x14ac:dyDescent="0.2">
      <c r="A869" s="4"/>
      <c r="B869" s="9">
        <v>145</v>
      </c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20"/>
      <c r="N869" s="12" t="e">
        <f>IF(AND(L868=L869,L869=L870),(IF(AND(#REF!=#REF!,#REF!=#REF!),(IF(AND(#REF!=#REF!,#REF!=#REF!),"","ERROR IN U")),"ERROR IN J")),"ERROR IN T")</f>
        <v>#REF!</v>
      </c>
      <c r="O869" s="4"/>
      <c r="P869" s="4"/>
      <c r="Q869" s="4"/>
      <c r="R869" s="4"/>
      <c r="S869" s="4"/>
    </row>
    <row r="870" spans="1:19" ht="15.95" customHeight="1" x14ac:dyDescent="0.2">
      <c r="A870" s="4"/>
      <c r="B870" s="9">
        <v>145</v>
      </c>
      <c r="C870" s="19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12" t="e">
        <f>IF(AND(L868=L869,L869=L870),(IF(AND(#REF!=#REF!,#REF!=#REF!),(IF(AND(#REF!=#REF!,#REF!=#REF!),"","ERROR IN U")),"ERROR IN J")),"ERROR IN T")</f>
        <v>#REF!</v>
      </c>
      <c r="O870" s="4"/>
      <c r="P870" s="4"/>
      <c r="Q870" s="4"/>
      <c r="R870" s="4"/>
      <c r="S870" s="4"/>
    </row>
    <row r="871" spans="1:19" ht="15.95" customHeight="1" x14ac:dyDescent="0.2">
      <c r="A871" s="4"/>
      <c r="B871" s="9">
        <v>145</v>
      </c>
      <c r="C871" s="21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18" t="e">
        <f>IF(AND(L871=L872,L872=L873),(IF(AND(#REF!=#REF!,#REF!=#REF!),(IF(AND(#REF!=#REF!,#REF!=#REF!),"","ERROR IN U")),"ERROR IN J")),"ERROR IN T")</f>
        <v>#REF!</v>
      </c>
      <c r="O871" s="4"/>
      <c r="P871" s="4"/>
      <c r="Q871" s="4"/>
      <c r="R871" s="4"/>
      <c r="S871" s="4"/>
    </row>
    <row r="872" spans="1:19" ht="15.95" customHeight="1" x14ac:dyDescent="0.2">
      <c r="A872" s="4"/>
      <c r="B872" s="9">
        <v>145</v>
      </c>
      <c r="C872" s="21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18" t="e">
        <f>IF(AND(L871=L872,L872=L873),(IF(AND(#REF!=#REF!,#REF!=#REF!),(IF(AND(#REF!=#REF!,#REF!=#REF!),"","ERROR IN U")),"ERROR IN J")),"ERROR IN T")</f>
        <v>#REF!</v>
      </c>
      <c r="O872" s="4"/>
      <c r="P872" s="4"/>
      <c r="Q872" s="4"/>
      <c r="R872" s="4"/>
      <c r="S872" s="4"/>
    </row>
    <row r="873" spans="1:19" ht="15.95" customHeight="1" x14ac:dyDescent="0.2">
      <c r="A873" s="4"/>
      <c r="B873" s="9">
        <v>145</v>
      </c>
      <c r="C873" s="21"/>
      <c r="D873" s="21"/>
      <c r="E873" s="21"/>
      <c r="F873" s="21"/>
      <c r="G873" s="21"/>
      <c r="H873" s="21"/>
      <c r="I873" s="21"/>
      <c r="J873" s="21"/>
      <c r="K873" s="21"/>
      <c r="L873" s="21"/>
      <c r="M873" s="21"/>
      <c r="N873" s="18" t="e">
        <f>IF(AND(L871=L872,L872=L873),(IF(AND(#REF!=#REF!,#REF!=#REF!),(IF(AND(#REF!=#REF!,#REF!=#REF!),"","ERROR IN U")),"ERROR IN J")),"ERROR IN T")</f>
        <v>#REF!</v>
      </c>
      <c r="O873" s="4"/>
      <c r="P873" s="4"/>
      <c r="Q873" s="4"/>
      <c r="R873" s="4"/>
      <c r="S873" s="4"/>
    </row>
    <row r="874" spans="1:19" ht="15.95" customHeight="1" x14ac:dyDescent="0.2">
      <c r="A874" s="4"/>
      <c r="B874" s="9">
        <v>146</v>
      </c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2" t="e">
        <f>IF(AND(L874=L875,L875=L876),(IF(AND(#REF!=#REF!,#REF!=#REF!),(IF(AND(#REF!=#REF!,#REF!=#REF!),"","ERROR IN U")),"ERROR IN J")),"ERROR IN T")</f>
        <v>#REF!</v>
      </c>
      <c r="O874" s="4"/>
      <c r="P874" s="4"/>
      <c r="Q874" s="4"/>
      <c r="R874" s="4"/>
      <c r="S874" s="4"/>
    </row>
    <row r="875" spans="1:19" ht="15.95" customHeight="1" x14ac:dyDescent="0.2">
      <c r="A875" s="4"/>
      <c r="B875" s="9">
        <v>146</v>
      </c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20"/>
      <c r="N875" s="12" t="e">
        <f>IF(AND(L874=L875,L875=L876),(IF(AND(#REF!=#REF!,#REF!=#REF!),(IF(AND(#REF!=#REF!,#REF!=#REF!),"","ERROR IN U")),"ERROR IN J")),"ERROR IN T")</f>
        <v>#REF!</v>
      </c>
      <c r="O875" s="4"/>
      <c r="P875" s="4"/>
      <c r="Q875" s="4"/>
      <c r="R875" s="4"/>
      <c r="S875" s="4"/>
    </row>
    <row r="876" spans="1:19" ht="15.95" customHeight="1" x14ac:dyDescent="0.2">
      <c r="A876" s="4"/>
      <c r="B876" s="9">
        <v>146</v>
      </c>
      <c r="C876" s="19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12" t="e">
        <f>IF(AND(L874=L875,L875=L876),(IF(AND(#REF!=#REF!,#REF!=#REF!),(IF(AND(#REF!=#REF!,#REF!=#REF!),"","ERROR IN U")),"ERROR IN J")),"ERROR IN T")</f>
        <v>#REF!</v>
      </c>
      <c r="O876" s="4"/>
      <c r="P876" s="4"/>
      <c r="Q876" s="4"/>
      <c r="R876" s="4"/>
      <c r="S876" s="4"/>
    </row>
    <row r="877" spans="1:19" ht="15.95" customHeight="1" x14ac:dyDescent="0.2">
      <c r="A877" s="4"/>
      <c r="B877" s="9">
        <v>146</v>
      </c>
      <c r="C877" s="21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18" t="e">
        <f>IF(AND(L877=L878,L878=L879),(IF(AND(#REF!=#REF!,#REF!=#REF!),(IF(AND(#REF!=#REF!,#REF!=#REF!),"","ERROR IN U")),"ERROR IN J")),"ERROR IN T")</f>
        <v>#REF!</v>
      </c>
      <c r="O877" s="4"/>
      <c r="P877" s="4"/>
      <c r="Q877" s="4"/>
      <c r="R877" s="4"/>
      <c r="S877" s="4"/>
    </row>
    <row r="878" spans="1:19" ht="15.95" customHeight="1" x14ac:dyDescent="0.2">
      <c r="A878" s="4"/>
      <c r="B878" s="9">
        <v>146</v>
      </c>
      <c r="C878" s="21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18" t="e">
        <f>IF(AND(L877=L878,L878=L879),(IF(AND(#REF!=#REF!,#REF!=#REF!),(IF(AND(#REF!=#REF!,#REF!=#REF!),"","ERROR IN U")),"ERROR IN J")),"ERROR IN T")</f>
        <v>#REF!</v>
      </c>
      <c r="O878" s="4"/>
      <c r="P878" s="4"/>
      <c r="Q878" s="4"/>
      <c r="R878" s="4"/>
      <c r="S878" s="4"/>
    </row>
    <row r="879" spans="1:19" ht="15.95" customHeight="1" x14ac:dyDescent="0.2">
      <c r="A879" s="4"/>
      <c r="B879" s="9">
        <v>146</v>
      </c>
      <c r="C879" s="21"/>
      <c r="D879" s="21"/>
      <c r="E879" s="21"/>
      <c r="F879" s="21"/>
      <c r="G879" s="21"/>
      <c r="H879" s="21"/>
      <c r="I879" s="21"/>
      <c r="J879" s="21"/>
      <c r="K879" s="21"/>
      <c r="L879" s="21"/>
      <c r="M879" s="21"/>
      <c r="N879" s="18" t="e">
        <f>IF(AND(L877=L878,L878=L879),(IF(AND(#REF!=#REF!,#REF!=#REF!),(IF(AND(#REF!=#REF!,#REF!=#REF!),"","ERROR IN U")),"ERROR IN J")),"ERROR IN T")</f>
        <v>#REF!</v>
      </c>
      <c r="O879" s="4"/>
      <c r="P879" s="4"/>
      <c r="Q879" s="4"/>
      <c r="R879" s="4"/>
      <c r="S879" s="4"/>
    </row>
    <row r="880" spans="1:19" ht="15.95" customHeight="1" x14ac:dyDescent="0.2">
      <c r="A880" s="4"/>
      <c r="B880" s="9">
        <v>147</v>
      </c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2" t="e">
        <f>IF(AND(L880=L881,L881=L882),(IF(AND(#REF!=#REF!,#REF!=#REF!),(IF(AND(#REF!=#REF!,#REF!=#REF!),"","ERROR IN U")),"ERROR IN J")),"ERROR IN T")</f>
        <v>#REF!</v>
      </c>
      <c r="O880" s="4"/>
      <c r="P880" s="4"/>
      <c r="Q880" s="4"/>
      <c r="R880" s="4"/>
      <c r="S880" s="4"/>
    </row>
    <row r="881" spans="1:19" ht="15.95" customHeight="1" x14ac:dyDescent="0.2">
      <c r="A881" s="4"/>
      <c r="B881" s="9">
        <v>147</v>
      </c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20"/>
      <c r="N881" s="12" t="e">
        <f>IF(AND(L880=L881,L881=L882),(IF(AND(#REF!=#REF!,#REF!=#REF!),(IF(AND(#REF!=#REF!,#REF!=#REF!),"","ERROR IN U")),"ERROR IN J")),"ERROR IN T")</f>
        <v>#REF!</v>
      </c>
      <c r="O881" s="4"/>
      <c r="P881" s="4"/>
      <c r="Q881" s="4"/>
      <c r="R881" s="4"/>
      <c r="S881" s="4"/>
    </row>
    <row r="882" spans="1:19" ht="15.95" customHeight="1" x14ac:dyDescent="0.2">
      <c r="A882" s="4"/>
      <c r="B882" s="9">
        <v>147</v>
      </c>
      <c r="C882" s="19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12" t="e">
        <f>IF(AND(L880=L881,L881=L882),(IF(AND(#REF!=#REF!,#REF!=#REF!),(IF(AND(#REF!=#REF!,#REF!=#REF!),"","ERROR IN U")),"ERROR IN J")),"ERROR IN T")</f>
        <v>#REF!</v>
      </c>
      <c r="O882" s="4"/>
      <c r="P882" s="4"/>
      <c r="Q882" s="4"/>
      <c r="R882" s="4"/>
      <c r="S882" s="4"/>
    </row>
    <row r="883" spans="1:19" ht="15.95" customHeight="1" x14ac:dyDescent="0.2">
      <c r="A883" s="4"/>
      <c r="B883" s="9">
        <v>147</v>
      </c>
      <c r="C883" s="21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18" t="e">
        <f>IF(AND(L883=L884,L884=L885),(IF(AND(#REF!=#REF!,#REF!=#REF!),(IF(AND(#REF!=#REF!,#REF!=#REF!),"","ERROR IN U")),"ERROR IN J")),"ERROR IN T")</f>
        <v>#REF!</v>
      </c>
      <c r="O883" s="4"/>
      <c r="P883" s="4"/>
      <c r="Q883" s="4"/>
      <c r="R883" s="4"/>
      <c r="S883" s="4"/>
    </row>
    <row r="884" spans="1:19" ht="15.95" customHeight="1" x14ac:dyDescent="0.2">
      <c r="A884" s="4"/>
      <c r="B884" s="9">
        <v>147</v>
      </c>
      <c r="C884" s="21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18" t="e">
        <f>IF(AND(L883=L884,L884=L885),(IF(AND(#REF!=#REF!,#REF!=#REF!),(IF(AND(#REF!=#REF!,#REF!=#REF!),"","ERROR IN U")),"ERROR IN J")),"ERROR IN T")</f>
        <v>#REF!</v>
      </c>
      <c r="O884" s="4"/>
      <c r="P884" s="4"/>
      <c r="Q884" s="4"/>
      <c r="R884" s="4"/>
      <c r="S884" s="4"/>
    </row>
    <row r="885" spans="1:19" ht="15.95" customHeight="1" x14ac:dyDescent="0.2">
      <c r="A885" s="4"/>
      <c r="B885" s="9">
        <v>147</v>
      </c>
      <c r="C885" s="21"/>
      <c r="D885" s="21"/>
      <c r="E885" s="21"/>
      <c r="F885" s="21"/>
      <c r="G885" s="21"/>
      <c r="H885" s="21"/>
      <c r="I885" s="21"/>
      <c r="J885" s="21"/>
      <c r="K885" s="21"/>
      <c r="L885" s="21"/>
      <c r="M885" s="21"/>
      <c r="N885" s="18" t="e">
        <f>IF(AND(L883=L884,L884=L885),(IF(AND(#REF!=#REF!,#REF!=#REF!),(IF(AND(#REF!=#REF!,#REF!=#REF!),"","ERROR IN U")),"ERROR IN J")),"ERROR IN T")</f>
        <v>#REF!</v>
      </c>
      <c r="O885" s="4"/>
      <c r="P885" s="4"/>
      <c r="Q885" s="4"/>
      <c r="R885" s="4"/>
      <c r="S885" s="4"/>
    </row>
    <row r="886" spans="1:19" ht="15.95" customHeight="1" x14ac:dyDescent="0.2">
      <c r="A886" s="4"/>
      <c r="B886" s="9">
        <v>148</v>
      </c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2" t="e">
        <f>IF(AND(L886=L887,L887=L888),(IF(AND(#REF!=#REF!,#REF!=#REF!),(IF(AND(#REF!=#REF!,#REF!=#REF!),"","ERROR IN U")),"ERROR IN J")),"ERROR IN T")</f>
        <v>#REF!</v>
      </c>
      <c r="O886" s="4"/>
      <c r="P886" s="4"/>
      <c r="Q886" s="4"/>
      <c r="R886" s="4"/>
      <c r="S886" s="4"/>
    </row>
    <row r="887" spans="1:19" ht="15.95" customHeight="1" x14ac:dyDescent="0.2">
      <c r="A887" s="4"/>
      <c r="B887" s="9">
        <v>148</v>
      </c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20"/>
      <c r="N887" s="12" t="e">
        <f>IF(AND(L886=L887,L887=L888),(IF(AND(#REF!=#REF!,#REF!=#REF!),(IF(AND(#REF!=#REF!,#REF!=#REF!),"","ERROR IN U")),"ERROR IN J")),"ERROR IN T")</f>
        <v>#REF!</v>
      </c>
      <c r="O887" s="4"/>
      <c r="P887" s="4"/>
      <c r="Q887" s="4"/>
      <c r="R887" s="4"/>
      <c r="S887" s="4"/>
    </row>
    <row r="888" spans="1:19" ht="15.95" customHeight="1" x14ac:dyDescent="0.2">
      <c r="A888" s="4"/>
      <c r="B888" s="9">
        <v>148</v>
      </c>
      <c r="C888" s="19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12" t="e">
        <f>IF(AND(L886=L887,L887=L888),(IF(AND(#REF!=#REF!,#REF!=#REF!),(IF(AND(#REF!=#REF!,#REF!=#REF!),"","ERROR IN U")),"ERROR IN J")),"ERROR IN T")</f>
        <v>#REF!</v>
      </c>
      <c r="O888" s="4"/>
      <c r="P888" s="4"/>
      <c r="Q888" s="4"/>
      <c r="R888" s="4"/>
      <c r="S888" s="4"/>
    </row>
    <row r="889" spans="1:19" ht="15.95" customHeight="1" x14ac:dyDescent="0.2">
      <c r="A889" s="4"/>
      <c r="B889" s="9">
        <v>148</v>
      </c>
      <c r="C889" s="21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18" t="e">
        <f>IF(AND(L889=L890,L890=L891),(IF(AND(#REF!=#REF!,#REF!=#REF!),(IF(AND(#REF!=#REF!,#REF!=#REF!),"","ERROR IN U")),"ERROR IN J")),"ERROR IN T")</f>
        <v>#REF!</v>
      </c>
      <c r="O889" s="4"/>
      <c r="P889" s="4"/>
      <c r="Q889" s="4"/>
      <c r="R889" s="4"/>
      <c r="S889" s="4"/>
    </row>
    <row r="890" spans="1:19" ht="15.95" customHeight="1" x14ac:dyDescent="0.2">
      <c r="A890" s="4"/>
      <c r="B890" s="9">
        <v>148</v>
      </c>
      <c r="C890" s="21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18" t="e">
        <f>IF(AND(L889=L890,L890=L891),(IF(AND(#REF!=#REF!,#REF!=#REF!),(IF(AND(#REF!=#REF!,#REF!=#REF!),"","ERROR IN U")),"ERROR IN J")),"ERROR IN T")</f>
        <v>#REF!</v>
      </c>
      <c r="O890" s="4"/>
      <c r="P890" s="4"/>
      <c r="Q890" s="4"/>
      <c r="R890" s="4"/>
      <c r="S890" s="4"/>
    </row>
    <row r="891" spans="1:19" ht="15.95" customHeight="1" x14ac:dyDescent="0.2">
      <c r="A891" s="4"/>
      <c r="B891" s="9">
        <v>148</v>
      </c>
      <c r="C891" s="21"/>
      <c r="D891" s="21"/>
      <c r="E891" s="21"/>
      <c r="F891" s="21"/>
      <c r="G891" s="21"/>
      <c r="H891" s="21"/>
      <c r="I891" s="21"/>
      <c r="J891" s="21"/>
      <c r="K891" s="21"/>
      <c r="L891" s="21"/>
      <c r="M891" s="21"/>
      <c r="N891" s="18" t="e">
        <f>IF(AND(L889=L890,L890=L891),(IF(AND(#REF!=#REF!,#REF!=#REF!),(IF(AND(#REF!=#REF!,#REF!=#REF!),"","ERROR IN U")),"ERROR IN J")),"ERROR IN T")</f>
        <v>#REF!</v>
      </c>
      <c r="O891" s="4"/>
      <c r="P891" s="4"/>
      <c r="Q891" s="4"/>
      <c r="R891" s="4"/>
      <c r="S891" s="4"/>
    </row>
    <row r="892" spans="1:19" ht="15.95" customHeight="1" x14ac:dyDescent="0.2">
      <c r="A892" s="4"/>
      <c r="B892" s="9">
        <v>149</v>
      </c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2" t="e">
        <f>IF(AND(L892=L893,L893=L894),(IF(AND(#REF!=#REF!,#REF!=#REF!),(IF(AND(#REF!=#REF!,#REF!=#REF!),"","ERROR IN U")),"ERROR IN J")),"ERROR IN T")</f>
        <v>#REF!</v>
      </c>
      <c r="O892" s="4"/>
      <c r="P892" s="4"/>
      <c r="Q892" s="4"/>
      <c r="R892" s="4"/>
      <c r="S892" s="4"/>
    </row>
    <row r="893" spans="1:19" ht="15.95" customHeight="1" x14ac:dyDescent="0.2">
      <c r="A893" s="4"/>
      <c r="B893" s="9">
        <v>149</v>
      </c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20"/>
      <c r="N893" s="12" t="e">
        <f>IF(AND(L892=L893,L893=L894),(IF(AND(#REF!=#REF!,#REF!=#REF!),(IF(AND(#REF!=#REF!,#REF!=#REF!),"","ERROR IN U")),"ERROR IN J")),"ERROR IN T")</f>
        <v>#REF!</v>
      </c>
      <c r="O893" s="4"/>
      <c r="P893" s="4"/>
      <c r="Q893" s="4"/>
      <c r="R893" s="4"/>
      <c r="S893" s="4"/>
    </row>
    <row r="894" spans="1:19" ht="15.95" customHeight="1" x14ac:dyDescent="0.2">
      <c r="A894" s="4"/>
      <c r="B894" s="9">
        <v>149</v>
      </c>
      <c r="C894" s="19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12" t="e">
        <f>IF(AND(L892=L893,L893=L894),(IF(AND(#REF!=#REF!,#REF!=#REF!),(IF(AND(#REF!=#REF!,#REF!=#REF!),"","ERROR IN U")),"ERROR IN J")),"ERROR IN T")</f>
        <v>#REF!</v>
      </c>
      <c r="O894" s="4"/>
      <c r="P894" s="4"/>
      <c r="Q894" s="4"/>
      <c r="R894" s="4"/>
      <c r="S894" s="4"/>
    </row>
    <row r="895" spans="1:19" ht="15.95" customHeight="1" x14ac:dyDescent="0.2">
      <c r="A895" s="4"/>
      <c r="B895" s="9">
        <v>149</v>
      </c>
      <c r="C895" s="21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18" t="e">
        <f>IF(AND(L895=L896,L896=L897),(IF(AND(#REF!=#REF!,#REF!=#REF!),(IF(AND(#REF!=#REF!,#REF!=#REF!),"","ERROR IN U")),"ERROR IN J")),"ERROR IN T")</f>
        <v>#REF!</v>
      </c>
      <c r="O895" s="4"/>
      <c r="P895" s="4"/>
      <c r="Q895" s="4"/>
      <c r="R895" s="4"/>
      <c r="S895" s="4"/>
    </row>
    <row r="896" spans="1:19" ht="15.95" customHeight="1" x14ac:dyDescent="0.2">
      <c r="A896" s="4"/>
      <c r="B896" s="9">
        <v>149</v>
      </c>
      <c r="C896" s="21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18" t="e">
        <f>IF(AND(L895=L896,L896=L897),(IF(AND(#REF!=#REF!,#REF!=#REF!),(IF(AND(#REF!=#REF!,#REF!=#REF!),"","ERROR IN U")),"ERROR IN J")),"ERROR IN T")</f>
        <v>#REF!</v>
      </c>
      <c r="O896" s="4"/>
      <c r="P896" s="4"/>
      <c r="Q896" s="4"/>
      <c r="R896" s="4"/>
      <c r="S896" s="4"/>
    </row>
    <row r="897" spans="1:19" ht="15.95" customHeight="1" x14ac:dyDescent="0.2">
      <c r="A897" s="4"/>
      <c r="B897" s="9">
        <v>149</v>
      </c>
      <c r="C897" s="21"/>
      <c r="D897" s="21"/>
      <c r="E897" s="21"/>
      <c r="F897" s="21"/>
      <c r="G897" s="21"/>
      <c r="H897" s="21"/>
      <c r="I897" s="21"/>
      <c r="J897" s="21"/>
      <c r="K897" s="21"/>
      <c r="L897" s="21"/>
      <c r="M897" s="21"/>
      <c r="N897" s="18" t="e">
        <f>IF(AND(L895=L896,L896=L897),(IF(AND(#REF!=#REF!,#REF!=#REF!),(IF(AND(#REF!=#REF!,#REF!=#REF!),"","ERROR IN U")),"ERROR IN J")),"ERROR IN T")</f>
        <v>#REF!</v>
      </c>
      <c r="O897" s="4"/>
      <c r="P897" s="4"/>
      <c r="Q897" s="4"/>
      <c r="R897" s="4"/>
      <c r="S897" s="4"/>
    </row>
    <row r="898" spans="1:19" ht="15.95" customHeight="1" x14ac:dyDescent="0.2">
      <c r="A898" s="4"/>
      <c r="B898" s="9">
        <v>150</v>
      </c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2" t="e">
        <f>IF(AND(L898=L899,L899=L900),(IF(AND(#REF!=#REF!,#REF!=#REF!),(IF(AND(#REF!=#REF!,#REF!=#REF!),"","ERROR IN U")),"ERROR IN J")),"ERROR IN T")</f>
        <v>#REF!</v>
      </c>
      <c r="O898" s="4"/>
      <c r="P898" s="4"/>
      <c r="Q898" s="4"/>
      <c r="R898" s="4"/>
      <c r="S898" s="4"/>
    </row>
    <row r="899" spans="1:19" ht="15.95" customHeight="1" x14ac:dyDescent="0.2">
      <c r="A899" s="4"/>
      <c r="B899" s="9">
        <v>150</v>
      </c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20"/>
      <c r="N899" s="12" t="e">
        <f>IF(AND(L898=L899,L899=L900),(IF(AND(#REF!=#REF!,#REF!=#REF!),(IF(AND(#REF!=#REF!,#REF!=#REF!),"","ERROR IN U")),"ERROR IN J")),"ERROR IN T")</f>
        <v>#REF!</v>
      </c>
      <c r="O899" s="4"/>
      <c r="P899" s="4"/>
      <c r="Q899" s="4"/>
      <c r="R899" s="4"/>
      <c r="S899" s="4"/>
    </row>
    <row r="900" spans="1:19" ht="15.95" customHeight="1" x14ac:dyDescent="0.2">
      <c r="A900" s="4"/>
      <c r="B900" s="9">
        <v>150</v>
      </c>
      <c r="C900" s="19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12" t="e">
        <f>IF(AND(L898=L899,L899=L900),(IF(AND(#REF!=#REF!,#REF!=#REF!),(IF(AND(#REF!=#REF!,#REF!=#REF!),"","ERROR IN U")),"ERROR IN J")),"ERROR IN T")</f>
        <v>#REF!</v>
      </c>
      <c r="O900" s="4"/>
      <c r="P900" s="4"/>
      <c r="Q900" s="4"/>
      <c r="R900" s="4"/>
      <c r="S900" s="4"/>
    </row>
    <row r="901" spans="1:19" ht="15.95" customHeight="1" x14ac:dyDescent="0.2">
      <c r="A901" s="4"/>
      <c r="B901" s="9">
        <v>150</v>
      </c>
      <c r="C901" s="21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18" t="e">
        <f>IF(AND(L901=L902,L902=L903),(IF(AND(#REF!=#REF!,#REF!=#REF!),(IF(AND(#REF!=#REF!,#REF!=#REF!),"","ERROR IN U")),"ERROR IN J")),"ERROR IN T")</f>
        <v>#REF!</v>
      </c>
      <c r="O901" s="4"/>
      <c r="P901" s="4"/>
      <c r="Q901" s="4"/>
      <c r="R901" s="4"/>
      <c r="S901" s="4"/>
    </row>
    <row r="902" spans="1:19" ht="15.95" customHeight="1" x14ac:dyDescent="0.2">
      <c r="A902" s="4"/>
      <c r="B902" s="9">
        <v>150</v>
      </c>
      <c r="C902" s="21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18" t="e">
        <f>IF(AND(L901=L902,L902=L903),(IF(AND(#REF!=#REF!,#REF!=#REF!),(IF(AND(#REF!=#REF!,#REF!=#REF!),"","ERROR IN U")),"ERROR IN J")),"ERROR IN T")</f>
        <v>#REF!</v>
      </c>
      <c r="O902" s="4"/>
      <c r="P902" s="4"/>
      <c r="Q902" s="4"/>
      <c r="R902" s="4"/>
      <c r="S902" s="4"/>
    </row>
    <row r="903" spans="1:19" ht="15.95" customHeight="1" x14ac:dyDescent="0.2">
      <c r="A903" s="4"/>
      <c r="B903" s="9">
        <v>150</v>
      </c>
      <c r="C903" s="21"/>
      <c r="D903" s="21"/>
      <c r="E903" s="21"/>
      <c r="F903" s="21"/>
      <c r="G903" s="21"/>
      <c r="H903" s="21"/>
      <c r="I903" s="21"/>
      <c r="J903" s="21"/>
      <c r="K903" s="21"/>
      <c r="L903" s="21"/>
      <c r="M903" s="21"/>
      <c r="N903" s="18" t="e">
        <f>IF(AND(L901=L902,L902=L903),(IF(AND(#REF!=#REF!,#REF!=#REF!),(IF(AND(#REF!=#REF!,#REF!=#REF!),"","ERROR IN U")),"ERROR IN J")),"ERROR IN T")</f>
        <v>#REF!</v>
      </c>
      <c r="O903" s="4"/>
      <c r="P903" s="4"/>
      <c r="Q903" s="4"/>
      <c r="R903" s="4"/>
      <c r="S903" s="4"/>
    </row>
    <row r="904" spans="1:19" ht="15.95" customHeight="1" x14ac:dyDescent="0.2">
      <c r="A904" s="4"/>
      <c r="B904" s="1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4"/>
      <c r="O904" s="4"/>
      <c r="P904" s="4"/>
      <c r="Q904" s="4"/>
      <c r="R904" s="4"/>
      <c r="S904" s="4"/>
    </row>
    <row r="905" spans="1:19" ht="15.95" customHeight="1" x14ac:dyDescent="0.2">
      <c r="A905" s="4"/>
      <c r="B905" s="1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4"/>
      <c r="O905" s="4"/>
      <c r="P905" s="4"/>
      <c r="Q905" s="4"/>
      <c r="R905" s="4"/>
      <c r="S905" s="4"/>
    </row>
    <row r="906" spans="1:19" ht="15.95" customHeight="1" x14ac:dyDescent="0.2">
      <c r="A906" s="4"/>
      <c r="B906" s="1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4"/>
      <c r="O906" s="4"/>
      <c r="P906" s="4"/>
      <c r="Q906" s="4"/>
      <c r="R906" s="4"/>
      <c r="S906" s="4"/>
    </row>
    <row r="907" spans="1:19" ht="15.95" customHeight="1" x14ac:dyDescent="0.2">
      <c r="A907" s="4"/>
      <c r="B907" s="1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4"/>
      <c r="O907" s="4"/>
      <c r="P907" s="4"/>
      <c r="Q907" s="4"/>
      <c r="R907" s="4"/>
      <c r="S907" s="4"/>
    </row>
    <row r="908" spans="1:19" ht="15.95" customHeight="1" x14ac:dyDescent="0.2">
      <c r="A908" s="4"/>
      <c r="B908" s="1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4"/>
      <c r="O908" s="4"/>
      <c r="P908" s="4"/>
      <c r="Q908" s="4"/>
      <c r="R908" s="4"/>
      <c r="S908" s="4"/>
    </row>
    <row r="909" spans="1:19" ht="15.95" customHeight="1" x14ac:dyDescent="0.2">
      <c r="A909" s="4"/>
      <c r="B909" s="1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4"/>
      <c r="O909" s="4"/>
      <c r="P909" s="4"/>
      <c r="Q909" s="4"/>
      <c r="R909" s="4"/>
      <c r="S909" s="4"/>
    </row>
    <row r="910" spans="1:19" ht="15.95" customHeight="1" x14ac:dyDescent="0.2">
      <c r="A910" s="4"/>
      <c r="B910" s="1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4"/>
      <c r="O910" s="4"/>
      <c r="P910" s="4"/>
      <c r="Q910" s="4"/>
      <c r="R910" s="4"/>
      <c r="S910" s="4"/>
    </row>
    <row r="911" spans="1:19" ht="15.95" customHeight="1" x14ac:dyDescent="0.2">
      <c r="A911" s="4"/>
      <c r="B911" s="1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4"/>
      <c r="O911" s="4"/>
      <c r="P911" s="4"/>
      <c r="Q911" s="4"/>
      <c r="R911" s="4"/>
      <c r="S911" s="4"/>
    </row>
    <row r="912" spans="1:19" ht="15.95" customHeight="1" x14ac:dyDescent="0.2">
      <c r="A912" s="4"/>
      <c r="B912" s="1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4"/>
      <c r="O912" s="4"/>
      <c r="P912" s="4"/>
      <c r="Q912" s="4"/>
      <c r="R912" s="4"/>
      <c r="S912" s="4"/>
    </row>
    <row r="913" spans="1:19" ht="15.95" customHeight="1" x14ac:dyDescent="0.2">
      <c r="A913" s="4"/>
      <c r="B913" s="1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4"/>
      <c r="O913" s="4"/>
      <c r="P913" s="4"/>
      <c r="Q913" s="4"/>
      <c r="R913" s="4"/>
      <c r="S913" s="4"/>
    </row>
    <row r="914" spans="1:19" ht="15.95" customHeight="1" x14ac:dyDescent="0.2">
      <c r="A914" s="4"/>
      <c r="B914" s="1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4"/>
      <c r="O914" s="4"/>
      <c r="P914" s="4"/>
      <c r="Q914" s="4"/>
      <c r="R914" s="4"/>
      <c r="S914" s="4"/>
    </row>
    <row r="915" spans="1:19" ht="15.95" customHeight="1" x14ac:dyDescent="0.2">
      <c r="A915" s="4"/>
      <c r="B915" s="1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4"/>
      <c r="O915" s="4"/>
      <c r="P915" s="4"/>
      <c r="Q915" s="4"/>
      <c r="R915" s="4"/>
      <c r="S915" s="4"/>
    </row>
    <row r="916" spans="1:19" ht="15.95" customHeight="1" x14ac:dyDescent="0.2">
      <c r="A916" s="4"/>
      <c r="B916" s="1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4"/>
      <c r="O916" s="4"/>
      <c r="P916" s="4"/>
      <c r="Q916" s="4"/>
      <c r="R916" s="4"/>
      <c r="S916" s="4"/>
    </row>
    <row r="917" spans="1:19" ht="15.95" customHeight="1" x14ac:dyDescent="0.2">
      <c r="A917" s="4"/>
      <c r="B917" s="1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4"/>
      <c r="O917" s="4"/>
      <c r="P917" s="4"/>
      <c r="Q917" s="4"/>
      <c r="R917" s="4"/>
      <c r="S917" s="4"/>
    </row>
    <row r="918" spans="1:19" ht="15.95" customHeight="1" x14ac:dyDescent="0.2">
      <c r="A918" s="4"/>
      <c r="B918" s="1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4"/>
      <c r="O918" s="4"/>
      <c r="P918" s="4"/>
      <c r="Q918" s="4"/>
      <c r="R918" s="4"/>
      <c r="S918" s="4"/>
    </row>
    <row r="919" spans="1:19" ht="15.95" customHeight="1" x14ac:dyDescent="0.2">
      <c r="A919" s="4"/>
      <c r="B919" s="1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4"/>
      <c r="O919" s="4"/>
      <c r="P919" s="4"/>
      <c r="Q919" s="4"/>
      <c r="R919" s="4"/>
      <c r="S919" s="4"/>
    </row>
    <row r="920" spans="1:19" ht="15.95" customHeight="1" x14ac:dyDescent="0.2">
      <c r="A920" s="4"/>
      <c r="B920" s="1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4"/>
      <c r="O920" s="4"/>
      <c r="P920" s="4"/>
      <c r="Q920" s="4"/>
      <c r="R920" s="4"/>
      <c r="S920" s="4"/>
    </row>
    <row r="921" spans="1:19" ht="15.95" customHeight="1" x14ac:dyDescent="0.2">
      <c r="A921" s="4"/>
      <c r="B921" s="1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4"/>
      <c r="O921" s="4"/>
      <c r="P921" s="4"/>
      <c r="Q921" s="4"/>
      <c r="R921" s="4"/>
      <c r="S921" s="4"/>
    </row>
    <row r="922" spans="1:19" ht="15.95" customHeight="1" x14ac:dyDescent="0.2">
      <c r="A922" s="4"/>
      <c r="B922" s="1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4"/>
      <c r="O922" s="4"/>
      <c r="P922" s="4"/>
      <c r="Q922" s="4"/>
      <c r="R922" s="4"/>
      <c r="S922" s="4"/>
    </row>
    <row r="923" spans="1:19" ht="15.95" customHeight="1" x14ac:dyDescent="0.2">
      <c r="A923" s="4"/>
      <c r="B923" s="1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4"/>
      <c r="O923" s="4"/>
      <c r="P923" s="4"/>
      <c r="Q923" s="4"/>
      <c r="R923" s="4"/>
      <c r="S923" s="4"/>
    </row>
    <row r="924" spans="1:19" ht="15.95" customHeight="1" x14ac:dyDescent="0.2">
      <c r="A924" s="4"/>
      <c r="B924" s="1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4"/>
      <c r="O924" s="4"/>
      <c r="P924" s="4"/>
      <c r="Q924" s="4"/>
      <c r="R924" s="4"/>
      <c r="S924" s="4"/>
    </row>
    <row r="925" spans="1:19" ht="15.95" customHeight="1" x14ac:dyDescent="0.2">
      <c r="A925" s="4"/>
      <c r="B925" s="1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4"/>
      <c r="O925" s="4"/>
      <c r="P925" s="4"/>
      <c r="Q925" s="4"/>
      <c r="R925" s="4"/>
      <c r="S925" s="4"/>
    </row>
    <row r="926" spans="1:19" ht="15.95" customHeight="1" x14ac:dyDescent="0.2">
      <c r="A926" s="4"/>
      <c r="B926" s="1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4"/>
      <c r="O926" s="4"/>
      <c r="P926" s="4"/>
      <c r="Q926" s="4"/>
      <c r="R926" s="4"/>
      <c r="S926" s="4"/>
    </row>
    <row r="927" spans="1:19" ht="15.95" customHeight="1" x14ac:dyDescent="0.2">
      <c r="A927" s="4"/>
      <c r="B927" s="1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4"/>
      <c r="O927" s="4"/>
      <c r="P927" s="4"/>
      <c r="Q927" s="4"/>
      <c r="R927" s="4"/>
      <c r="S927" s="4"/>
    </row>
    <row r="928" spans="1:19" ht="15.95" customHeight="1" x14ac:dyDescent="0.2">
      <c r="A928" s="4"/>
      <c r="B928" s="1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4"/>
      <c r="O928" s="4"/>
      <c r="P928" s="4"/>
      <c r="Q928" s="4"/>
      <c r="R928" s="4"/>
      <c r="S928" s="4"/>
    </row>
    <row r="929" spans="1:19" ht="15.95" customHeight="1" x14ac:dyDescent="0.2">
      <c r="A929" s="4"/>
      <c r="B929" s="1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4"/>
      <c r="O929" s="4"/>
      <c r="P929" s="4"/>
      <c r="Q929" s="4"/>
      <c r="R929" s="4"/>
      <c r="S929" s="4"/>
    </row>
    <row r="930" spans="1:19" ht="15.95" customHeight="1" x14ac:dyDescent="0.2">
      <c r="A930" s="4"/>
      <c r="B930" s="1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4"/>
      <c r="O930" s="4"/>
      <c r="P930" s="4"/>
      <c r="Q930" s="4"/>
      <c r="R930" s="4"/>
      <c r="S930" s="4"/>
    </row>
    <row r="931" spans="1:19" ht="15.95" customHeight="1" x14ac:dyDescent="0.2">
      <c r="A931" s="4"/>
      <c r="B931" s="1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4"/>
      <c r="O931" s="4"/>
      <c r="P931" s="4"/>
      <c r="Q931" s="4"/>
      <c r="R931" s="4"/>
      <c r="S931" s="4"/>
    </row>
    <row r="932" spans="1:19" ht="15.95" customHeight="1" x14ac:dyDescent="0.2">
      <c r="A932" s="4"/>
      <c r="B932" s="1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4"/>
      <c r="O932" s="4"/>
      <c r="P932" s="4"/>
      <c r="Q932" s="4"/>
      <c r="R932" s="4"/>
      <c r="S932" s="4"/>
    </row>
    <row r="933" spans="1:19" ht="15.95" customHeight="1" x14ac:dyDescent="0.2">
      <c r="A933" s="4"/>
      <c r="B933" s="1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4"/>
      <c r="O933" s="4"/>
      <c r="P933" s="4"/>
      <c r="Q933" s="4"/>
      <c r="R933" s="4"/>
      <c r="S933" s="4"/>
    </row>
    <row r="934" spans="1:19" ht="15.95" customHeight="1" x14ac:dyDescent="0.2">
      <c r="A934" s="4"/>
      <c r="B934" s="1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4"/>
      <c r="O934" s="4"/>
      <c r="P934" s="4"/>
      <c r="Q934" s="4"/>
      <c r="R934" s="4"/>
      <c r="S934" s="4"/>
    </row>
    <row r="935" spans="1:19" ht="15.95" customHeight="1" x14ac:dyDescent="0.2">
      <c r="A935" s="4"/>
      <c r="B935" s="1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4"/>
      <c r="O935" s="4"/>
      <c r="P935" s="4"/>
      <c r="Q935" s="4"/>
      <c r="R935" s="4"/>
      <c r="S935" s="4"/>
    </row>
    <row r="936" spans="1:19" ht="15.95" customHeight="1" x14ac:dyDescent="0.2">
      <c r="A936" s="4"/>
      <c r="B936" s="1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4"/>
      <c r="O936" s="4"/>
      <c r="P936" s="4"/>
      <c r="Q936" s="4"/>
      <c r="R936" s="4"/>
      <c r="S936" s="4"/>
    </row>
    <row r="937" spans="1:19" ht="15.95" customHeight="1" x14ac:dyDescent="0.2">
      <c r="A937" s="4"/>
      <c r="B937" s="1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4"/>
      <c r="O937" s="4"/>
      <c r="P937" s="4"/>
      <c r="Q937" s="4"/>
      <c r="R937" s="4"/>
      <c r="S937" s="4"/>
    </row>
    <row r="938" spans="1:19" ht="15.95" customHeight="1" x14ac:dyDescent="0.2">
      <c r="A938" s="4"/>
      <c r="B938" s="1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4"/>
      <c r="O938" s="4"/>
      <c r="P938" s="4"/>
      <c r="Q938" s="4"/>
      <c r="R938" s="4"/>
      <c r="S938" s="4"/>
    </row>
    <row r="939" spans="1:19" ht="15.95" customHeight="1" x14ac:dyDescent="0.2">
      <c r="A939" s="4"/>
      <c r="B939" s="1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4"/>
      <c r="O939" s="4"/>
      <c r="P939" s="4"/>
      <c r="Q939" s="4"/>
      <c r="R939" s="4"/>
      <c r="S939" s="4"/>
    </row>
    <row r="940" spans="1:19" ht="15.95" customHeight="1" x14ac:dyDescent="0.2">
      <c r="A940" s="4"/>
      <c r="B940" s="1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4"/>
      <c r="O940" s="4"/>
      <c r="P940" s="4"/>
      <c r="Q940" s="4"/>
      <c r="R940" s="4"/>
      <c r="S940" s="4"/>
    </row>
    <row r="941" spans="1:19" ht="15.95" customHeight="1" x14ac:dyDescent="0.2">
      <c r="A941" s="4"/>
      <c r="B941" s="2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4"/>
      <c r="O941" s="4"/>
      <c r="P941" s="4"/>
      <c r="Q941" s="4"/>
      <c r="R941" s="4"/>
      <c r="S941" s="4"/>
    </row>
    <row r="942" spans="1:19" ht="15.95" customHeight="1" x14ac:dyDescent="0.2">
      <c r="A942" s="4"/>
      <c r="B942" s="2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4"/>
      <c r="O942" s="4"/>
      <c r="P942" s="4"/>
      <c r="Q942" s="4"/>
      <c r="R942" s="4"/>
      <c r="S942" s="4"/>
    </row>
    <row r="943" spans="1:19" ht="15.95" customHeight="1" x14ac:dyDescent="0.2">
      <c r="A943" s="4"/>
      <c r="B943" s="2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4"/>
      <c r="O943" s="4"/>
      <c r="P943" s="4"/>
      <c r="Q943" s="4"/>
      <c r="R943" s="4"/>
      <c r="S943" s="4"/>
    </row>
    <row r="944" spans="1:19" ht="15.95" customHeight="1" x14ac:dyDescent="0.2">
      <c r="A944" s="4"/>
      <c r="B944" s="2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4"/>
      <c r="O944" s="4"/>
      <c r="P944" s="4"/>
      <c r="Q944" s="4"/>
      <c r="R944" s="4"/>
      <c r="S944" s="4"/>
    </row>
    <row r="945" spans="1:19" ht="15.95" customHeight="1" x14ac:dyDescent="0.2">
      <c r="A945" s="4"/>
      <c r="B945" s="2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4"/>
      <c r="O945" s="4"/>
      <c r="P945" s="4"/>
      <c r="Q945" s="4"/>
      <c r="R945" s="4"/>
      <c r="S945" s="4"/>
    </row>
    <row r="946" spans="1:19" ht="15.95" customHeight="1" x14ac:dyDescent="0.2">
      <c r="A946" s="4"/>
      <c r="B946" s="2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4"/>
      <c r="O946" s="4"/>
      <c r="P946" s="4"/>
      <c r="Q946" s="4"/>
      <c r="R946" s="4"/>
      <c r="S946" s="4"/>
    </row>
    <row r="947" spans="1:19" ht="15.95" customHeight="1" x14ac:dyDescent="0.2">
      <c r="A947" s="4"/>
      <c r="B947" s="2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4"/>
      <c r="O947" s="4"/>
      <c r="P947" s="4"/>
      <c r="Q947" s="4"/>
      <c r="R947" s="4"/>
      <c r="S947" s="4"/>
    </row>
    <row r="948" spans="1:19" ht="15.95" customHeight="1" x14ac:dyDescent="0.2">
      <c r="A948" s="4"/>
      <c r="B948" s="2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4"/>
      <c r="O948" s="4"/>
      <c r="P948" s="4"/>
      <c r="Q948" s="4"/>
      <c r="R948" s="4"/>
      <c r="S948" s="4"/>
    </row>
    <row r="949" spans="1:19" ht="15.95" customHeight="1" x14ac:dyDescent="0.2">
      <c r="A949" s="4"/>
      <c r="B949" s="2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4"/>
      <c r="O949" s="4"/>
      <c r="P949" s="4"/>
      <c r="Q949" s="4"/>
      <c r="R949" s="4"/>
      <c r="S949" s="4"/>
    </row>
    <row r="950" spans="1:19" ht="15.95" customHeight="1" x14ac:dyDescent="0.2">
      <c r="A950" s="4"/>
      <c r="B950" s="2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4"/>
      <c r="O950" s="4"/>
      <c r="P950" s="4"/>
      <c r="Q950" s="4"/>
      <c r="R950" s="4"/>
      <c r="S950" s="4"/>
    </row>
    <row r="951" spans="1:19" ht="15.95" customHeight="1" x14ac:dyDescent="0.2">
      <c r="A951" s="4"/>
      <c r="B951" s="2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4"/>
      <c r="O951" s="4"/>
      <c r="P951" s="4"/>
      <c r="Q951" s="4"/>
      <c r="R951" s="4"/>
      <c r="S951" s="4"/>
    </row>
    <row r="952" spans="1:19" ht="15.95" customHeight="1" x14ac:dyDescent="0.2">
      <c r="A952" s="4"/>
      <c r="B952" s="2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4"/>
      <c r="O952" s="4"/>
      <c r="P952" s="4"/>
      <c r="Q952" s="4"/>
      <c r="R952" s="4"/>
      <c r="S952" s="4"/>
    </row>
    <row r="953" spans="1:19" ht="15.95" customHeight="1" x14ac:dyDescent="0.2">
      <c r="A953" s="4"/>
      <c r="B953" s="2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4"/>
      <c r="O953" s="4"/>
      <c r="P953" s="4"/>
      <c r="Q953" s="4"/>
      <c r="R953" s="4"/>
      <c r="S953" s="4"/>
    </row>
    <row r="954" spans="1:19" ht="15.95" customHeight="1" x14ac:dyDescent="0.2">
      <c r="A954" s="4"/>
      <c r="B954" s="2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4"/>
      <c r="O954" s="4"/>
      <c r="P954" s="4"/>
      <c r="Q954" s="4"/>
      <c r="R954" s="4"/>
      <c r="S954" s="4"/>
    </row>
    <row r="955" spans="1:19" ht="15.95" customHeight="1" x14ac:dyDescent="0.2">
      <c r="A955" s="4"/>
      <c r="B955" s="2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4"/>
      <c r="O955" s="4"/>
      <c r="P955" s="4"/>
      <c r="Q955" s="4"/>
      <c r="R955" s="4"/>
      <c r="S955" s="4"/>
    </row>
    <row r="956" spans="1:19" ht="15.95" customHeight="1" x14ac:dyDescent="0.2">
      <c r="A956" s="4"/>
      <c r="B956" s="2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4"/>
      <c r="O956" s="4"/>
      <c r="P956" s="4"/>
      <c r="Q956" s="4"/>
      <c r="R956" s="4"/>
      <c r="S956" s="4"/>
    </row>
    <row r="957" spans="1:19" ht="15.95" customHeight="1" x14ac:dyDescent="0.2">
      <c r="A957" s="4"/>
      <c r="B957" s="2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4"/>
      <c r="O957" s="4"/>
      <c r="P957" s="4"/>
      <c r="Q957" s="4"/>
      <c r="R957" s="4"/>
      <c r="S957" s="4"/>
    </row>
    <row r="958" spans="1:19" ht="15.95" customHeight="1" x14ac:dyDescent="0.2">
      <c r="A958" s="4"/>
      <c r="B958" s="2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4"/>
      <c r="O958" s="4"/>
      <c r="P958" s="4"/>
      <c r="Q958" s="4"/>
      <c r="R958" s="4"/>
      <c r="S958" s="4"/>
    </row>
    <row r="959" spans="1:19" ht="15.95" customHeight="1" x14ac:dyDescent="0.2">
      <c r="A959" s="4"/>
      <c r="B959" s="2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4"/>
      <c r="O959" s="4"/>
      <c r="P959" s="4"/>
      <c r="Q959" s="4"/>
      <c r="R959" s="4"/>
      <c r="S959" s="4"/>
    </row>
    <row r="960" spans="1:19" ht="15.95" customHeight="1" x14ac:dyDescent="0.2">
      <c r="A960" s="4"/>
      <c r="B960" s="2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4"/>
      <c r="O960" s="4"/>
      <c r="P960" s="4"/>
      <c r="Q960" s="4"/>
      <c r="R960" s="4"/>
      <c r="S960" s="4"/>
    </row>
    <row r="961" spans="1:19" ht="15.95" customHeight="1" x14ac:dyDescent="0.2">
      <c r="A961" s="4"/>
      <c r="B961" s="2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4"/>
      <c r="O961" s="4"/>
      <c r="P961" s="4"/>
      <c r="Q961" s="4"/>
      <c r="R961" s="4"/>
      <c r="S961" s="4"/>
    </row>
    <row r="962" spans="1:19" ht="15.95" customHeight="1" x14ac:dyDescent="0.2">
      <c r="A962" s="4"/>
      <c r="B962" s="2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4"/>
      <c r="O962" s="4"/>
      <c r="P962" s="4"/>
      <c r="Q962" s="4"/>
      <c r="R962" s="4"/>
      <c r="S962" s="4"/>
    </row>
    <row r="963" spans="1:19" ht="15.95" customHeight="1" x14ac:dyDescent="0.2">
      <c r="A963" s="4"/>
      <c r="B963" s="2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4"/>
      <c r="O963" s="4"/>
      <c r="P963" s="4"/>
      <c r="Q963" s="4"/>
      <c r="R963" s="4"/>
      <c r="S963" s="4"/>
    </row>
    <row r="964" spans="1:19" ht="15.95" customHeight="1" x14ac:dyDescent="0.2">
      <c r="A964" s="4"/>
      <c r="B964" s="2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4"/>
      <c r="O964" s="4"/>
      <c r="P964" s="4"/>
      <c r="Q964" s="4"/>
      <c r="R964" s="4"/>
      <c r="S964" s="4"/>
    </row>
    <row r="965" spans="1:19" ht="15.95" customHeight="1" x14ac:dyDescent="0.2">
      <c r="A965" s="4"/>
      <c r="B965" s="2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4"/>
      <c r="O965" s="4"/>
      <c r="P965" s="4"/>
      <c r="Q965" s="4"/>
      <c r="R965" s="4"/>
      <c r="S965" s="4"/>
    </row>
    <row r="966" spans="1:19" ht="15.95" customHeight="1" x14ac:dyDescent="0.2">
      <c r="A966" s="4"/>
      <c r="B966" s="2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4"/>
      <c r="O966" s="4"/>
      <c r="P966" s="4"/>
      <c r="Q966" s="4"/>
      <c r="R966" s="4"/>
      <c r="S966" s="4"/>
    </row>
    <row r="967" spans="1:19" ht="15.95" customHeight="1" x14ac:dyDescent="0.2">
      <c r="A967" s="4"/>
      <c r="B967" s="2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4"/>
      <c r="O967" s="4"/>
      <c r="P967" s="4"/>
      <c r="Q967" s="4"/>
      <c r="R967" s="4"/>
      <c r="S967" s="4"/>
    </row>
    <row r="968" spans="1:19" ht="15.95" customHeight="1" x14ac:dyDescent="0.2">
      <c r="A968" s="4"/>
      <c r="B968" s="2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4"/>
      <c r="O968" s="4"/>
      <c r="P968" s="4"/>
      <c r="Q968" s="4"/>
      <c r="R968" s="4"/>
      <c r="S968" s="4"/>
    </row>
    <row r="969" spans="1:19" ht="15.95" customHeight="1" x14ac:dyDescent="0.2">
      <c r="A969" s="4"/>
      <c r="B969" s="2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4"/>
      <c r="O969" s="4"/>
      <c r="P969" s="4"/>
      <c r="Q969" s="4"/>
      <c r="R969" s="4"/>
      <c r="S969" s="4"/>
    </row>
    <row r="970" spans="1:19" ht="15.95" customHeight="1" x14ac:dyDescent="0.2">
      <c r="A970" s="4"/>
      <c r="B970" s="2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4"/>
      <c r="O970" s="4"/>
      <c r="P970" s="4"/>
      <c r="Q970" s="4"/>
      <c r="R970" s="4"/>
      <c r="S970" s="4"/>
    </row>
    <row r="971" spans="1:19" ht="15.95" customHeight="1" x14ac:dyDescent="0.2">
      <c r="A971" s="4"/>
      <c r="B971" s="2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4"/>
      <c r="O971" s="4"/>
      <c r="P971" s="4"/>
      <c r="Q971" s="4"/>
      <c r="R971" s="4"/>
      <c r="S971" s="4"/>
    </row>
    <row r="972" spans="1:19" ht="15.95" customHeight="1" x14ac:dyDescent="0.2">
      <c r="A972" s="4"/>
      <c r="B972" s="2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4"/>
      <c r="O972" s="4"/>
      <c r="P972" s="4"/>
      <c r="Q972" s="4"/>
      <c r="R972" s="4"/>
      <c r="S972" s="4"/>
    </row>
    <row r="973" spans="1:19" ht="15.95" customHeight="1" x14ac:dyDescent="0.2">
      <c r="A973" s="4"/>
      <c r="B973" s="2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4"/>
      <c r="O973" s="4"/>
      <c r="P973" s="4"/>
      <c r="Q973" s="4"/>
      <c r="R973" s="4"/>
      <c r="S973" s="4"/>
    </row>
    <row r="974" spans="1:19" ht="15.95" customHeight="1" x14ac:dyDescent="0.2">
      <c r="A974" s="4"/>
      <c r="B974" s="2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4"/>
      <c r="O974" s="4"/>
      <c r="P974" s="4"/>
      <c r="Q974" s="4"/>
      <c r="R974" s="4"/>
      <c r="S974" s="4"/>
    </row>
    <row r="975" spans="1:19" ht="15.95" customHeight="1" x14ac:dyDescent="0.2">
      <c r="A975" s="4"/>
      <c r="B975" s="2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4"/>
      <c r="O975" s="4"/>
      <c r="P975" s="4"/>
      <c r="Q975" s="4"/>
      <c r="R975" s="4"/>
      <c r="S975" s="4"/>
    </row>
    <row r="976" spans="1:19" ht="15.95" customHeight="1" x14ac:dyDescent="0.2">
      <c r="A976" s="4"/>
      <c r="B976" s="2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4"/>
      <c r="O976" s="4"/>
      <c r="P976" s="4"/>
      <c r="Q976" s="4"/>
      <c r="R976" s="4"/>
      <c r="S976" s="4"/>
    </row>
    <row r="977" spans="1:19" ht="15.95" customHeight="1" x14ac:dyDescent="0.2">
      <c r="A977" s="4"/>
      <c r="B977" s="2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4"/>
      <c r="O977" s="4"/>
      <c r="P977" s="4"/>
      <c r="Q977" s="4"/>
      <c r="R977" s="4"/>
      <c r="S977" s="4"/>
    </row>
    <row r="978" spans="1:19" ht="15.95" customHeight="1" x14ac:dyDescent="0.2">
      <c r="A978" s="4"/>
      <c r="B978" s="2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4"/>
      <c r="O978" s="4"/>
      <c r="P978" s="4"/>
      <c r="Q978" s="4"/>
      <c r="R978" s="4"/>
      <c r="S978" s="4"/>
    </row>
    <row r="979" spans="1:19" ht="15.95" customHeight="1" x14ac:dyDescent="0.2">
      <c r="A979" s="4"/>
      <c r="B979" s="2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4"/>
      <c r="O979" s="4"/>
      <c r="P979" s="4"/>
      <c r="Q979" s="4"/>
      <c r="R979" s="4"/>
      <c r="S979" s="4"/>
    </row>
    <row r="980" spans="1:19" ht="15.95" customHeight="1" x14ac:dyDescent="0.2">
      <c r="A980" s="4"/>
      <c r="B980" s="2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4"/>
      <c r="O980" s="4"/>
      <c r="P980" s="4"/>
      <c r="Q980" s="4"/>
      <c r="R980" s="4"/>
      <c r="S980" s="4"/>
    </row>
    <row r="981" spans="1:19" ht="15.95" customHeight="1" x14ac:dyDescent="0.2">
      <c r="A981" s="4"/>
      <c r="B981" s="2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4"/>
      <c r="O981" s="4"/>
      <c r="P981" s="4"/>
      <c r="Q981" s="4"/>
      <c r="R981" s="4"/>
      <c r="S981" s="4"/>
    </row>
    <row r="982" spans="1:19" ht="15.95" customHeight="1" x14ac:dyDescent="0.2">
      <c r="A982" s="4"/>
      <c r="B982" s="2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4"/>
      <c r="O982" s="4"/>
      <c r="P982" s="4"/>
      <c r="Q982" s="4"/>
      <c r="R982" s="4"/>
      <c r="S982" s="4"/>
    </row>
    <row r="983" spans="1:19" ht="15.95" customHeight="1" x14ac:dyDescent="0.2">
      <c r="A983" s="4"/>
      <c r="B983" s="2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4"/>
      <c r="O983" s="4"/>
      <c r="P983" s="4"/>
      <c r="Q983" s="4"/>
      <c r="R983" s="4"/>
      <c r="S983" s="4"/>
    </row>
    <row r="984" spans="1:19" ht="15.95" customHeight="1" x14ac:dyDescent="0.2">
      <c r="A984" s="4"/>
      <c r="B984" s="2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4"/>
      <c r="O984" s="4"/>
      <c r="P984" s="4"/>
      <c r="Q984" s="4"/>
      <c r="R984" s="4"/>
      <c r="S984" s="4"/>
    </row>
    <row r="985" spans="1:19" ht="15.95" customHeight="1" x14ac:dyDescent="0.2">
      <c r="A985" s="4"/>
      <c r="B985" s="2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4"/>
      <c r="O985" s="4"/>
      <c r="P985" s="4"/>
      <c r="Q985" s="4"/>
      <c r="R985" s="4"/>
      <c r="S985" s="4"/>
    </row>
    <row r="986" spans="1:19" ht="15.95" customHeight="1" x14ac:dyDescent="0.2">
      <c r="A986" s="4"/>
      <c r="B986" s="2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4"/>
      <c r="O986" s="4"/>
      <c r="P986" s="4"/>
      <c r="Q986" s="4"/>
      <c r="R986" s="4"/>
      <c r="S986" s="4"/>
    </row>
    <row r="987" spans="1:19" ht="15.95" customHeight="1" x14ac:dyDescent="0.2">
      <c r="A987" s="4"/>
      <c r="B987" s="2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4"/>
      <c r="O987" s="4"/>
      <c r="P987" s="4"/>
      <c r="Q987" s="4"/>
      <c r="R987" s="4"/>
      <c r="S987" s="4"/>
    </row>
    <row r="988" spans="1:19" ht="15.95" customHeight="1" x14ac:dyDescent="0.2">
      <c r="A988" s="4"/>
      <c r="B988" s="2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4"/>
      <c r="O988" s="4"/>
      <c r="P988" s="4"/>
      <c r="Q988" s="4"/>
      <c r="R988" s="4"/>
      <c r="S988" s="4"/>
    </row>
    <row r="989" spans="1:19" ht="15.95" customHeight="1" x14ac:dyDescent="0.2">
      <c r="A989" s="4"/>
      <c r="B989" s="2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4"/>
      <c r="O989" s="4"/>
      <c r="P989" s="4"/>
      <c r="Q989" s="4"/>
      <c r="R989" s="4"/>
      <c r="S989" s="4"/>
    </row>
    <row r="990" spans="1:19" ht="15.95" customHeight="1" x14ac:dyDescent="0.2">
      <c r="A990" s="4"/>
      <c r="B990" s="2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4"/>
      <c r="O990" s="4"/>
      <c r="P990" s="4"/>
      <c r="Q990" s="4"/>
      <c r="R990" s="4"/>
      <c r="S990" s="4"/>
    </row>
    <row r="991" spans="1:19" ht="15.95" customHeight="1" x14ac:dyDescent="0.2">
      <c r="A991" s="4"/>
      <c r="B991" s="2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4"/>
      <c r="O991" s="4"/>
      <c r="P991" s="4"/>
      <c r="Q991" s="4"/>
      <c r="R991" s="4"/>
      <c r="S991" s="4"/>
    </row>
    <row r="992" spans="1:19" ht="15.95" customHeight="1" x14ac:dyDescent="0.2">
      <c r="A992" s="4"/>
      <c r="B992" s="2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4"/>
      <c r="O992" s="4"/>
      <c r="P992" s="4"/>
      <c r="Q992" s="4"/>
      <c r="R992" s="4"/>
      <c r="S992" s="4"/>
    </row>
    <row r="993" spans="1:19" ht="15.95" customHeight="1" x14ac:dyDescent="0.2">
      <c r="A993" s="4"/>
      <c r="B993" s="2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4"/>
      <c r="O993" s="4"/>
      <c r="P993" s="4"/>
      <c r="Q993" s="4"/>
      <c r="R993" s="4"/>
      <c r="S993" s="4"/>
    </row>
    <row r="994" spans="1:19" ht="15.95" customHeight="1" x14ac:dyDescent="0.2">
      <c r="A994" s="4"/>
      <c r="B994" s="2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4"/>
      <c r="O994" s="4"/>
      <c r="P994" s="4"/>
      <c r="Q994" s="4"/>
      <c r="R994" s="4"/>
      <c r="S994" s="4"/>
    </row>
    <row r="995" spans="1:19" ht="15.95" customHeight="1" x14ac:dyDescent="0.2">
      <c r="A995" s="4"/>
      <c r="B995" s="2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4"/>
      <c r="O995" s="4"/>
      <c r="P995" s="4"/>
      <c r="Q995" s="4"/>
      <c r="R995" s="4"/>
      <c r="S995" s="4"/>
    </row>
  </sheetData>
  <mergeCells count="3">
    <mergeCell ref="B2:C2"/>
    <mergeCell ref="H2:M2"/>
    <mergeCell ref="D2:G2"/>
  </mergeCells>
  <dataValidations count="2">
    <dataValidation type="list" allowBlank="1" showErrorMessage="1" sqref="D4:D903 K4:K903" xr:uid="{00000000-0002-0000-0100-000001000000}">
      <formula1>$Q$6:$Q$7</formula1>
    </dataValidation>
    <dataValidation type="list" allowBlank="1" showErrorMessage="1" sqref="L4:L903" xr:uid="{00000000-0002-0000-0100-000002000000}">
      <formula1>$S$6:$S$10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DropDown="1" showErrorMessage="1" xr:uid="{00000000-0002-0000-0100-000005000000}">
          <x14:formula1>
            <xm:f>Customization!$B$3:$B$251</xm:f>
          </x14:formula1>
          <xm:sqref>C4:C903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BC8777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T7" sqref="AT7"/>
    </sheetView>
  </sheetViews>
  <sheetFormatPr defaultColWidth="14.42578125" defaultRowHeight="15.95" customHeight="1" outlineLevelCol="1" x14ac:dyDescent="0.2"/>
  <cols>
    <col min="1" max="1" width="14.42578125" style="40"/>
    <col min="2" max="2" width="14.42578125" style="31" hidden="1" customWidth="1" outlineLevel="1"/>
    <col min="3" max="3" width="22.7109375" style="32" hidden="1" customWidth="1" outlineLevel="1"/>
    <col min="4" max="4" width="19.7109375" style="27" hidden="1" customWidth="1" outlineLevel="1"/>
    <col min="5" max="5" width="19.5703125" style="32" customWidth="1" collapsed="1"/>
    <col min="6" max="6" width="24.28515625" style="27" hidden="1" customWidth="1" outlineLevel="1"/>
    <col min="7" max="7" width="24.28515625" style="32" hidden="1" customWidth="1" outlineLevel="1"/>
    <col min="8" max="8" width="0" style="27" hidden="1" customWidth="1" outlineLevel="1"/>
    <col min="9" max="9" width="0" style="30" hidden="1" customWidth="1" outlineLevel="1"/>
    <col min="10" max="10" width="20" style="27" customWidth="1" collapsed="1"/>
    <col min="11" max="11" width="0" style="69" hidden="1" customWidth="1" outlineLevel="1"/>
    <col min="12" max="13" width="0" hidden="1" customWidth="1" outlineLevel="1"/>
    <col min="14" max="14" width="14.42578125" collapsed="1"/>
    <col min="15" max="18" width="0" hidden="1" customWidth="1" outlineLevel="1"/>
    <col min="19" max="19" width="19.85546875" customWidth="1" collapsed="1"/>
    <col min="20" max="20" width="14.42578125" hidden="1" customWidth="1" outlineLevel="1"/>
    <col min="21" max="21" width="16.42578125" hidden="1" customWidth="1" outlineLevel="1"/>
    <col min="22" max="22" width="16.140625" hidden="1" customWidth="1" outlineLevel="1"/>
    <col min="23" max="23" width="14.42578125" customWidth="1" collapsed="1"/>
    <col min="24" max="27" width="14.42578125" hidden="1" customWidth="1" outlineLevel="1"/>
    <col min="28" max="28" width="18.5703125" customWidth="1" collapsed="1"/>
    <col min="29" max="31" width="18.5703125" hidden="1" customWidth="1" outlineLevel="1"/>
    <col min="32" max="32" width="18.5703125" customWidth="1" collapsed="1"/>
    <col min="33" max="36" width="18.5703125" hidden="1" customWidth="1" outlineLevel="1"/>
    <col min="37" max="37" width="19.85546875" customWidth="1" collapsed="1"/>
    <col min="38" max="38" width="12" hidden="1" customWidth="1" outlineLevel="1"/>
    <col min="39" max="39" width="17.140625" hidden="1" customWidth="1" outlineLevel="1"/>
    <col min="40" max="40" width="16" hidden="1" customWidth="1" outlineLevel="1"/>
    <col min="41" max="41" width="18.140625" customWidth="1" collapsed="1"/>
    <col min="42" max="45" width="0" hidden="1" customWidth="1" outlineLevel="1"/>
    <col min="46" max="46" width="21.28515625" customWidth="1" collapsed="1"/>
    <col min="47" max="47" width="15.85546875" hidden="1" customWidth="1" outlineLevel="1"/>
    <col min="48" max="48" width="16.140625" hidden="1" customWidth="1" outlineLevel="1"/>
    <col min="49" max="49" width="16.28515625" hidden="1" customWidth="1" outlineLevel="1"/>
    <col min="50" max="50" width="22.42578125" customWidth="1" collapsed="1"/>
    <col min="51" max="52" width="0" hidden="1" customWidth="1" outlineLevel="1"/>
    <col min="53" max="53" width="12.42578125" hidden="1" customWidth="1" outlineLevel="1"/>
    <col min="54" max="54" width="10.7109375" hidden="1" customWidth="1" outlineLevel="1"/>
    <col min="55" max="55" width="25" customWidth="1" collapsed="1"/>
  </cols>
  <sheetData>
    <row r="1" spans="1:55" ht="15.95" customHeight="1" x14ac:dyDescent="0.2">
      <c r="B1" s="121" t="s">
        <v>72</v>
      </c>
      <c r="C1" s="122"/>
      <c r="D1" s="122"/>
      <c r="E1" s="123"/>
      <c r="F1" s="132" t="s">
        <v>60</v>
      </c>
      <c r="G1" s="133"/>
      <c r="H1" s="133"/>
      <c r="I1" s="133"/>
      <c r="J1" s="134"/>
      <c r="K1" s="129" t="s">
        <v>71</v>
      </c>
      <c r="L1" s="130"/>
      <c r="M1" s="130"/>
      <c r="N1" s="131"/>
      <c r="O1" s="126" t="s">
        <v>56</v>
      </c>
      <c r="P1" s="127"/>
      <c r="Q1" s="127"/>
      <c r="R1" s="127"/>
      <c r="S1" s="128"/>
      <c r="T1" s="114" t="s">
        <v>73</v>
      </c>
      <c r="U1" s="124"/>
      <c r="V1" s="124"/>
      <c r="W1" s="125"/>
      <c r="X1" s="114" t="s">
        <v>74</v>
      </c>
      <c r="Y1" s="124"/>
      <c r="Z1" s="124"/>
      <c r="AA1" s="124"/>
      <c r="AB1" s="125"/>
      <c r="AC1" s="114" t="s">
        <v>75</v>
      </c>
      <c r="AD1" s="115"/>
      <c r="AE1" s="115"/>
      <c r="AF1" s="116"/>
      <c r="AG1" s="114" t="s">
        <v>76</v>
      </c>
      <c r="AH1" s="115"/>
      <c r="AI1" s="115"/>
      <c r="AJ1" s="115"/>
      <c r="AK1" s="116"/>
      <c r="AL1" s="114" t="s">
        <v>77</v>
      </c>
      <c r="AM1" s="115"/>
      <c r="AN1" s="115"/>
      <c r="AO1" s="116"/>
      <c r="AP1" s="117" t="s">
        <v>78</v>
      </c>
      <c r="AQ1" s="118"/>
      <c r="AR1" s="118"/>
      <c r="AS1" s="118"/>
      <c r="AT1" s="118"/>
      <c r="AU1" s="119" t="s">
        <v>79</v>
      </c>
      <c r="AV1" s="119"/>
      <c r="AW1" s="119"/>
      <c r="AX1" s="119"/>
      <c r="AY1" s="119" t="s">
        <v>80</v>
      </c>
      <c r="AZ1" s="120"/>
      <c r="BA1" s="120"/>
      <c r="BB1" s="120"/>
      <c r="BC1" s="120"/>
    </row>
    <row r="2" spans="1:55" s="101" customFormat="1" ht="15.95" customHeight="1" x14ac:dyDescent="0.2">
      <c r="A2" s="95" t="s">
        <v>2</v>
      </c>
      <c r="B2" s="96" t="s">
        <v>4</v>
      </c>
      <c r="C2" s="97" t="s">
        <v>47</v>
      </c>
      <c r="D2" s="97" t="s">
        <v>48</v>
      </c>
      <c r="E2" s="97" t="s">
        <v>49</v>
      </c>
      <c r="F2" s="97" t="s">
        <v>47</v>
      </c>
      <c r="G2" s="97" t="s">
        <v>48</v>
      </c>
      <c r="H2" s="97" t="s">
        <v>49</v>
      </c>
      <c r="I2" s="96" t="s">
        <v>5</v>
      </c>
      <c r="J2" s="97" t="s">
        <v>51</v>
      </c>
      <c r="K2" s="98" t="s">
        <v>4</v>
      </c>
      <c r="L2" s="99" t="s">
        <v>54</v>
      </c>
      <c r="M2" s="99" t="s">
        <v>55</v>
      </c>
      <c r="N2" s="99" t="s">
        <v>49</v>
      </c>
      <c r="O2" s="99" t="s">
        <v>54</v>
      </c>
      <c r="P2" s="99" t="s">
        <v>55</v>
      </c>
      <c r="Q2" s="99" t="s">
        <v>49</v>
      </c>
      <c r="R2" s="99" t="s">
        <v>5</v>
      </c>
      <c r="S2" s="99" t="s">
        <v>51</v>
      </c>
      <c r="T2" s="100" t="s">
        <v>73</v>
      </c>
      <c r="U2" s="100" t="s">
        <v>47</v>
      </c>
      <c r="V2" s="100" t="s">
        <v>48</v>
      </c>
      <c r="W2" s="100" t="s">
        <v>49</v>
      </c>
      <c r="X2" s="99" t="s">
        <v>54</v>
      </c>
      <c r="Y2" s="99" t="s">
        <v>55</v>
      </c>
      <c r="Z2" s="99" t="s">
        <v>49</v>
      </c>
      <c r="AA2" s="99" t="s">
        <v>5</v>
      </c>
      <c r="AB2" s="99" t="s">
        <v>51</v>
      </c>
      <c r="AC2" s="99" t="s">
        <v>4</v>
      </c>
      <c r="AD2" s="99" t="s">
        <v>47</v>
      </c>
      <c r="AE2" s="99" t="s">
        <v>48</v>
      </c>
      <c r="AF2" s="99" t="s">
        <v>49</v>
      </c>
      <c r="AG2" s="99" t="s">
        <v>54</v>
      </c>
      <c r="AH2" s="99" t="s">
        <v>55</v>
      </c>
      <c r="AI2" s="99" t="s">
        <v>49</v>
      </c>
      <c r="AJ2" s="99" t="s">
        <v>5</v>
      </c>
      <c r="AK2" s="99" t="s">
        <v>51</v>
      </c>
      <c r="AL2" s="99" t="s">
        <v>4</v>
      </c>
      <c r="AM2" s="99" t="s">
        <v>47</v>
      </c>
      <c r="AN2" s="99" t="s">
        <v>48</v>
      </c>
      <c r="AO2" s="99" t="s">
        <v>49</v>
      </c>
      <c r="AP2" s="99" t="s">
        <v>54</v>
      </c>
      <c r="AQ2" s="99" t="s">
        <v>55</v>
      </c>
      <c r="AR2" s="99" t="s">
        <v>49</v>
      </c>
      <c r="AS2" s="99" t="s">
        <v>5</v>
      </c>
      <c r="AT2" s="99" t="s">
        <v>51</v>
      </c>
      <c r="AU2" s="102" t="s">
        <v>4</v>
      </c>
      <c r="AV2" s="102" t="s">
        <v>47</v>
      </c>
      <c r="AW2" s="102" t="s">
        <v>48</v>
      </c>
      <c r="AX2" s="102" t="s">
        <v>49</v>
      </c>
      <c r="AY2" s="102" t="s">
        <v>54</v>
      </c>
      <c r="AZ2" s="102" t="s">
        <v>55</v>
      </c>
      <c r="BA2" s="102" t="s">
        <v>49</v>
      </c>
      <c r="BB2" s="102" t="s">
        <v>5</v>
      </c>
      <c r="BC2" s="102" t="s">
        <v>51</v>
      </c>
    </row>
    <row r="3" spans="1:55" ht="15.95" customHeight="1" x14ac:dyDescent="0.2">
      <c r="A3" s="80" t="str">
        <f>IF(Customization!B3="","",Customization!B3)</f>
        <v/>
      </c>
      <c r="B3" s="81" t="str">
        <f ca="1">IFERROR(INDIRECT("'"&amp;$A3&amp;"'!O5"),"")</f>
        <v/>
      </c>
      <c r="C3" s="82" t="str">
        <f ca="1">IFERROR(INDIRECT("'"&amp;$A3&amp;"'!P5"),"")</f>
        <v/>
      </c>
      <c r="D3" s="83" t="str">
        <f t="shared" ref="D3:D66" ca="1" si="0">IFERROR(INDIRECT("'"&amp;$A3&amp;"'!Q5"),"")</f>
        <v/>
      </c>
      <c r="E3" s="82" t="str">
        <f ca="1">IFERROR(INDIRECT("'"&amp;$A3&amp;"'!R5"),"")</f>
        <v/>
      </c>
      <c r="F3" s="83" t="str">
        <f t="shared" ref="F3:F66" ca="1" si="1">IFERROR(INDIRECT("'"&amp;$A3&amp;"'!S5"),"")</f>
        <v/>
      </c>
      <c r="G3" s="82" t="str">
        <f ca="1">IFERROR(INDIRECT("'"&amp;$A3&amp;"'!T5"),"")</f>
        <v/>
      </c>
      <c r="H3" s="83" t="str">
        <f ca="1">IFERROR(INDIRECT("'"&amp;$A3&amp;"'!U5"),"")</f>
        <v/>
      </c>
      <c r="I3" s="84" t="str">
        <f ca="1">IFERROR(INDIRECT("'"&amp;$A3&amp;"'!V5"),"")</f>
        <v/>
      </c>
      <c r="J3" s="83" t="str">
        <f ca="1">IFERROR(INDIRECT("'"&amp;$A3&amp;"'!W5"),"")</f>
        <v/>
      </c>
      <c r="K3" s="72" t="str">
        <f ca="1">IFERROR(INDIRECT("'"&amp;A3&amp;"'!O11"),"")</f>
        <v/>
      </c>
      <c r="L3" s="85" t="str">
        <f ca="1">IFERROR(INDIRECT("'"&amp;A3&amp;"'!P11"),"")</f>
        <v/>
      </c>
      <c r="M3" s="86" t="str">
        <f ca="1">IFERROR(INDIRECT("'"&amp;A3&amp;"'!Q11"),"")</f>
        <v/>
      </c>
      <c r="N3" s="87" t="str">
        <f ca="1">IFERROR(INDIRECT("'"&amp;A3&amp;"'!R11"),"")</f>
        <v/>
      </c>
      <c r="O3" s="86" t="str">
        <f ca="1">IFERROR(INDIRECT("'"&amp;A3&amp;"'!S11"),"")</f>
        <v/>
      </c>
      <c r="P3" s="87" t="str">
        <f ca="1">IFERROR(INDIRECT("'"&amp;A3&amp;"'!T11"),"")</f>
        <v/>
      </c>
      <c r="Q3" s="86" t="str">
        <f ca="1">IFERROR(INDIRECT("'"&amp;A3&amp;"'!U11"),"")</f>
        <v/>
      </c>
      <c r="R3" s="88" t="str">
        <f ca="1">IFERROR(INDIRECT("'"&amp;A3&amp;"'!V11"),"")</f>
        <v/>
      </c>
      <c r="S3" s="89" t="str">
        <f ca="1">IFERROR(INDIRECT("'"&amp;A3&amp;"'!W11"),"")</f>
        <v/>
      </c>
      <c r="T3" s="88" t="str">
        <f ca="1">IFERROR(INDIRECT("'"&amp;A3&amp;"'!O17"),"")</f>
        <v/>
      </c>
      <c r="U3" s="92" t="str">
        <f ca="1">IFERROR(INDIRECT("'"&amp;A3&amp;"'!P17"),"")</f>
        <v/>
      </c>
      <c r="V3" s="88" t="str">
        <f ca="1">IFERROR(INDIRECT("'"&amp;A3&amp;"'!Q17"),"")</f>
        <v/>
      </c>
      <c r="W3" s="92" t="str">
        <f ca="1">IFERROR(INDIRECT("'"&amp;A3&amp;"'!R17"),"")</f>
        <v/>
      </c>
      <c r="X3" s="88" t="str">
        <f ca="1">IFERROR(INDIRECT("'"&amp;A3&amp;"'!S17"),"")</f>
        <v/>
      </c>
      <c r="Y3" s="92" t="str">
        <f ca="1">IFERROR(INDIRECT("'"&amp;A3&amp;"'!T17"),"")</f>
        <v/>
      </c>
      <c r="Z3" s="88" t="str">
        <f ca="1">IFERROR(INDIRECT("'"&amp;A3&amp;"'!U17"),"")</f>
        <v/>
      </c>
      <c r="AA3" s="89" t="str">
        <f ca="1">IFERROR(INDIRECT("'"&amp;A3&amp;"'!V17"),"")</f>
        <v/>
      </c>
      <c r="AB3" s="88" t="str">
        <f ca="1">IFERROR(INDIRECT("'"&amp;A3&amp;"'!W17"),"")</f>
        <v/>
      </c>
      <c r="AC3" s="92" t="str">
        <f ca="1">IFERROR(INDIRECT("'"&amp;A3&amp;"'!X5"),"")</f>
        <v/>
      </c>
      <c r="AD3" s="88" t="str">
        <f ca="1">IFERROR(INDIRECT("'"&amp;A3&amp;"'!Y5"),"")</f>
        <v/>
      </c>
      <c r="AE3" s="92" t="str">
        <f ca="1">IFERROR(INDIRECT("'"&amp;A3&amp;"'!Z5"),"")</f>
        <v/>
      </c>
      <c r="AF3" s="88" t="str">
        <f ca="1">IFERROR(INDIRECT("'"&amp;A3&amp;"'!AA5"),"")</f>
        <v/>
      </c>
      <c r="AG3" s="92" t="str">
        <f ca="1">IFERROR(INDIRECT("'"&amp;A3&amp;"'!AB5"),"")</f>
        <v/>
      </c>
      <c r="AH3" s="88" t="str">
        <f ca="1">IFERROR(INDIRECT("'"&amp;A3&amp;"'!AC5"),"")</f>
        <v/>
      </c>
      <c r="AI3" s="92" t="str">
        <f ca="1">IFERROR(INDIRECT("'"&amp;A3&amp;"'!AD5"),"")</f>
        <v/>
      </c>
      <c r="AJ3" s="88" t="str">
        <f ca="1">IFERROR(INDIRECT("'"&amp;A3&amp;"'!AE5"),"")</f>
        <v/>
      </c>
      <c r="AK3" s="92" t="str">
        <f ca="1">IFERROR(INDIRECT("'"&amp;A3&amp;"'!AF5"),"")</f>
        <v/>
      </c>
      <c r="AL3" s="88" t="str">
        <f ca="1">IFERROR(INDIRECT("'"&amp;A3&amp;"'!X11"),"")</f>
        <v/>
      </c>
      <c r="AM3" s="89" t="str">
        <f ca="1">IFERROR(INDIRECT("'"&amp;A3&amp;"'!Y11"),"")</f>
        <v/>
      </c>
      <c r="AN3" s="88" t="str">
        <f ca="1">IFERROR(INDIRECT("'"&amp;A3&amp;"'!Z11"),"")</f>
        <v/>
      </c>
      <c r="AO3" s="89" t="str">
        <f ca="1">IFERROR(INDIRECT("'"&amp;A3&amp;"'!AA11"),"")</f>
        <v/>
      </c>
      <c r="AP3" s="88" t="str">
        <f ca="1">IFERROR(INDIRECT("'"&amp;A3&amp;"'!AB11"),"")</f>
        <v/>
      </c>
      <c r="AQ3" s="92" t="str">
        <f ca="1">IFERROR(INDIRECT("'"&amp;A3&amp;"'!AC11"),"")</f>
        <v/>
      </c>
      <c r="AR3" s="88" t="str">
        <f ca="1">IFERROR(INDIRECT("'"&amp;A3&amp;"'!AD11"),"")</f>
        <v/>
      </c>
      <c r="AS3" s="92" t="str">
        <f ca="1">IFERROR(INDIRECT("'"&amp;A3&amp;"'!AE11"),"")</f>
        <v/>
      </c>
      <c r="AT3" s="88" t="str">
        <f ca="1">IFERROR(INDIRECT("'"&amp;A3&amp;"'!AF11"),"")</f>
        <v/>
      </c>
      <c r="AU3" s="93" t="str">
        <f ca="1">IFERROR(INDIRECT("'"&amp;A3&amp;"'!X17"),"")</f>
        <v/>
      </c>
      <c r="AV3" s="77" t="str">
        <f ca="1">IFERROR(INDIRECT("'"&amp;A3&amp;"'!Y17"),"")</f>
        <v/>
      </c>
      <c r="AW3" s="93" t="str">
        <f ca="1">IFERROR(INDIRECT("'"&amp;A3&amp;"'!Z17"),"")</f>
        <v/>
      </c>
      <c r="AX3" s="77" t="str">
        <f ca="1">IFERROR(INDIRECT("'"&amp;A3&amp;"'!AA17"),"")</f>
        <v/>
      </c>
      <c r="AY3" s="93" t="str">
        <f ca="1">IFERROR(INDIRECT("'"&amp;$A3&amp;"'!AB17"),"")</f>
        <v/>
      </c>
      <c r="AZ3" s="77" t="str">
        <f ca="1">IFERROR(INDIRECT("'"&amp;$A3&amp;"'!AC17"),"")</f>
        <v/>
      </c>
      <c r="BA3" s="93" t="str">
        <f ca="1">IFERROR(INDIRECT("'"&amp;$A3&amp;"'!AD17"),"")</f>
        <v/>
      </c>
      <c r="BB3" s="77" t="str">
        <f ca="1">IFERROR(INDIRECT("'"&amp;$A3&amp;"'!AE17"),"")</f>
        <v/>
      </c>
      <c r="BC3" s="93" t="str">
        <f ca="1">IFERROR(INDIRECT("'"&amp;$A3&amp;"'!AF17"),"")</f>
        <v/>
      </c>
    </row>
    <row r="4" spans="1:55" ht="15.95" customHeight="1" x14ac:dyDescent="0.2">
      <c r="A4" s="41" t="str">
        <f>IF(Customization!B4="","",Customization!B4)</f>
        <v/>
      </c>
      <c r="B4" s="79" t="str">
        <f t="shared" ref="B4:B67" ca="1" si="2">IFERROR(INDIRECT("'"&amp;$A4&amp;"'!O5"),"")</f>
        <v/>
      </c>
      <c r="C4" s="29" t="str">
        <f t="shared" ref="C4:C67" ca="1" si="3">IFERROR(INDIRECT("'"&amp;$A4&amp;"'!P5"),"")</f>
        <v/>
      </c>
      <c r="D4" s="7" t="str">
        <f t="shared" ca="1" si="0"/>
        <v/>
      </c>
      <c r="E4" s="29" t="str">
        <f t="shared" ref="E4:E67" ca="1" si="4">IFERROR(INDIRECT("'"&amp;$A4&amp;"'!R5"),"")</f>
        <v/>
      </c>
      <c r="F4" s="7" t="str">
        <f t="shared" ca="1" si="1"/>
        <v/>
      </c>
      <c r="G4" s="29" t="str">
        <f t="shared" ref="G4:G67" ca="1" si="5">IFERROR(INDIRECT("'"&amp;$A4&amp;"'!T5"),"")</f>
        <v/>
      </c>
      <c r="H4" s="7" t="str">
        <f t="shared" ref="H4:H67" ca="1" si="6">IFERROR(INDIRECT("'"&amp;$A4&amp;"'!U5"),"")</f>
        <v/>
      </c>
      <c r="I4" s="28" t="str">
        <f t="shared" ref="I4:I67" ca="1" si="7">IFERROR(INDIRECT("'"&amp;$A4&amp;"'!V5"),"")</f>
        <v/>
      </c>
      <c r="J4" s="7" t="str">
        <f t="shared" ref="J4:J67" ca="1" si="8">IFERROR(INDIRECT("'"&amp;$A4&amp;"'!W5"),"")</f>
        <v/>
      </c>
      <c r="K4" s="73" t="str">
        <f t="shared" ref="K4:K67" ca="1" si="9">IFERROR(INDIRECT("'"&amp;A4&amp;"'!O11"),"")</f>
        <v/>
      </c>
      <c r="L4" s="74" t="str">
        <f t="shared" ref="L4:L67" ca="1" si="10">IFERROR(INDIRECT("'"&amp;A4&amp;"'!P11"),"")</f>
        <v/>
      </c>
      <c r="M4" s="75" t="str">
        <f t="shared" ref="M4:M67" ca="1" si="11">IFERROR(INDIRECT("'"&amp;A4&amp;"'!Q11"),"")</f>
        <v/>
      </c>
      <c r="N4" s="76" t="str">
        <f t="shared" ref="N4:N67" ca="1" si="12">IFERROR(INDIRECT("'"&amp;A4&amp;"'!R11"),"")</f>
        <v/>
      </c>
      <c r="O4" s="75" t="str">
        <f t="shared" ref="O4:O67" ca="1" si="13">IFERROR(INDIRECT("'"&amp;A4&amp;"'!S11"),"")</f>
        <v/>
      </c>
      <c r="P4" s="76" t="str">
        <f t="shared" ref="P4:P67" ca="1" si="14">IFERROR(INDIRECT("'"&amp;A4&amp;"'!T11"),"")</f>
        <v/>
      </c>
      <c r="Q4" s="75" t="str">
        <f t="shared" ref="Q4:Q67" ca="1" si="15">IFERROR(INDIRECT("'"&amp;A4&amp;"'!U11"),"")</f>
        <v/>
      </c>
      <c r="R4" s="77" t="str">
        <f t="shared" ref="R4:R67" ca="1" si="16">IFERROR(INDIRECT("'"&amp;A4&amp;"'!V11"),"")</f>
        <v/>
      </c>
      <c r="S4" s="89" t="str">
        <f t="shared" ref="S4:S67" ca="1" si="17">IFERROR(INDIRECT("'"&amp;A4&amp;"'!W11"),"")</f>
        <v/>
      </c>
      <c r="T4" s="88" t="str">
        <f t="shared" ref="T4:T67" ca="1" si="18">IFERROR(INDIRECT("'"&amp;A4&amp;"'!O17"),"")</f>
        <v/>
      </c>
      <c r="U4" s="92" t="str">
        <f t="shared" ref="U4:U67" ca="1" si="19">IFERROR(INDIRECT("'"&amp;A4&amp;"'!P17"),"")</f>
        <v/>
      </c>
      <c r="V4" s="88" t="str">
        <f t="shared" ref="V4:V67" ca="1" si="20">IFERROR(INDIRECT("'"&amp;A4&amp;"'!Q17"),"")</f>
        <v/>
      </c>
      <c r="W4" s="92" t="str">
        <f t="shared" ref="W4:W67" ca="1" si="21">IFERROR(INDIRECT("'"&amp;A4&amp;"'!R17"),"")</f>
        <v/>
      </c>
      <c r="X4" s="88" t="str">
        <f t="shared" ref="X4:X67" ca="1" si="22">IFERROR(INDIRECT("'"&amp;A4&amp;"'!S17"),"")</f>
        <v/>
      </c>
      <c r="Y4" s="92" t="str">
        <f t="shared" ref="Y4:Y67" ca="1" si="23">IFERROR(INDIRECT("'"&amp;A4&amp;"'!T17"),"")</f>
        <v/>
      </c>
      <c r="Z4" s="88" t="str">
        <f t="shared" ref="Z4:Z67" ca="1" si="24">IFERROR(INDIRECT("'"&amp;A4&amp;"'!U17"),"")</f>
        <v/>
      </c>
      <c r="AA4" s="89" t="str">
        <f t="shared" ref="AA4:AA67" ca="1" si="25">IFERROR(INDIRECT("'"&amp;A4&amp;"'!V17"),"")</f>
        <v/>
      </c>
      <c r="AB4" s="88" t="str">
        <f t="shared" ref="AB4:AB67" ca="1" si="26">IFERROR(INDIRECT("'"&amp;A4&amp;"'!W17"),"")</f>
        <v/>
      </c>
      <c r="AC4" s="92" t="str">
        <f t="shared" ref="AC4:AC67" ca="1" si="27">IFERROR(INDIRECT("'"&amp;A4&amp;"'!X5"),"")</f>
        <v/>
      </c>
      <c r="AD4" s="88" t="str">
        <f t="shared" ref="AD4:AD67" ca="1" si="28">IFERROR(INDIRECT("'"&amp;A4&amp;"'!Y5"),"")</f>
        <v/>
      </c>
      <c r="AE4" s="92" t="str">
        <f t="shared" ref="AE4:AE67" ca="1" si="29">IFERROR(INDIRECT("'"&amp;A4&amp;"'!Z5"),"")</f>
        <v/>
      </c>
      <c r="AF4" s="88" t="str">
        <f t="shared" ref="AF4:AF67" ca="1" si="30">IFERROR(INDIRECT("'"&amp;A4&amp;"'!AA5"),"")</f>
        <v/>
      </c>
      <c r="AG4" s="92" t="str">
        <f t="shared" ref="AG4:AG67" ca="1" si="31">IFERROR(INDIRECT("'"&amp;A4&amp;"'!AB5"),"")</f>
        <v/>
      </c>
      <c r="AH4" s="88" t="str">
        <f t="shared" ref="AH4:AH67" ca="1" si="32">IFERROR(INDIRECT("'"&amp;A4&amp;"'!AC5"),"")</f>
        <v/>
      </c>
      <c r="AI4" s="92" t="str">
        <f t="shared" ref="AI4:AI67" ca="1" si="33">IFERROR(INDIRECT("'"&amp;A4&amp;"'!AD5"),"")</f>
        <v/>
      </c>
      <c r="AJ4" s="88" t="str">
        <f t="shared" ref="AJ4:AJ67" ca="1" si="34">IFERROR(INDIRECT("'"&amp;A4&amp;"'!AE5"),"")</f>
        <v/>
      </c>
      <c r="AK4" s="92" t="str">
        <f t="shared" ref="AK4:AK67" ca="1" si="35">IFERROR(INDIRECT("'"&amp;A4&amp;"'!AF5"),"")</f>
        <v/>
      </c>
      <c r="AL4" s="77" t="str">
        <f t="shared" ref="AL4:AL67" ca="1" si="36">IFERROR(INDIRECT("'"&amp;A4&amp;"'!X11"),"")</f>
        <v/>
      </c>
      <c r="AM4" s="89" t="str">
        <f t="shared" ref="AM4:AM67" ca="1" si="37">IFERROR(INDIRECT("'"&amp;A4&amp;"'!Y11"),"")</f>
        <v/>
      </c>
      <c r="AN4" s="88" t="str">
        <f t="shared" ref="AN4:AN67" ca="1" si="38">IFERROR(INDIRECT("'"&amp;A4&amp;"'!Z11"),"")</f>
        <v/>
      </c>
      <c r="AO4" s="89" t="str">
        <f t="shared" ref="AO4:AO67" ca="1" si="39">IFERROR(INDIRECT("'"&amp;A4&amp;"'!AA11"),"")</f>
        <v/>
      </c>
      <c r="AP4" s="77" t="str">
        <f t="shared" ref="AP4:AP67" ca="1" si="40">IFERROR(INDIRECT("'"&amp;A4&amp;"'!AB11"),"")</f>
        <v/>
      </c>
      <c r="AQ4" s="94" t="str">
        <f t="shared" ref="AQ4:AQ67" ca="1" si="41">IFERROR(INDIRECT("'"&amp;A4&amp;"'!AC11"),"")</f>
        <v/>
      </c>
      <c r="AR4" s="77" t="str">
        <f t="shared" ref="AR4:AR67" ca="1" si="42">IFERROR(INDIRECT("'"&amp;A4&amp;"'!AD11"),"")</f>
        <v/>
      </c>
      <c r="AS4" s="94" t="str">
        <f t="shared" ref="AS4:AS67" ca="1" si="43">IFERROR(INDIRECT("'"&amp;A4&amp;"'!AE11"),"")</f>
        <v/>
      </c>
      <c r="AT4" s="77" t="str">
        <f t="shared" ref="AT4:AT67" ca="1" si="44">IFERROR(INDIRECT("'"&amp;A4&amp;"'!AF11"),"")</f>
        <v/>
      </c>
      <c r="AU4" s="93" t="str">
        <f t="shared" ref="AU4:AU67" ca="1" si="45">IFERROR(INDIRECT("'"&amp;A4&amp;"'!X17"),"")</f>
        <v/>
      </c>
      <c r="AV4" s="77" t="str">
        <f t="shared" ref="AV4:AV67" ca="1" si="46">IFERROR(INDIRECT("'"&amp;A4&amp;"'!Y17"),"")</f>
        <v/>
      </c>
      <c r="AW4" s="93" t="str">
        <f t="shared" ref="AW4:AW67" ca="1" si="47">IFERROR(INDIRECT("'"&amp;A4&amp;"'!Z17"),"")</f>
        <v/>
      </c>
      <c r="AX4" s="77" t="str">
        <f t="shared" ref="AX4:AX67" ca="1" si="48">IFERROR(INDIRECT("'"&amp;A4&amp;"'!AA17"),"")</f>
        <v/>
      </c>
      <c r="AY4" s="93" t="str">
        <f t="shared" ref="AY4:AY67" ca="1" si="49">IFERROR(INDIRECT("'"&amp;A4&amp;"'!AB17"),"")</f>
        <v/>
      </c>
      <c r="AZ4" s="77" t="str">
        <f t="shared" ref="AZ4:AZ67" ca="1" si="50">IFERROR(INDIRECT("'"&amp;$A4&amp;"'!AC17"),"")</f>
        <v/>
      </c>
      <c r="BA4" s="93" t="str">
        <f t="shared" ref="BA4:BA67" ca="1" si="51">IFERROR(INDIRECT("'"&amp;$A4&amp;"'!AD17"),"")</f>
        <v/>
      </c>
      <c r="BB4" s="77" t="str">
        <f t="shared" ref="BB4:BB67" ca="1" si="52">IFERROR(INDIRECT("'"&amp;$A4&amp;"'!AE17"),"")</f>
        <v/>
      </c>
      <c r="BC4" s="93" t="str">
        <f t="shared" ref="BC4:BC67" ca="1" si="53">IFERROR(INDIRECT("'"&amp;$A4&amp;"'!AF17"),"")</f>
        <v/>
      </c>
    </row>
    <row r="5" spans="1:55" ht="15.95" customHeight="1" x14ac:dyDescent="0.2">
      <c r="A5" s="41" t="str">
        <f>IF(Customization!B5="","",Customization!B5)</f>
        <v/>
      </c>
      <c r="B5" s="79" t="str">
        <f t="shared" ca="1" si="2"/>
        <v/>
      </c>
      <c r="C5" s="29" t="str">
        <f t="shared" ca="1" si="3"/>
        <v/>
      </c>
      <c r="D5" s="7" t="str">
        <f t="shared" ca="1" si="0"/>
        <v/>
      </c>
      <c r="E5" s="29" t="str">
        <f t="shared" ca="1" si="4"/>
        <v/>
      </c>
      <c r="F5" s="7" t="str">
        <f t="shared" ca="1" si="1"/>
        <v/>
      </c>
      <c r="G5" s="29" t="str">
        <f t="shared" ca="1" si="5"/>
        <v/>
      </c>
      <c r="H5" s="7" t="str">
        <f t="shared" ca="1" si="6"/>
        <v/>
      </c>
      <c r="I5" s="28" t="str">
        <f t="shared" ca="1" si="7"/>
        <v/>
      </c>
      <c r="J5" s="7" t="str">
        <f t="shared" ca="1" si="8"/>
        <v/>
      </c>
      <c r="K5" s="73" t="str">
        <f t="shared" ca="1" si="9"/>
        <v/>
      </c>
      <c r="L5" s="74" t="str">
        <f t="shared" ca="1" si="10"/>
        <v/>
      </c>
      <c r="M5" s="75" t="str">
        <f t="shared" ca="1" si="11"/>
        <v/>
      </c>
      <c r="N5" s="76" t="str">
        <f t="shared" ca="1" si="12"/>
        <v/>
      </c>
      <c r="O5" s="75" t="str">
        <f t="shared" ca="1" si="13"/>
        <v/>
      </c>
      <c r="P5" s="76" t="str">
        <f t="shared" ca="1" si="14"/>
        <v/>
      </c>
      <c r="Q5" s="75" t="str">
        <f t="shared" ca="1" si="15"/>
        <v/>
      </c>
      <c r="R5" s="77" t="str">
        <f t="shared" ca="1" si="16"/>
        <v/>
      </c>
      <c r="S5" s="89" t="str">
        <f t="shared" ca="1" si="17"/>
        <v/>
      </c>
      <c r="T5" s="88" t="str">
        <f t="shared" ca="1" si="18"/>
        <v/>
      </c>
      <c r="U5" s="92" t="str">
        <f t="shared" ca="1" si="19"/>
        <v/>
      </c>
      <c r="V5" s="88" t="str">
        <f t="shared" ca="1" si="20"/>
        <v/>
      </c>
      <c r="W5" s="92" t="str">
        <f t="shared" ca="1" si="21"/>
        <v/>
      </c>
      <c r="X5" s="88" t="str">
        <f t="shared" ca="1" si="22"/>
        <v/>
      </c>
      <c r="Y5" s="92" t="str">
        <f t="shared" ca="1" si="23"/>
        <v/>
      </c>
      <c r="Z5" s="88" t="str">
        <f t="shared" ca="1" si="24"/>
        <v/>
      </c>
      <c r="AA5" s="89" t="str">
        <f t="shared" ca="1" si="25"/>
        <v/>
      </c>
      <c r="AB5" s="88" t="str">
        <f t="shared" ca="1" si="26"/>
        <v/>
      </c>
      <c r="AC5" s="92" t="str">
        <f t="shared" ca="1" si="27"/>
        <v/>
      </c>
      <c r="AD5" s="88" t="str">
        <f t="shared" ca="1" si="28"/>
        <v/>
      </c>
      <c r="AE5" s="92" t="str">
        <f t="shared" ca="1" si="29"/>
        <v/>
      </c>
      <c r="AF5" s="88" t="str">
        <f t="shared" ca="1" si="30"/>
        <v/>
      </c>
      <c r="AG5" s="92" t="str">
        <f t="shared" ca="1" si="31"/>
        <v/>
      </c>
      <c r="AH5" s="88" t="str">
        <f t="shared" ca="1" si="32"/>
        <v/>
      </c>
      <c r="AI5" s="92" t="str">
        <f t="shared" ca="1" si="33"/>
        <v/>
      </c>
      <c r="AJ5" s="88" t="str">
        <f t="shared" ca="1" si="34"/>
        <v/>
      </c>
      <c r="AK5" s="92" t="str">
        <f t="shared" ca="1" si="35"/>
        <v/>
      </c>
      <c r="AL5" s="77" t="str">
        <f t="shared" ca="1" si="36"/>
        <v/>
      </c>
      <c r="AM5" s="89" t="str">
        <f t="shared" ca="1" si="37"/>
        <v/>
      </c>
      <c r="AN5" s="88" t="str">
        <f t="shared" ca="1" si="38"/>
        <v/>
      </c>
      <c r="AO5" s="89" t="str">
        <f t="shared" ca="1" si="39"/>
        <v/>
      </c>
      <c r="AP5" s="77" t="str">
        <f t="shared" ca="1" si="40"/>
        <v/>
      </c>
      <c r="AQ5" s="94" t="str">
        <f t="shared" ca="1" si="41"/>
        <v/>
      </c>
      <c r="AR5" s="77" t="str">
        <f t="shared" ca="1" si="42"/>
        <v/>
      </c>
      <c r="AS5" s="94" t="str">
        <f t="shared" ca="1" si="43"/>
        <v/>
      </c>
      <c r="AT5" s="77" t="str">
        <f t="shared" ca="1" si="44"/>
        <v/>
      </c>
      <c r="AU5" s="93" t="str">
        <f t="shared" ca="1" si="45"/>
        <v/>
      </c>
      <c r="AV5" s="77" t="str">
        <f t="shared" ca="1" si="46"/>
        <v/>
      </c>
      <c r="AW5" s="93" t="str">
        <f t="shared" ca="1" si="47"/>
        <v/>
      </c>
      <c r="AX5" s="77" t="str">
        <f t="shared" ca="1" si="48"/>
        <v/>
      </c>
      <c r="AY5" s="93" t="str">
        <f t="shared" ca="1" si="49"/>
        <v/>
      </c>
      <c r="AZ5" s="77" t="str">
        <f t="shared" ca="1" si="50"/>
        <v/>
      </c>
      <c r="BA5" s="93" t="str">
        <f t="shared" ca="1" si="51"/>
        <v/>
      </c>
      <c r="BB5" s="77" t="str">
        <f t="shared" ca="1" si="52"/>
        <v/>
      </c>
      <c r="BC5" s="93" t="str">
        <f t="shared" ca="1" si="53"/>
        <v/>
      </c>
    </row>
    <row r="6" spans="1:55" ht="15.95" customHeight="1" x14ac:dyDescent="0.2">
      <c r="A6" s="41" t="str">
        <f>IF(Customization!B6="","",Customization!B6)</f>
        <v/>
      </c>
      <c r="B6" s="79" t="str">
        <f t="shared" ca="1" si="2"/>
        <v/>
      </c>
      <c r="C6" s="29" t="str">
        <f t="shared" ca="1" si="3"/>
        <v/>
      </c>
      <c r="D6" s="7" t="str">
        <f t="shared" ca="1" si="0"/>
        <v/>
      </c>
      <c r="E6" s="29" t="str">
        <f t="shared" ca="1" si="4"/>
        <v/>
      </c>
      <c r="F6" s="7" t="str">
        <f t="shared" ca="1" si="1"/>
        <v/>
      </c>
      <c r="G6" s="29" t="str">
        <f t="shared" ca="1" si="5"/>
        <v/>
      </c>
      <c r="H6" s="7" t="str">
        <f t="shared" ca="1" si="6"/>
        <v/>
      </c>
      <c r="I6" s="28" t="str">
        <f t="shared" ca="1" si="7"/>
        <v/>
      </c>
      <c r="J6" s="7" t="str">
        <f t="shared" ca="1" si="8"/>
        <v/>
      </c>
      <c r="K6" s="73" t="str">
        <f t="shared" ca="1" si="9"/>
        <v/>
      </c>
      <c r="L6" s="74" t="str">
        <f t="shared" ca="1" si="10"/>
        <v/>
      </c>
      <c r="M6" s="75" t="str">
        <f t="shared" ca="1" si="11"/>
        <v/>
      </c>
      <c r="N6" s="76" t="str">
        <f t="shared" ca="1" si="12"/>
        <v/>
      </c>
      <c r="O6" s="75" t="str">
        <f t="shared" ca="1" si="13"/>
        <v/>
      </c>
      <c r="P6" s="76" t="str">
        <f t="shared" ca="1" si="14"/>
        <v/>
      </c>
      <c r="Q6" s="75" t="str">
        <f t="shared" ca="1" si="15"/>
        <v/>
      </c>
      <c r="R6" s="77" t="str">
        <f t="shared" ca="1" si="16"/>
        <v/>
      </c>
      <c r="S6" s="89" t="str">
        <f t="shared" ca="1" si="17"/>
        <v/>
      </c>
      <c r="T6" s="88" t="str">
        <f t="shared" ca="1" si="18"/>
        <v/>
      </c>
      <c r="U6" s="92" t="str">
        <f t="shared" ca="1" si="19"/>
        <v/>
      </c>
      <c r="V6" s="88" t="str">
        <f t="shared" ca="1" si="20"/>
        <v/>
      </c>
      <c r="W6" s="92" t="str">
        <f t="shared" ca="1" si="21"/>
        <v/>
      </c>
      <c r="X6" s="88" t="str">
        <f t="shared" ca="1" si="22"/>
        <v/>
      </c>
      <c r="Y6" s="92" t="str">
        <f t="shared" ca="1" si="23"/>
        <v/>
      </c>
      <c r="Z6" s="88" t="str">
        <f t="shared" ca="1" si="24"/>
        <v/>
      </c>
      <c r="AA6" s="89" t="str">
        <f t="shared" ca="1" si="25"/>
        <v/>
      </c>
      <c r="AB6" s="88" t="str">
        <f t="shared" ca="1" si="26"/>
        <v/>
      </c>
      <c r="AC6" s="92" t="str">
        <f t="shared" ca="1" si="27"/>
        <v/>
      </c>
      <c r="AD6" s="88" t="str">
        <f t="shared" ca="1" si="28"/>
        <v/>
      </c>
      <c r="AE6" s="92" t="str">
        <f t="shared" ca="1" si="29"/>
        <v/>
      </c>
      <c r="AF6" s="88" t="str">
        <f t="shared" ca="1" si="30"/>
        <v/>
      </c>
      <c r="AG6" s="92" t="str">
        <f t="shared" ca="1" si="31"/>
        <v/>
      </c>
      <c r="AH6" s="88" t="str">
        <f t="shared" ca="1" si="32"/>
        <v/>
      </c>
      <c r="AI6" s="92" t="str">
        <f t="shared" ca="1" si="33"/>
        <v/>
      </c>
      <c r="AJ6" s="88" t="str">
        <f t="shared" ca="1" si="34"/>
        <v/>
      </c>
      <c r="AK6" s="92" t="str">
        <f t="shared" ca="1" si="35"/>
        <v/>
      </c>
      <c r="AL6" s="77" t="str">
        <f t="shared" ca="1" si="36"/>
        <v/>
      </c>
      <c r="AM6" s="89" t="str">
        <f t="shared" ca="1" si="37"/>
        <v/>
      </c>
      <c r="AN6" s="88" t="str">
        <f t="shared" ca="1" si="38"/>
        <v/>
      </c>
      <c r="AO6" s="89" t="str">
        <f t="shared" ca="1" si="39"/>
        <v/>
      </c>
      <c r="AP6" s="77" t="str">
        <f t="shared" ca="1" si="40"/>
        <v/>
      </c>
      <c r="AQ6" s="94" t="str">
        <f t="shared" ca="1" si="41"/>
        <v/>
      </c>
      <c r="AR6" s="77" t="str">
        <f t="shared" ca="1" si="42"/>
        <v/>
      </c>
      <c r="AS6" s="94" t="str">
        <f t="shared" ca="1" si="43"/>
        <v/>
      </c>
      <c r="AT6" s="77" t="str">
        <f t="shared" ca="1" si="44"/>
        <v/>
      </c>
      <c r="AU6" s="93" t="str">
        <f t="shared" ca="1" si="45"/>
        <v/>
      </c>
      <c r="AV6" s="77" t="str">
        <f t="shared" ca="1" si="46"/>
        <v/>
      </c>
      <c r="AW6" s="93" t="str">
        <f t="shared" ca="1" si="47"/>
        <v/>
      </c>
      <c r="AX6" s="77" t="str">
        <f t="shared" ca="1" si="48"/>
        <v/>
      </c>
      <c r="AY6" s="93" t="str">
        <f t="shared" ca="1" si="49"/>
        <v/>
      </c>
      <c r="AZ6" s="77" t="str">
        <f t="shared" ca="1" si="50"/>
        <v/>
      </c>
      <c r="BA6" s="93" t="str">
        <f t="shared" ca="1" si="51"/>
        <v/>
      </c>
      <c r="BB6" s="77" t="str">
        <f t="shared" ca="1" si="52"/>
        <v/>
      </c>
      <c r="BC6" s="93" t="str">
        <f t="shared" ca="1" si="53"/>
        <v/>
      </c>
    </row>
    <row r="7" spans="1:55" ht="15.95" customHeight="1" x14ac:dyDescent="0.2">
      <c r="A7" s="41" t="str">
        <f>IF(Customization!B7="","",Customization!B7)</f>
        <v/>
      </c>
      <c r="B7" s="79" t="str">
        <f t="shared" ca="1" si="2"/>
        <v/>
      </c>
      <c r="C7" s="29" t="str">
        <f t="shared" ca="1" si="3"/>
        <v/>
      </c>
      <c r="D7" s="7" t="str">
        <f t="shared" ca="1" si="0"/>
        <v/>
      </c>
      <c r="E7" s="29" t="str">
        <f t="shared" ca="1" si="4"/>
        <v/>
      </c>
      <c r="F7" s="7" t="str">
        <f t="shared" ca="1" si="1"/>
        <v/>
      </c>
      <c r="G7" s="29" t="str">
        <f t="shared" ca="1" si="5"/>
        <v/>
      </c>
      <c r="H7" s="7" t="str">
        <f t="shared" ca="1" si="6"/>
        <v/>
      </c>
      <c r="I7" s="28" t="str">
        <f t="shared" ca="1" si="7"/>
        <v/>
      </c>
      <c r="J7" s="7" t="str">
        <f t="shared" ca="1" si="8"/>
        <v/>
      </c>
      <c r="K7" s="73" t="str">
        <f t="shared" ca="1" si="9"/>
        <v/>
      </c>
      <c r="L7" s="74" t="str">
        <f t="shared" ca="1" si="10"/>
        <v/>
      </c>
      <c r="M7" s="75" t="str">
        <f t="shared" ca="1" si="11"/>
        <v/>
      </c>
      <c r="N7" s="76" t="str">
        <f t="shared" ca="1" si="12"/>
        <v/>
      </c>
      <c r="O7" s="75" t="str">
        <f t="shared" ca="1" si="13"/>
        <v/>
      </c>
      <c r="P7" s="76" t="str">
        <f t="shared" ca="1" si="14"/>
        <v/>
      </c>
      <c r="Q7" s="75" t="str">
        <f t="shared" ca="1" si="15"/>
        <v/>
      </c>
      <c r="R7" s="77" t="str">
        <f t="shared" ca="1" si="16"/>
        <v/>
      </c>
      <c r="S7" s="89" t="str">
        <f t="shared" ca="1" si="17"/>
        <v/>
      </c>
      <c r="T7" s="88" t="str">
        <f t="shared" ca="1" si="18"/>
        <v/>
      </c>
      <c r="U7" s="92" t="str">
        <f t="shared" ca="1" si="19"/>
        <v/>
      </c>
      <c r="V7" s="88" t="str">
        <f t="shared" ca="1" si="20"/>
        <v/>
      </c>
      <c r="W7" s="92" t="str">
        <f t="shared" ca="1" si="21"/>
        <v/>
      </c>
      <c r="X7" s="88" t="str">
        <f t="shared" ca="1" si="22"/>
        <v/>
      </c>
      <c r="Y7" s="92" t="str">
        <f t="shared" ca="1" si="23"/>
        <v/>
      </c>
      <c r="Z7" s="88" t="str">
        <f t="shared" ca="1" si="24"/>
        <v/>
      </c>
      <c r="AA7" s="89" t="str">
        <f t="shared" ca="1" si="25"/>
        <v/>
      </c>
      <c r="AB7" s="88" t="str">
        <f t="shared" ca="1" si="26"/>
        <v/>
      </c>
      <c r="AC7" s="92" t="str">
        <f t="shared" ca="1" si="27"/>
        <v/>
      </c>
      <c r="AD7" s="88" t="str">
        <f t="shared" ca="1" si="28"/>
        <v/>
      </c>
      <c r="AE7" s="92" t="str">
        <f t="shared" ca="1" si="29"/>
        <v/>
      </c>
      <c r="AF7" s="88" t="str">
        <f t="shared" ca="1" si="30"/>
        <v/>
      </c>
      <c r="AG7" s="92" t="str">
        <f t="shared" ca="1" si="31"/>
        <v/>
      </c>
      <c r="AH7" s="88" t="str">
        <f t="shared" ca="1" si="32"/>
        <v/>
      </c>
      <c r="AI7" s="92" t="str">
        <f t="shared" ca="1" si="33"/>
        <v/>
      </c>
      <c r="AJ7" s="88" t="str">
        <f t="shared" ca="1" si="34"/>
        <v/>
      </c>
      <c r="AK7" s="92" t="str">
        <f t="shared" ca="1" si="35"/>
        <v/>
      </c>
      <c r="AL7" s="77" t="str">
        <f t="shared" ca="1" si="36"/>
        <v/>
      </c>
      <c r="AM7" s="89" t="str">
        <f t="shared" ca="1" si="37"/>
        <v/>
      </c>
      <c r="AN7" s="88" t="str">
        <f t="shared" ca="1" si="38"/>
        <v/>
      </c>
      <c r="AO7" s="89" t="str">
        <f t="shared" ca="1" si="39"/>
        <v/>
      </c>
      <c r="AP7" s="77" t="str">
        <f t="shared" ca="1" si="40"/>
        <v/>
      </c>
      <c r="AQ7" s="94" t="str">
        <f t="shared" ca="1" si="41"/>
        <v/>
      </c>
      <c r="AR7" s="77" t="str">
        <f t="shared" ca="1" si="42"/>
        <v/>
      </c>
      <c r="AS7" s="94" t="str">
        <f t="shared" ca="1" si="43"/>
        <v/>
      </c>
      <c r="AT7" s="77" t="str">
        <f t="shared" ca="1" si="44"/>
        <v/>
      </c>
      <c r="AU7" s="93" t="str">
        <f t="shared" ca="1" si="45"/>
        <v/>
      </c>
      <c r="AV7" s="77" t="str">
        <f t="shared" ca="1" si="46"/>
        <v/>
      </c>
      <c r="AW7" s="93" t="str">
        <f t="shared" ca="1" si="47"/>
        <v/>
      </c>
      <c r="AX7" s="77" t="str">
        <f t="shared" ca="1" si="48"/>
        <v/>
      </c>
      <c r="AY7" s="93" t="str">
        <f t="shared" ca="1" si="49"/>
        <v/>
      </c>
      <c r="AZ7" s="77" t="str">
        <f t="shared" ca="1" si="50"/>
        <v/>
      </c>
      <c r="BA7" s="93" t="str">
        <f t="shared" ca="1" si="51"/>
        <v/>
      </c>
      <c r="BB7" s="77" t="str">
        <f t="shared" ca="1" si="52"/>
        <v/>
      </c>
      <c r="BC7" s="93" t="str">
        <f t="shared" ca="1" si="53"/>
        <v/>
      </c>
    </row>
    <row r="8" spans="1:55" ht="15.95" customHeight="1" x14ac:dyDescent="0.2">
      <c r="A8" s="41" t="str">
        <f>IF(Customization!B8="","",Customization!B8)</f>
        <v/>
      </c>
      <c r="B8" s="79" t="str">
        <f t="shared" ca="1" si="2"/>
        <v/>
      </c>
      <c r="C8" s="29" t="str">
        <f t="shared" ca="1" si="3"/>
        <v/>
      </c>
      <c r="D8" s="7" t="str">
        <f t="shared" ca="1" si="0"/>
        <v/>
      </c>
      <c r="E8" s="29" t="str">
        <f t="shared" ca="1" si="4"/>
        <v/>
      </c>
      <c r="F8" s="7" t="str">
        <f t="shared" ca="1" si="1"/>
        <v/>
      </c>
      <c r="G8" s="29" t="str">
        <f t="shared" ca="1" si="5"/>
        <v/>
      </c>
      <c r="H8" s="7" t="str">
        <f t="shared" ca="1" si="6"/>
        <v/>
      </c>
      <c r="I8" s="28" t="str">
        <f t="shared" ca="1" si="7"/>
        <v/>
      </c>
      <c r="J8" s="7" t="str">
        <f t="shared" ca="1" si="8"/>
        <v/>
      </c>
      <c r="K8" s="73" t="str">
        <f t="shared" ca="1" si="9"/>
        <v/>
      </c>
      <c r="L8" s="74" t="str">
        <f t="shared" ca="1" si="10"/>
        <v/>
      </c>
      <c r="M8" s="75" t="str">
        <f t="shared" ca="1" si="11"/>
        <v/>
      </c>
      <c r="N8" s="76" t="str">
        <f t="shared" ca="1" si="12"/>
        <v/>
      </c>
      <c r="O8" s="75" t="str">
        <f t="shared" ca="1" si="13"/>
        <v/>
      </c>
      <c r="P8" s="76" t="str">
        <f t="shared" ca="1" si="14"/>
        <v/>
      </c>
      <c r="Q8" s="75" t="str">
        <f t="shared" ca="1" si="15"/>
        <v/>
      </c>
      <c r="R8" s="77" t="str">
        <f t="shared" ca="1" si="16"/>
        <v/>
      </c>
      <c r="S8" s="89" t="str">
        <f t="shared" ca="1" si="17"/>
        <v/>
      </c>
      <c r="T8" s="88" t="str">
        <f t="shared" ca="1" si="18"/>
        <v/>
      </c>
      <c r="U8" s="92" t="str">
        <f t="shared" ca="1" si="19"/>
        <v/>
      </c>
      <c r="V8" s="88" t="str">
        <f t="shared" ca="1" si="20"/>
        <v/>
      </c>
      <c r="W8" s="92" t="str">
        <f t="shared" ca="1" si="21"/>
        <v/>
      </c>
      <c r="X8" s="88" t="str">
        <f t="shared" ca="1" si="22"/>
        <v/>
      </c>
      <c r="Y8" s="92" t="str">
        <f t="shared" ca="1" si="23"/>
        <v/>
      </c>
      <c r="Z8" s="88" t="str">
        <f t="shared" ca="1" si="24"/>
        <v/>
      </c>
      <c r="AA8" s="89" t="str">
        <f t="shared" ca="1" si="25"/>
        <v/>
      </c>
      <c r="AB8" s="88" t="str">
        <f t="shared" ca="1" si="26"/>
        <v/>
      </c>
      <c r="AC8" s="92" t="str">
        <f t="shared" ca="1" si="27"/>
        <v/>
      </c>
      <c r="AD8" s="88" t="str">
        <f t="shared" ca="1" si="28"/>
        <v/>
      </c>
      <c r="AE8" s="92" t="str">
        <f t="shared" ca="1" si="29"/>
        <v/>
      </c>
      <c r="AF8" s="88" t="str">
        <f t="shared" ca="1" si="30"/>
        <v/>
      </c>
      <c r="AG8" s="92" t="str">
        <f t="shared" ca="1" si="31"/>
        <v/>
      </c>
      <c r="AH8" s="88" t="str">
        <f t="shared" ca="1" si="32"/>
        <v/>
      </c>
      <c r="AI8" s="92" t="str">
        <f t="shared" ca="1" si="33"/>
        <v/>
      </c>
      <c r="AJ8" s="88" t="str">
        <f t="shared" ca="1" si="34"/>
        <v/>
      </c>
      <c r="AK8" s="92" t="str">
        <f t="shared" ca="1" si="35"/>
        <v/>
      </c>
      <c r="AL8" s="77" t="str">
        <f t="shared" ca="1" si="36"/>
        <v/>
      </c>
      <c r="AM8" s="89" t="str">
        <f t="shared" ca="1" si="37"/>
        <v/>
      </c>
      <c r="AN8" s="88" t="str">
        <f t="shared" ca="1" si="38"/>
        <v/>
      </c>
      <c r="AO8" s="89" t="str">
        <f t="shared" ca="1" si="39"/>
        <v/>
      </c>
      <c r="AP8" s="77" t="str">
        <f t="shared" ca="1" si="40"/>
        <v/>
      </c>
      <c r="AQ8" s="94" t="str">
        <f t="shared" ca="1" si="41"/>
        <v/>
      </c>
      <c r="AR8" s="77" t="str">
        <f t="shared" ca="1" si="42"/>
        <v/>
      </c>
      <c r="AS8" s="94" t="str">
        <f t="shared" ca="1" si="43"/>
        <v/>
      </c>
      <c r="AT8" s="77" t="str">
        <f t="shared" ca="1" si="44"/>
        <v/>
      </c>
      <c r="AU8" s="93" t="str">
        <f t="shared" ca="1" si="45"/>
        <v/>
      </c>
      <c r="AV8" s="77" t="str">
        <f t="shared" ca="1" si="46"/>
        <v/>
      </c>
      <c r="AW8" s="93" t="str">
        <f t="shared" ca="1" si="47"/>
        <v/>
      </c>
      <c r="AX8" s="77" t="str">
        <f t="shared" ca="1" si="48"/>
        <v/>
      </c>
      <c r="AY8" s="93" t="str">
        <f t="shared" ca="1" si="49"/>
        <v/>
      </c>
      <c r="AZ8" s="77" t="str">
        <f t="shared" ca="1" si="50"/>
        <v/>
      </c>
      <c r="BA8" s="93" t="str">
        <f t="shared" ca="1" si="51"/>
        <v/>
      </c>
      <c r="BB8" s="77" t="str">
        <f t="shared" ca="1" si="52"/>
        <v/>
      </c>
      <c r="BC8" s="93" t="str">
        <f t="shared" ca="1" si="53"/>
        <v/>
      </c>
    </row>
    <row r="9" spans="1:55" ht="15.95" customHeight="1" x14ac:dyDescent="0.2">
      <c r="A9" s="41" t="str">
        <f>IF(Customization!B9="","",Customization!B9)</f>
        <v/>
      </c>
      <c r="B9" s="79" t="str">
        <f t="shared" ca="1" si="2"/>
        <v/>
      </c>
      <c r="C9" s="29" t="str">
        <f t="shared" ca="1" si="3"/>
        <v/>
      </c>
      <c r="D9" s="7" t="str">
        <f t="shared" ca="1" si="0"/>
        <v/>
      </c>
      <c r="E9" s="29" t="str">
        <f t="shared" ca="1" si="4"/>
        <v/>
      </c>
      <c r="F9" s="7" t="str">
        <f t="shared" ca="1" si="1"/>
        <v/>
      </c>
      <c r="G9" s="29" t="str">
        <f t="shared" ca="1" si="5"/>
        <v/>
      </c>
      <c r="H9" s="7" t="str">
        <f t="shared" ca="1" si="6"/>
        <v/>
      </c>
      <c r="I9" s="28" t="str">
        <f t="shared" ca="1" si="7"/>
        <v/>
      </c>
      <c r="J9" s="7" t="str">
        <f t="shared" ca="1" si="8"/>
        <v/>
      </c>
      <c r="K9" s="73" t="str">
        <f t="shared" ca="1" si="9"/>
        <v/>
      </c>
      <c r="L9" s="74" t="str">
        <f t="shared" ca="1" si="10"/>
        <v/>
      </c>
      <c r="M9" s="75" t="str">
        <f t="shared" ca="1" si="11"/>
        <v/>
      </c>
      <c r="N9" s="76" t="str">
        <f t="shared" ca="1" si="12"/>
        <v/>
      </c>
      <c r="O9" s="75" t="str">
        <f t="shared" ca="1" si="13"/>
        <v/>
      </c>
      <c r="P9" s="76" t="str">
        <f t="shared" ca="1" si="14"/>
        <v/>
      </c>
      <c r="Q9" s="75" t="str">
        <f t="shared" ca="1" si="15"/>
        <v/>
      </c>
      <c r="R9" s="77" t="str">
        <f t="shared" ca="1" si="16"/>
        <v/>
      </c>
      <c r="S9" s="89" t="str">
        <f t="shared" ca="1" si="17"/>
        <v/>
      </c>
      <c r="T9" s="88" t="str">
        <f t="shared" ca="1" si="18"/>
        <v/>
      </c>
      <c r="U9" s="92" t="str">
        <f t="shared" ca="1" si="19"/>
        <v/>
      </c>
      <c r="V9" s="88" t="str">
        <f t="shared" ca="1" si="20"/>
        <v/>
      </c>
      <c r="W9" s="92" t="str">
        <f t="shared" ca="1" si="21"/>
        <v/>
      </c>
      <c r="X9" s="88" t="str">
        <f t="shared" ca="1" si="22"/>
        <v/>
      </c>
      <c r="Y9" s="92" t="str">
        <f t="shared" ca="1" si="23"/>
        <v/>
      </c>
      <c r="Z9" s="88" t="str">
        <f t="shared" ca="1" si="24"/>
        <v/>
      </c>
      <c r="AA9" s="89" t="str">
        <f t="shared" ca="1" si="25"/>
        <v/>
      </c>
      <c r="AB9" s="88" t="str">
        <f t="shared" ca="1" si="26"/>
        <v/>
      </c>
      <c r="AC9" s="92" t="str">
        <f t="shared" ca="1" si="27"/>
        <v/>
      </c>
      <c r="AD9" s="88" t="str">
        <f t="shared" ca="1" si="28"/>
        <v/>
      </c>
      <c r="AE9" s="92" t="str">
        <f t="shared" ca="1" si="29"/>
        <v/>
      </c>
      <c r="AF9" s="88" t="str">
        <f t="shared" ca="1" si="30"/>
        <v/>
      </c>
      <c r="AG9" s="92" t="str">
        <f t="shared" ca="1" si="31"/>
        <v/>
      </c>
      <c r="AH9" s="88" t="str">
        <f t="shared" ca="1" si="32"/>
        <v/>
      </c>
      <c r="AI9" s="92" t="str">
        <f t="shared" ca="1" si="33"/>
        <v/>
      </c>
      <c r="AJ9" s="88" t="str">
        <f t="shared" ca="1" si="34"/>
        <v/>
      </c>
      <c r="AK9" s="92" t="str">
        <f t="shared" ca="1" si="35"/>
        <v/>
      </c>
      <c r="AL9" s="77" t="str">
        <f t="shared" ca="1" si="36"/>
        <v/>
      </c>
      <c r="AM9" s="89" t="str">
        <f t="shared" ca="1" si="37"/>
        <v/>
      </c>
      <c r="AN9" s="88" t="str">
        <f t="shared" ca="1" si="38"/>
        <v/>
      </c>
      <c r="AO9" s="89" t="str">
        <f t="shared" ca="1" si="39"/>
        <v/>
      </c>
      <c r="AP9" s="77" t="str">
        <f t="shared" ca="1" si="40"/>
        <v/>
      </c>
      <c r="AQ9" s="94" t="str">
        <f t="shared" ca="1" si="41"/>
        <v/>
      </c>
      <c r="AR9" s="77" t="str">
        <f t="shared" ca="1" si="42"/>
        <v/>
      </c>
      <c r="AS9" s="94" t="str">
        <f t="shared" ca="1" si="43"/>
        <v/>
      </c>
      <c r="AT9" s="77" t="str">
        <f t="shared" ca="1" si="44"/>
        <v/>
      </c>
      <c r="AU9" s="93" t="str">
        <f t="shared" ca="1" si="45"/>
        <v/>
      </c>
      <c r="AV9" s="77" t="str">
        <f t="shared" ca="1" si="46"/>
        <v/>
      </c>
      <c r="AW9" s="93" t="str">
        <f t="shared" ca="1" si="47"/>
        <v/>
      </c>
      <c r="AX9" s="77" t="str">
        <f t="shared" ca="1" si="48"/>
        <v/>
      </c>
      <c r="AY9" s="93" t="str">
        <f t="shared" ca="1" si="49"/>
        <v/>
      </c>
      <c r="AZ9" s="77" t="str">
        <f t="shared" ca="1" si="50"/>
        <v/>
      </c>
      <c r="BA9" s="93" t="str">
        <f t="shared" ca="1" si="51"/>
        <v/>
      </c>
      <c r="BB9" s="77" t="str">
        <f t="shared" ca="1" si="52"/>
        <v/>
      </c>
      <c r="BC9" s="93" t="str">
        <f t="shared" ca="1" si="53"/>
        <v/>
      </c>
    </row>
    <row r="10" spans="1:55" ht="15.95" customHeight="1" x14ac:dyDescent="0.2">
      <c r="A10" s="41" t="str">
        <f>IF(Customization!B10="","",Customization!B10)</f>
        <v/>
      </c>
      <c r="B10" s="79" t="str">
        <f t="shared" ca="1" si="2"/>
        <v/>
      </c>
      <c r="C10" s="29" t="str">
        <f t="shared" ca="1" si="3"/>
        <v/>
      </c>
      <c r="D10" s="7" t="str">
        <f t="shared" ca="1" si="0"/>
        <v/>
      </c>
      <c r="E10" s="29" t="str">
        <f t="shared" ca="1" si="4"/>
        <v/>
      </c>
      <c r="F10" s="7" t="str">
        <f t="shared" ca="1" si="1"/>
        <v/>
      </c>
      <c r="G10" s="29" t="str">
        <f t="shared" ca="1" si="5"/>
        <v/>
      </c>
      <c r="H10" s="7" t="str">
        <f t="shared" ca="1" si="6"/>
        <v/>
      </c>
      <c r="I10" s="28" t="str">
        <f t="shared" ca="1" si="7"/>
        <v/>
      </c>
      <c r="J10" s="7" t="str">
        <f t="shared" ca="1" si="8"/>
        <v/>
      </c>
      <c r="K10" s="73" t="str">
        <f t="shared" ca="1" si="9"/>
        <v/>
      </c>
      <c r="L10" s="74" t="str">
        <f t="shared" ca="1" si="10"/>
        <v/>
      </c>
      <c r="M10" s="75" t="str">
        <f t="shared" ca="1" si="11"/>
        <v/>
      </c>
      <c r="N10" s="76" t="str">
        <f t="shared" ca="1" si="12"/>
        <v/>
      </c>
      <c r="O10" s="75" t="str">
        <f t="shared" ca="1" si="13"/>
        <v/>
      </c>
      <c r="P10" s="76" t="str">
        <f t="shared" ca="1" si="14"/>
        <v/>
      </c>
      <c r="Q10" s="75" t="str">
        <f t="shared" ca="1" si="15"/>
        <v/>
      </c>
      <c r="R10" s="77" t="str">
        <f t="shared" ca="1" si="16"/>
        <v/>
      </c>
      <c r="S10" s="89" t="str">
        <f t="shared" ca="1" si="17"/>
        <v/>
      </c>
      <c r="T10" s="88" t="str">
        <f t="shared" ca="1" si="18"/>
        <v/>
      </c>
      <c r="U10" s="92" t="str">
        <f t="shared" ca="1" si="19"/>
        <v/>
      </c>
      <c r="V10" s="88" t="str">
        <f t="shared" ca="1" si="20"/>
        <v/>
      </c>
      <c r="W10" s="92" t="str">
        <f t="shared" ca="1" si="21"/>
        <v/>
      </c>
      <c r="X10" s="88" t="str">
        <f t="shared" ca="1" si="22"/>
        <v/>
      </c>
      <c r="Y10" s="92" t="str">
        <f t="shared" ca="1" si="23"/>
        <v/>
      </c>
      <c r="Z10" s="88" t="str">
        <f t="shared" ca="1" si="24"/>
        <v/>
      </c>
      <c r="AA10" s="89" t="str">
        <f t="shared" ca="1" si="25"/>
        <v/>
      </c>
      <c r="AB10" s="88" t="str">
        <f t="shared" ca="1" si="26"/>
        <v/>
      </c>
      <c r="AC10" s="92" t="str">
        <f t="shared" ca="1" si="27"/>
        <v/>
      </c>
      <c r="AD10" s="88" t="str">
        <f t="shared" ca="1" si="28"/>
        <v/>
      </c>
      <c r="AE10" s="92" t="str">
        <f t="shared" ca="1" si="29"/>
        <v/>
      </c>
      <c r="AF10" s="88" t="str">
        <f t="shared" ca="1" si="30"/>
        <v/>
      </c>
      <c r="AG10" s="92" t="str">
        <f t="shared" ca="1" si="31"/>
        <v/>
      </c>
      <c r="AH10" s="88" t="str">
        <f t="shared" ca="1" si="32"/>
        <v/>
      </c>
      <c r="AI10" s="92" t="str">
        <f t="shared" ca="1" si="33"/>
        <v/>
      </c>
      <c r="AJ10" s="88" t="str">
        <f t="shared" ca="1" si="34"/>
        <v/>
      </c>
      <c r="AK10" s="92" t="str">
        <f t="shared" ca="1" si="35"/>
        <v/>
      </c>
      <c r="AL10" s="77" t="str">
        <f t="shared" ca="1" si="36"/>
        <v/>
      </c>
      <c r="AM10" s="89" t="str">
        <f t="shared" ca="1" si="37"/>
        <v/>
      </c>
      <c r="AN10" s="88" t="str">
        <f t="shared" ca="1" si="38"/>
        <v/>
      </c>
      <c r="AO10" s="89" t="str">
        <f t="shared" ca="1" si="39"/>
        <v/>
      </c>
      <c r="AP10" s="77" t="str">
        <f t="shared" ca="1" si="40"/>
        <v/>
      </c>
      <c r="AQ10" s="94" t="str">
        <f t="shared" ca="1" si="41"/>
        <v/>
      </c>
      <c r="AR10" s="77" t="str">
        <f t="shared" ca="1" si="42"/>
        <v/>
      </c>
      <c r="AS10" s="94" t="str">
        <f t="shared" ca="1" si="43"/>
        <v/>
      </c>
      <c r="AT10" s="77" t="str">
        <f t="shared" ca="1" si="44"/>
        <v/>
      </c>
      <c r="AU10" s="93" t="str">
        <f t="shared" ca="1" si="45"/>
        <v/>
      </c>
      <c r="AV10" s="77" t="str">
        <f t="shared" ca="1" si="46"/>
        <v/>
      </c>
      <c r="AW10" s="93" t="str">
        <f t="shared" ca="1" si="47"/>
        <v/>
      </c>
      <c r="AX10" s="77" t="str">
        <f t="shared" ca="1" si="48"/>
        <v/>
      </c>
      <c r="AY10" s="93" t="str">
        <f t="shared" ca="1" si="49"/>
        <v/>
      </c>
      <c r="AZ10" s="77" t="str">
        <f t="shared" ca="1" si="50"/>
        <v/>
      </c>
      <c r="BA10" s="93" t="str">
        <f t="shared" ca="1" si="51"/>
        <v/>
      </c>
      <c r="BB10" s="77" t="str">
        <f t="shared" ca="1" si="52"/>
        <v/>
      </c>
      <c r="BC10" s="93" t="str">
        <f t="shared" ca="1" si="53"/>
        <v/>
      </c>
    </row>
    <row r="11" spans="1:55" ht="15.95" customHeight="1" x14ac:dyDescent="0.2">
      <c r="A11" s="41" t="str">
        <f>IF(Customization!B11="","",Customization!B11)</f>
        <v/>
      </c>
      <c r="B11" s="79" t="str">
        <f t="shared" ca="1" si="2"/>
        <v/>
      </c>
      <c r="C11" s="29" t="str">
        <f t="shared" ca="1" si="3"/>
        <v/>
      </c>
      <c r="D11" s="7" t="str">
        <f t="shared" ca="1" si="0"/>
        <v/>
      </c>
      <c r="E11" s="29" t="str">
        <f t="shared" ca="1" si="4"/>
        <v/>
      </c>
      <c r="F11" s="7" t="str">
        <f t="shared" ca="1" si="1"/>
        <v/>
      </c>
      <c r="G11" s="29" t="str">
        <f t="shared" ca="1" si="5"/>
        <v/>
      </c>
      <c r="H11" s="7" t="str">
        <f t="shared" ca="1" si="6"/>
        <v/>
      </c>
      <c r="I11" s="28" t="str">
        <f t="shared" ca="1" si="7"/>
        <v/>
      </c>
      <c r="J11" s="7" t="str">
        <f t="shared" ca="1" si="8"/>
        <v/>
      </c>
      <c r="K11" s="73" t="str">
        <f t="shared" ca="1" si="9"/>
        <v/>
      </c>
      <c r="L11" s="74" t="str">
        <f t="shared" ca="1" si="10"/>
        <v/>
      </c>
      <c r="M11" s="75" t="str">
        <f t="shared" ca="1" si="11"/>
        <v/>
      </c>
      <c r="N11" s="76" t="str">
        <f t="shared" ca="1" si="12"/>
        <v/>
      </c>
      <c r="O11" s="75" t="str">
        <f t="shared" ca="1" si="13"/>
        <v/>
      </c>
      <c r="P11" s="76" t="str">
        <f t="shared" ca="1" si="14"/>
        <v/>
      </c>
      <c r="Q11" s="75" t="str">
        <f t="shared" ca="1" si="15"/>
        <v/>
      </c>
      <c r="R11" s="77" t="str">
        <f t="shared" ca="1" si="16"/>
        <v/>
      </c>
      <c r="S11" s="89" t="str">
        <f t="shared" ca="1" si="17"/>
        <v/>
      </c>
      <c r="T11" s="88" t="str">
        <f t="shared" ca="1" si="18"/>
        <v/>
      </c>
      <c r="U11" s="92" t="str">
        <f t="shared" ca="1" si="19"/>
        <v/>
      </c>
      <c r="V11" s="88" t="str">
        <f t="shared" ca="1" si="20"/>
        <v/>
      </c>
      <c r="W11" s="92" t="str">
        <f t="shared" ca="1" si="21"/>
        <v/>
      </c>
      <c r="X11" s="88" t="str">
        <f t="shared" ca="1" si="22"/>
        <v/>
      </c>
      <c r="Y11" s="92" t="str">
        <f t="shared" ca="1" si="23"/>
        <v/>
      </c>
      <c r="Z11" s="88" t="str">
        <f t="shared" ca="1" si="24"/>
        <v/>
      </c>
      <c r="AA11" s="89" t="str">
        <f t="shared" ca="1" si="25"/>
        <v/>
      </c>
      <c r="AB11" s="88" t="str">
        <f t="shared" ca="1" si="26"/>
        <v/>
      </c>
      <c r="AC11" s="92" t="str">
        <f t="shared" ca="1" si="27"/>
        <v/>
      </c>
      <c r="AD11" s="88" t="str">
        <f t="shared" ca="1" si="28"/>
        <v/>
      </c>
      <c r="AE11" s="92" t="str">
        <f t="shared" ca="1" si="29"/>
        <v/>
      </c>
      <c r="AF11" s="88" t="str">
        <f t="shared" ca="1" si="30"/>
        <v/>
      </c>
      <c r="AG11" s="92" t="str">
        <f t="shared" ca="1" si="31"/>
        <v/>
      </c>
      <c r="AH11" s="88" t="str">
        <f t="shared" ca="1" si="32"/>
        <v/>
      </c>
      <c r="AI11" s="92" t="str">
        <f t="shared" ca="1" si="33"/>
        <v/>
      </c>
      <c r="AJ11" s="88" t="str">
        <f t="shared" ca="1" si="34"/>
        <v/>
      </c>
      <c r="AK11" s="92" t="str">
        <f t="shared" ca="1" si="35"/>
        <v/>
      </c>
      <c r="AL11" s="77" t="str">
        <f t="shared" ca="1" si="36"/>
        <v/>
      </c>
      <c r="AM11" s="89" t="str">
        <f t="shared" ca="1" si="37"/>
        <v/>
      </c>
      <c r="AN11" s="88" t="str">
        <f t="shared" ca="1" si="38"/>
        <v/>
      </c>
      <c r="AO11" s="89" t="str">
        <f t="shared" ca="1" si="39"/>
        <v/>
      </c>
      <c r="AP11" s="77" t="str">
        <f t="shared" ca="1" si="40"/>
        <v/>
      </c>
      <c r="AQ11" s="94" t="str">
        <f t="shared" ca="1" si="41"/>
        <v/>
      </c>
      <c r="AR11" s="77" t="str">
        <f t="shared" ca="1" si="42"/>
        <v/>
      </c>
      <c r="AS11" s="94" t="str">
        <f t="shared" ca="1" si="43"/>
        <v/>
      </c>
      <c r="AT11" s="77" t="str">
        <f t="shared" ca="1" si="44"/>
        <v/>
      </c>
      <c r="AU11" s="93" t="str">
        <f t="shared" ca="1" si="45"/>
        <v/>
      </c>
      <c r="AV11" s="77" t="str">
        <f t="shared" ca="1" si="46"/>
        <v/>
      </c>
      <c r="AW11" s="93" t="str">
        <f t="shared" ca="1" si="47"/>
        <v/>
      </c>
      <c r="AX11" s="77" t="str">
        <f t="shared" ca="1" si="48"/>
        <v/>
      </c>
      <c r="AY11" s="93" t="str">
        <f t="shared" ca="1" si="49"/>
        <v/>
      </c>
      <c r="AZ11" s="77" t="str">
        <f t="shared" ca="1" si="50"/>
        <v/>
      </c>
      <c r="BA11" s="93" t="str">
        <f t="shared" ca="1" si="51"/>
        <v/>
      </c>
      <c r="BB11" s="77" t="str">
        <f t="shared" ca="1" si="52"/>
        <v/>
      </c>
      <c r="BC11" s="93" t="str">
        <f t="shared" ca="1" si="53"/>
        <v/>
      </c>
    </row>
    <row r="12" spans="1:55" ht="15.95" customHeight="1" x14ac:dyDescent="0.2">
      <c r="A12" s="41" t="str">
        <f>IF(Customization!B12="","",Customization!B12)</f>
        <v/>
      </c>
      <c r="B12" s="79" t="str">
        <f t="shared" ca="1" si="2"/>
        <v/>
      </c>
      <c r="C12" s="29" t="str">
        <f t="shared" ca="1" si="3"/>
        <v/>
      </c>
      <c r="D12" s="7" t="str">
        <f t="shared" ca="1" si="0"/>
        <v/>
      </c>
      <c r="E12" s="29" t="str">
        <f t="shared" ca="1" si="4"/>
        <v/>
      </c>
      <c r="F12" s="7" t="str">
        <f t="shared" ca="1" si="1"/>
        <v/>
      </c>
      <c r="G12" s="29" t="str">
        <f t="shared" ca="1" si="5"/>
        <v/>
      </c>
      <c r="H12" s="7" t="str">
        <f t="shared" ca="1" si="6"/>
        <v/>
      </c>
      <c r="I12" s="28" t="str">
        <f t="shared" ca="1" si="7"/>
        <v/>
      </c>
      <c r="J12" s="7" t="str">
        <f t="shared" ca="1" si="8"/>
        <v/>
      </c>
      <c r="K12" s="73" t="str">
        <f t="shared" ca="1" si="9"/>
        <v/>
      </c>
      <c r="L12" s="74" t="str">
        <f t="shared" ca="1" si="10"/>
        <v/>
      </c>
      <c r="M12" s="75" t="str">
        <f t="shared" ca="1" si="11"/>
        <v/>
      </c>
      <c r="N12" s="76" t="str">
        <f t="shared" ca="1" si="12"/>
        <v/>
      </c>
      <c r="O12" s="75" t="str">
        <f t="shared" ca="1" si="13"/>
        <v/>
      </c>
      <c r="P12" s="76" t="str">
        <f t="shared" ca="1" si="14"/>
        <v/>
      </c>
      <c r="Q12" s="75" t="str">
        <f t="shared" ca="1" si="15"/>
        <v/>
      </c>
      <c r="R12" s="77" t="str">
        <f t="shared" ca="1" si="16"/>
        <v/>
      </c>
      <c r="S12" s="89" t="str">
        <f t="shared" ca="1" si="17"/>
        <v/>
      </c>
      <c r="T12" s="88" t="str">
        <f t="shared" ca="1" si="18"/>
        <v/>
      </c>
      <c r="U12" s="92" t="str">
        <f t="shared" ca="1" si="19"/>
        <v/>
      </c>
      <c r="V12" s="88" t="str">
        <f t="shared" ca="1" si="20"/>
        <v/>
      </c>
      <c r="W12" s="92" t="str">
        <f t="shared" ca="1" si="21"/>
        <v/>
      </c>
      <c r="X12" s="88" t="str">
        <f t="shared" ca="1" si="22"/>
        <v/>
      </c>
      <c r="Y12" s="92" t="str">
        <f t="shared" ca="1" si="23"/>
        <v/>
      </c>
      <c r="Z12" s="88" t="str">
        <f t="shared" ca="1" si="24"/>
        <v/>
      </c>
      <c r="AA12" s="89" t="str">
        <f t="shared" ca="1" si="25"/>
        <v/>
      </c>
      <c r="AB12" s="88" t="str">
        <f t="shared" ca="1" si="26"/>
        <v/>
      </c>
      <c r="AC12" s="92" t="str">
        <f t="shared" ca="1" si="27"/>
        <v/>
      </c>
      <c r="AD12" s="88" t="str">
        <f t="shared" ca="1" si="28"/>
        <v/>
      </c>
      <c r="AE12" s="92" t="str">
        <f t="shared" ca="1" si="29"/>
        <v/>
      </c>
      <c r="AF12" s="88" t="str">
        <f t="shared" ca="1" si="30"/>
        <v/>
      </c>
      <c r="AG12" s="92" t="str">
        <f t="shared" ca="1" si="31"/>
        <v/>
      </c>
      <c r="AH12" s="88" t="str">
        <f t="shared" ca="1" si="32"/>
        <v/>
      </c>
      <c r="AI12" s="92" t="str">
        <f t="shared" ca="1" si="33"/>
        <v/>
      </c>
      <c r="AJ12" s="88" t="str">
        <f t="shared" ca="1" si="34"/>
        <v/>
      </c>
      <c r="AK12" s="92" t="str">
        <f t="shared" ca="1" si="35"/>
        <v/>
      </c>
      <c r="AL12" s="77" t="str">
        <f t="shared" ca="1" si="36"/>
        <v/>
      </c>
      <c r="AM12" s="89" t="str">
        <f t="shared" ca="1" si="37"/>
        <v/>
      </c>
      <c r="AN12" s="88" t="str">
        <f t="shared" ca="1" si="38"/>
        <v/>
      </c>
      <c r="AO12" s="89" t="str">
        <f t="shared" ca="1" si="39"/>
        <v/>
      </c>
      <c r="AP12" s="77" t="str">
        <f t="shared" ca="1" si="40"/>
        <v/>
      </c>
      <c r="AQ12" s="94" t="str">
        <f t="shared" ca="1" si="41"/>
        <v/>
      </c>
      <c r="AR12" s="77" t="str">
        <f t="shared" ca="1" si="42"/>
        <v/>
      </c>
      <c r="AS12" s="94" t="str">
        <f t="shared" ca="1" si="43"/>
        <v/>
      </c>
      <c r="AT12" s="77" t="str">
        <f t="shared" ca="1" si="44"/>
        <v/>
      </c>
      <c r="AU12" s="93" t="str">
        <f t="shared" ca="1" si="45"/>
        <v/>
      </c>
      <c r="AV12" s="77" t="str">
        <f t="shared" ca="1" si="46"/>
        <v/>
      </c>
      <c r="AW12" s="93" t="str">
        <f t="shared" ca="1" si="47"/>
        <v/>
      </c>
      <c r="AX12" s="77" t="str">
        <f t="shared" ca="1" si="48"/>
        <v/>
      </c>
      <c r="AY12" s="93" t="str">
        <f t="shared" ca="1" si="49"/>
        <v/>
      </c>
      <c r="AZ12" s="77" t="str">
        <f t="shared" ca="1" si="50"/>
        <v/>
      </c>
      <c r="BA12" s="93" t="str">
        <f t="shared" ca="1" si="51"/>
        <v/>
      </c>
      <c r="BB12" s="77" t="str">
        <f t="shared" ca="1" si="52"/>
        <v/>
      </c>
      <c r="BC12" s="93" t="str">
        <f t="shared" ca="1" si="53"/>
        <v/>
      </c>
    </row>
    <row r="13" spans="1:55" ht="15.95" customHeight="1" x14ac:dyDescent="0.2">
      <c r="A13" s="41" t="str">
        <f>IF(Customization!B13="","",Customization!B13)</f>
        <v/>
      </c>
      <c r="B13" s="79" t="str">
        <f t="shared" ca="1" si="2"/>
        <v/>
      </c>
      <c r="C13" s="29" t="str">
        <f t="shared" ca="1" si="3"/>
        <v/>
      </c>
      <c r="D13" s="7" t="str">
        <f t="shared" ca="1" si="0"/>
        <v/>
      </c>
      <c r="E13" s="29" t="str">
        <f t="shared" ca="1" si="4"/>
        <v/>
      </c>
      <c r="F13" s="7" t="str">
        <f t="shared" ca="1" si="1"/>
        <v/>
      </c>
      <c r="G13" s="29" t="str">
        <f t="shared" ca="1" si="5"/>
        <v/>
      </c>
      <c r="H13" s="7" t="str">
        <f t="shared" ca="1" si="6"/>
        <v/>
      </c>
      <c r="I13" s="28" t="str">
        <f t="shared" ca="1" si="7"/>
        <v/>
      </c>
      <c r="J13" s="7" t="str">
        <f t="shared" ca="1" si="8"/>
        <v/>
      </c>
      <c r="K13" s="73" t="str">
        <f t="shared" ca="1" si="9"/>
        <v/>
      </c>
      <c r="L13" s="74" t="str">
        <f t="shared" ca="1" si="10"/>
        <v/>
      </c>
      <c r="M13" s="75" t="str">
        <f t="shared" ca="1" si="11"/>
        <v/>
      </c>
      <c r="N13" s="76" t="str">
        <f t="shared" ca="1" si="12"/>
        <v/>
      </c>
      <c r="O13" s="75" t="str">
        <f t="shared" ca="1" si="13"/>
        <v/>
      </c>
      <c r="P13" s="76" t="str">
        <f t="shared" ca="1" si="14"/>
        <v/>
      </c>
      <c r="Q13" s="75" t="str">
        <f t="shared" ca="1" si="15"/>
        <v/>
      </c>
      <c r="R13" s="77" t="str">
        <f t="shared" ca="1" si="16"/>
        <v/>
      </c>
      <c r="S13" s="89" t="str">
        <f t="shared" ca="1" si="17"/>
        <v/>
      </c>
      <c r="T13" s="88" t="str">
        <f t="shared" ca="1" si="18"/>
        <v/>
      </c>
      <c r="U13" s="92" t="str">
        <f t="shared" ca="1" si="19"/>
        <v/>
      </c>
      <c r="V13" s="88" t="str">
        <f t="shared" ca="1" si="20"/>
        <v/>
      </c>
      <c r="W13" s="92" t="str">
        <f t="shared" ca="1" si="21"/>
        <v/>
      </c>
      <c r="X13" s="88" t="str">
        <f t="shared" ca="1" si="22"/>
        <v/>
      </c>
      <c r="Y13" s="92" t="str">
        <f t="shared" ca="1" si="23"/>
        <v/>
      </c>
      <c r="Z13" s="88" t="str">
        <f t="shared" ca="1" si="24"/>
        <v/>
      </c>
      <c r="AA13" s="89" t="str">
        <f t="shared" ca="1" si="25"/>
        <v/>
      </c>
      <c r="AB13" s="88" t="str">
        <f t="shared" ca="1" si="26"/>
        <v/>
      </c>
      <c r="AC13" s="92" t="str">
        <f t="shared" ca="1" si="27"/>
        <v/>
      </c>
      <c r="AD13" s="88" t="str">
        <f t="shared" ca="1" si="28"/>
        <v/>
      </c>
      <c r="AE13" s="92" t="str">
        <f t="shared" ca="1" si="29"/>
        <v/>
      </c>
      <c r="AF13" s="88" t="str">
        <f t="shared" ca="1" si="30"/>
        <v/>
      </c>
      <c r="AG13" s="92" t="str">
        <f t="shared" ca="1" si="31"/>
        <v/>
      </c>
      <c r="AH13" s="88" t="str">
        <f t="shared" ca="1" si="32"/>
        <v/>
      </c>
      <c r="AI13" s="92" t="str">
        <f t="shared" ca="1" si="33"/>
        <v/>
      </c>
      <c r="AJ13" s="88" t="str">
        <f t="shared" ca="1" si="34"/>
        <v/>
      </c>
      <c r="AK13" s="92" t="str">
        <f t="shared" ca="1" si="35"/>
        <v/>
      </c>
      <c r="AL13" s="77" t="str">
        <f t="shared" ca="1" si="36"/>
        <v/>
      </c>
      <c r="AM13" s="89" t="str">
        <f t="shared" ca="1" si="37"/>
        <v/>
      </c>
      <c r="AN13" s="88" t="str">
        <f t="shared" ca="1" si="38"/>
        <v/>
      </c>
      <c r="AO13" s="89" t="str">
        <f t="shared" ca="1" si="39"/>
        <v/>
      </c>
      <c r="AP13" s="77" t="str">
        <f t="shared" ca="1" si="40"/>
        <v/>
      </c>
      <c r="AQ13" s="94" t="str">
        <f t="shared" ca="1" si="41"/>
        <v/>
      </c>
      <c r="AR13" s="77" t="str">
        <f t="shared" ca="1" si="42"/>
        <v/>
      </c>
      <c r="AS13" s="94" t="str">
        <f t="shared" ca="1" si="43"/>
        <v/>
      </c>
      <c r="AT13" s="77" t="str">
        <f t="shared" ca="1" si="44"/>
        <v/>
      </c>
      <c r="AU13" s="93" t="str">
        <f t="shared" ca="1" si="45"/>
        <v/>
      </c>
      <c r="AV13" s="77" t="str">
        <f t="shared" ca="1" si="46"/>
        <v/>
      </c>
      <c r="AW13" s="93" t="str">
        <f t="shared" ca="1" si="47"/>
        <v/>
      </c>
      <c r="AX13" s="77" t="str">
        <f t="shared" ca="1" si="48"/>
        <v/>
      </c>
      <c r="AY13" s="93" t="str">
        <f t="shared" ca="1" si="49"/>
        <v/>
      </c>
      <c r="AZ13" s="77" t="str">
        <f t="shared" ca="1" si="50"/>
        <v/>
      </c>
      <c r="BA13" s="93" t="str">
        <f t="shared" ca="1" si="51"/>
        <v/>
      </c>
      <c r="BB13" s="77" t="str">
        <f t="shared" ca="1" si="52"/>
        <v/>
      </c>
      <c r="BC13" s="93" t="str">
        <f t="shared" ca="1" si="53"/>
        <v/>
      </c>
    </row>
    <row r="14" spans="1:55" ht="15.95" customHeight="1" x14ac:dyDescent="0.2">
      <c r="A14" s="41" t="str">
        <f>IF(Customization!B14="","",Customization!B14)</f>
        <v/>
      </c>
      <c r="B14" s="79" t="str">
        <f t="shared" ca="1" si="2"/>
        <v/>
      </c>
      <c r="C14" s="29" t="str">
        <f t="shared" ca="1" si="3"/>
        <v/>
      </c>
      <c r="D14" s="7" t="str">
        <f t="shared" ca="1" si="0"/>
        <v/>
      </c>
      <c r="E14" s="29" t="str">
        <f t="shared" ca="1" si="4"/>
        <v/>
      </c>
      <c r="F14" s="7" t="str">
        <f t="shared" ca="1" si="1"/>
        <v/>
      </c>
      <c r="G14" s="29" t="str">
        <f t="shared" ca="1" si="5"/>
        <v/>
      </c>
      <c r="H14" s="7" t="str">
        <f t="shared" ca="1" si="6"/>
        <v/>
      </c>
      <c r="I14" s="28" t="str">
        <f t="shared" ca="1" si="7"/>
        <v/>
      </c>
      <c r="J14" s="7" t="str">
        <f t="shared" ca="1" si="8"/>
        <v/>
      </c>
      <c r="K14" s="73" t="str">
        <f t="shared" ca="1" si="9"/>
        <v/>
      </c>
      <c r="L14" s="74" t="str">
        <f t="shared" ca="1" si="10"/>
        <v/>
      </c>
      <c r="M14" s="75" t="str">
        <f t="shared" ca="1" si="11"/>
        <v/>
      </c>
      <c r="N14" s="76" t="str">
        <f t="shared" ca="1" si="12"/>
        <v/>
      </c>
      <c r="O14" s="75" t="str">
        <f t="shared" ca="1" si="13"/>
        <v/>
      </c>
      <c r="P14" s="76" t="str">
        <f t="shared" ca="1" si="14"/>
        <v/>
      </c>
      <c r="Q14" s="75" t="str">
        <f t="shared" ca="1" si="15"/>
        <v/>
      </c>
      <c r="R14" s="77" t="str">
        <f t="shared" ca="1" si="16"/>
        <v/>
      </c>
      <c r="S14" s="89" t="str">
        <f t="shared" ca="1" si="17"/>
        <v/>
      </c>
      <c r="T14" s="88" t="str">
        <f t="shared" ca="1" si="18"/>
        <v/>
      </c>
      <c r="U14" s="92" t="str">
        <f t="shared" ca="1" si="19"/>
        <v/>
      </c>
      <c r="V14" s="88" t="str">
        <f t="shared" ca="1" si="20"/>
        <v/>
      </c>
      <c r="W14" s="92" t="str">
        <f t="shared" ca="1" si="21"/>
        <v/>
      </c>
      <c r="X14" s="88" t="str">
        <f t="shared" ca="1" si="22"/>
        <v/>
      </c>
      <c r="Y14" s="92" t="str">
        <f t="shared" ca="1" si="23"/>
        <v/>
      </c>
      <c r="Z14" s="88" t="str">
        <f t="shared" ca="1" si="24"/>
        <v/>
      </c>
      <c r="AA14" s="89" t="str">
        <f t="shared" ca="1" si="25"/>
        <v/>
      </c>
      <c r="AB14" s="88" t="str">
        <f t="shared" ca="1" si="26"/>
        <v/>
      </c>
      <c r="AC14" s="92" t="str">
        <f t="shared" ca="1" si="27"/>
        <v/>
      </c>
      <c r="AD14" s="88" t="str">
        <f t="shared" ca="1" si="28"/>
        <v/>
      </c>
      <c r="AE14" s="92" t="str">
        <f t="shared" ca="1" si="29"/>
        <v/>
      </c>
      <c r="AF14" s="88" t="str">
        <f t="shared" ca="1" si="30"/>
        <v/>
      </c>
      <c r="AG14" s="92" t="str">
        <f t="shared" ca="1" si="31"/>
        <v/>
      </c>
      <c r="AH14" s="88" t="str">
        <f t="shared" ca="1" si="32"/>
        <v/>
      </c>
      <c r="AI14" s="92" t="str">
        <f t="shared" ca="1" si="33"/>
        <v/>
      </c>
      <c r="AJ14" s="88" t="str">
        <f t="shared" ca="1" si="34"/>
        <v/>
      </c>
      <c r="AK14" s="92" t="str">
        <f t="shared" ca="1" si="35"/>
        <v/>
      </c>
      <c r="AL14" s="77" t="str">
        <f t="shared" ca="1" si="36"/>
        <v/>
      </c>
      <c r="AM14" s="89" t="str">
        <f t="shared" ca="1" si="37"/>
        <v/>
      </c>
      <c r="AN14" s="88" t="str">
        <f t="shared" ca="1" si="38"/>
        <v/>
      </c>
      <c r="AO14" s="89" t="str">
        <f t="shared" ca="1" si="39"/>
        <v/>
      </c>
      <c r="AP14" s="77" t="str">
        <f t="shared" ca="1" si="40"/>
        <v/>
      </c>
      <c r="AQ14" s="94" t="str">
        <f t="shared" ca="1" si="41"/>
        <v/>
      </c>
      <c r="AR14" s="77" t="str">
        <f t="shared" ca="1" si="42"/>
        <v/>
      </c>
      <c r="AS14" s="94" t="str">
        <f t="shared" ca="1" si="43"/>
        <v/>
      </c>
      <c r="AT14" s="77" t="str">
        <f t="shared" ca="1" si="44"/>
        <v/>
      </c>
      <c r="AU14" s="93" t="str">
        <f t="shared" ca="1" si="45"/>
        <v/>
      </c>
      <c r="AV14" s="77" t="str">
        <f t="shared" ca="1" si="46"/>
        <v/>
      </c>
      <c r="AW14" s="93" t="str">
        <f t="shared" ca="1" si="47"/>
        <v/>
      </c>
      <c r="AX14" s="77" t="str">
        <f t="shared" ca="1" si="48"/>
        <v/>
      </c>
      <c r="AY14" s="93" t="str">
        <f t="shared" ca="1" si="49"/>
        <v/>
      </c>
      <c r="AZ14" s="77" t="str">
        <f t="shared" ca="1" si="50"/>
        <v/>
      </c>
      <c r="BA14" s="93" t="str">
        <f t="shared" ca="1" si="51"/>
        <v/>
      </c>
      <c r="BB14" s="77" t="str">
        <f t="shared" ca="1" si="52"/>
        <v/>
      </c>
      <c r="BC14" s="93" t="str">
        <f t="shared" ca="1" si="53"/>
        <v/>
      </c>
    </row>
    <row r="15" spans="1:55" ht="15.95" customHeight="1" x14ac:dyDescent="0.2">
      <c r="A15" s="41" t="str">
        <f>IF(Customization!B15="","",Customization!B15)</f>
        <v/>
      </c>
      <c r="B15" s="79" t="str">
        <f t="shared" ca="1" si="2"/>
        <v/>
      </c>
      <c r="C15" s="29" t="str">
        <f t="shared" ca="1" si="3"/>
        <v/>
      </c>
      <c r="D15" s="7" t="str">
        <f t="shared" ca="1" si="0"/>
        <v/>
      </c>
      <c r="E15" s="29" t="str">
        <f t="shared" ca="1" si="4"/>
        <v/>
      </c>
      <c r="F15" s="7" t="str">
        <f t="shared" ca="1" si="1"/>
        <v/>
      </c>
      <c r="G15" s="29" t="str">
        <f t="shared" ca="1" si="5"/>
        <v/>
      </c>
      <c r="H15" s="7" t="str">
        <f t="shared" ca="1" si="6"/>
        <v/>
      </c>
      <c r="I15" s="28" t="str">
        <f t="shared" ca="1" si="7"/>
        <v/>
      </c>
      <c r="J15" s="7" t="str">
        <f t="shared" ca="1" si="8"/>
        <v/>
      </c>
      <c r="K15" s="73" t="str">
        <f t="shared" ca="1" si="9"/>
        <v/>
      </c>
      <c r="L15" s="74" t="str">
        <f t="shared" ca="1" si="10"/>
        <v/>
      </c>
      <c r="M15" s="75" t="str">
        <f t="shared" ca="1" si="11"/>
        <v/>
      </c>
      <c r="N15" s="76" t="str">
        <f t="shared" ca="1" si="12"/>
        <v/>
      </c>
      <c r="O15" s="75" t="str">
        <f t="shared" ca="1" si="13"/>
        <v/>
      </c>
      <c r="P15" s="76" t="str">
        <f t="shared" ca="1" si="14"/>
        <v/>
      </c>
      <c r="Q15" s="75" t="str">
        <f t="shared" ca="1" si="15"/>
        <v/>
      </c>
      <c r="R15" s="77" t="str">
        <f t="shared" ca="1" si="16"/>
        <v/>
      </c>
      <c r="S15" s="89" t="str">
        <f t="shared" ca="1" si="17"/>
        <v/>
      </c>
      <c r="T15" s="88" t="str">
        <f t="shared" ca="1" si="18"/>
        <v/>
      </c>
      <c r="U15" s="92" t="str">
        <f t="shared" ca="1" si="19"/>
        <v/>
      </c>
      <c r="V15" s="88" t="str">
        <f t="shared" ca="1" si="20"/>
        <v/>
      </c>
      <c r="W15" s="92" t="str">
        <f t="shared" ca="1" si="21"/>
        <v/>
      </c>
      <c r="X15" s="88" t="str">
        <f t="shared" ca="1" si="22"/>
        <v/>
      </c>
      <c r="Y15" s="92" t="str">
        <f t="shared" ca="1" si="23"/>
        <v/>
      </c>
      <c r="Z15" s="88" t="str">
        <f t="shared" ca="1" si="24"/>
        <v/>
      </c>
      <c r="AA15" s="89" t="str">
        <f t="shared" ca="1" si="25"/>
        <v/>
      </c>
      <c r="AB15" s="88" t="str">
        <f t="shared" ca="1" si="26"/>
        <v/>
      </c>
      <c r="AC15" s="92" t="str">
        <f t="shared" ca="1" si="27"/>
        <v/>
      </c>
      <c r="AD15" s="88" t="str">
        <f t="shared" ca="1" si="28"/>
        <v/>
      </c>
      <c r="AE15" s="92" t="str">
        <f t="shared" ca="1" si="29"/>
        <v/>
      </c>
      <c r="AF15" s="88" t="str">
        <f t="shared" ca="1" si="30"/>
        <v/>
      </c>
      <c r="AG15" s="92" t="str">
        <f t="shared" ca="1" si="31"/>
        <v/>
      </c>
      <c r="AH15" s="88" t="str">
        <f t="shared" ca="1" si="32"/>
        <v/>
      </c>
      <c r="AI15" s="92" t="str">
        <f t="shared" ca="1" si="33"/>
        <v/>
      </c>
      <c r="AJ15" s="88" t="str">
        <f t="shared" ca="1" si="34"/>
        <v/>
      </c>
      <c r="AK15" s="92" t="str">
        <f t="shared" ca="1" si="35"/>
        <v/>
      </c>
      <c r="AL15" s="77" t="str">
        <f t="shared" ca="1" si="36"/>
        <v/>
      </c>
      <c r="AM15" s="89" t="str">
        <f t="shared" ca="1" si="37"/>
        <v/>
      </c>
      <c r="AN15" s="88" t="str">
        <f t="shared" ca="1" si="38"/>
        <v/>
      </c>
      <c r="AO15" s="89" t="str">
        <f t="shared" ca="1" si="39"/>
        <v/>
      </c>
      <c r="AP15" s="77" t="str">
        <f t="shared" ca="1" si="40"/>
        <v/>
      </c>
      <c r="AQ15" s="94" t="str">
        <f t="shared" ca="1" si="41"/>
        <v/>
      </c>
      <c r="AR15" s="77" t="str">
        <f t="shared" ca="1" si="42"/>
        <v/>
      </c>
      <c r="AS15" s="94" t="str">
        <f t="shared" ca="1" si="43"/>
        <v/>
      </c>
      <c r="AT15" s="77" t="str">
        <f t="shared" ca="1" si="44"/>
        <v/>
      </c>
      <c r="AU15" s="93" t="str">
        <f t="shared" ca="1" si="45"/>
        <v/>
      </c>
      <c r="AV15" s="77" t="str">
        <f t="shared" ca="1" si="46"/>
        <v/>
      </c>
      <c r="AW15" s="93" t="str">
        <f t="shared" ca="1" si="47"/>
        <v/>
      </c>
      <c r="AX15" s="77" t="str">
        <f t="shared" ca="1" si="48"/>
        <v/>
      </c>
      <c r="AY15" s="93" t="str">
        <f t="shared" ca="1" si="49"/>
        <v/>
      </c>
      <c r="AZ15" s="77" t="str">
        <f t="shared" ca="1" si="50"/>
        <v/>
      </c>
      <c r="BA15" s="93" t="str">
        <f t="shared" ca="1" si="51"/>
        <v/>
      </c>
      <c r="BB15" s="77" t="str">
        <f t="shared" ca="1" si="52"/>
        <v/>
      </c>
      <c r="BC15" s="93" t="str">
        <f t="shared" ca="1" si="53"/>
        <v/>
      </c>
    </row>
    <row r="16" spans="1:55" ht="15.95" customHeight="1" x14ac:dyDescent="0.2">
      <c r="A16" s="41" t="str">
        <f>IF(Customization!B16="","",Customization!B16)</f>
        <v/>
      </c>
      <c r="B16" s="79" t="str">
        <f t="shared" ca="1" si="2"/>
        <v/>
      </c>
      <c r="C16" s="29" t="str">
        <f t="shared" ca="1" si="3"/>
        <v/>
      </c>
      <c r="D16" s="7" t="str">
        <f t="shared" ca="1" si="0"/>
        <v/>
      </c>
      <c r="E16" s="29" t="str">
        <f t="shared" ca="1" si="4"/>
        <v/>
      </c>
      <c r="F16" s="7" t="str">
        <f t="shared" ca="1" si="1"/>
        <v/>
      </c>
      <c r="G16" s="29" t="str">
        <f t="shared" ca="1" si="5"/>
        <v/>
      </c>
      <c r="H16" s="7" t="str">
        <f t="shared" ca="1" si="6"/>
        <v/>
      </c>
      <c r="I16" s="28" t="str">
        <f t="shared" ca="1" si="7"/>
        <v/>
      </c>
      <c r="J16" s="7" t="str">
        <f t="shared" ca="1" si="8"/>
        <v/>
      </c>
      <c r="K16" s="73" t="str">
        <f t="shared" ca="1" si="9"/>
        <v/>
      </c>
      <c r="L16" s="74" t="str">
        <f t="shared" ca="1" si="10"/>
        <v/>
      </c>
      <c r="M16" s="75" t="str">
        <f t="shared" ca="1" si="11"/>
        <v/>
      </c>
      <c r="N16" s="76" t="str">
        <f t="shared" ca="1" si="12"/>
        <v/>
      </c>
      <c r="O16" s="75" t="str">
        <f t="shared" ca="1" si="13"/>
        <v/>
      </c>
      <c r="P16" s="76" t="str">
        <f t="shared" ca="1" si="14"/>
        <v/>
      </c>
      <c r="Q16" s="75" t="str">
        <f t="shared" ca="1" si="15"/>
        <v/>
      </c>
      <c r="R16" s="77" t="str">
        <f t="shared" ca="1" si="16"/>
        <v/>
      </c>
      <c r="S16" s="89" t="str">
        <f t="shared" ca="1" si="17"/>
        <v/>
      </c>
      <c r="T16" s="88" t="str">
        <f t="shared" ca="1" si="18"/>
        <v/>
      </c>
      <c r="U16" s="92" t="str">
        <f t="shared" ca="1" si="19"/>
        <v/>
      </c>
      <c r="V16" s="88" t="str">
        <f t="shared" ca="1" si="20"/>
        <v/>
      </c>
      <c r="W16" s="92" t="str">
        <f t="shared" ca="1" si="21"/>
        <v/>
      </c>
      <c r="X16" s="88" t="str">
        <f t="shared" ca="1" si="22"/>
        <v/>
      </c>
      <c r="Y16" s="92" t="str">
        <f t="shared" ca="1" si="23"/>
        <v/>
      </c>
      <c r="Z16" s="88" t="str">
        <f t="shared" ca="1" si="24"/>
        <v/>
      </c>
      <c r="AA16" s="89" t="str">
        <f t="shared" ca="1" si="25"/>
        <v/>
      </c>
      <c r="AB16" s="88" t="str">
        <f t="shared" ca="1" si="26"/>
        <v/>
      </c>
      <c r="AC16" s="92" t="str">
        <f t="shared" ca="1" si="27"/>
        <v/>
      </c>
      <c r="AD16" s="88" t="str">
        <f t="shared" ca="1" si="28"/>
        <v/>
      </c>
      <c r="AE16" s="92" t="str">
        <f t="shared" ca="1" si="29"/>
        <v/>
      </c>
      <c r="AF16" s="88" t="str">
        <f t="shared" ca="1" si="30"/>
        <v/>
      </c>
      <c r="AG16" s="92" t="str">
        <f t="shared" ca="1" si="31"/>
        <v/>
      </c>
      <c r="AH16" s="88" t="str">
        <f t="shared" ca="1" si="32"/>
        <v/>
      </c>
      <c r="AI16" s="92" t="str">
        <f t="shared" ca="1" si="33"/>
        <v/>
      </c>
      <c r="AJ16" s="88" t="str">
        <f t="shared" ca="1" si="34"/>
        <v/>
      </c>
      <c r="AK16" s="92" t="str">
        <f t="shared" ca="1" si="35"/>
        <v/>
      </c>
      <c r="AL16" s="77" t="str">
        <f t="shared" ca="1" si="36"/>
        <v/>
      </c>
      <c r="AM16" s="89" t="str">
        <f t="shared" ca="1" si="37"/>
        <v/>
      </c>
      <c r="AN16" s="88" t="str">
        <f t="shared" ca="1" si="38"/>
        <v/>
      </c>
      <c r="AO16" s="89" t="str">
        <f t="shared" ca="1" si="39"/>
        <v/>
      </c>
      <c r="AP16" s="77" t="str">
        <f t="shared" ca="1" si="40"/>
        <v/>
      </c>
      <c r="AQ16" s="94" t="str">
        <f t="shared" ca="1" si="41"/>
        <v/>
      </c>
      <c r="AR16" s="77" t="str">
        <f t="shared" ca="1" si="42"/>
        <v/>
      </c>
      <c r="AS16" s="94" t="str">
        <f t="shared" ca="1" si="43"/>
        <v/>
      </c>
      <c r="AT16" s="77" t="str">
        <f t="shared" ca="1" si="44"/>
        <v/>
      </c>
      <c r="AU16" s="93" t="str">
        <f t="shared" ca="1" si="45"/>
        <v/>
      </c>
      <c r="AV16" s="77" t="str">
        <f t="shared" ca="1" si="46"/>
        <v/>
      </c>
      <c r="AW16" s="93" t="str">
        <f t="shared" ca="1" si="47"/>
        <v/>
      </c>
      <c r="AX16" s="77" t="str">
        <f t="shared" ca="1" si="48"/>
        <v/>
      </c>
      <c r="AY16" s="93" t="str">
        <f t="shared" ca="1" si="49"/>
        <v/>
      </c>
      <c r="AZ16" s="77" t="str">
        <f t="shared" ca="1" si="50"/>
        <v/>
      </c>
      <c r="BA16" s="93" t="str">
        <f t="shared" ca="1" si="51"/>
        <v/>
      </c>
      <c r="BB16" s="77" t="str">
        <f t="shared" ca="1" si="52"/>
        <v/>
      </c>
      <c r="BC16" s="93" t="str">
        <f t="shared" ca="1" si="53"/>
        <v/>
      </c>
    </row>
    <row r="17" spans="1:55" ht="15.95" customHeight="1" x14ac:dyDescent="0.2">
      <c r="A17" s="41" t="str">
        <f>IF(Customization!B17="","",Customization!B17)</f>
        <v/>
      </c>
      <c r="B17" s="79" t="str">
        <f t="shared" ca="1" si="2"/>
        <v/>
      </c>
      <c r="C17" s="29" t="str">
        <f t="shared" ca="1" si="3"/>
        <v/>
      </c>
      <c r="D17" s="7" t="str">
        <f t="shared" ca="1" si="0"/>
        <v/>
      </c>
      <c r="E17" s="29" t="str">
        <f t="shared" ca="1" si="4"/>
        <v/>
      </c>
      <c r="F17" s="7" t="str">
        <f t="shared" ca="1" si="1"/>
        <v/>
      </c>
      <c r="G17" s="29" t="str">
        <f t="shared" ca="1" si="5"/>
        <v/>
      </c>
      <c r="H17" s="7" t="str">
        <f t="shared" ca="1" si="6"/>
        <v/>
      </c>
      <c r="I17" s="28" t="str">
        <f t="shared" ca="1" si="7"/>
        <v/>
      </c>
      <c r="J17" s="7" t="str">
        <f t="shared" ca="1" si="8"/>
        <v/>
      </c>
      <c r="K17" s="73" t="str">
        <f t="shared" ca="1" si="9"/>
        <v/>
      </c>
      <c r="L17" s="74" t="str">
        <f t="shared" ca="1" si="10"/>
        <v/>
      </c>
      <c r="M17" s="75" t="str">
        <f t="shared" ca="1" si="11"/>
        <v/>
      </c>
      <c r="N17" s="76" t="str">
        <f t="shared" ca="1" si="12"/>
        <v/>
      </c>
      <c r="O17" s="75" t="str">
        <f t="shared" ca="1" si="13"/>
        <v/>
      </c>
      <c r="P17" s="76" t="str">
        <f t="shared" ca="1" si="14"/>
        <v/>
      </c>
      <c r="Q17" s="75" t="str">
        <f t="shared" ca="1" si="15"/>
        <v/>
      </c>
      <c r="R17" s="77" t="str">
        <f t="shared" ca="1" si="16"/>
        <v/>
      </c>
      <c r="S17" s="89" t="str">
        <f t="shared" ca="1" si="17"/>
        <v/>
      </c>
      <c r="T17" s="88" t="str">
        <f t="shared" ca="1" si="18"/>
        <v/>
      </c>
      <c r="U17" s="92" t="str">
        <f t="shared" ca="1" si="19"/>
        <v/>
      </c>
      <c r="V17" s="88" t="str">
        <f t="shared" ca="1" si="20"/>
        <v/>
      </c>
      <c r="W17" s="92" t="str">
        <f t="shared" ca="1" si="21"/>
        <v/>
      </c>
      <c r="X17" s="88" t="str">
        <f t="shared" ca="1" si="22"/>
        <v/>
      </c>
      <c r="Y17" s="92" t="str">
        <f t="shared" ca="1" si="23"/>
        <v/>
      </c>
      <c r="Z17" s="88" t="str">
        <f t="shared" ca="1" si="24"/>
        <v/>
      </c>
      <c r="AA17" s="89" t="str">
        <f t="shared" ca="1" si="25"/>
        <v/>
      </c>
      <c r="AB17" s="88" t="str">
        <f t="shared" ca="1" si="26"/>
        <v/>
      </c>
      <c r="AC17" s="92" t="str">
        <f t="shared" ca="1" si="27"/>
        <v/>
      </c>
      <c r="AD17" s="88" t="str">
        <f t="shared" ca="1" si="28"/>
        <v/>
      </c>
      <c r="AE17" s="92" t="str">
        <f t="shared" ca="1" si="29"/>
        <v/>
      </c>
      <c r="AF17" s="88" t="str">
        <f t="shared" ca="1" si="30"/>
        <v/>
      </c>
      <c r="AG17" s="92" t="str">
        <f t="shared" ca="1" si="31"/>
        <v/>
      </c>
      <c r="AH17" s="88" t="str">
        <f t="shared" ca="1" si="32"/>
        <v/>
      </c>
      <c r="AI17" s="92" t="str">
        <f t="shared" ca="1" si="33"/>
        <v/>
      </c>
      <c r="AJ17" s="88" t="str">
        <f t="shared" ca="1" si="34"/>
        <v/>
      </c>
      <c r="AK17" s="92" t="str">
        <f t="shared" ca="1" si="35"/>
        <v/>
      </c>
      <c r="AL17" s="77" t="str">
        <f t="shared" ca="1" si="36"/>
        <v/>
      </c>
      <c r="AM17" s="89" t="str">
        <f t="shared" ca="1" si="37"/>
        <v/>
      </c>
      <c r="AN17" s="88" t="str">
        <f t="shared" ca="1" si="38"/>
        <v/>
      </c>
      <c r="AO17" s="89" t="str">
        <f t="shared" ca="1" si="39"/>
        <v/>
      </c>
      <c r="AP17" s="77" t="str">
        <f t="shared" ca="1" si="40"/>
        <v/>
      </c>
      <c r="AQ17" s="94" t="str">
        <f t="shared" ca="1" si="41"/>
        <v/>
      </c>
      <c r="AR17" s="77" t="str">
        <f t="shared" ca="1" si="42"/>
        <v/>
      </c>
      <c r="AS17" s="94" t="str">
        <f t="shared" ca="1" si="43"/>
        <v/>
      </c>
      <c r="AT17" s="77" t="str">
        <f t="shared" ca="1" si="44"/>
        <v/>
      </c>
      <c r="AU17" s="93" t="str">
        <f t="shared" ca="1" si="45"/>
        <v/>
      </c>
      <c r="AV17" s="77" t="str">
        <f t="shared" ca="1" si="46"/>
        <v/>
      </c>
      <c r="AW17" s="93" t="str">
        <f t="shared" ca="1" si="47"/>
        <v/>
      </c>
      <c r="AX17" s="77" t="str">
        <f t="shared" ca="1" si="48"/>
        <v/>
      </c>
      <c r="AY17" s="93" t="str">
        <f t="shared" ca="1" si="49"/>
        <v/>
      </c>
      <c r="AZ17" s="77" t="str">
        <f t="shared" ca="1" si="50"/>
        <v/>
      </c>
      <c r="BA17" s="93" t="str">
        <f t="shared" ca="1" si="51"/>
        <v/>
      </c>
      <c r="BB17" s="77" t="str">
        <f t="shared" ca="1" si="52"/>
        <v/>
      </c>
      <c r="BC17" s="93" t="str">
        <f t="shared" ca="1" si="53"/>
        <v/>
      </c>
    </row>
    <row r="18" spans="1:55" ht="15.95" customHeight="1" x14ac:dyDescent="0.2">
      <c r="A18" s="41" t="str">
        <f>IF(Customization!B18="","",Customization!B18)</f>
        <v/>
      </c>
      <c r="B18" s="79" t="str">
        <f t="shared" ca="1" si="2"/>
        <v/>
      </c>
      <c r="C18" s="29" t="str">
        <f t="shared" ca="1" si="3"/>
        <v/>
      </c>
      <c r="D18" s="7" t="str">
        <f t="shared" ca="1" si="0"/>
        <v/>
      </c>
      <c r="E18" s="29" t="str">
        <f t="shared" ca="1" si="4"/>
        <v/>
      </c>
      <c r="F18" s="7" t="str">
        <f t="shared" ca="1" si="1"/>
        <v/>
      </c>
      <c r="G18" s="29" t="str">
        <f t="shared" ca="1" si="5"/>
        <v/>
      </c>
      <c r="H18" s="7" t="str">
        <f t="shared" ca="1" si="6"/>
        <v/>
      </c>
      <c r="I18" s="28" t="str">
        <f t="shared" ca="1" si="7"/>
        <v/>
      </c>
      <c r="J18" s="7" t="str">
        <f t="shared" ca="1" si="8"/>
        <v/>
      </c>
      <c r="K18" s="73" t="str">
        <f t="shared" ca="1" si="9"/>
        <v/>
      </c>
      <c r="L18" s="74" t="str">
        <f t="shared" ca="1" si="10"/>
        <v/>
      </c>
      <c r="M18" s="75" t="str">
        <f t="shared" ca="1" si="11"/>
        <v/>
      </c>
      <c r="N18" s="76" t="str">
        <f t="shared" ca="1" si="12"/>
        <v/>
      </c>
      <c r="O18" s="75" t="str">
        <f t="shared" ca="1" si="13"/>
        <v/>
      </c>
      <c r="P18" s="76" t="str">
        <f t="shared" ca="1" si="14"/>
        <v/>
      </c>
      <c r="Q18" s="75" t="str">
        <f t="shared" ca="1" si="15"/>
        <v/>
      </c>
      <c r="R18" s="77" t="str">
        <f t="shared" ca="1" si="16"/>
        <v/>
      </c>
      <c r="S18" s="89" t="str">
        <f t="shared" ca="1" si="17"/>
        <v/>
      </c>
      <c r="T18" s="88" t="str">
        <f t="shared" ca="1" si="18"/>
        <v/>
      </c>
      <c r="U18" s="92" t="str">
        <f t="shared" ca="1" si="19"/>
        <v/>
      </c>
      <c r="V18" s="88" t="str">
        <f t="shared" ca="1" si="20"/>
        <v/>
      </c>
      <c r="W18" s="92" t="str">
        <f t="shared" ca="1" si="21"/>
        <v/>
      </c>
      <c r="X18" s="88" t="str">
        <f t="shared" ca="1" si="22"/>
        <v/>
      </c>
      <c r="Y18" s="92" t="str">
        <f t="shared" ca="1" si="23"/>
        <v/>
      </c>
      <c r="Z18" s="88" t="str">
        <f t="shared" ca="1" si="24"/>
        <v/>
      </c>
      <c r="AA18" s="89" t="str">
        <f t="shared" ca="1" si="25"/>
        <v/>
      </c>
      <c r="AB18" s="88" t="str">
        <f t="shared" ca="1" si="26"/>
        <v/>
      </c>
      <c r="AC18" s="92" t="str">
        <f t="shared" ca="1" si="27"/>
        <v/>
      </c>
      <c r="AD18" s="88" t="str">
        <f t="shared" ca="1" si="28"/>
        <v/>
      </c>
      <c r="AE18" s="92" t="str">
        <f t="shared" ca="1" si="29"/>
        <v/>
      </c>
      <c r="AF18" s="88" t="str">
        <f t="shared" ca="1" si="30"/>
        <v/>
      </c>
      <c r="AG18" s="92" t="str">
        <f t="shared" ca="1" si="31"/>
        <v/>
      </c>
      <c r="AH18" s="88" t="str">
        <f t="shared" ca="1" si="32"/>
        <v/>
      </c>
      <c r="AI18" s="92" t="str">
        <f t="shared" ca="1" si="33"/>
        <v/>
      </c>
      <c r="AJ18" s="88" t="str">
        <f t="shared" ca="1" si="34"/>
        <v/>
      </c>
      <c r="AK18" s="92" t="str">
        <f t="shared" ca="1" si="35"/>
        <v/>
      </c>
      <c r="AL18" s="77" t="str">
        <f t="shared" ca="1" si="36"/>
        <v/>
      </c>
      <c r="AM18" s="89" t="str">
        <f t="shared" ca="1" si="37"/>
        <v/>
      </c>
      <c r="AN18" s="88" t="str">
        <f t="shared" ca="1" si="38"/>
        <v/>
      </c>
      <c r="AO18" s="89" t="str">
        <f t="shared" ca="1" si="39"/>
        <v/>
      </c>
      <c r="AP18" s="77" t="str">
        <f t="shared" ca="1" si="40"/>
        <v/>
      </c>
      <c r="AQ18" s="94" t="str">
        <f t="shared" ca="1" si="41"/>
        <v/>
      </c>
      <c r="AR18" s="77" t="str">
        <f t="shared" ca="1" si="42"/>
        <v/>
      </c>
      <c r="AS18" s="94" t="str">
        <f t="shared" ca="1" si="43"/>
        <v/>
      </c>
      <c r="AT18" s="77" t="str">
        <f t="shared" ca="1" si="44"/>
        <v/>
      </c>
      <c r="AU18" s="93" t="str">
        <f t="shared" ca="1" si="45"/>
        <v/>
      </c>
      <c r="AV18" s="77" t="str">
        <f t="shared" ca="1" si="46"/>
        <v/>
      </c>
      <c r="AW18" s="93" t="str">
        <f t="shared" ca="1" si="47"/>
        <v/>
      </c>
      <c r="AX18" s="77" t="str">
        <f t="shared" ca="1" si="48"/>
        <v/>
      </c>
      <c r="AY18" s="93" t="str">
        <f t="shared" ca="1" si="49"/>
        <v/>
      </c>
      <c r="AZ18" s="77" t="str">
        <f t="shared" ca="1" si="50"/>
        <v/>
      </c>
      <c r="BA18" s="93" t="str">
        <f t="shared" ca="1" si="51"/>
        <v/>
      </c>
      <c r="BB18" s="77" t="str">
        <f t="shared" ca="1" si="52"/>
        <v/>
      </c>
      <c r="BC18" s="93" t="str">
        <f t="shared" ca="1" si="53"/>
        <v/>
      </c>
    </row>
    <row r="19" spans="1:55" ht="15.95" customHeight="1" x14ac:dyDescent="0.2">
      <c r="A19" s="41" t="str">
        <f>IF(Customization!B19="","",Customization!B19)</f>
        <v/>
      </c>
      <c r="B19" s="79" t="str">
        <f t="shared" ca="1" si="2"/>
        <v/>
      </c>
      <c r="C19" s="29" t="str">
        <f t="shared" ca="1" si="3"/>
        <v/>
      </c>
      <c r="D19" s="7" t="str">
        <f t="shared" ca="1" si="0"/>
        <v/>
      </c>
      <c r="E19" s="29" t="str">
        <f t="shared" ca="1" si="4"/>
        <v/>
      </c>
      <c r="F19" s="7" t="str">
        <f t="shared" ca="1" si="1"/>
        <v/>
      </c>
      <c r="G19" s="29" t="str">
        <f t="shared" ca="1" si="5"/>
        <v/>
      </c>
      <c r="H19" s="7" t="str">
        <f t="shared" ca="1" si="6"/>
        <v/>
      </c>
      <c r="I19" s="28" t="str">
        <f t="shared" ca="1" si="7"/>
        <v/>
      </c>
      <c r="J19" s="7" t="str">
        <f t="shared" ca="1" si="8"/>
        <v/>
      </c>
      <c r="K19" s="73" t="str">
        <f t="shared" ca="1" si="9"/>
        <v/>
      </c>
      <c r="L19" s="74" t="str">
        <f t="shared" ca="1" si="10"/>
        <v/>
      </c>
      <c r="M19" s="75" t="str">
        <f t="shared" ca="1" si="11"/>
        <v/>
      </c>
      <c r="N19" s="76" t="str">
        <f t="shared" ca="1" si="12"/>
        <v/>
      </c>
      <c r="O19" s="75" t="str">
        <f t="shared" ca="1" si="13"/>
        <v/>
      </c>
      <c r="P19" s="76" t="str">
        <f t="shared" ca="1" si="14"/>
        <v/>
      </c>
      <c r="Q19" s="75" t="str">
        <f t="shared" ca="1" si="15"/>
        <v/>
      </c>
      <c r="R19" s="77" t="str">
        <f t="shared" ca="1" si="16"/>
        <v/>
      </c>
      <c r="S19" s="89" t="str">
        <f t="shared" ca="1" si="17"/>
        <v/>
      </c>
      <c r="T19" s="88" t="str">
        <f t="shared" ca="1" si="18"/>
        <v/>
      </c>
      <c r="U19" s="92" t="str">
        <f t="shared" ca="1" si="19"/>
        <v/>
      </c>
      <c r="V19" s="88" t="str">
        <f t="shared" ca="1" si="20"/>
        <v/>
      </c>
      <c r="W19" s="92" t="str">
        <f t="shared" ca="1" si="21"/>
        <v/>
      </c>
      <c r="X19" s="88" t="str">
        <f t="shared" ca="1" si="22"/>
        <v/>
      </c>
      <c r="Y19" s="92" t="str">
        <f t="shared" ca="1" si="23"/>
        <v/>
      </c>
      <c r="Z19" s="88" t="str">
        <f t="shared" ca="1" si="24"/>
        <v/>
      </c>
      <c r="AA19" s="89" t="str">
        <f t="shared" ca="1" si="25"/>
        <v/>
      </c>
      <c r="AB19" s="88" t="str">
        <f t="shared" ca="1" si="26"/>
        <v/>
      </c>
      <c r="AC19" s="92" t="str">
        <f t="shared" ca="1" si="27"/>
        <v/>
      </c>
      <c r="AD19" s="88" t="str">
        <f t="shared" ca="1" si="28"/>
        <v/>
      </c>
      <c r="AE19" s="92" t="str">
        <f t="shared" ca="1" si="29"/>
        <v/>
      </c>
      <c r="AF19" s="88" t="str">
        <f t="shared" ca="1" si="30"/>
        <v/>
      </c>
      <c r="AG19" s="92" t="str">
        <f t="shared" ca="1" si="31"/>
        <v/>
      </c>
      <c r="AH19" s="88" t="str">
        <f t="shared" ca="1" si="32"/>
        <v/>
      </c>
      <c r="AI19" s="92" t="str">
        <f t="shared" ca="1" si="33"/>
        <v/>
      </c>
      <c r="AJ19" s="88" t="str">
        <f t="shared" ca="1" si="34"/>
        <v/>
      </c>
      <c r="AK19" s="92" t="str">
        <f t="shared" ca="1" si="35"/>
        <v/>
      </c>
      <c r="AL19" s="77" t="str">
        <f t="shared" ca="1" si="36"/>
        <v/>
      </c>
      <c r="AM19" s="89" t="str">
        <f t="shared" ca="1" si="37"/>
        <v/>
      </c>
      <c r="AN19" s="88" t="str">
        <f t="shared" ca="1" si="38"/>
        <v/>
      </c>
      <c r="AO19" s="89" t="str">
        <f t="shared" ca="1" si="39"/>
        <v/>
      </c>
      <c r="AP19" s="77" t="str">
        <f t="shared" ca="1" si="40"/>
        <v/>
      </c>
      <c r="AQ19" s="94" t="str">
        <f t="shared" ca="1" si="41"/>
        <v/>
      </c>
      <c r="AR19" s="77" t="str">
        <f t="shared" ca="1" si="42"/>
        <v/>
      </c>
      <c r="AS19" s="94" t="str">
        <f t="shared" ca="1" si="43"/>
        <v/>
      </c>
      <c r="AT19" s="77" t="str">
        <f t="shared" ca="1" si="44"/>
        <v/>
      </c>
      <c r="AU19" s="93" t="str">
        <f t="shared" ca="1" si="45"/>
        <v/>
      </c>
      <c r="AV19" s="77" t="str">
        <f t="shared" ca="1" si="46"/>
        <v/>
      </c>
      <c r="AW19" s="93" t="str">
        <f t="shared" ca="1" si="47"/>
        <v/>
      </c>
      <c r="AX19" s="77" t="str">
        <f t="shared" ca="1" si="48"/>
        <v/>
      </c>
      <c r="AY19" s="93" t="str">
        <f t="shared" ca="1" si="49"/>
        <v/>
      </c>
      <c r="AZ19" s="77" t="str">
        <f t="shared" ca="1" si="50"/>
        <v/>
      </c>
      <c r="BA19" s="93" t="str">
        <f t="shared" ca="1" si="51"/>
        <v/>
      </c>
      <c r="BB19" s="77" t="str">
        <f t="shared" ca="1" si="52"/>
        <v/>
      </c>
      <c r="BC19" s="93" t="str">
        <f t="shared" ca="1" si="53"/>
        <v/>
      </c>
    </row>
    <row r="20" spans="1:55" ht="15.95" customHeight="1" x14ac:dyDescent="0.2">
      <c r="A20" s="41" t="str">
        <f>IF(Customization!B20="","",Customization!B20)</f>
        <v/>
      </c>
      <c r="B20" s="79" t="str">
        <f t="shared" ca="1" si="2"/>
        <v/>
      </c>
      <c r="C20" s="29" t="str">
        <f t="shared" ca="1" si="3"/>
        <v/>
      </c>
      <c r="D20" s="7" t="str">
        <f t="shared" ca="1" si="0"/>
        <v/>
      </c>
      <c r="E20" s="29" t="str">
        <f t="shared" ca="1" si="4"/>
        <v/>
      </c>
      <c r="F20" s="7" t="str">
        <f t="shared" ca="1" si="1"/>
        <v/>
      </c>
      <c r="G20" s="29" t="str">
        <f t="shared" ca="1" si="5"/>
        <v/>
      </c>
      <c r="H20" s="7" t="str">
        <f t="shared" ca="1" si="6"/>
        <v/>
      </c>
      <c r="I20" s="28" t="str">
        <f t="shared" ca="1" si="7"/>
        <v/>
      </c>
      <c r="J20" s="7" t="str">
        <f t="shared" ca="1" si="8"/>
        <v/>
      </c>
      <c r="K20" s="73" t="str">
        <f t="shared" ca="1" si="9"/>
        <v/>
      </c>
      <c r="L20" s="74" t="str">
        <f t="shared" ca="1" si="10"/>
        <v/>
      </c>
      <c r="M20" s="75" t="str">
        <f t="shared" ca="1" si="11"/>
        <v/>
      </c>
      <c r="N20" s="76" t="str">
        <f t="shared" ca="1" si="12"/>
        <v/>
      </c>
      <c r="O20" s="75" t="str">
        <f t="shared" ca="1" si="13"/>
        <v/>
      </c>
      <c r="P20" s="76" t="str">
        <f t="shared" ca="1" si="14"/>
        <v/>
      </c>
      <c r="Q20" s="75" t="str">
        <f t="shared" ca="1" si="15"/>
        <v/>
      </c>
      <c r="R20" s="77" t="str">
        <f t="shared" ca="1" si="16"/>
        <v/>
      </c>
      <c r="S20" s="89" t="str">
        <f t="shared" ca="1" si="17"/>
        <v/>
      </c>
      <c r="T20" s="88" t="str">
        <f t="shared" ca="1" si="18"/>
        <v/>
      </c>
      <c r="U20" s="92" t="str">
        <f t="shared" ca="1" si="19"/>
        <v/>
      </c>
      <c r="V20" s="88" t="str">
        <f t="shared" ca="1" si="20"/>
        <v/>
      </c>
      <c r="W20" s="92" t="str">
        <f t="shared" ca="1" si="21"/>
        <v/>
      </c>
      <c r="X20" s="88" t="str">
        <f t="shared" ca="1" si="22"/>
        <v/>
      </c>
      <c r="Y20" s="92" t="str">
        <f t="shared" ca="1" si="23"/>
        <v/>
      </c>
      <c r="Z20" s="88" t="str">
        <f t="shared" ca="1" si="24"/>
        <v/>
      </c>
      <c r="AA20" s="89" t="str">
        <f t="shared" ca="1" si="25"/>
        <v/>
      </c>
      <c r="AB20" s="88" t="str">
        <f t="shared" ca="1" si="26"/>
        <v/>
      </c>
      <c r="AC20" s="92" t="str">
        <f t="shared" ca="1" si="27"/>
        <v/>
      </c>
      <c r="AD20" s="88" t="str">
        <f t="shared" ca="1" si="28"/>
        <v/>
      </c>
      <c r="AE20" s="92" t="str">
        <f t="shared" ca="1" si="29"/>
        <v/>
      </c>
      <c r="AF20" s="88" t="str">
        <f t="shared" ca="1" si="30"/>
        <v/>
      </c>
      <c r="AG20" s="92" t="str">
        <f t="shared" ca="1" si="31"/>
        <v/>
      </c>
      <c r="AH20" s="88" t="str">
        <f t="shared" ca="1" si="32"/>
        <v/>
      </c>
      <c r="AI20" s="92" t="str">
        <f t="shared" ca="1" si="33"/>
        <v/>
      </c>
      <c r="AJ20" s="88" t="str">
        <f t="shared" ca="1" si="34"/>
        <v/>
      </c>
      <c r="AK20" s="92" t="str">
        <f t="shared" ca="1" si="35"/>
        <v/>
      </c>
      <c r="AL20" s="77" t="str">
        <f t="shared" ca="1" si="36"/>
        <v/>
      </c>
      <c r="AM20" s="89" t="str">
        <f t="shared" ca="1" si="37"/>
        <v/>
      </c>
      <c r="AN20" s="88" t="str">
        <f t="shared" ca="1" si="38"/>
        <v/>
      </c>
      <c r="AO20" s="89" t="str">
        <f t="shared" ca="1" si="39"/>
        <v/>
      </c>
      <c r="AP20" s="77" t="str">
        <f t="shared" ca="1" si="40"/>
        <v/>
      </c>
      <c r="AQ20" s="94" t="str">
        <f t="shared" ca="1" si="41"/>
        <v/>
      </c>
      <c r="AR20" s="77" t="str">
        <f t="shared" ca="1" si="42"/>
        <v/>
      </c>
      <c r="AS20" s="94" t="str">
        <f t="shared" ca="1" si="43"/>
        <v/>
      </c>
      <c r="AT20" s="77" t="str">
        <f t="shared" ca="1" si="44"/>
        <v/>
      </c>
      <c r="AU20" s="93" t="str">
        <f t="shared" ca="1" si="45"/>
        <v/>
      </c>
      <c r="AV20" s="77" t="str">
        <f t="shared" ca="1" si="46"/>
        <v/>
      </c>
      <c r="AW20" s="93" t="str">
        <f t="shared" ca="1" si="47"/>
        <v/>
      </c>
      <c r="AX20" s="77" t="str">
        <f t="shared" ca="1" si="48"/>
        <v/>
      </c>
      <c r="AY20" s="93" t="str">
        <f t="shared" ca="1" si="49"/>
        <v/>
      </c>
      <c r="AZ20" s="77" t="str">
        <f t="shared" ca="1" si="50"/>
        <v/>
      </c>
      <c r="BA20" s="93" t="str">
        <f t="shared" ca="1" si="51"/>
        <v/>
      </c>
      <c r="BB20" s="77" t="str">
        <f t="shared" ca="1" si="52"/>
        <v/>
      </c>
      <c r="BC20" s="93" t="str">
        <f t="shared" ca="1" si="53"/>
        <v/>
      </c>
    </row>
    <row r="21" spans="1:55" ht="15.95" customHeight="1" x14ac:dyDescent="0.2">
      <c r="A21" s="41" t="str">
        <f>IF(Customization!B21="","",Customization!B21)</f>
        <v/>
      </c>
      <c r="B21" s="79" t="str">
        <f t="shared" ca="1" si="2"/>
        <v/>
      </c>
      <c r="C21" s="29" t="str">
        <f t="shared" ca="1" si="3"/>
        <v/>
      </c>
      <c r="D21" s="7" t="str">
        <f t="shared" ca="1" si="0"/>
        <v/>
      </c>
      <c r="E21" s="29" t="str">
        <f t="shared" ca="1" si="4"/>
        <v/>
      </c>
      <c r="F21" s="7" t="str">
        <f t="shared" ca="1" si="1"/>
        <v/>
      </c>
      <c r="G21" s="29" t="str">
        <f t="shared" ca="1" si="5"/>
        <v/>
      </c>
      <c r="H21" s="7" t="str">
        <f t="shared" ca="1" si="6"/>
        <v/>
      </c>
      <c r="I21" s="28" t="str">
        <f t="shared" ca="1" si="7"/>
        <v/>
      </c>
      <c r="J21" s="7" t="str">
        <f t="shared" ca="1" si="8"/>
        <v/>
      </c>
      <c r="K21" s="73" t="str">
        <f t="shared" ca="1" si="9"/>
        <v/>
      </c>
      <c r="L21" s="74" t="str">
        <f t="shared" ca="1" si="10"/>
        <v/>
      </c>
      <c r="M21" s="75" t="str">
        <f t="shared" ca="1" si="11"/>
        <v/>
      </c>
      <c r="N21" s="76" t="str">
        <f t="shared" ca="1" si="12"/>
        <v/>
      </c>
      <c r="O21" s="75" t="str">
        <f t="shared" ca="1" si="13"/>
        <v/>
      </c>
      <c r="P21" s="76" t="str">
        <f t="shared" ca="1" si="14"/>
        <v/>
      </c>
      <c r="Q21" s="75" t="str">
        <f t="shared" ca="1" si="15"/>
        <v/>
      </c>
      <c r="R21" s="77" t="str">
        <f t="shared" ca="1" si="16"/>
        <v/>
      </c>
      <c r="S21" s="89" t="str">
        <f t="shared" ca="1" si="17"/>
        <v/>
      </c>
      <c r="T21" s="88" t="str">
        <f t="shared" ca="1" si="18"/>
        <v/>
      </c>
      <c r="U21" s="92" t="str">
        <f t="shared" ca="1" si="19"/>
        <v/>
      </c>
      <c r="V21" s="88" t="str">
        <f t="shared" ca="1" si="20"/>
        <v/>
      </c>
      <c r="W21" s="92" t="str">
        <f t="shared" ca="1" si="21"/>
        <v/>
      </c>
      <c r="X21" s="88" t="str">
        <f t="shared" ca="1" si="22"/>
        <v/>
      </c>
      <c r="Y21" s="92" t="str">
        <f t="shared" ca="1" si="23"/>
        <v/>
      </c>
      <c r="Z21" s="88" t="str">
        <f t="shared" ca="1" si="24"/>
        <v/>
      </c>
      <c r="AA21" s="89" t="str">
        <f t="shared" ca="1" si="25"/>
        <v/>
      </c>
      <c r="AB21" s="88" t="str">
        <f t="shared" ca="1" si="26"/>
        <v/>
      </c>
      <c r="AC21" s="92" t="str">
        <f t="shared" ca="1" si="27"/>
        <v/>
      </c>
      <c r="AD21" s="88" t="str">
        <f t="shared" ca="1" si="28"/>
        <v/>
      </c>
      <c r="AE21" s="92" t="str">
        <f t="shared" ca="1" si="29"/>
        <v/>
      </c>
      <c r="AF21" s="88" t="str">
        <f t="shared" ca="1" si="30"/>
        <v/>
      </c>
      <c r="AG21" s="92" t="str">
        <f t="shared" ca="1" si="31"/>
        <v/>
      </c>
      <c r="AH21" s="88" t="str">
        <f t="shared" ca="1" si="32"/>
        <v/>
      </c>
      <c r="AI21" s="92" t="str">
        <f t="shared" ca="1" si="33"/>
        <v/>
      </c>
      <c r="AJ21" s="88" t="str">
        <f t="shared" ca="1" si="34"/>
        <v/>
      </c>
      <c r="AK21" s="92" t="str">
        <f t="shared" ca="1" si="35"/>
        <v/>
      </c>
      <c r="AL21" s="77" t="str">
        <f t="shared" ca="1" si="36"/>
        <v/>
      </c>
      <c r="AM21" s="89" t="str">
        <f t="shared" ca="1" si="37"/>
        <v/>
      </c>
      <c r="AN21" s="88" t="str">
        <f t="shared" ca="1" si="38"/>
        <v/>
      </c>
      <c r="AO21" s="89" t="str">
        <f t="shared" ca="1" si="39"/>
        <v/>
      </c>
      <c r="AP21" s="77" t="str">
        <f t="shared" ca="1" si="40"/>
        <v/>
      </c>
      <c r="AQ21" s="94" t="str">
        <f t="shared" ca="1" si="41"/>
        <v/>
      </c>
      <c r="AR21" s="77" t="str">
        <f t="shared" ca="1" si="42"/>
        <v/>
      </c>
      <c r="AS21" s="94" t="str">
        <f t="shared" ca="1" si="43"/>
        <v/>
      </c>
      <c r="AT21" s="77" t="str">
        <f t="shared" ca="1" si="44"/>
        <v/>
      </c>
      <c r="AU21" s="93" t="str">
        <f t="shared" ca="1" si="45"/>
        <v/>
      </c>
      <c r="AV21" s="77" t="str">
        <f t="shared" ca="1" si="46"/>
        <v/>
      </c>
      <c r="AW21" s="93" t="str">
        <f t="shared" ca="1" si="47"/>
        <v/>
      </c>
      <c r="AX21" s="77" t="str">
        <f t="shared" ca="1" si="48"/>
        <v/>
      </c>
      <c r="AY21" s="93" t="str">
        <f t="shared" ca="1" si="49"/>
        <v/>
      </c>
      <c r="AZ21" s="77" t="str">
        <f t="shared" ca="1" si="50"/>
        <v/>
      </c>
      <c r="BA21" s="93" t="str">
        <f t="shared" ca="1" si="51"/>
        <v/>
      </c>
      <c r="BB21" s="77" t="str">
        <f t="shared" ca="1" si="52"/>
        <v/>
      </c>
      <c r="BC21" s="93" t="str">
        <f t="shared" ca="1" si="53"/>
        <v/>
      </c>
    </row>
    <row r="22" spans="1:55" ht="15.95" customHeight="1" x14ac:dyDescent="0.2">
      <c r="A22" s="41" t="str">
        <f>IF(Customization!B22="","",Customization!B22)</f>
        <v/>
      </c>
      <c r="B22" s="79" t="str">
        <f t="shared" ca="1" si="2"/>
        <v/>
      </c>
      <c r="C22" s="29" t="str">
        <f t="shared" ca="1" si="3"/>
        <v/>
      </c>
      <c r="D22" s="7" t="str">
        <f t="shared" ca="1" si="0"/>
        <v/>
      </c>
      <c r="E22" s="29" t="str">
        <f t="shared" ca="1" si="4"/>
        <v/>
      </c>
      <c r="F22" s="7" t="str">
        <f t="shared" ca="1" si="1"/>
        <v/>
      </c>
      <c r="G22" s="29" t="str">
        <f t="shared" ca="1" si="5"/>
        <v/>
      </c>
      <c r="H22" s="7" t="str">
        <f t="shared" ca="1" si="6"/>
        <v/>
      </c>
      <c r="I22" s="28" t="str">
        <f t="shared" ca="1" si="7"/>
        <v/>
      </c>
      <c r="J22" s="7" t="str">
        <f t="shared" ca="1" si="8"/>
        <v/>
      </c>
      <c r="K22" s="73" t="str">
        <f t="shared" ca="1" si="9"/>
        <v/>
      </c>
      <c r="L22" s="74" t="str">
        <f t="shared" ca="1" si="10"/>
        <v/>
      </c>
      <c r="M22" s="75" t="str">
        <f t="shared" ca="1" si="11"/>
        <v/>
      </c>
      <c r="N22" s="76" t="str">
        <f t="shared" ca="1" si="12"/>
        <v/>
      </c>
      <c r="O22" s="75" t="str">
        <f t="shared" ca="1" si="13"/>
        <v/>
      </c>
      <c r="P22" s="76" t="str">
        <f t="shared" ca="1" si="14"/>
        <v/>
      </c>
      <c r="Q22" s="75" t="str">
        <f t="shared" ca="1" si="15"/>
        <v/>
      </c>
      <c r="R22" s="77" t="str">
        <f t="shared" ca="1" si="16"/>
        <v/>
      </c>
      <c r="S22" s="89" t="str">
        <f t="shared" ca="1" si="17"/>
        <v/>
      </c>
      <c r="T22" s="88" t="str">
        <f t="shared" ca="1" si="18"/>
        <v/>
      </c>
      <c r="U22" s="92" t="str">
        <f t="shared" ca="1" si="19"/>
        <v/>
      </c>
      <c r="V22" s="88" t="str">
        <f t="shared" ca="1" si="20"/>
        <v/>
      </c>
      <c r="W22" s="92" t="str">
        <f t="shared" ca="1" si="21"/>
        <v/>
      </c>
      <c r="X22" s="88" t="str">
        <f t="shared" ca="1" si="22"/>
        <v/>
      </c>
      <c r="Y22" s="92" t="str">
        <f t="shared" ca="1" si="23"/>
        <v/>
      </c>
      <c r="Z22" s="88" t="str">
        <f t="shared" ca="1" si="24"/>
        <v/>
      </c>
      <c r="AA22" s="89" t="str">
        <f t="shared" ca="1" si="25"/>
        <v/>
      </c>
      <c r="AB22" s="88" t="str">
        <f t="shared" ca="1" si="26"/>
        <v/>
      </c>
      <c r="AC22" s="92" t="str">
        <f t="shared" ca="1" si="27"/>
        <v/>
      </c>
      <c r="AD22" s="88" t="str">
        <f t="shared" ca="1" si="28"/>
        <v/>
      </c>
      <c r="AE22" s="92" t="str">
        <f t="shared" ca="1" si="29"/>
        <v/>
      </c>
      <c r="AF22" s="88" t="str">
        <f t="shared" ca="1" si="30"/>
        <v/>
      </c>
      <c r="AG22" s="92" t="str">
        <f t="shared" ca="1" si="31"/>
        <v/>
      </c>
      <c r="AH22" s="88" t="str">
        <f t="shared" ca="1" si="32"/>
        <v/>
      </c>
      <c r="AI22" s="92" t="str">
        <f t="shared" ca="1" si="33"/>
        <v/>
      </c>
      <c r="AJ22" s="88" t="str">
        <f t="shared" ca="1" si="34"/>
        <v/>
      </c>
      <c r="AK22" s="92" t="str">
        <f t="shared" ca="1" si="35"/>
        <v/>
      </c>
      <c r="AL22" s="77" t="str">
        <f t="shared" ca="1" si="36"/>
        <v/>
      </c>
      <c r="AM22" s="89" t="str">
        <f t="shared" ca="1" si="37"/>
        <v/>
      </c>
      <c r="AN22" s="88" t="str">
        <f t="shared" ca="1" si="38"/>
        <v/>
      </c>
      <c r="AO22" s="89" t="str">
        <f t="shared" ca="1" si="39"/>
        <v/>
      </c>
      <c r="AP22" s="77" t="str">
        <f t="shared" ca="1" si="40"/>
        <v/>
      </c>
      <c r="AQ22" s="94" t="str">
        <f t="shared" ca="1" si="41"/>
        <v/>
      </c>
      <c r="AR22" s="77" t="str">
        <f t="shared" ca="1" si="42"/>
        <v/>
      </c>
      <c r="AS22" s="94" t="str">
        <f t="shared" ca="1" si="43"/>
        <v/>
      </c>
      <c r="AT22" s="77" t="str">
        <f t="shared" ca="1" si="44"/>
        <v/>
      </c>
      <c r="AU22" s="93" t="str">
        <f t="shared" ca="1" si="45"/>
        <v/>
      </c>
      <c r="AV22" s="77" t="str">
        <f t="shared" ca="1" si="46"/>
        <v/>
      </c>
      <c r="AW22" s="93" t="str">
        <f t="shared" ca="1" si="47"/>
        <v/>
      </c>
      <c r="AX22" s="77" t="str">
        <f t="shared" ca="1" si="48"/>
        <v/>
      </c>
      <c r="AY22" s="93" t="str">
        <f t="shared" ca="1" si="49"/>
        <v/>
      </c>
      <c r="AZ22" s="77" t="str">
        <f t="shared" ca="1" si="50"/>
        <v/>
      </c>
      <c r="BA22" s="93" t="str">
        <f t="shared" ca="1" si="51"/>
        <v/>
      </c>
      <c r="BB22" s="77" t="str">
        <f t="shared" ca="1" si="52"/>
        <v/>
      </c>
      <c r="BC22" s="93" t="str">
        <f t="shared" ca="1" si="53"/>
        <v/>
      </c>
    </row>
    <row r="23" spans="1:55" ht="15.95" customHeight="1" x14ac:dyDescent="0.2">
      <c r="A23" s="41" t="str">
        <f>IF(Customization!B23="","",Customization!B23)</f>
        <v/>
      </c>
      <c r="B23" s="79" t="str">
        <f t="shared" ca="1" si="2"/>
        <v/>
      </c>
      <c r="C23" s="29" t="str">
        <f t="shared" ca="1" si="3"/>
        <v/>
      </c>
      <c r="D23" s="7" t="str">
        <f t="shared" ca="1" si="0"/>
        <v/>
      </c>
      <c r="E23" s="29" t="str">
        <f t="shared" ca="1" si="4"/>
        <v/>
      </c>
      <c r="F23" s="7" t="str">
        <f t="shared" ca="1" si="1"/>
        <v/>
      </c>
      <c r="G23" s="29" t="str">
        <f t="shared" ca="1" si="5"/>
        <v/>
      </c>
      <c r="H23" s="7" t="str">
        <f t="shared" ca="1" si="6"/>
        <v/>
      </c>
      <c r="I23" s="28" t="str">
        <f t="shared" ca="1" si="7"/>
        <v/>
      </c>
      <c r="J23" s="7" t="str">
        <f t="shared" ca="1" si="8"/>
        <v/>
      </c>
      <c r="K23" s="73" t="str">
        <f t="shared" ca="1" si="9"/>
        <v/>
      </c>
      <c r="L23" s="74" t="str">
        <f t="shared" ca="1" si="10"/>
        <v/>
      </c>
      <c r="M23" s="75" t="str">
        <f t="shared" ca="1" si="11"/>
        <v/>
      </c>
      <c r="N23" s="76" t="str">
        <f t="shared" ca="1" si="12"/>
        <v/>
      </c>
      <c r="O23" s="75" t="str">
        <f t="shared" ca="1" si="13"/>
        <v/>
      </c>
      <c r="P23" s="76" t="str">
        <f t="shared" ca="1" si="14"/>
        <v/>
      </c>
      <c r="Q23" s="75" t="str">
        <f t="shared" ca="1" si="15"/>
        <v/>
      </c>
      <c r="R23" s="77" t="str">
        <f t="shared" ca="1" si="16"/>
        <v/>
      </c>
      <c r="S23" s="89" t="str">
        <f t="shared" ca="1" si="17"/>
        <v/>
      </c>
      <c r="T23" s="88" t="str">
        <f t="shared" ca="1" si="18"/>
        <v/>
      </c>
      <c r="U23" s="92" t="str">
        <f t="shared" ca="1" si="19"/>
        <v/>
      </c>
      <c r="V23" s="88" t="str">
        <f t="shared" ca="1" si="20"/>
        <v/>
      </c>
      <c r="W23" s="92" t="str">
        <f t="shared" ca="1" si="21"/>
        <v/>
      </c>
      <c r="X23" s="88" t="str">
        <f t="shared" ca="1" si="22"/>
        <v/>
      </c>
      <c r="Y23" s="92" t="str">
        <f t="shared" ca="1" si="23"/>
        <v/>
      </c>
      <c r="Z23" s="88" t="str">
        <f t="shared" ca="1" si="24"/>
        <v/>
      </c>
      <c r="AA23" s="89" t="str">
        <f t="shared" ca="1" si="25"/>
        <v/>
      </c>
      <c r="AB23" s="88" t="str">
        <f t="shared" ca="1" si="26"/>
        <v/>
      </c>
      <c r="AC23" s="92" t="str">
        <f t="shared" ca="1" si="27"/>
        <v/>
      </c>
      <c r="AD23" s="88" t="str">
        <f t="shared" ca="1" si="28"/>
        <v/>
      </c>
      <c r="AE23" s="92" t="str">
        <f t="shared" ca="1" si="29"/>
        <v/>
      </c>
      <c r="AF23" s="88" t="str">
        <f t="shared" ca="1" si="30"/>
        <v/>
      </c>
      <c r="AG23" s="92" t="str">
        <f t="shared" ca="1" si="31"/>
        <v/>
      </c>
      <c r="AH23" s="88" t="str">
        <f t="shared" ca="1" si="32"/>
        <v/>
      </c>
      <c r="AI23" s="92" t="str">
        <f t="shared" ca="1" si="33"/>
        <v/>
      </c>
      <c r="AJ23" s="88" t="str">
        <f t="shared" ca="1" si="34"/>
        <v/>
      </c>
      <c r="AK23" s="92" t="str">
        <f t="shared" ca="1" si="35"/>
        <v/>
      </c>
      <c r="AL23" s="77" t="str">
        <f t="shared" ca="1" si="36"/>
        <v/>
      </c>
      <c r="AM23" s="89" t="str">
        <f t="shared" ca="1" si="37"/>
        <v/>
      </c>
      <c r="AN23" s="88" t="str">
        <f t="shared" ca="1" si="38"/>
        <v/>
      </c>
      <c r="AO23" s="89" t="str">
        <f t="shared" ca="1" si="39"/>
        <v/>
      </c>
      <c r="AP23" s="77" t="str">
        <f t="shared" ca="1" si="40"/>
        <v/>
      </c>
      <c r="AQ23" s="94" t="str">
        <f t="shared" ca="1" si="41"/>
        <v/>
      </c>
      <c r="AR23" s="77" t="str">
        <f t="shared" ca="1" si="42"/>
        <v/>
      </c>
      <c r="AS23" s="94" t="str">
        <f t="shared" ca="1" si="43"/>
        <v/>
      </c>
      <c r="AT23" s="77" t="str">
        <f t="shared" ca="1" si="44"/>
        <v/>
      </c>
      <c r="AU23" s="93" t="str">
        <f t="shared" ca="1" si="45"/>
        <v/>
      </c>
      <c r="AV23" s="77" t="str">
        <f t="shared" ca="1" si="46"/>
        <v/>
      </c>
      <c r="AW23" s="93" t="str">
        <f t="shared" ca="1" si="47"/>
        <v/>
      </c>
      <c r="AX23" s="77" t="str">
        <f t="shared" ca="1" si="48"/>
        <v/>
      </c>
      <c r="AY23" s="93" t="str">
        <f t="shared" ca="1" si="49"/>
        <v/>
      </c>
      <c r="AZ23" s="77" t="str">
        <f t="shared" ca="1" si="50"/>
        <v/>
      </c>
      <c r="BA23" s="93" t="str">
        <f t="shared" ca="1" si="51"/>
        <v/>
      </c>
      <c r="BB23" s="77" t="str">
        <f t="shared" ca="1" si="52"/>
        <v/>
      </c>
      <c r="BC23" s="93" t="str">
        <f t="shared" ca="1" si="53"/>
        <v/>
      </c>
    </row>
    <row r="24" spans="1:55" ht="15.95" customHeight="1" x14ac:dyDescent="0.2">
      <c r="A24" s="41" t="str">
        <f>IF(Customization!B24="","",Customization!B24)</f>
        <v/>
      </c>
      <c r="B24" s="79" t="str">
        <f t="shared" ca="1" si="2"/>
        <v/>
      </c>
      <c r="C24" s="29" t="str">
        <f t="shared" ca="1" si="3"/>
        <v/>
      </c>
      <c r="D24" s="7" t="str">
        <f t="shared" ca="1" si="0"/>
        <v/>
      </c>
      <c r="E24" s="29" t="str">
        <f t="shared" ca="1" si="4"/>
        <v/>
      </c>
      <c r="F24" s="7" t="str">
        <f t="shared" ca="1" si="1"/>
        <v/>
      </c>
      <c r="G24" s="29" t="str">
        <f t="shared" ca="1" si="5"/>
        <v/>
      </c>
      <c r="H24" s="7" t="str">
        <f t="shared" ca="1" si="6"/>
        <v/>
      </c>
      <c r="I24" s="28" t="str">
        <f t="shared" ca="1" si="7"/>
        <v/>
      </c>
      <c r="J24" s="7" t="str">
        <f t="shared" ca="1" si="8"/>
        <v/>
      </c>
      <c r="K24" s="73" t="str">
        <f t="shared" ca="1" si="9"/>
        <v/>
      </c>
      <c r="L24" s="74" t="str">
        <f t="shared" ca="1" si="10"/>
        <v/>
      </c>
      <c r="M24" s="75" t="str">
        <f t="shared" ca="1" si="11"/>
        <v/>
      </c>
      <c r="N24" s="76" t="str">
        <f t="shared" ca="1" si="12"/>
        <v/>
      </c>
      <c r="O24" s="75" t="str">
        <f t="shared" ca="1" si="13"/>
        <v/>
      </c>
      <c r="P24" s="76" t="str">
        <f t="shared" ca="1" si="14"/>
        <v/>
      </c>
      <c r="Q24" s="75" t="str">
        <f t="shared" ca="1" si="15"/>
        <v/>
      </c>
      <c r="R24" s="77" t="str">
        <f t="shared" ca="1" si="16"/>
        <v/>
      </c>
      <c r="S24" s="89" t="str">
        <f t="shared" ca="1" si="17"/>
        <v/>
      </c>
      <c r="T24" s="88" t="str">
        <f t="shared" ca="1" si="18"/>
        <v/>
      </c>
      <c r="U24" s="92" t="str">
        <f t="shared" ca="1" si="19"/>
        <v/>
      </c>
      <c r="V24" s="88" t="str">
        <f t="shared" ca="1" si="20"/>
        <v/>
      </c>
      <c r="W24" s="92" t="str">
        <f t="shared" ca="1" si="21"/>
        <v/>
      </c>
      <c r="X24" s="88" t="str">
        <f t="shared" ca="1" si="22"/>
        <v/>
      </c>
      <c r="Y24" s="92" t="str">
        <f t="shared" ca="1" si="23"/>
        <v/>
      </c>
      <c r="Z24" s="88" t="str">
        <f t="shared" ca="1" si="24"/>
        <v/>
      </c>
      <c r="AA24" s="89" t="str">
        <f t="shared" ca="1" si="25"/>
        <v/>
      </c>
      <c r="AB24" s="88" t="str">
        <f t="shared" ca="1" si="26"/>
        <v/>
      </c>
      <c r="AC24" s="92" t="str">
        <f t="shared" ca="1" si="27"/>
        <v/>
      </c>
      <c r="AD24" s="88" t="str">
        <f t="shared" ca="1" si="28"/>
        <v/>
      </c>
      <c r="AE24" s="92" t="str">
        <f t="shared" ca="1" si="29"/>
        <v/>
      </c>
      <c r="AF24" s="88" t="str">
        <f t="shared" ca="1" si="30"/>
        <v/>
      </c>
      <c r="AG24" s="92" t="str">
        <f t="shared" ca="1" si="31"/>
        <v/>
      </c>
      <c r="AH24" s="88" t="str">
        <f t="shared" ca="1" si="32"/>
        <v/>
      </c>
      <c r="AI24" s="92" t="str">
        <f t="shared" ca="1" si="33"/>
        <v/>
      </c>
      <c r="AJ24" s="88" t="str">
        <f t="shared" ca="1" si="34"/>
        <v/>
      </c>
      <c r="AK24" s="92" t="str">
        <f t="shared" ca="1" si="35"/>
        <v/>
      </c>
      <c r="AL24" s="77" t="str">
        <f t="shared" ca="1" si="36"/>
        <v/>
      </c>
      <c r="AM24" s="89" t="str">
        <f t="shared" ca="1" si="37"/>
        <v/>
      </c>
      <c r="AN24" s="88" t="str">
        <f t="shared" ca="1" si="38"/>
        <v/>
      </c>
      <c r="AO24" s="89" t="str">
        <f t="shared" ca="1" si="39"/>
        <v/>
      </c>
      <c r="AP24" s="77" t="str">
        <f t="shared" ca="1" si="40"/>
        <v/>
      </c>
      <c r="AQ24" s="94" t="str">
        <f t="shared" ca="1" si="41"/>
        <v/>
      </c>
      <c r="AR24" s="77" t="str">
        <f t="shared" ca="1" si="42"/>
        <v/>
      </c>
      <c r="AS24" s="94" t="str">
        <f t="shared" ca="1" si="43"/>
        <v/>
      </c>
      <c r="AT24" s="77" t="str">
        <f t="shared" ca="1" si="44"/>
        <v/>
      </c>
      <c r="AU24" s="93" t="str">
        <f t="shared" ca="1" si="45"/>
        <v/>
      </c>
      <c r="AV24" s="77" t="str">
        <f t="shared" ca="1" si="46"/>
        <v/>
      </c>
      <c r="AW24" s="93" t="str">
        <f t="shared" ca="1" si="47"/>
        <v/>
      </c>
      <c r="AX24" s="77" t="str">
        <f t="shared" ca="1" si="48"/>
        <v/>
      </c>
      <c r="AY24" s="93" t="str">
        <f t="shared" ca="1" si="49"/>
        <v/>
      </c>
      <c r="AZ24" s="77" t="str">
        <f t="shared" ca="1" si="50"/>
        <v/>
      </c>
      <c r="BA24" s="93" t="str">
        <f t="shared" ca="1" si="51"/>
        <v/>
      </c>
      <c r="BB24" s="77" t="str">
        <f t="shared" ca="1" si="52"/>
        <v/>
      </c>
      <c r="BC24" s="93" t="str">
        <f t="shared" ca="1" si="53"/>
        <v/>
      </c>
    </row>
    <row r="25" spans="1:55" ht="15.95" customHeight="1" x14ac:dyDescent="0.2">
      <c r="A25" s="41" t="str">
        <f>IF(Customization!B25="","",Customization!B25)</f>
        <v/>
      </c>
      <c r="B25" s="79" t="str">
        <f t="shared" ca="1" si="2"/>
        <v/>
      </c>
      <c r="C25" s="29" t="str">
        <f t="shared" ca="1" si="3"/>
        <v/>
      </c>
      <c r="D25" s="7" t="str">
        <f t="shared" ca="1" si="0"/>
        <v/>
      </c>
      <c r="E25" s="29" t="str">
        <f t="shared" ca="1" si="4"/>
        <v/>
      </c>
      <c r="F25" s="7" t="str">
        <f t="shared" ca="1" si="1"/>
        <v/>
      </c>
      <c r="G25" s="29" t="str">
        <f t="shared" ca="1" si="5"/>
        <v/>
      </c>
      <c r="H25" s="7" t="str">
        <f t="shared" ca="1" si="6"/>
        <v/>
      </c>
      <c r="I25" s="28" t="str">
        <f t="shared" ca="1" si="7"/>
        <v/>
      </c>
      <c r="J25" s="7" t="str">
        <f t="shared" ca="1" si="8"/>
        <v/>
      </c>
      <c r="K25" s="73" t="str">
        <f t="shared" ca="1" si="9"/>
        <v/>
      </c>
      <c r="L25" s="74" t="str">
        <f t="shared" ca="1" si="10"/>
        <v/>
      </c>
      <c r="M25" s="75" t="str">
        <f t="shared" ca="1" si="11"/>
        <v/>
      </c>
      <c r="N25" s="76" t="str">
        <f t="shared" ca="1" si="12"/>
        <v/>
      </c>
      <c r="O25" s="75" t="str">
        <f t="shared" ca="1" si="13"/>
        <v/>
      </c>
      <c r="P25" s="76" t="str">
        <f t="shared" ca="1" si="14"/>
        <v/>
      </c>
      <c r="Q25" s="75" t="str">
        <f t="shared" ca="1" si="15"/>
        <v/>
      </c>
      <c r="R25" s="77" t="str">
        <f t="shared" ca="1" si="16"/>
        <v/>
      </c>
      <c r="S25" s="89" t="str">
        <f t="shared" ca="1" si="17"/>
        <v/>
      </c>
      <c r="T25" s="88" t="str">
        <f t="shared" ca="1" si="18"/>
        <v/>
      </c>
      <c r="U25" s="92" t="str">
        <f t="shared" ca="1" si="19"/>
        <v/>
      </c>
      <c r="V25" s="88" t="str">
        <f t="shared" ca="1" si="20"/>
        <v/>
      </c>
      <c r="W25" s="92" t="str">
        <f t="shared" ca="1" si="21"/>
        <v/>
      </c>
      <c r="X25" s="88" t="str">
        <f t="shared" ca="1" si="22"/>
        <v/>
      </c>
      <c r="Y25" s="92" t="str">
        <f t="shared" ca="1" si="23"/>
        <v/>
      </c>
      <c r="Z25" s="88" t="str">
        <f t="shared" ca="1" si="24"/>
        <v/>
      </c>
      <c r="AA25" s="89" t="str">
        <f t="shared" ca="1" si="25"/>
        <v/>
      </c>
      <c r="AB25" s="88" t="str">
        <f t="shared" ca="1" si="26"/>
        <v/>
      </c>
      <c r="AC25" s="92" t="str">
        <f t="shared" ca="1" si="27"/>
        <v/>
      </c>
      <c r="AD25" s="88" t="str">
        <f t="shared" ca="1" si="28"/>
        <v/>
      </c>
      <c r="AE25" s="92" t="str">
        <f t="shared" ca="1" si="29"/>
        <v/>
      </c>
      <c r="AF25" s="88" t="str">
        <f t="shared" ca="1" si="30"/>
        <v/>
      </c>
      <c r="AG25" s="92" t="str">
        <f t="shared" ca="1" si="31"/>
        <v/>
      </c>
      <c r="AH25" s="88" t="str">
        <f t="shared" ca="1" si="32"/>
        <v/>
      </c>
      <c r="AI25" s="92" t="str">
        <f t="shared" ca="1" si="33"/>
        <v/>
      </c>
      <c r="AJ25" s="88" t="str">
        <f t="shared" ca="1" si="34"/>
        <v/>
      </c>
      <c r="AK25" s="92" t="str">
        <f t="shared" ca="1" si="35"/>
        <v/>
      </c>
      <c r="AL25" s="77" t="str">
        <f t="shared" ca="1" si="36"/>
        <v/>
      </c>
      <c r="AM25" s="89" t="str">
        <f t="shared" ca="1" si="37"/>
        <v/>
      </c>
      <c r="AN25" s="88" t="str">
        <f t="shared" ca="1" si="38"/>
        <v/>
      </c>
      <c r="AO25" s="89" t="str">
        <f t="shared" ca="1" si="39"/>
        <v/>
      </c>
      <c r="AP25" s="77" t="str">
        <f t="shared" ca="1" si="40"/>
        <v/>
      </c>
      <c r="AQ25" s="94" t="str">
        <f t="shared" ca="1" si="41"/>
        <v/>
      </c>
      <c r="AR25" s="77" t="str">
        <f t="shared" ca="1" si="42"/>
        <v/>
      </c>
      <c r="AS25" s="94" t="str">
        <f t="shared" ca="1" si="43"/>
        <v/>
      </c>
      <c r="AT25" s="77" t="str">
        <f t="shared" ca="1" si="44"/>
        <v/>
      </c>
      <c r="AU25" s="93" t="str">
        <f t="shared" ca="1" si="45"/>
        <v/>
      </c>
      <c r="AV25" s="77" t="str">
        <f t="shared" ca="1" si="46"/>
        <v/>
      </c>
      <c r="AW25" s="93" t="str">
        <f t="shared" ca="1" si="47"/>
        <v/>
      </c>
      <c r="AX25" s="77" t="str">
        <f t="shared" ca="1" si="48"/>
        <v/>
      </c>
      <c r="AY25" s="93" t="str">
        <f t="shared" ca="1" si="49"/>
        <v/>
      </c>
      <c r="AZ25" s="77" t="str">
        <f t="shared" ca="1" si="50"/>
        <v/>
      </c>
      <c r="BA25" s="93" t="str">
        <f t="shared" ca="1" si="51"/>
        <v/>
      </c>
      <c r="BB25" s="77" t="str">
        <f t="shared" ca="1" si="52"/>
        <v/>
      </c>
      <c r="BC25" s="93" t="str">
        <f t="shared" ca="1" si="53"/>
        <v/>
      </c>
    </row>
    <row r="26" spans="1:55" ht="15.95" customHeight="1" x14ac:dyDescent="0.2">
      <c r="A26" s="41" t="str">
        <f>IF(Customization!B26="","",Customization!B26)</f>
        <v/>
      </c>
      <c r="B26" s="79" t="str">
        <f t="shared" ca="1" si="2"/>
        <v/>
      </c>
      <c r="C26" s="29" t="str">
        <f t="shared" ca="1" si="3"/>
        <v/>
      </c>
      <c r="D26" s="7" t="str">
        <f t="shared" ca="1" si="0"/>
        <v/>
      </c>
      <c r="E26" s="29" t="str">
        <f t="shared" ca="1" si="4"/>
        <v/>
      </c>
      <c r="F26" s="7" t="str">
        <f t="shared" ca="1" si="1"/>
        <v/>
      </c>
      <c r="G26" s="29" t="str">
        <f t="shared" ca="1" si="5"/>
        <v/>
      </c>
      <c r="H26" s="7" t="str">
        <f t="shared" ca="1" si="6"/>
        <v/>
      </c>
      <c r="I26" s="28" t="str">
        <f t="shared" ca="1" si="7"/>
        <v/>
      </c>
      <c r="J26" s="7" t="str">
        <f t="shared" ca="1" si="8"/>
        <v/>
      </c>
      <c r="K26" s="73" t="str">
        <f t="shared" ca="1" si="9"/>
        <v/>
      </c>
      <c r="L26" s="74" t="str">
        <f t="shared" ca="1" si="10"/>
        <v/>
      </c>
      <c r="M26" s="75" t="str">
        <f t="shared" ca="1" si="11"/>
        <v/>
      </c>
      <c r="N26" s="76" t="str">
        <f t="shared" ca="1" si="12"/>
        <v/>
      </c>
      <c r="O26" s="75" t="str">
        <f t="shared" ca="1" si="13"/>
        <v/>
      </c>
      <c r="P26" s="76" t="str">
        <f t="shared" ca="1" si="14"/>
        <v/>
      </c>
      <c r="Q26" s="75" t="str">
        <f t="shared" ca="1" si="15"/>
        <v/>
      </c>
      <c r="R26" s="77" t="str">
        <f t="shared" ca="1" si="16"/>
        <v/>
      </c>
      <c r="S26" s="89" t="str">
        <f t="shared" ca="1" si="17"/>
        <v/>
      </c>
      <c r="T26" s="88" t="str">
        <f t="shared" ca="1" si="18"/>
        <v/>
      </c>
      <c r="U26" s="92" t="str">
        <f t="shared" ca="1" si="19"/>
        <v/>
      </c>
      <c r="V26" s="88" t="str">
        <f t="shared" ca="1" si="20"/>
        <v/>
      </c>
      <c r="W26" s="92" t="str">
        <f t="shared" ca="1" si="21"/>
        <v/>
      </c>
      <c r="X26" s="88" t="str">
        <f t="shared" ca="1" si="22"/>
        <v/>
      </c>
      <c r="Y26" s="92" t="str">
        <f t="shared" ca="1" si="23"/>
        <v/>
      </c>
      <c r="Z26" s="88" t="str">
        <f t="shared" ca="1" si="24"/>
        <v/>
      </c>
      <c r="AA26" s="89" t="str">
        <f t="shared" ca="1" si="25"/>
        <v/>
      </c>
      <c r="AB26" s="88" t="str">
        <f t="shared" ca="1" si="26"/>
        <v/>
      </c>
      <c r="AC26" s="92" t="str">
        <f t="shared" ca="1" si="27"/>
        <v/>
      </c>
      <c r="AD26" s="88" t="str">
        <f t="shared" ca="1" si="28"/>
        <v/>
      </c>
      <c r="AE26" s="92" t="str">
        <f t="shared" ca="1" si="29"/>
        <v/>
      </c>
      <c r="AF26" s="88" t="str">
        <f t="shared" ca="1" si="30"/>
        <v/>
      </c>
      <c r="AG26" s="92" t="str">
        <f t="shared" ca="1" si="31"/>
        <v/>
      </c>
      <c r="AH26" s="88" t="str">
        <f t="shared" ca="1" si="32"/>
        <v/>
      </c>
      <c r="AI26" s="92" t="str">
        <f t="shared" ca="1" si="33"/>
        <v/>
      </c>
      <c r="AJ26" s="88" t="str">
        <f t="shared" ca="1" si="34"/>
        <v/>
      </c>
      <c r="AK26" s="92" t="str">
        <f t="shared" ca="1" si="35"/>
        <v/>
      </c>
      <c r="AL26" s="77" t="str">
        <f t="shared" ca="1" si="36"/>
        <v/>
      </c>
      <c r="AM26" s="89" t="str">
        <f t="shared" ca="1" si="37"/>
        <v/>
      </c>
      <c r="AN26" s="88" t="str">
        <f t="shared" ca="1" si="38"/>
        <v/>
      </c>
      <c r="AO26" s="89" t="str">
        <f t="shared" ca="1" si="39"/>
        <v/>
      </c>
      <c r="AP26" s="77" t="str">
        <f t="shared" ca="1" si="40"/>
        <v/>
      </c>
      <c r="AQ26" s="94" t="str">
        <f t="shared" ca="1" si="41"/>
        <v/>
      </c>
      <c r="AR26" s="77" t="str">
        <f t="shared" ca="1" si="42"/>
        <v/>
      </c>
      <c r="AS26" s="94" t="str">
        <f t="shared" ca="1" si="43"/>
        <v/>
      </c>
      <c r="AT26" s="77" t="str">
        <f t="shared" ca="1" si="44"/>
        <v/>
      </c>
      <c r="AU26" s="93" t="str">
        <f t="shared" ca="1" si="45"/>
        <v/>
      </c>
      <c r="AV26" s="77" t="str">
        <f t="shared" ca="1" si="46"/>
        <v/>
      </c>
      <c r="AW26" s="93" t="str">
        <f t="shared" ca="1" si="47"/>
        <v/>
      </c>
      <c r="AX26" s="77" t="str">
        <f t="shared" ca="1" si="48"/>
        <v/>
      </c>
      <c r="AY26" s="93" t="str">
        <f t="shared" ca="1" si="49"/>
        <v/>
      </c>
      <c r="AZ26" s="77" t="str">
        <f t="shared" ca="1" si="50"/>
        <v/>
      </c>
      <c r="BA26" s="93" t="str">
        <f t="shared" ca="1" si="51"/>
        <v/>
      </c>
      <c r="BB26" s="77" t="str">
        <f t="shared" ca="1" si="52"/>
        <v/>
      </c>
      <c r="BC26" s="93" t="str">
        <f t="shared" ca="1" si="53"/>
        <v/>
      </c>
    </row>
    <row r="27" spans="1:55" ht="15.95" customHeight="1" x14ac:dyDescent="0.2">
      <c r="A27" s="41" t="str">
        <f>IF(Customization!B27="","",Customization!B27)</f>
        <v/>
      </c>
      <c r="B27" s="79" t="str">
        <f t="shared" ca="1" si="2"/>
        <v/>
      </c>
      <c r="C27" s="29" t="str">
        <f t="shared" ca="1" si="3"/>
        <v/>
      </c>
      <c r="D27" s="7" t="str">
        <f t="shared" ca="1" si="0"/>
        <v/>
      </c>
      <c r="E27" s="29" t="str">
        <f t="shared" ca="1" si="4"/>
        <v/>
      </c>
      <c r="F27" s="7" t="str">
        <f t="shared" ca="1" si="1"/>
        <v/>
      </c>
      <c r="G27" s="29" t="str">
        <f t="shared" ca="1" si="5"/>
        <v/>
      </c>
      <c r="H27" s="7" t="str">
        <f t="shared" ca="1" si="6"/>
        <v/>
      </c>
      <c r="I27" s="28" t="str">
        <f t="shared" ca="1" si="7"/>
        <v/>
      </c>
      <c r="J27" s="7" t="str">
        <f t="shared" ca="1" si="8"/>
        <v/>
      </c>
      <c r="K27" s="73" t="str">
        <f t="shared" ca="1" si="9"/>
        <v/>
      </c>
      <c r="L27" s="74" t="str">
        <f t="shared" ca="1" si="10"/>
        <v/>
      </c>
      <c r="M27" s="75" t="str">
        <f t="shared" ca="1" si="11"/>
        <v/>
      </c>
      <c r="N27" s="76" t="str">
        <f t="shared" ca="1" si="12"/>
        <v/>
      </c>
      <c r="O27" s="75" t="str">
        <f t="shared" ca="1" si="13"/>
        <v/>
      </c>
      <c r="P27" s="76" t="str">
        <f t="shared" ca="1" si="14"/>
        <v/>
      </c>
      <c r="Q27" s="75" t="str">
        <f t="shared" ca="1" si="15"/>
        <v/>
      </c>
      <c r="R27" s="77" t="str">
        <f t="shared" ca="1" si="16"/>
        <v/>
      </c>
      <c r="S27" s="89" t="str">
        <f t="shared" ca="1" si="17"/>
        <v/>
      </c>
      <c r="T27" s="88" t="str">
        <f t="shared" ca="1" si="18"/>
        <v/>
      </c>
      <c r="U27" s="92" t="str">
        <f t="shared" ca="1" si="19"/>
        <v/>
      </c>
      <c r="V27" s="88" t="str">
        <f t="shared" ca="1" si="20"/>
        <v/>
      </c>
      <c r="W27" s="92" t="str">
        <f t="shared" ca="1" si="21"/>
        <v/>
      </c>
      <c r="X27" s="88" t="str">
        <f t="shared" ca="1" si="22"/>
        <v/>
      </c>
      <c r="Y27" s="92" t="str">
        <f t="shared" ca="1" si="23"/>
        <v/>
      </c>
      <c r="Z27" s="88" t="str">
        <f t="shared" ca="1" si="24"/>
        <v/>
      </c>
      <c r="AA27" s="89" t="str">
        <f t="shared" ca="1" si="25"/>
        <v/>
      </c>
      <c r="AB27" s="88" t="str">
        <f t="shared" ca="1" si="26"/>
        <v/>
      </c>
      <c r="AC27" s="92" t="str">
        <f t="shared" ca="1" si="27"/>
        <v/>
      </c>
      <c r="AD27" s="88" t="str">
        <f t="shared" ca="1" si="28"/>
        <v/>
      </c>
      <c r="AE27" s="92" t="str">
        <f t="shared" ca="1" si="29"/>
        <v/>
      </c>
      <c r="AF27" s="88" t="str">
        <f t="shared" ca="1" si="30"/>
        <v/>
      </c>
      <c r="AG27" s="92" t="str">
        <f t="shared" ca="1" si="31"/>
        <v/>
      </c>
      <c r="AH27" s="88" t="str">
        <f t="shared" ca="1" si="32"/>
        <v/>
      </c>
      <c r="AI27" s="92" t="str">
        <f t="shared" ca="1" si="33"/>
        <v/>
      </c>
      <c r="AJ27" s="88" t="str">
        <f t="shared" ca="1" si="34"/>
        <v/>
      </c>
      <c r="AK27" s="92" t="str">
        <f t="shared" ca="1" si="35"/>
        <v/>
      </c>
      <c r="AL27" s="77" t="str">
        <f t="shared" ca="1" si="36"/>
        <v/>
      </c>
      <c r="AM27" s="89" t="str">
        <f t="shared" ca="1" si="37"/>
        <v/>
      </c>
      <c r="AN27" s="88" t="str">
        <f t="shared" ca="1" si="38"/>
        <v/>
      </c>
      <c r="AO27" s="89" t="str">
        <f t="shared" ca="1" si="39"/>
        <v/>
      </c>
      <c r="AP27" s="77" t="str">
        <f t="shared" ca="1" si="40"/>
        <v/>
      </c>
      <c r="AQ27" s="94" t="str">
        <f t="shared" ca="1" si="41"/>
        <v/>
      </c>
      <c r="AR27" s="77" t="str">
        <f t="shared" ca="1" si="42"/>
        <v/>
      </c>
      <c r="AS27" s="94" t="str">
        <f t="shared" ca="1" si="43"/>
        <v/>
      </c>
      <c r="AT27" s="77" t="str">
        <f t="shared" ca="1" si="44"/>
        <v/>
      </c>
      <c r="AU27" s="93" t="str">
        <f t="shared" ca="1" si="45"/>
        <v/>
      </c>
      <c r="AV27" s="77" t="str">
        <f t="shared" ca="1" si="46"/>
        <v/>
      </c>
      <c r="AW27" s="93" t="str">
        <f t="shared" ca="1" si="47"/>
        <v/>
      </c>
      <c r="AX27" s="77" t="str">
        <f t="shared" ca="1" si="48"/>
        <v/>
      </c>
      <c r="AY27" s="93" t="str">
        <f t="shared" ca="1" si="49"/>
        <v/>
      </c>
      <c r="AZ27" s="77" t="str">
        <f t="shared" ca="1" si="50"/>
        <v/>
      </c>
      <c r="BA27" s="93" t="str">
        <f t="shared" ca="1" si="51"/>
        <v/>
      </c>
      <c r="BB27" s="77" t="str">
        <f t="shared" ca="1" si="52"/>
        <v/>
      </c>
      <c r="BC27" s="93" t="str">
        <f t="shared" ca="1" si="53"/>
        <v/>
      </c>
    </row>
    <row r="28" spans="1:55" ht="15.95" customHeight="1" x14ac:dyDescent="0.2">
      <c r="A28" s="41" t="str">
        <f>IF(Customization!B28="","",Customization!B28)</f>
        <v/>
      </c>
      <c r="B28" s="79" t="str">
        <f t="shared" ca="1" si="2"/>
        <v/>
      </c>
      <c r="C28" s="29" t="str">
        <f t="shared" ca="1" si="3"/>
        <v/>
      </c>
      <c r="D28" s="7" t="str">
        <f t="shared" ca="1" si="0"/>
        <v/>
      </c>
      <c r="E28" s="29" t="str">
        <f t="shared" ca="1" si="4"/>
        <v/>
      </c>
      <c r="F28" s="7" t="str">
        <f t="shared" ca="1" si="1"/>
        <v/>
      </c>
      <c r="G28" s="29" t="str">
        <f t="shared" ca="1" si="5"/>
        <v/>
      </c>
      <c r="H28" s="7" t="str">
        <f t="shared" ca="1" si="6"/>
        <v/>
      </c>
      <c r="I28" s="28" t="str">
        <f t="shared" ca="1" si="7"/>
        <v/>
      </c>
      <c r="J28" s="7" t="str">
        <f t="shared" ca="1" si="8"/>
        <v/>
      </c>
      <c r="K28" s="73" t="str">
        <f t="shared" ca="1" si="9"/>
        <v/>
      </c>
      <c r="L28" s="74" t="str">
        <f t="shared" ca="1" si="10"/>
        <v/>
      </c>
      <c r="M28" s="75" t="str">
        <f t="shared" ca="1" si="11"/>
        <v/>
      </c>
      <c r="N28" s="76" t="str">
        <f t="shared" ca="1" si="12"/>
        <v/>
      </c>
      <c r="O28" s="75" t="str">
        <f t="shared" ca="1" si="13"/>
        <v/>
      </c>
      <c r="P28" s="76" t="str">
        <f t="shared" ca="1" si="14"/>
        <v/>
      </c>
      <c r="Q28" s="75" t="str">
        <f t="shared" ca="1" si="15"/>
        <v/>
      </c>
      <c r="R28" s="77" t="str">
        <f t="shared" ca="1" si="16"/>
        <v/>
      </c>
      <c r="S28" s="89" t="str">
        <f t="shared" ca="1" si="17"/>
        <v/>
      </c>
      <c r="T28" s="88" t="str">
        <f t="shared" ca="1" si="18"/>
        <v/>
      </c>
      <c r="U28" s="92" t="str">
        <f t="shared" ca="1" si="19"/>
        <v/>
      </c>
      <c r="V28" s="88" t="str">
        <f t="shared" ca="1" si="20"/>
        <v/>
      </c>
      <c r="W28" s="92" t="str">
        <f t="shared" ca="1" si="21"/>
        <v/>
      </c>
      <c r="X28" s="88" t="str">
        <f t="shared" ca="1" si="22"/>
        <v/>
      </c>
      <c r="Y28" s="92" t="str">
        <f t="shared" ca="1" si="23"/>
        <v/>
      </c>
      <c r="Z28" s="88" t="str">
        <f t="shared" ca="1" si="24"/>
        <v/>
      </c>
      <c r="AA28" s="89" t="str">
        <f t="shared" ca="1" si="25"/>
        <v/>
      </c>
      <c r="AB28" s="88" t="str">
        <f t="shared" ca="1" si="26"/>
        <v/>
      </c>
      <c r="AC28" s="92" t="str">
        <f t="shared" ca="1" si="27"/>
        <v/>
      </c>
      <c r="AD28" s="88" t="str">
        <f t="shared" ca="1" si="28"/>
        <v/>
      </c>
      <c r="AE28" s="92" t="str">
        <f t="shared" ca="1" si="29"/>
        <v/>
      </c>
      <c r="AF28" s="88" t="str">
        <f t="shared" ca="1" si="30"/>
        <v/>
      </c>
      <c r="AG28" s="92" t="str">
        <f t="shared" ca="1" si="31"/>
        <v/>
      </c>
      <c r="AH28" s="88" t="str">
        <f t="shared" ca="1" si="32"/>
        <v/>
      </c>
      <c r="AI28" s="92" t="str">
        <f t="shared" ca="1" si="33"/>
        <v/>
      </c>
      <c r="AJ28" s="88" t="str">
        <f t="shared" ca="1" si="34"/>
        <v/>
      </c>
      <c r="AK28" s="92" t="str">
        <f t="shared" ca="1" si="35"/>
        <v/>
      </c>
      <c r="AL28" s="77" t="str">
        <f t="shared" ca="1" si="36"/>
        <v/>
      </c>
      <c r="AM28" s="89" t="str">
        <f t="shared" ca="1" si="37"/>
        <v/>
      </c>
      <c r="AN28" s="88" t="str">
        <f t="shared" ca="1" si="38"/>
        <v/>
      </c>
      <c r="AO28" s="89" t="str">
        <f t="shared" ca="1" si="39"/>
        <v/>
      </c>
      <c r="AP28" s="77" t="str">
        <f t="shared" ca="1" si="40"/>
        <v/>
      </c>
      <c r="AQ28" s="94" t="str">
        <f t="shared" ca="1" si="41"/>
        <v/>
      </c>
      <c r="AR28" s="77" t="str">
        <f t="shared" ca="1" si="42"/>
        <v/>
      </c>
      <c r="AS28" s="94" t="str">
        <f t="shared" ca="1" si="43"/>
        <v/>
      </c>
      <c r="AT28" s="77" t="str">
        <f t="shared" ca="1" si="44"/>
        <v/>
      </c>
      <c r="AU28" s="93" t="str">
        <f t="shared" ca="1" si="45"/>
        <v/>
      </c>
      <c r="AV28" s="77" t="str">
        <f t="shared" ca="1" si="46"/>
        <v/>
      </c>
      <c r="AW28" s="93" t="str">
        <f t="shared" ca="1" si="47"/>
        <v/>
      </c>
      <c r="AX28" s="77" t="str">
        <f t="shared" ca="1" si="48"/>
        <v/>
      </c>
      <c r="AY28" s="93" t="str">
        <f t="shared" ca="1" si="49"/>
        <v/>
      </c>
      <c r="AZ28" s="77" t="str">
        <f t="shared" ca="1" si="50"/>
        <v/>
      </c>
      <c r="BA28" s="93" t="str">
        <f t="shared" ca="1" si="51"/>
        <v/>
      </c>
      <c r="BB28" s="77" t="str">
        <f t="shared" ca="1" si="52"/>
        <v/>
      </c>
      <c r="BC28" s="93" t="str">
        <f t="shared" ca="1" si="53"/>
        <v/>
      </c>
    </row>
    <row r="29" spans="1:55" ht="15.95" customHeight="1" x14ac:dyDescent="0.2">
      <c r="A29" s="41" t="str">
        <f>IF(Customization!B29="","",Customization!B29)</f>
        <v/>
      </c>
      <c r="B29" s="79" t="str">
        <f t="shared" ca="1" si="2"/>
        <v/>
      </c>
      <c r="C29" s="29" t="str">
        <f t="shared" ca="1" si="3"/>
        <v/>
      </c>
      <c r="D29" s="7" t="str">
        <f t="shared" ca="1" si="0"/>
        <v/>
      </c>
      <c r="E29" s="29" t="str">
        <f t="shared" ca="1" si="4"/>
        <v/>
      </c>
      <c r="F29" s="7" t="str">
        <f t="shared" ca="1" si="1"/>
        <v/>
      </c>
      <c r="G29" s="29" t="str">
        <f t="shared" ca="1" si="5"/>
        <v/>
      </c>
      <c r="H29" s="7" t="str">
        <f t="shared" ca="1" si="6"/>
        <v/>
      </c>
      <c r="I29" s="28" t="str">
        <f t="shared" ca="1" si="7"/>
        <v/>
      </c>
      <c r="J29" s="7" t="str">
        <f t="shared" ca="1" si="8"/>
        <v/>
      </c>
      <c r="K29" s="73" t="str">
        <f t="shared" ca="1" si="9"/>
        <v/>
      </c>
      <c r="L29" s="74" t="str">
        <f t="shared" ca="1" si="10"/>
        <v/>
      </c>
      <c r="M29" s="75" t="str">
        <f t="shared" ca="1" si="11"/>
        <v/>
      </c>
      <c r="N29" s="76" t="str">
        <f t="shared" ca="1" si="12"/>
        <v/>
      </c>
      <c r="O29" s="75" t="str">
        <f t="shared" ca="1" si="13"/>
        <v/>
      </c>
      <c r="P29" s="76" t="str">
        <f t="shared" ca="1" si="14"/>
        <v/>
      </c>
      <c r="Q29" s="75" t="str">
        <f t="shared" ca="1" si="15"/>
        <v/>
      </c>
      <c r="R29" s="77" t="str">
        <f t="shared" ca="1" si="16"/>
        <v/>
      </c>
      <c r="S29" s="89" t="str">
        <f t="shared" ca="1" si="17"/>
        <v/>
      </c>
      <c r="T29" s="88" t="str">
        <f t="shared" ca="1" si="18"/>
        <v/>
      </c>
      <c r="U29" s="92" t="str">
        <f t="shared" ca="1" si="19"/>
        <v/>
      </c>
      <c r="V29" s="88" t="str">
        <f t="shared" ca="1" si="20"/>
        <v/>
      </c>
      <c r="W29" s="92" t="str">
        <f t="shared" ca="1" si="21"/>
        <v/>
      </c>
      <c r="X29" s="88" t="str">
        <f t="shared" ca="1" si="22"/>
        <v/>
      </c>
      <c r="Y29" s="92" t="str">
        <f t="shared" ca="1" si="23"/>
        <v/>
      </c>
      <c r="Z29" s="88" t="str">
        <f t="shared" ca="1" si="24"/>
        <v/>
      </c>
      <c r="AA29" s="89" t="str">
        <f t="shared" ca="1" si="25"/>
        <v/>
      </c>
      <c r="AB29" s="88" t="str">
        <f t="shared" ca="1" si="26"/>
        <v/>
      </c>
      <c r="AC29" s="92" t="str">
        <f t="shared" ca="1" si="27"/>
        <v/>
      </c>
      <c r="AD29" s="88" t="str">
        <f t="shared" ca="1" si="28"/>
        <v/>
      </c>
      <c r="AE29" s="92" t="str">
        <f t="shared" ca="1" si="29"/>
        <v/>
      </c>
      <c r="AF29" s="88" t="str">
        <f t="shared" ca="1" si="30"/>
        <v/>
      </c>
      <c r="AG29" s="92" t="str">
        <f t="shared" ca="1" si="31"/>
        <v/>
      </c>
      <c r="AH29" s="88" t="str">
        <f t="shared" ca="1" si="32"/>
        <v/>
      </c>
      <c r="AI29" s="92" t="str">
        <f t="shared" ca="1" si="33"/>
        <v/>
      </c>
      <c r="AJ29" s="88" t="str">
        <f t="shared" ca="1" si="34"/>
        <v/>
      </c>
      <c r="AK29" s="92" t="str">
        <f t="shared" ca="1" si="35"/>
        <v/>
      </c>
      <c r="AL29" s="77" t="str">
        <f t="shared" ca="1" si="36"/>
        <v/>
      </c>
      <c r="AM29" s="89" t="str">
        <f t="shared" ca="1" si="37"/>
        <v/>
      </c>
      <c r="AN29" s="88" t="str">
        <f t="shared" ca="1" si="38"/>
        <v/>
      </c>
      <c r="AO29" s="89" t="str">
        <f t="shared" ca="1" si="39"/>
        <v/>
      </c>
      <c r="AP29" s="77" t="str">
        <f t="shared" ca="1" si="40"/>
        <v/>
      </c>
      <c r="AQ29" s="94" t="str">
        <f t="shared" ca="1" si="41"/>
        <v/>
      </c>
      <c r="AR29" s="77" t="str">
        <f t="shared" ca="1" si="42"/>
        <v/>
      </c>
      <c r="AS29" s="94" t="str">
        <f t="shared" ca="1" si="43"/>
        <v/>
      </c>
      <c r="AT29" s="77" t="str">
        <f t="shared" ca="1" si="44"/>
        <v/>
      </c>
      <c r="AU29" s="93" t="str">
        <f t="shared" ca="1" si="45"/>
        <v/>
      </c>
      <c r="AV29" s="77" t="str">
        <f t="shared" ca="1" si="46"/>
        <v/>
      </c>
      <c r="AW29" s="93" t="str">
        <f t="shared" ca="1" si="47"/>
        <v/>
      </c>
      <c r="AX29" s="77" t="str">
        <f t="shared" ca="1" si="48"/>
        <v/>
      </c>
      <c r="AY29" s="93" t="str">
        <f t="shared" ca="1" si="49"/>
        <v/>
      </c>
      <c r="AZ29" s="77" t="str">
        <f t="shared" ca="1" si="50"/>
        <v/>
      </c>
      <c r="BA29" s="93" t="str">
        <f t="shared" ca="1" si="51"/>
        <v/>
      </c>
      <c r="BB29" s="77" t="str">
        <f t="shared" ca="1" si="52"/>
        <v/>
      </c>
      <c r="BC29" s="93" t="str">
        <f t="shared" ca="1" si="53"/>
        <v/>
      </c>
    </row>
    <row r="30" spans="1:55" ht="15.95" customHeight="1" x14ac:dyDescent="0.2">
      <c r="A30" s="41" t="str">
        <f>IF(Customization!B30="","",Customization!B30)</f>
        <v/>
      </c>
      <c r="B30" s="79" t="str">
        <f t="shared" ca="1" si="2"/>
        <v/>
      </c>
      <c r="C30" s="29" t="str">
        <f t="shared" ca="1" si="3"/>
        <v/>
      </c>
      <c r="D30" s="7" t="str">
        <f t="shared" ca="1" si="0"/>
        <v/>
      </c>
      <c r="E30" s="29" t="str">
        <f t="shared" ca="1" si="4"/>
        <v/>
      </c>
      <c r="F30" s="7" t="str">
        <f t="shared" ca="1" si="1"/>
        <v/>
      </c>
      <c r="G30" s="29" t="str">
        <f t="shared" ca="1" si="5"/>
        <v/>
      </c>
      <c r="H30" s="7" t="str">
        <f t="shared" ca="1" si="6"/>
        <v/>
      </c>
      <c r="I30" s="28" t="str">
        <f t="shared" ca="1" si="7"/>
        <v/>
      </c>
      <c r="J30" s="7" t="str">
        <f t="shared" ca="1" si="8"/>
        <v/>
      </c>
      <c r="K30" s="73" t="str">
        <f t="shared" ca="1" si="9"/>
        <v/>
      </c>
      <c r="L30" s="74" t="str">
        <f t="shared" ca="1" si="10"/>
        <v/>
      </c>
      <c r="M30" s="75" t="str">
        <f t="shared" ca="1" si="11"/>
        <v/>
      </c>
      <c r="N30" s="76" t="str">
        <f t="shared" ca="1" si="12"/>
        <v/>
      </c>
      <c r="O30" s="75" t="str">
        <f t="shared" ca="1" si="13"/>
        <v/>
      </c>
      <c r="P30" s="76" t="str">
        <f t="shared" ca="1" si="14"/>
        <v/>
      </c>
      <c r="Q30" s="75" t="str">
        <f t="shared" ca="1" si="15"/>
        <v/>
      </c>
      <c r="R30" s="77" t="str">
        <f t="shared" ca="1" si="16"/>
        <v/>
      </c>
      <c r="S30" s="89" t="str">
        <f t="shared" ca="1" si="17"/>
        <v/>
      </c>
      <c r="T30" s="88" t="str">
        <f t="shared" ca="1" si="18"/>
        <v/>
      </c>
      <c r="U30" s="92" t="str">
        <f t="shared" ca="1" si="19"/>
        <v/>
      </c>
      <c r="V30" s="88" t="str">
        <f t="shared" ca="1" si="20"/>
        <v/>
      </c>
      <c r="W30" s="92" t="str">
        <f t="shared" ca="1" si="21"/>
        <v/>
      </c>
      <c r="X30" s="88" t="str">
        <f t="shared" ca="1" si="22"/>
        <v/>
      </c>
      <c r="Y30" s="92" t="str">
        <f t="shared" ca="1" si="23"/>
        <v/>
      </c>
      <c r="Z30" s="88" t="str">
        <f t="shared" ca="1" si="24"/>
        <v/>
      </c>
      <c r="AA30" s="89" t="str">
        <f t="shared" ca="1" si="25"/>
        <v/>
      </c>
      <c r="AB30" s="88" t="str">
        <f t="shared" ca="1" si="26"/>
        <v/>
      </c>
      <c r="AC30" s="92" t="str">
        <f t="shared" ca="1" si="27"/>
        <v/>
      </c>
      <c r="AD30" s="88" t="str">
        <f t="shared" ca="1" si="28"/>
        <v/>
      </c>
      <c r="AE30" s="92" t="str">
        <f t="shared" ca="1" si="29"/>
        <v/>
      </c>
      <c r="AF30" s="88" t="str">
        <f t="shared" ca="1" si="30"/>
        <v/>
      </c>
      <c r="AG30" s="92" t="str">
        <f t="shared" ca="1" si="31"/>
        <v/>
      </c>
      <c r="AH30" s="88" t="str">
        <f t="shared" ca="1" si="32"/>
        <v/>
      </c>
      <c r="AI30" s="92" t="str">
        <f t="shared" ca="1" si="33"/>
        <v/>
      </c>
      <c r="AJ30" s="88" t="str">
        <f t="shared" ca="1" si="34"/>
        <v/>
      </c>
      <c r="AK30" s="92" t="str">
        <f t="shared" ca="1" si="35"/>
        <v/>
      </c>
      <c r="AL30" s="77" t="str">
        <f t="shared" ca="1" si="36"/>
        <v/>
      </c>
      <c r="AM30" s="89" t="str">
        <f t="shared" ca="1" si="37"/>
        <v/>
      </c>
      <c r="AN30" s="88" t="str">
        <f t="shared" ca="1" si="38"/>
        <v/>
      </c>
      <c r="AO30" s="89" t="str">
        <f t="shared" ca="1" si="39"/>
        <v/>
      </c>
      <c r="AP30" s="77" t="str">
        <f t="shared" ca="1" si="40"/>
        <v/>
      </c>
      <c r="AQ30" s="94" t="str">
        <f t="shared" ca="1" si="41"/>
        <v/>
      </c>
      <c r="AR30" s="77" t="str">
        <f t="shared" ca="1" si="42"/>
        <v/>
      </c>
      <c r="AS30" s="94" t="str">
        <f t="shared" ca="1" si="43"/>
        <v/>
      </c>
      <c r="AT30" s="77" t="str">
        <f t="shared" ca="1" si="44"/>
        <v/>
      </c>
      <c r="AU30" s="93" t="str">
        <f t="shared" ca="1" si="45"/>
        <v/>
      </c>
      <c r="AV30" s="77" t="str">
        <f t="shared" ca="1" si="46"/>
        <v/>
      </c>
      <c r="AW30" s="93" t="str">
        <f t="shared" ca="1" si="47"/>
        <v/>
      </c>
      <c r="AX30" s="77" t="str">
        <f t="shared" ca="1" si="48"/>
        <v/>
      </c>
      <c r="AY30" s="93" t="str">
        <f t="shared" ca="1" si="49"/>
        <v/>
      </c>
      <c r="AZ30" s="77" t="str">
        <f t="shared" ca="1" si="50"/>
        <v/>
      </c>
      <c r="BA30" s="93" t="str">
        <f t="shared" ca="1" si="51"/>
        <v/>
      </c>
      <c r="BB30" s="77" t="str">
        <f t="shared" ca="1" si="52"/>
        <v/>
      </c>
      <c r="BC30" s="93" t="str">
        <f t="shared" ca="1" si="53"/>
        <v/>
      </c>
    </row>
    <row r="31" spans="1:55" ht="15.95" customHeight="1" x14ac:dyDescent="0.2">
      <c r="A31" s="41" t="str">
        <f>IF(Customization!B31="","",Customization!B31)</f>
        <v/>
      </c>
      <c r="B31" s="79" t="str">
        <f t="shared" ca="1" si="2"/>
        <v/>
      </c>
      <c r="C31" s="29" t="str">
        <f t="shared" ca="1" si="3"/>
        <v/>
      </c>
      <c r="D31" s="7" t="str">
        <f t="shared" ca="1" si="0"/>
        <v/>
      </c>
      <c r="E31" s="29" t="str">
        <f t="shared" ca="1" si="4"/>
        <v/>
      </c>
      <c r="F31" s="7" t="str">
        <f t="shared" ca="1" si="1"/>
        <v/>
      </c>
      <c r="G31" s="29" t="str">
        <f t="shared" ca="1" si="5"/>
        <v/>
      </c>
      <c r="H31" s="7" t="str">
        <f t="shared" ca="1" si="6"/>
        <v/>
      </c>
      <c r="I31" s="28" t="str">
        <f t="shared" ca="1" si="7"/>
        <v/>
      </c>
      <c r="J31" s="7" t="str">
        <f t="shared" ca="1" si="8"/>
        <v/>
      </c>
      <c r="K31" s="73" t="str">
        <f t="shared" ca="1" si="9"/>
        <v/>
      </c>
      <c r="L31" s="74" t="str">
        <f t="shared" ca="1" si="10"/>
        <v/>
      </c>
      <c r="M31" s="75" t="str">
        <f t="shared" ca="1" si="11"/>
        <v/>
      </c>
      <c r="N31" s="76" t="str">
        <f t="shared" ca="1" si="12"/>
        <v/>
      </c>
      <c r="O31" s="75" t="str">
        <f t="shared" ca="1" si="13"/>
        <v/>
      </c>
      <c r="P31" s="76" t="str">
        <f t="shared" ca="1" si="14"/>
        <v/>
      </c>
      <c r="Q31" s="75" t="str">
        <f t="shared" ca="1" si="15"/>
        <v/>
      </c>
      <c r="R31" s="77" t="str">
        <f t="shared" ca="1" si="16"/>
        <v/>
      </c>
      <c r="S31" s="89" t="str">
        <f t="shared" ca="1" si="17"/>
        <v/>
      </c>
      <c r="T31" s="88" t="str">
        <f t="shared" ca="1" si="18"/>
        <v/>
      </c>
      <c r="U31" s="92" t="str">
        <f t="shared" ca="1" si="19"/>
        <v/>
      </c>
      <c r="V31" s="88" t="str">
        <f t="shared" ca="1" si="20"/>
        <v/>
      </c>
      <c r="W31" s="92" t="str">
        <f t="shared" ca="1" si="21"/>
        <v/>
      </c>
      <c r="X31" s="88" t="str">
        <f t="shared" ca="1" si="22"/>
        <v/>
      </c>
      <c r="Y31" s="92" t="str">
        <f t="shared" ca="1" si="23"/>
        <v/>
      </c>
      <c r="Z31" s="88" t="str">
        <f t="shared" ca="1" si="24"/>
        <v/>
      </c>
      <c r="AA31" s="89" t="str">
        <f t="shared" ca="1" si="25"/>
        <v/>
      </c>
      <c r="AB31" s="88" t="str">
        <f t="shared" ca="1" si="26"/>
        <v/>
      </c>
      <c r="AC31" s="92" t="str">
        <f t="shared" ca="1" si="27"/>
        <v/>
      </c>
      <c r="AD31" s="88" t="str">
        <f t="shared" ca="1" si="28"/>
        <v/>
      </c>
      <c r="AE31" s="92" t="str">
        <f t="shared" ca="1" si="29"/>
        <v/>
      </c>
      <c r="AF31" s="88" t="str">
        <f t="shared" ca="1" si="30"/>
        <v/>
      </c>
      <c r="AG31" s="92" t="str">
        <f t="shared" ca="1" si="31"/>
        <v/>
      </c>
      <c r="AH31" s="88" t="str">
        <f t="shared" ca="1" si="32"/>
        <v/>
      </c>
      <c r="AI31" s="92" t="str">
        <f t="shared" ca="1" si="33"/>
        <v/>
      </c>
      <c r="AJ31" s="88" t="str">
        <f t="shared" ca="1" si="34"/>
        <v/>
      </c>
      <c r="AK31" s="92" t="str">
        <f t="shared" ca="1" si="35"/>
        <v/>
      </c>
      <c r="AL31" s="77" t="str">
        <f t="shared" ca="1" si="36"/>
        <v/>
      </c>
      <c r="AM31" s="89" t="str">
        <f t="shared" ca="1" si="37"/>
        <v/>
      </c>
      <c r="AN31" s="88" t="str">
        <f t="shared" ca="1" si="38"/>
        <v/>
      </c>
      <c r="AO31" s="89" t="str">
        <f t="shared" ca="1" si="39"/>
        <v/>
      </c>
      <c r="AP31" s="77" t="str">
        <f t="shared" ca="1" si="40"/>
        <v/>
      </c>
      <c r="AQ31" s="94" t="str">
        <f t="shared" ca="1" si="41"/>
        <v/>
      </c>
      <c r="AR31" s="77" t="str">
        <f t="shared" ca="1" si="42"/>
        <v/>
      </c>
      <c r="AS31" s="94" t="str">
        <f t="shared" ca="1" si="43"/>
        <v/>
      </c>
      <c r="AT31" s="77" t="str">
        <f t="shared" ca="1" si="44"/>
        <v/>
      </c>
      <c r="AU31" s="93" t="str">
        <f t="shared" ca="1" si="45"/>
        <v/>
      </c>
      <c r="AV31" s="77" t="str">
        <f t="shared" ca="1" si="46"/>
        <v/>
      </c>
      <c r="AW31" s="93" t="str">
        <f t="shared" ca="1" si="47"/>
        <v/>
      </c>
      <c r="AX31" s="77" t="str">
        <f t="shared" ca="1" si="48"/>
        <v/>
      </c>
      <c r="AY31" s="93" t="str">
        <f t="shared" ca="1" si="49"/>
        <v/>
      </c>
      <c r="AZ31" s="77" t="str">
        <f t="shared" ca="1" si="50"/>
        <v/>
      </c>
      <c r="BA31" s="93" t="str">
        <f t="shared" ca="1" si="51"/>
        <v/>
      </c>
      <c r="BB31" s="77" t="str">
        <f t="shared" ca="1" si="52"/>
        <v/>
      </c>
      <c r="BC31" s="93" t="str">
        <f t="shared" ca="1" si="53"/>
        <v/>
      </c>
    </row>
    <row r="32" spans="1:55" ht="15.95" customHeight="1" x14ac:dyDescent="0.2">
      <c r="A32" s="41" t="str">
        <f>IF(Customization!B32="","",Customization!B32)</f>
        <v/>
      </c>
      <c r="B32" s="79" t="str">
        <f t="shared" ca="1" si="2"/>
        <v/>
      </c>
      <c r="C32" s="29" t="str">
        <f t="shared" ca="1" si="3"/>
        <v/>
      </c>
      <c r="D32" s="7" t="str">
        <f t="shared" ca="1" si="0"/>
        <v/>
      </c>
      <c r="E32" s="29" t="str">
        <f t="shared" ca="1" si="4"/>
        <v/>
      </c>
      <c r="F32" s="7" t="str">
        <f t="shared" ca="1" si="1"/>
        <v/>
      </c>
      <c r="G32" s="29" t="str">
        <f t="shared" ca="1" si="5"/>
        <v/>
      </c>
      <c r="H32" s="7" t="str">
        <f t="shared" ca="1" si="6"/>
        <v/>
      </c>
      <c r="I32" s="28" t="str">
        <f t="shared" ca="1" si="7"/>
        <v/>
      </c>
      <c r="J32" s="7" t="str">
        <f t="shared" ca="1" si="8"/>
        <v/>
      </c>
      <c r="K32" s="73" t="str">
        <f t="shared" ca="1" si="9"/>
        <v/>
      </c>
      <c r="L32" s="74" t="str">
        <f t="shared" ca="1" si="10"/>
        <v/>
      </c>
      <c r="M32" s="75" t="str">
        <f t="shared" ca="1" si="11"/>
        <v/>
      </c>
      <c r="N32" s="76" t="str">
        <f t="shared" ca="1" si="12"/>
        <v/>
      </c>
      <c r="O32" s="75" t="str">
        <f t="shared" ca="1" si="13"/>
        <v/>
      </c>
      <c r="P32" s="76" t="str">
        <f t="shared" ca="1" si="14"/>
        <v/>
      </c>
      <c r="Q32" s="75" t="str">
        <f t="shared" ca="1" si="15"/>
        <v/>
      </c>
      <c r="R32" s="77" t="str">
        <f t="shared" ca="1" si="16"/>
        <v/>
      </c>
      <c r="S32" s="89" t="str">
        <f t="shared" ca="1" si="17"/>
        <v/>
      </c>
      <c r="T32" s="88" t="str">
        <f t="shared" ca="1" si="18"/>
        <v/>
      </c>
      <c r="U32" s="92" t="str">
        <f t="shared" ca="1" si="19"/>
        <v/>
      </c>
      <c r="V32" s="88" t="str">
        <f t="shared" ca="1" si="20"/>
        <v/>
      </c>
      <c r="W32" s="92" t="str">
        <f t="shared" ca="1" si="21"/>
        <v/>
      </c>
      <c r="X32" s="88" t="str">
        <f t="shared" ca="1" si="22"/>
        <v/>
      </c>
      <c r="Y32" s="92" t="str">
        <f t="shared" ca="1" si="23"/>
        <v/>
      </c>
      <c r="Z32" s="88" t="str">
        <f t="shared" ca="1" si="24"/>
        <v/>
      </c>
      <c r="AA32" s="89" t="str">
        <f t="shared" ca="1" si="25"/>
        <v/>
      </c>
      <c r="AB32" s="88" t="str">
        <f t="shared" ca="1" si="26"/>
        <v/>
      </c>
      <c r="AC32" s="92" t="str">
        <f t="shared" ca="1" si="27"/>
        <v/>
      </c>
      <c r="AD32" s="88" t="str">
        <f t="shared" ca="1" si="28"/>
        <v/>
      </c>
      <c r="AE32" s="92" t="str">
        <f t="shared" ca="1" si="29"/>
        <v/>
      </c>
      <c r="AF32" s="88" t="str">
        <f t="shared" ca="1" si="30"/>
        <v/>
      </c>
      <c r="AG32" s="92" t="str">
        <f t="shared" ca="1" si="31"/>
        <v/>
      </c>
      <c r="AH32" s="88" t="str">
        <f t="shared" ca="1" si="32"/>
        <v/>
      </c>
      <c r="AI32" s="92" t="str">
        <f t="shared" ca="1" si="33"/>
        <v/>
      </c>
      <c r="AJ32" s="88" t="str">
        <f t="shared" ca="1" si="34"/>
        <v/>
      </c>
      <c r="AK32" s="92" t="str">
        <f t="shared" ca="1" si="35"/>
        <v/>
      </c>
      <c r="AL32" s="77" t="str">
        <f t="shared" ca="1" si="36"/>
        <v/>
      </c>
      <c r="AM32" s="89" t="str">
        <f t="shared" ca="1" si="37"/>
        <v/>
      </c>
      <c r="AN32" s="88" t="str">
        <f t="shared" ca="1" si="38"/>
        <v/>
      </c>
      <c r="AO32" s="89" t="str">
        <f t="shared" ca="1" si="39"/>
        <v/>
      </c>
      <c r="AP32" s="77" t="str">
        <f t="shared" ca="1" si="40"/>
        <v/>
      </c>
      <c r="AQ32" s="94" t="str">
        <f t="shared" ca="1" si="41"/>
        <v/>
      </c>
      <c r="AR32" s="77" t="str">
        <f t="shared" ca="1" si="42"/>
        <v/>
      </c>
      <c r="AS32" s="94" t="str">
        <f t="shared" ca="1" si="43"/>
        <v/>
      </c>
      <c r="AT32" s="77" t="str">
        <f t="shared" ca="1" si="44"/>
        <v/>
      </c>
      <c r="AU32" s="93" t="str">
        <f t="shared" ca="1" si="45"/>
        <v/>
      </c>
      <c r="AV32" s="77" t="str">
        <f t="shared" ca="1" si="46"/>
        <v/>
      </c>
      <c r="AW32" s="93" t="str">
        <f t="shared" ca="1" si="47"/>
        <v/>
      </c>
      <c r="AX32" s="77" t="str">
        <f t="shared" ca="1" si="48"/>
        <v/>
      </c>
      <c r="AY32" s="93" t="str">
        <f t="shared" ca="1" si="49"/>
        <v/>
      </c>
      <c r="AZ32" s="77" t="str">
        <f t="shared" ca="1" si="50"/>
        <v/>
      </c>
      <c r="BA32" s="93" t="str">
        <f t="shared" ca="1" si="51"/>
        <v/>
      </c>
      <c r="BB32" s="77" t="str">
        <f t="shared" ca="1" si="52"/>
        <v/>
      </c>
      <c r="BC32" s="93" t="str">
        <f t="shared" ca="1" si="53"/>
        <v/>
      </c>
    </row>
    <row r="33" spans="1:55" ht="15.95" customHeight="1" x14ac:dyDescent="0.2">
      <c r="A33" s="41" t="str">
        <f>IF(Customization!B33="","",Customization!B33)</f>
        <v/>
      </c>
      <c r="B33" s="79" t="str">
        <f t="shared" ca="1" si="2"/>
        <v/>
      </c>
      <c r="C33" s="29" t="str">
        <f t="shared" ca="1" si="3"/>
        <v/>
      </c>
      <c r="D33" s="7" t="str">
        <f t="shared" ca="1" si="0"/>
        <v/>
      </c>
      <c r="E33" s="29" t="str">
        <f t="shared" ca="1" si="4"/>
        <v/>
      </c>
      <c r="F33" s="7" t="str">
        <f t="shared" ca="1" si="1"/>
        <v/>
      </c>
      <c r="G33" s="29" t="str">
        <f t="shared" ca="1" si="5"/>
        <v/>
      </c>
      <c r="H33" s="7" t="str">
        <f t="shared" ca="1" si="6"/>
        <v/>
      </c>
      <c r="I33" s="28" t="str">
        <f t="shared" ca="1" si="7"/>
        <v/>
      </c>
      <c r="J33" s="7" t="str">
        <f t="shared" ca="1" si="8"/>
        <v/>
      </c>
      <c r="K33" s="73" t="str">
        <f t="shared" ca="1" si="9"/>
        <v/>
      </c>
      <c r="L33" s="74" t="str">
        <f t="shared" ca="1" si="10"/>
        <v/>
      </c>
      <c r="M33" s="75" t="str">
        <f t="shared" ca="1" si="11"/>
        <v/>
      </c>
      <c r="N33" s="76" t="str">
        <f t="shared" ca="1" si="12"/>
        <v/>
      </c>
      <c r="O33" s="75" t="str">
        <f t="shared" ca="1" si="13"/>
        <v/>
      </c>
      <c r="P33" s="76" t="str">
        <f t="shared" ca="1" si="14"/>
        <v/>
      </c>
      <c r="Q33" s="75" t="str">
        <f t="shared" ca="1" si="15"/>
        <v/>
      </c>
      <c r="R33" s="77" t="str">
        <f t="shared" ca="1" si="16"/>
        <v/>
      </c>
      <c r="S33" s="89" t="str">
        <f t="shared" ca="1" si="17"/>
        <v/>
      </c>
      <c r="T33" s="88" t="str">
        <f t="shared" ca="1" si="18"/>
        <v/>
      </c>
      <c r="U33" s="92" t="str">
        <f t="shared" ca="1" si="19"/>
        <v/>
      </c>
      <c r="V33" s="88" t="str">
        <f t="shared" ca="1" si="20"/>
        <v/>
      </c>
      <c r="W33" s="92" t="str">
        <f t="shared" ca="1" si="21"/>
        <v/>
      </c>
      <c r="X33" s="88" t="str">
        <f t="shared" ca="1" si="22"/>
        <v/>
      </c>
      <c r="Y33" s="92" t="str">
        <f t="shared" ca="1" si="23"/>
        <v/>
      </c>
      <c r="Z33" s="88" t="str">
        <f t="shared" ca="1" si="24"/>
        <v/>
      </c>
      <c r="AA33" s="89" t="str">
        <f t="shared" ca="1" si="25"/>
        <v/>
      </c>
      <c r="AB33" s="88" t="str">
        <f t="shared" ca="1" si="26"/>
        <v/>
      </c>
      <c r="AC33" s="92" t="str">
        <f t="shared" ca="1" si="27"/>
        <v/>
      </c>
      <c r="AD33" s="88" t="str">
        <f t="shared" ca="1" si="28"/>
        <v/>
      </c>
      <c r="AE33" s="92" t="str">
        <f t="shared" ca="1" si="29"/>
        <v/>
      </c>
      <c r="AF33" s="88" t="str">
        <f t="shared" ca="1" si="30"/>
        <v/>
      </c>
      <c r="AG33" s="92" t="str">
        <f t="shared" ca="1" si="31"/>
        <v/>
      </c>
      <c r="AH33" s="88" t="str">
        <f t="shared" ca="1" si="32"/>
        <v/>
      </c>
      <c r="AI33" s="92" t="str">
        <f t="shared" ca="1" si="33"/>
        <v/>
      </c>
      <c r="AJ33" s="88" t="str">
        <f t="shared" ca="1" si="34"/>
        <v/>
      </c>
      <c r="AK33" s="92" t="str">
        <f t="shared" ca="1" si="35"/>
        <v/>
      </c>
      <c r="AL33" s="77" t="str">
        <f t="shared" ca="1" si="36"/>
        <v/>
      </c>
      <c r="AM33" s="89" t="str">
        <f t="shared" ca="1" si="37"/>
        <v/>
      </c>
      <c r="AN33" s="88" t="str">
        <f t="shared" ca="1" si="38"/>
        <v/>
      </c>
      <c r="AO33" s="89" t="str">
        <f t="shared" ca="1" si="39"/>
        <v/>
      </c>
      <c r="AP33" s="77" t="str">
        <f t="shared" ca="1" si="40"/>
        <v/>
      </c>
      <c r="AQ33" s="94" t="str">
        <f t="shared" ca="1" si="41"/>
        <v/>
      </c>
      <c r="AR33" s="77" t="str">
        <f t="shared" ca="1" si="42"/>
        <v/>
      </c>
      <c r="AS33" s="94" t="str">
        <f t="shared" ca="1" si="43"/>
        <v/>
      </c>
      <c r="AT33" s="77" t="str">
        <f t="shared" ca="1" si="44"/>
        <v/>
      </c>
      <c r="AU33" s="93" t="str">
        <f t="shared" ca="1" si="45"/>
        <v/>
      </c>
      <c r="AV33" s="77" t="str">
        <f t="shared" ca="1" si="46"/>
        <v/>
      </c>
      <c r="AW33" s="93" t="str">
        <f t="shared" ca="1" si="47"/>
        <v/>
      </c>
      <c r="AX33" s="77" t="str">
        <f t="shared" ca="1" si="48"/>
        <v/>
      </c>
      <c r="AY33" s="93" t="str">
        <f t="shared" ca="1" si="49"/>
        <v/>
      </c>
      <c r="AZ33" s="77" t="str">
        <f t="shared" ca="1" si="50"/>
        <v/>
      </c>
      <c r="BA33" s="93" t="str">
        <f t="shared" ca="1" si="51"/>
        <v/>
      </c>
      <c r="BB33" s="77" t="str">
        <f t="shared" ca="1" si="52"/>
        <v/>
      </c>
      <c r="BC33" s="93" t="str">
        <f t="shared" ca="1" si="53"/>
        <v/>
      </c>
    </row>
    <row r="34" spans="1:55" ht="15.95" customHeight="1" x14ac:dyDescent="0.2">
      <c r="A34" s="41" t="str">
        <f>IF(Customization!B34="","",Customization!B34)</f>
        <v/>
      </c>
      <c r="B34" s="79" t="str">
        <f t="shared" ca="1" si="2"/>
        <v/>
      </c>
      <c r="C34" s="29" t="str">
        <f t="shared" ca="1" si="3"/>
        <v/>
      </c>
      <c r="D34" s="7" t="str">
        <f t="shared" ca="1" si="0"/>
        <v/>
      </c>
      <c r="E34" s="29" t="str">
        <f t="shared" ca="1" si="4"/>
        <v/>
      </c>
      <c r="F34" s="7" t="str">
        <f t="shared" ca="1" si="1"/>
        <v/>
      </c>
      <c r="G34" s="29" t="str">
        <f t="shared" ca="1" si="5"/>
        <v/>
      </c>
      <c r="H34" s="7" t="str">
        <f t="shared" ca="1" si="6"/>
        <v/>
      </c>
      <c r="I34" s="28" t="str">
        <f t="shared" ca="1" si="7"/>
        <v/>
      </c>
      <c r="J34" s="7" t="str">
        <f t="shared" ca="1" si="8"/>
        <v/>
      </c>
      <c r="K34" s="73" t="str">
        <f t="shared" ca="1" si="9"/>
        <v/>
      </c>
      <c r="L34" s="74" t="str">
        <f t="shared" ca="1" si="10"/>
        <v/>
      </c>
      <c r="M34" s="75" t="str">
        <f t="shared" ca="1" si="11"/>
        <v/>
      </c>
      <c r="N34" s="76" t="str">
        <f t="shared" ca="1" si="12"/>
        <v/>
      </c>
      <c r="O34" s="75" t="str">
        <f t="shared" ca="1" si="13"/>
        <v/>
      </c>
      <c r="P34" s="76" t="str">
        <f t="shared" ca="1" si="14"/>
        <v/>
      </c>
      <c r="Q34" s="75" t="str">
        <f t="shared" ca="1" si="15"/>
        <v/>
      </c>
      <c r="R34" s="77" t="str">
        <f t="shared" ca="1" si="16"/>
        <v/>
      </c>
      <c r="S34" s="89" t="str">
        <f t="shared" ca="1" si="17"/>
        <v/>
      </c>
      <c r="T34" s="88" t="str">
        <f t="shared" ca="1" si="18"/>
        <v/>
      </c>
      <c r="U34" s="92" t="str">
        <f t="shared" ca="1" si="19"/>
        <v/>
      </c>
      <c r="V34" s="88" t="str">
        <f t="shared" ca="1" si="20"/>
        <v/>
      </c>
      <c r="W34" s="92" t="str">
        <f t="shared" ca="1" si="21"/>
        <v/>
      </c>
      <c r="X34" s="88" t="str">
        <f t="shared" ca="1" si="22"/>
        <v/>
      </c>
      <c r="Y34" s="92" t="str">
        <f t="shared" ca="1" si="23"/>
        <v/>
      </c>
      <c r="Z34" s="88" t="str">
        <f t="shared" ca="1" si="24"/>
        <v/>
      </c>
      <c r="AA34" s="89" t="str">
        <f t="shared" ca="1" si="25"/>
        <v/>
      </c>
      <c r="AB34" s="88" t="str">
        <f t="shared" ca="1" si="26"/>
        <v/>
      </c>
      <c r="AC34" s="92" t="str">
        <f t="shared" ca="1" si="27"/>
        <v/>
      </c>
      <c r="AD34" s="88" t="str">
        <f t="shared" ca="1" si="28"/>
        <v/>
      </c>
      <c r="AE34" s="92" t="str">
        <f t="shared" ca="1" si="29"/>
        <v/>
      </c>
      <c r="AF34" s="88" t="str">
        <f t="shared" ca="1" si="30"/>
        <v/>
      </c>
      <c r="AG34" s="92" t="str">
        <f t="shared" ca="1" si="31"/>
        <v/>
      </c>
      <c r="AH34" s="88" t="str">
        <f t="shared" ca="1" si="32"/>
        <v/>
      </c>
      <c r="AI34" s="92" t="str">
        <f t="shared" ca="1" si="33"/>
        <v/>
      </c>
      <c r="AJ34" s="88" t="str">
        <f t="shared" ca="1" si="34"/>
        <v/>
      </c>
      <c r="AK34" s="92" t="str">
        <f t="shared" ca="1" si="35"/>
        <v/>
      </c>
      <c r="AL34" s="77" t="str">
        <f t="shared" ca="1" si="36"/>
        <v/>
      </c>
      <c r="AM34" s="89" t="str">
        <f t="shared" ca="1" si="37"/>
        <v/>
      </c>
      <c r="AN34" s="88" t="str">
        <f t="shared" ca="1" si="38"/>
        <v/>
      </c>
      <c r="AO34" s="89" t="str">
        <f t="shared" ca="1" si="39"/>
        <v/>
      </c>
      <c r="AP34" s="77" t="str">
        <f t="shared" ca="1" si="40"/>
        <v/>
      </c>
      <c r="AQ34" s="94" t="str">
        <f t="shared" ca="1" si="41"/>
        <v/>
      </c>
      <c r="AR34" s="77" t="str">
        <f t="shared" ca="1" si="42"/>
        <v/>
      </c>
      <c r="AS34" s="94" t="str">
        <f t="shared" ca="1" si="43"/>
        <v/>
      </c>
      <c r="AT34" s="77" t="str">
        <f t="shared" ca="1" si="44"/>
        <v/>
      </c>
      <c r="AU34" s="93" t="str">
        <f t="shared" ca="1" si="45"/>
        <v/>
      </c>
      <c r="AV34" s="77" t="str">
        <f t="shared" ca="1" si="46"/>
        <v/>
      </c>
      <c r="AW34" s="93" t="str">
        <f t="shared" ca="1" si="47"/>
        <v/>
      </c>
      <c r="AX34" s="77" t="str">
        <f t="shared" ca="1" si="48"/>
        <v/>
      </c>
      <c r="AY34" s="93" t="str">
        <f t="shared" ca="1" si="49"/>
        <v/>
      </c>
      <c r="AZ34" s="77" t="str">
        <f t="shared" ca="1" si="50"/>
        <v/>
      </c>
      <c r="BA34" s="93" t="str">
        <f t="shared" ca="1" si="51"/>
        <v/>
      </c>
      <c r="BB34" s="77" t="str">
        <f t="shared" ca="1" si="52"/>
        <v/>
      </c>
      <c r="BC34" s="93" t="str">
        <f t="shared" ca="1" si="53"/>
        <v/>
      </c>
    </row>
    <row r="35" spans="1:55" ht="15.95" customHeight="1" x14ac:dyDescent="0.2">
      <c r="A35" s="41" t="str">
        <f>IF(Customization!B35="","",Customization!B35)</f>
        <v/>
      </c>
      <c r="B35" s="79" t="str">
        <f t="shared" ca="1" si="2"/>
        <v/>
      </c>
      <c r="C35" s="29" t="str">
        <f t="shared" ca="1" si="3"/>
        <v/>
      </c>
      <c r="D35" s="7" t="str">
        <f t="shared" ca="1" si="0"/>
        <v/>
      </c>
      <c r="E35" s="29" t="str">
        <f t="shared" ca="1" si="4"/>
        <v/>
      </c>
      <c r="F35" s="7" t="str">
        <f t="shared" ca="1" si="1"/>
        <v/>
      </c>
      <c r="G35" s="29" t="str">
        <f t="shared" ca="1" si="5"/>
        <v/>
      </c>
      <c r="H35" s="7" t="str">
        <f t="shared" ca="1" si="6"/>
        <v/>
      </c>
      <c r="I35" s="28" t="str">
        <f t="shared" ca="1" si="7"/>
        <v/>
      </c>
      <c r="J35" s="7" t="str">
        <f t="shared" ca="1" si="8"/>
        <v/>
      </c>
      <c r="K35" s="73" t="str">
        <f t="shared" ca="1" si="9"/>
        <v/>
      </c>
      <c r="L35" s="74" t="str">
        <f t="shared" ca="1" si="10"/>
        <v/>
      </c>
      <c r="M35" s="75" t="str">
        <f t="shared" ca="1" si="11"/>
        <v/>
      </c>
      <c r="N35" s="76" t="str">
        <f t="shared" ca="1" si="12"/>
        <v/>
      </c>
      <c r="O35" s="75" t="str">
        <f t="shared" ca="1" si="13"/>
        <v/>
      </c>
      <c r="P35" s="76" t="str">
        <f t="shared" ca="1" si="14"/>
        <v/>
      </c>
      <c r="Q35" s="75" t="str">
        <f t="shared" ca="1" si="15"/>
        <v/>
      </c>
      <c r="R35" s="77" t="str">
        <f t="shared" ca="1" si="16"/>
        <v/>
      </c>
      <c r="S35" s="89" t="str">
        <f t="shared" ca="1" si="17"/>
        <v/>
      </c>
      <c r="T35" s="88" t="str">
        <f t="shared" ca="1" si="18"/>
        <v/>
      </c>
      <c r="U35" s="92" t="str">
        <f t="shared" ca="1" si="19"/>
        <v/>
      </c>
      <c r="V35" s="88" t="str">
        <f t="shared" ca="1" si="20"/>
        <v/>
      </c>
      <c r="W35" s="92" t="str">
        <f t="shared" ca="1" si="21"/>
        <v/>
      </c>
      <c r="X35" s="88" t="str">
        <f t="shared" ca="1" si="22"/>
        <v/>
      </c>
      <c r="Y35" s="92" t="str">
        <f t="shared" ca="1" si="23"/>
        <v/>
      </c>
      <c r="Z35" s="88" t="str">
        <f t="shared" ca="1" si="24"/>
        <v/>
      </c>
      <c r="AA35" s="89" t="str">
        <f t="shared" ca="1" si="25"/>
        <v/>
      </c>
      <c r="AB35" s="88" t="str">
        <f t="shared" ca="1" si="26"/>
        <v/>
      </c>
      <c r="AC35" s="92" t="str">
        <f t="shared" ca="1" si="27"/>
        <v/>
      </c>
      <c r="AD35" s="88" t="str">
        <f t="shared" ca="1" si="28"/>
        <v/>
      </c>
      <c r="AE35" s="92" t="str">
        <f t="shared" ca="1" si="29"/>
        <v/>
      </c>
      <c r="AF35" s="88" t="str">
        <f t="shared" ca="1" si="30"/>
        <v/>
      </c>
      <c r="AG35" s="92" t="str">
        <f t="shared" ca="1" si="31"/>
        <v/>
      </c>
      <c r="AH35" s="88" t="str">
        <f t="shared" ca="1" si="32"/>
        <v/>
      </c>
      <c r="AI35" s="92" t="str">
        <f t="shared" ca="1" si="33"/>
        <v/>
      </c>
      <c r="AJ35" s="88" t="str">
        <f t="shared" ca="1" si="34"/>
        <v/>
      </c>
      <c r="AK35" s="92" t="str">
        <f t="shared" ca="1" si="35"/>
        <v/>
      </c>
      <c r="AL35" s="77" t="str">
        <f t="shared" ca="1" si="36"/>
        <v/>
      </c>
      <c r="AM35" s="89" t="str">
        <f t="shared" ca="1" si="37"/>
        <v/>
      </c>
      <c r="AN35" s="88" t="str">
        <f t="shared" ca="1" si="38"/>
        <v/>
      </c>
      <c r="AO35" s="89" t="str">
        <f t="shared" ca="1" si="39"/>
        <v/>
      </c>
      <c r="AP35" s="77" t="str">
        <f t="shared" ca="1" si="40"/>
        <v/>
      </c>
      <c r="AQ35" s="94" t="str">
        <f t="shared" ca="1" si="41"/>
        <v/>
      </c>
      <c r="AR35" s="77" t="str">
        <f t="shared" ca="1" si="42"/>
        <v/>
      </c>
      <c r="AS35" s="94" t="str">
        <f t="shared" ca="1" si="43"/>
        <v/>
      </c>
      <c r="AT35" s="77" t="str">
        <f t="shared" ca="1" si="44"/>
        <v/>
      </c>
      <c r="AU35" s="93" t="str">
        <f t="shared" ca="1" si="45"/>
        <v/>
      </c>
      <c r="AV35" s="77" t="str">
        <f t="shared" ca="1" si="46"/>
        <v/>
      </c>
      <c r="AW35" s="93" t="str">
        <f t="shared" ca="1" si="47"/>
        <v/>
      </c>
      <c r="AX35" s="77" t="str">
        <f t="shared" ca="1" si="48"/>
        <v/>
      </c>
      <c r="AY35" s="93" t="str">
        <f t="shared" ca="1" si="49"/>
        <v/>
      </c>
      <c r="AZ35" s="77" t="str">
        <f t="shared" ca="1" si="50"/>
        <v/>
      </c>
      <c r="BA35" s="93" t="str">
        <f t="shared" ca="1" si="51"/>
        <v/>
      </c>
      <c r="BB35" s="77" t="str">
        <f t="shared" ca="1" si="52"/>
        <v/>
      </c>
      <c r="BC35" s="93" t="str">
        <f t="shared" ca="1" si="53"/>
        <v/>
      </c>
    </row>
    <row r="36" spans="1:55" ht="15.95" customHeight="1" x14ac:dyDescent="0.2">
      <c r="A36" s="41" t="str">
        <f>IF(Customization!B36="","",Customization!B36)</f>
        <v/>
      </c>
      <c r="B36" s="79" t="str">
        <f t="shared" ca="1" si="2"/>
        <v/>
      </c>
      <c r="C36" s="29" t="str">
        <f t="shared" ca="1" si="3"/>
        <v/>
      </c>
      <c r="D36" s="7" t="str">
        <f t="shared" ca="1" si="0"/>
        <v/>
      </c>
      <c r="E36" s="29" t="str">
        <f t="shared" ca="1" si="4"/>
        <v/>
      </c>
      <c r="F36" s="7" t="str">
        <f t="shared" ca="1" si="1"/>
        <v/>
      </c>
      <c r="G36" s="29" t="str">
        <f t="shared" ca="1" si="5"/>
        <v/>
      </c>
      <c r="H36" s="7" t="str">
        <f t="shared" ca="1" si="6"/>
        <v/>
      </c>
      <c r="I36" s="28" t="str">
        <f t="shared" ca="1" si="7"/>
        <v/>
      </c>
      <c r="J36" s="7" t="str">
        <f t="shared" ca="1" si="8"/>
        <v/>
      </c>
      <c r="K36" s="73" t="str">
        <f t="shared" ca="1" si="9"/>
        <v/>
      </c>
      <c r="L36" s="74" t="str">
        <f t="shared" ca="1" si="10"/>
        <v/>
      </c>
      <c r="M36" s="75" t="str">
        <f t="shared" ca="1" si="11"/>
        <v/>
      </c>
      <c r="N36" s="76" t="str">
        <f t="shared" ca="1" si="12"/>
        <v/>
      </c>
      <c r="O36" s="75" t="str">
        <f t="shared" ca="1" si="13"/>
        <v/>
      </c>
      <c r="P36" s="76" t="str">
        <f t="shared" ca="1" si="14"/>
        <v/>
      </c>
      <c r="Q36" s="75" t="str">
        <f t="shared" ca="1" si="15"/>
        <v/>
      </c>
      <c r="R36" s="77" t="str">
        <f t="shared" ca="1" si="16"/>
        <v/>
      </c>
      <c r="S36" s="89" t="str">
        <f t="shared" ca="1" si="17"/>
        <v/>
      </c>
      <c r="T36" s="88" t="str">
        <f t="shared" ca="1" si="18"/>
        <v/>
      </c>
      <c r="U36" s="92" t="str">
        <f t="shared" ca="1" si="19"/>
        <v/>
      </c>
      <c r="V36" s="88" t="str">
        <f t="shared" ca="1" si="20"/>
        <v/>
      </c>
      <c r="W36" s="92" t="str">
        <f t="shared" ca="1" si="21"/>
        <v/>
      </c>
      <c r="X36" s="88" t="str">
        <f t="shared" ca="1" si="22"/>
        <v/>
      </c>
      <c r="Y36" s="92" t="str">
        <f t="shared" ca="1" si="23"/>
        <v/>
      </c>
      <c r="Z36" s="88" t="str">
        <f t="shared" ca="1" si="24"/>
        <v/>
      </c>
      <c r="AA36" s="89" t="str">
        <f t="shared" ca="1" si="25"/>
        <v/>
      </c>
      <c r="AB36" s="88" t="str">
        <f t="shared" ca="1" si="26"/>
        <v/>
      </c>
      <c r="AC36" s="92" t="str">
        <f t="shared" ca="1" si="27"/>
        <v/>
      </c>
      <c r="AD36" s="88" t="str">
        <f t="shared" ca="1" si="28"/>
        <v/>
      </c>
      <c r="AE36" s="92" t="str">
        <f t="shared" ca="1" si="29"/>
        <v/>
      </c>
      <c r="AF36" s="88" t="str">
        <f t="shared" ca="1" si="30"/>
        <v/>
      </c>
      <c r="AG36" s="92" t="str">
        <f t="shared" ca="1" si="31"/>
        <v/>
      </c>
      <c r="AH36" s="88" t="str">
        <f t="shared" ca="1" si="32"/>
        <v/>
      </c>
      <c r="AI36" s="92" t="str">
        <f t="shared" ca="1" si="33"/>
        <v/>
      </c>
      <c r="AJ36" s="88" t="str">
        <f t="shared" ca="1" si="34"/>
        <v/>
      </c>
      <c r="AK36" s="92" t="str">
        <f t="shared" ca="1" si="35"/>
        <v/>
      </c>
      <c r="AL36" s="77" t="str">
        <f t="shared" ca="1" si="36"/>
        <v/>
      </c>
      <c r="AM36" s="89" t="str">
        <f t="shared" ca="1" si="37"/>
        <v/>
      </c>
      <c r="AN36" s="88" t="str">
        <f t="shared" ca="1" si="38"/>
        <v/>
      </c>
      <c r="AO36" s="89" t="str">
        <f t="shared" ca="1" si="39"/>
        <v/>
      </c>
      <c r="AP36" s="77" t="str">
        <f t="shared" ca="1" si="40"/>
        <v/>
      </c>
      <c r="AQ36" s="94" t="str">
        <f t="shared" ca="1" si="41"/>
        <v/>
      </c>
      <c r="AR36" s="77" t="str">
        <f t="shared" ca="1" si="42"/>
        <v/>
      </c>
      <c r="AS36" s="94" t="str">
        <f t="shared" ca="1" si="43"/>
        <v/>
      </c>
      <c r="AT36" s="77" t="str">
        <f t="shared" ca="1" si="44"/>
        <v/>
      </c>
      <c r="AU36" s="93" t="str">
        <f t="shared" ca="1" si="45"/>
        <v/>
      </c>
      <c r="AV36" s="77" t="str">
        <f t="shared" ca="1" si="46"/>
        <v/>
      </c>
      <c r="AW36" s="93" t="str">
        <f t="shared" ca="1" si="47"/>
        <v/>
      </c>
      <c r="AX36" s="77" t="str">
        <f t="shared" ca="1" si="48"/>
        <v/>
      </c>
      <c r="AY36" s="93" t="str">
        <f t="shared" ca="1" si="49"/>
        <v/>
      </c>
      <c r="AZ36" s="77" t="str">
        <f t="shared" ca="1" si="50"/>
        <v/>
      </c>
      <c r="BA36" s="93" t="str">
        <f t="shared" ca="1" si="51"/>
        <v/>
      </c>
      <c r="BB36" s="77" t="str">
        <f t="shared" ca="1" si="52"/>
        <v/>
      </c>
      <c r="BC36" s="93" t="str">
        <f t="shared" ca="1" si="53"/>
        <v/>
      </c>
    </row>
    <row r="37" spans="1:55" ht="15.95" customHeight="1" x14ac:dyDescent="0.2">
      <c r="A37" s="41" t="str">
        <f>IF(Customization!B37="","",Customization!B37)</f>
        <v/>
      </c>
      <c r="B37" s="79" t="str">
        <f t="shared" ca="1" si="2"/>
        <v/>
      </c>
      <c r="C37" s="29" t="str">
        <f t="shared" ca="1" si="3"/>
        <v/>
      </c>
      <c r="D37" s="7" t="str">
        <f t="shared" ca="1" si="0"/>
        <v/>
      </c>
      <c r="E37" s="29" t="str">
        <f t="shared" ca="1" si="4"/>
        <v/>
      </c>
      <c r="F37" s="7" t="str">
        <f t="shared" ca="1" si="1"/>
        <v/>
      </c>
      <c r="G37" s="29" t="str">
        <f t="shared" ca="1" si="5"/>
        <v/>
      </c>
      <c r="H37" s="7" t="str">
        <f t="shared" ca="1" si="6"/>
        <v/>
      </c>
      <c r="I37" s="28" t="str">
        <f t="shared" ca="1" si="7"/>
        <v/>
      </c>
      <c r="J37" s="7" t="str">
        <f t="shared" ca="1" si="8"/>
        <v/>
      </c>
      <c r="K37" s="73" t="str">
        <f t="shared" ca="1" si="9"/>
        <v/>
      </c>
      <c r="L37" s="74" t="str">
        <f t="shared" ca="1" si="10"/>
        <v/>
      </c>
      <c r="M37" s="75" t="str">
        <f t="shared" ca="1" si="11"/>
        <v/>
      </c>
      <c r="N37" s="76" t="str">
        <f t="shared" ca="1" si="12"/>
        <v/>
      </c>
      <c r="O37" s="75" t="str">
        <f t="shared" ca="1" si="13"/>
        <v/>
      </c>
      <c r="P37" s="76" t="str">
        <f t="shared" ca="1" si="14"/>
        <v/>
      </c>
      <c r="Q37" s="75" t="str">
        <f t="shared" ca="1" si="15"/>
        <v/>
      </c>
      <c r="R37" s="77" t="str">
        <f t="shared" ca="1" si="16"/>
        <v/>
      </c>
      <c r="S37" s="89" t="str">
        <f t="shared" ca="1" si="17"/>
        <v/>
      </c>
      <c r="T37" s="88" t="str">
        <f t="shared" ca="1" si="18"/>
        <v/>
      </c>
      <c r="U37" s="92" t="str">
        <f t="shared" ca="1" si="19"/>
        <v/>
      </c>
      <c r="V37" s="88" t="str">
        <f t="shared" ca="1" si="20"/>
        <v/>
      </c>
      <c r="W37" s="92" t="str">
        <f t="shared" ca="1" si="21"/>
        <v/>
      </c>
      <c r="X37" s="88" t="str">
        <f t="shared" ca="1" si="22"/>
        <v/>
      </c>
      <c r="Y37" s="92" t="str">
        <f t="shared" ca="1" si="23"/>
        <v/>
      </c>
      <c r="Z37" s="88" t="str">
        <f t="shared" ca="1" si="24"/>
        <v/>
      </c>
      <c r="AA37" s="89" t="str">
        <f t="shared" ca="1" si="25"/>
        <v/>
      </c>
      <c r="AB37" s="88" t="str">
        <f t="shared" ca="1" si="26"/>
        <v/>
      </c>
      <c r="AC37" s="92" t="str">
        <f t="shared" ca="1" si="27"/>
        <v/>
      </c>
      <c r="AD37" s="88" t="str">
        <f t="shared" ca="1" si="28"/>
        <v/>
      </c>
      <c r="AE37" s="92" t="str">
        <f t="shared" ca="1" si="29"/>
        <v/>
      </c>
      <c r="AF37" s="88" t="str">
        <f t="shared" ca="1" si="30"/>
        <v/>
      </c>
      <c r="AG37" s="92" t="str">
        <f t="shared" ca="1" si="31"/>
        <v/>
      </c>
      <c r="AH37" s="88" t="str">
        <f t="shared" ca="1" si="32"/>
        <v/>
      </c>
      <c r="AI37" s="92" t="str">
        <f t="shared" ca="1" si="33"/>
        <v/>
      </c>
      <c r="AJ37" s="88" t="str">
        <f t="shared" ca="1" si="34"/>
        <v/>
      </c>
      <c r="AK37" s="92" t="str">
        <f t="shared" ca="1" si="35"/>
        <v/>
      </c>
      <c r="AL37" s="77" t="str">
        <f t="shared" ca="1" si="36"/>
        <v/>
      </c>
      <c r="AM37" s="89" t="str">
        <f t="shared" ca="1" si="37"/>
        <v/>
      </c>
      <c r="AN37" s="88" t="str">
        <f t="shared" ca="1" si="38"/>
        <v/>
      </c>
      <c r="AO37" s="89" t="str">
        <f t="shared" ca="1" si="39"/>
        <v/>
      </c>
      <c r="AP37" s="77" t="str">
        <f t="shared" ca="1" si="40"/>
        <v/>
      </c>
      <c r="AQ37" s="94" t="str">
        <f t="shared" ca="1" si="41"/>
        <v/>
      </c>
      <c r="AR37" s="77" t="str">
        <f t="shared" ca="1" si="42"/>
        <v/>
      </c>
      <c r="AS37" s="94" t="str">
        <f t="shared" ca="1" si="43"/>
        <v/>
      </c>
      <c r="AT37" s="77" t="str">
        <f t="shared" ca="1" si="44"/>
        <v/>
      </c>
      <c r="AU37" s="93" t="str">
        <f t="shared" ca="1" si="45"/>
        <v/>
      </c>
      <c r="AV37" s="77" t="str">
        <f t="shared" ca="1" si="46"/>
        <v/>
      </c>
      <c r="AW37" s="93" t="str">
        <f t="shared" ca="1" si="47"/>
        <v/>
      </c>
      <c r="AX37" s="77" t="str">
        <f t="shared" ca="1" si="48"/>
        <v/>
      </c>
      <c r="AY37" s="93" t="str">
        <f t="shared" ca="1" si="49"/>
        <v/>
      </c>
      <c r="AZ37" s="77" t="str">
        <f t="shared" ca="1" si="50"/>
        <v/>
      </c>
      <c r="BA37" s="93" t="str">
        <f t="shared" ca="1" si="51"/>
        <v/>
      </c>
      <c r="BB37" s="77" t="str">
        <f t="shared" ca="1" si="52"/>
        <v/>
      </c>
      <c r="BC37" s="93" t="str">
        <f t="shared" ca="1" si="53"/>
        <v/>
      </c>
    </row>
    <row r="38" spans="1:55" ht="15.95" customHeight="1" x14ac:dyDescent="0.2">
      <c r="A38" s="41" t="str">
        <f>IF(Customization!B38="","",Customization!B38)</f>
        <v/>
      </c>
      <c r="B38" s="79" t="str">
        <f t="shared" ca="1" si="2"/>
        <v/>
      </c>
      <c r="C38" s="29" t="str">
        <f t="shared" ca="1" si="3"/>
        <v/>
      </c>
      <c r="D38" s="7" t="str">
        <f t="shared" ca="1" si="0"/>
        <v/>
      </c>
      <c r="E38" s="29" t="str">
        <f t="shared" ca="1" si="4"/>
        <v/>
      </c>
      <c r="F38" s="7" t="str">
        <f t="shared" ca="1" si="1"/>
        <v/>
      </c>
      <c r="G38" s="29" t="str">
        <f t="shared" ca="1" si="5"/>
        <v/>
      </c>
      <c r="H38" s="7" t="str">
        <f t="shared" ca="1" si="6"/>
        <v/>
      </c>
      <c r="I38" s="28" t="str">
        <f t="shared" ca="1" si="7"/>
        <v/>
      </c>
      <c r="J38" s="7" t="str">
        <f t="shared" ca="1" si="8"/>
        <v/>
      </c>
      <c r="K38" s="73" t="str">
        <f t="shared" ca="1" si="9"/>
        <v/>
      </c>
      <c r="L38" s="74" t="str">
        <f t="shared" ca="1" si="10"/>
        <v/>
      </c>
      <c r="M38" s="75" t="str">
        <f t="shared" ca="1" si="11"/>
        <v/>
      </c>
      <c r="N38" s="76" t="str">
        <f t="shared" ca="1" si="12"/>
        <v/>
      </c>
      <c r="O38" s="75" t="str">
        <f t="shared" ca="1" si="13"/>
        <v/>
      </c>
      <c r="P38" s="76" t="str">
        <f t="shared" ca="1" si="14"/>
        <v/>
      </c>
      <c r="Q38" s="75" t="str">
        <f t="shared" ca="1" si="15"/>
        <v/>
      </c>
      <c r="R38" s="77" t="str">
        <f t="shared" ca="1" si="16"/>
        <v/>
      </c>
      <c r="S38" s="89" t="str">
        <f t="shared" ca="1" si="17"/>
        <v/>
      </c>
      <c r="T38" s="88" t="str">
        <f t="shared" ca="1" si="18"/>
        <v/>
      </c>
      <c r="U38" s="92" t="str">
        <f t="shared" ca="1" si="19"/>
        <v/>
      </c>
      <c r="V38" s="88" t="str">
        <f t="shared" ca="1" si="20"/>
        <v/>
      </c>
      <c r="W38" s="92" t="str">
        <f t="shared" ca="1" si="21"/>
        <v/>
      </c>
      <c r="X38" s="88" t="str">
        <f t="shared" ca="1" si="22"/>
        <v/>
      </c>
      <c r="Y38" s="92" t="str">
        <f t="shared" ca="1" si="23"/>
        <v/>
      </c>
      <c r="Z38" s="88" t="str">
        <f t="shared" ca="1" si="24"/>
        <v/>
      </c>
      <c r="AA38" s="89" t="str">
        <f t="shared" ca="1" si="25"/>
        <v/>
      </c>
      <c r="AB38" s="88" t="str">
        <f t="shared" ca="1" si="26"/>
        <v/>
      </c>
      <c r="AC38" s="92" t="str">
        <f t="shared" ca="1" si="27"/>
        <v/>
      </c>
      <c r="AD38" s="88" t="str">
        <f t="shared" ca="1" si="28"/>
        <v/>
      </c>
      <c r="AE38" s="92" t="str">
        <f t="shared" ca="1" si="29"/>
        <v/>
      </c>
      <c r="AF38" s="88" t="str">
        <f t="shared" ca="1" si="30"/>
        <v/>
      </c>
      <c r="AG38" s="92" t="str">
        <f t="shared" ca="1" si="31"/>
        <v/>
      </c>
      <c r="AH38" s="88" t="str">
        <f t="shared" ca="1" si="32"/>
        <v/>
      </c>
      <c r="AI38" s="92" t="str">
        <f t="shared" ca="1" si="33"/>
        <v/>
      </c>
      <c r="AJ38" s="88" t="str">
        <f t="shared" ca="1" si="34"/>
        <v/>
      </c>
      <c r="AK38" s="92" t="str">
        <f t="shared" ca="1" si="35"/>
        <v/>
      </c>
      <c r="AL38" s="77" t="str">
        <f t="shared" ca="1" si="36"/>
        <v/>
      </c>
      <c r="AM38" s="89" t="str">
        <f t="shared" ca="1" si="37"/>
        <v/>
      </c>
      <c r="AN38" s="88" t="str">
        <f t="shared" ca="1" si="38"/>
        <v/>
      </c>
      <c r="AO38" s="89" t="str">
        <f t="shared" ca="1" si="39"/>
        <v/>
      </c>
      <c r="AP38" s="77" t="str">
        <f t="shared" ca="1" si="40"/>
        <v/>
      </c>
      <c r="AQ38" s="94" t="str">
        <f t="shared" ca="1" si="41"/>
        <v/>
      </c>
      <c r="AR38" s="77" t="str">
        <f t="shared" ca="1" si="42"/>
        <v/>
      </c>
      <c r="AS38" s="94" t="str">
        <f t="shared" ca="1" si="43"/>
        <v/>
      </c>
      <c r="AT38" s="77" t="str">
        <f t="shared" ca="1" si="44"/>
        <v/>
      </c>
      <c r="AU38" s="93" t="str">
        <f t="shared" ca="1" si="45"/>
        <v/>
      </c>
      <c r="AV38" s="77" t="str">
        <f t="shared" ca="1" si="46"/>
        <v/>
      </c>
      <c r="AW38" s="93" t="str">
        <f t="shared" ca="1" si="47"/>
        <v/>
      </c>
      <c r="AX38" s="77" t="str">
        <f t="shared" ca="1" si="48"/>
        <v/>
      </c>
      <c r="AY38" s="93" t="str">
        <f t="shared" ca="1" si="49"/>
        <v/>
      </c>
      <c r="AZ38" s="77" t="str">
        <f t="shared" ca="1" si="50"/>
        <v/>
      </c>
      <c r="BA38" s="93" t="str">
        <f t="shared" ca="1" si="51"/>
        <v/>
      </c>
      <c r="BB38" s="77" t="str">
        <f t="shared" ca="1" si="52"/>
        <v/>
      </c>
      <c r="BC38" s="93" t="str">
        <f t="shared" ca="1" si="53"/>
        <v/>
      </c>
    </row>
    <row r="39" spans="1:55" ht="15.95" customHeight="1" x14ac:dyDescent="0.2">
      <c r="A39" s="41" t="str">
        <f>IF(Customization!B39="","",Customization!B39)</f>
        <v/>
      </c>
      <c r="B39" s="79" t="str">
        <f t="shared" ca="1" si="2"/>
        <v/>
      </c>
      <c r="C39" s="29" t="str">
        <f t="shared" ca="1" si="3"/>
        <v/>
      </c>
      <c r="D39" s="7" t="str">
        <f t="shared" ca="1" si="0"/>
        <v/>
      </c>
      <c r="E39" s="29" t="str">
        <f t="shared" ca="1" si="4"/>
        <v/>
      </c>
      <c r="F39" s="7" t="str">
        <f t="shared" ca="1" si="1"/>
        <v/>
      </c>
      <c r="G39" s="29" t="str">
        <f t="shared" ca="1" si="5"/>
        <v/>
      </c>
      <c r="H39" s="7" t="str">
        <f t="shared" ca="1" si="6"/>
        <v/>
      </c>
      <c r="I39" s="28" t="str">
        <f t="shared" ca="1" si="7"/>
        <v/>
      </c>
      <c r="J39" s="7" t="str">
        <f t="shared" ca="1" si="8"/>
        <v/>
      </c>
      <c r="K39" s="73" t="str">
        <f t="shared" ca="1" si="9"/>
        <v/>
      </c>
      <c r="L39" s="74" t="str">
        <f t="shared" ca="1" si="10"/>
        <v/>
      </c>
      <c r="M39" s="75" t="str">
        <f t="shared" ca="1" si="11"/>
        <v/>
      </c>
      <c r="N39" s="76" t="str">
        <f t="shared" ca="1" si="12"/>
        <v/>
      </c>
      <c r="O39" s="75" t="str">
        <f t="shared" ca="1" si="13"/>
        <v/>
      </c>
      <c r="P39" s="76" t="str">
        <f t="shared" ca="1" si="14"/>
        <v/>
      </c>
      <c r="Q39" s="75" t="str">
        <f t="shared" ca="1" si="15"/>
        <v/>
      </c>
      <c r="R39" s="77" t="str">
        <f t="shared" ca="1" si="16"/>
        <v/>
      </c>
      <c r="S39" s="89" t="str">
        <f t="shared" ca="1" si="17"/>
        <v/>
      </c>
      <c r="T39" s="88" t="str">
        <f t="shared" ca="1" si="18"/>
        <v/>
      </c>
      <c r="U39" s="92" t="str">
        <f t="shared" ca="1" si="19"/>
        <v/>
      </c>
      <c r="V39" s="88" t="str">
        <f t="shared" ca="1" si="20"/>
        <v/>
      </c>
      <c r="W39" s="92" t="str">
        <f t="shared" ca="1" si="21"/>
        <v/>
      </c>
      <c r="X39" s="88" t="str">
        <f t="shared" ca="1" si="22"/>
        <v/>
      </c>
      <c r="Y39" s="92" t="str">
        <f t="shared" ca="1" si="23"/>
        <v/>
      </c>
      <c r="Z39" s="88" t="str">
        <f t="shared" ca="1" si="24"/>
        <v/>
      </c>
      <c r="AA39" s="89" t="str">
        <f t="shared" ca="1" si="25"/>
        <v/>
      </c>
      <c r="AB39" s="88" t="str">
        <f t="shared" ca="1" si="26"/>
        <v/>
      </c>
      <c r="AC39" s="92" t="str">
        <f t="shared" ca="1" si="27"/>
        <v/>
      </c>
      <c r="AD39" s="88" t="str">
        <f t="shared" ca="1" si="28"/>
        <v/>
      </c>
      <c r="AE39" s="92" t="str">
        <f t="shared" ca="1" si="29"/>
        <v/>
      </c>
      <c r="AF39" s="88" t="str">
        <f t="shared" ca="1" si="30"/>
        <v/>
      </c>
      <c r="AG39" s="92" t="str">
        <f t="shared" ca="1" si="31"/>
        <v/>
      </c>
      <c r="AH39" s="88" t="str">
        <f t="shared" ca="1" si="32"/>
        <v/>
      </c>
      <c r="AI39" s="92" t="str">
        <f t="shared" ca="1" si="33"/>
        <v/>
      </c>
      <c r="AJ39" s="88" t="str">
        <f t="shared" ca="1" si="34"/>
        <v/>
      </c>
      <c r="AK39" s="92" t="str">
        <f t="shared" ca="1" si="35"/>
        <v/>
      </c>
      <c r="AL39" s="77" t="str">
        <f t="shared" ca="1" si="36"/>
        <v/>
      </c>
      <c r="AM39" s="89" t="str">
        <f t="shared" ca="1" si="37"/>
        <v/>
      </c>
      <c r="AN39" s="88" t="str">
        <f t="shared" ca="1" si="38"/>
        <v/>
      </c>
      <c r="AO39" s="89" t="str">
        <f t="shared" ca="1" si="39"/>
        <v/>
      </c>
      <c r="AP39" s="77" t="str">
        <f t="shared" ca="1" si="40"/>
        <v/>
      </c>
      <c r="AQ39" s="94" t="str">
        <f t="shared" ca="1" si="41"/>
        <v/>
      </c>
      <c r="AR39" s="77" t="str">
        <f t="shared" ca="1" si="42"/>
        <v/>
      </c>
      <c r="AS39" s="94" t="str">
        <f t="shared" ca="1" si="43"/>
        <v/>
      </c>
      <c r="AT39" s="77" t="str">
        <f t="shared" ca="1" si="44"/>
        <v/>
      </c>
      <c r="AU39" s="93" t="str">
        <f t="shared" ca="1" si="45"/>
        <v/>
      </c>
      <c r="AV39" s="77" t="str">
        <f t="shared" ca="1" si="46"/>
        <v/>
      </c>
      <c r="AW39" s="93" t="str">
        <f t="shared" ca="1" si="47"/>
        <v/>
      </c>
      <c r="AX39" s="77" t="str">
        <f t="shared" ca="1" si="48"/>
        <v/>
      </c>
      <c r="AY39" s="93" t="str">
        <f t="shared" ca="1" si="49"/>
        <v/>
      </c>
      <c r="AZ39" s="77" t="str">
        <f t="shared" ca="1" si="50"/>
        <v/>
      </c>
      <c r="BA39" s="93" t="str">
        <f t="shared" ca="1" si="51"/>
        <v/>
      </c>
      <c r="BB39" s="77" t="str">
        <f t="shared" ca="1" si="52"/>
        <v/>
      </c>
      <c r="BC39" s="93" t="str">
        <f t="shared" ca="1" si="53"/>
        <v/>
      </c>
    </row>
    <row r="40" spans="1:55" ht="15.95" customHeight="1" x14ac:dyDescent="0.2">
      <c r="A40" s="41" t="str">
        <f>IF(Customization!B40="","",Customization!B40)</f>
        <v/>
      </c>
      <c r="B40" s="79" t="str">
        <f t="shared" ca="1" si="2"/>
        <v/>
      </c>
      <c r="C40" s="29" t="str">
        <f t="shared" ca="1" si="3"/>
        <v/>
      </c>
      <c r="D40" s="7" t="str">
        <f t="shared" ca="1" si="0"/>
        <v/>
      </c>
      <c r="E40" s="29" t="str">
        <f t="shared" ca="1" si="4"/>
        <v/>
      </c>
      <c r="F40" s="7" t="str">
        <f t="shared" ca="1" si="1"/>
        <v/>
      </c>
      <c r="G40" s="29" t="str">
        <f t="shared" ca="1" si="5"/>
        <v/>
      </c>
      <c r="H40" s="7" t="str">
        <f t="shared" ca="1" si="6"/>
        <v/>
      </c>
      <c r="I40" s="28" t="str">
        <f t="shared" ca="1" si="7"/>
        <v/>
      </c>
      <c r="J40" s="7" t="str">
        <f t="shared" ca="1" si="8"/>
        <v/>
      </c>
      <c r="K40" s="73" t="str">
        <f t="shared" ca="1" si="9"/>
        <v/>
      </c>
      <c r="L40" s="74" t="str">
        <f t="shared" ca="1" si="10"/>
        <v/>
      </c>
      <c r="M40" s="75" t="str">
        <f t="shared" ca="1" si="11"/>
        <v/>
      </c>
      <c r="N40" s="76" t="str">
        <f t="shared" ca="1" si="12"/>
        <v/>
      </c>
      <c r="O40" s="75" t="str">
        <f t="shared" ca="1" si="13"/>
        <v/>
      </c>
      <c r="P40" s="76" t="str">
        <f t="shared" ca="1" si="14"/>
        <v/>
      </c>
      <c r="Q40" s="75" t="str">
        <f t="shared" ca="1" si="15"/>
        <v/>
      </c>
      <c r="R40" s="77" t="str">
        <f t="shared" ca="1" si="16"/>
        <v/>
      </c>
      <c r="S40" s="89" t="str">
        <f t="shared" ca="1" si="17"/>
        <v/>
      </c>
      <c r="T40" s="88" t="str">
        <f t="shared" ca="1" si="18"/>
        <v/>
      </c>
      <c r="U40" s="92" t="str">
        <f t="shared" ca="1" si="19"/>
        <v/>
      </c>
      <c r="V40" s="88" t="str">
        <f t="shared" ca="1" si="20"/>
        <v/>
      </c>
      <c r="W40" s="92" t="str">
        <f t="shared" ca="1" si="21"/>
        <v/>
      </c>
      <c r="X40" s="88" t="str">
        <f t="shared" ca="1" si="22"/>
        <v/>
      </c>
      <c r="Y40" s="92" t="str">
        <f t="shared" ca="1" si="23"/>
        <v/>
      </c>
      <c r="Z40" s="88" t="str">
        <f t="shared" ca="1" si="24"/>
        <v/>
      </c>
      <c r="AA40" s="89" t="str">
        <f t="shared" ca="1" si="25"/>
        <v/>
      </c>
      <c r="AB40" s="88" t="str">
        <f t="shared" ca="1" si="26"/>
        <v/>
      </c>
      <c r="AC40" s="92" t="str">
        <f t="shared" ca="1" si="27"/>
        <v/>
      </c>
      <c r="AD40" s="88" t="str">
        <f t="shared" ca="1" si="28"/>
        <v/>
      </c>
      <c r="AE40" s="92" t="str">
        <f t="shared" ca="1" si="29"/>
        <v/>
      </c>
      <c r="AF40" s="88" t="str">
        <f t="shared" ca="1" si="30"/>
        <v/>
      </c>
      <c r="AG40" s="92" t="str">
        <f t="shared" ca="1" si="31"/>
        <v/>
      </c>
      <c r="AH40" s="88" t="str">
        <f t="shared" ca="1" si="32"/>
        <v/>
      </c>
      <c r="AI40" s="92" t="str">
        <f t="shared" ca="1" si="33"/>
        <v/>
      </c>
      <c r="AJ40" s="88" t="str">
        <f t="shared" ca="1" si="34"/>
        <v/>
      </c>
      <c r="AK40" s="92" t="str">
        <f t="shared" ca="1" si="35"/>
        <v/>
      </c>
      <c r="AL40" s="77" t="str">
        <f t="shared" ca="1" si="36"/>
        <v/>
      </c>
      <c r="AM40" s="89" t="str">
        <f t="shared" ca="1" si="37"/>
        <v/>
      </c>
      <c r="AN40" s="88" t="str">
        <f t="shared" ca="1" si="38"/>
        <v/>
      </c>
      <c r="AO40" s="89" t="str">
        <f t="shared" ca="1" si="39"/>
        <v/>
      </c>
      <c r="AP40" s="77" t="str">
        <f t="shared" ca="1" si="40"/>
        <v/>
      </c>
      <c r="AQ40" s="94" t="str">
        <f t="shared" ca="1" si="41"/>
        <v/>
      </c>
      <c r="AR40" s="77" t="str">
        <f t="shared" ca="1" si="42"/>
        <v/>
      </c>
      <c r="AS40" s="94" t="str">
        <f t="shared" ca="1" si="43"/>
        <v/>
      </c>
      <c r="AT40" s="77" t="str">
        <f t="shared" ca="1" si="44"/>
        <v/>
      </c>
      <c r="AU40" s="93" t="str">
        <f t="shared" ca="1" si="45"/>
        <v/>
      </c>
      <c r="AV40" s="77" t="str">
        <f t="shared" ca="1" si="46"/>
        <v/>
      </c>
      <c r="AW40" s="93" t="str">
        <f t="shared" ca="1" si="47"/>
        <v/>
      </c>
      <c r="AX40" s="77" t="str">
        <f t="shared" ca="1" si="48"/>
        <v/>
      </c>
      <c r="AY40" s="93" t="str">
        <f t="shared" ca="1" si="49"/>
        <v/>
      </c>
      <c r="AZ40" s="77" t="str">
        <f t="shared" ca="1" si="50"/>
        <v/>
      </c>
      <c r="BA40" s="93" t="str">
        <f t="shared" ca="1" si="51"/>
        <v/>
      </c>
      <c r="BB40" s="77" t="str">
        <f t="shared" ca="1" si="52"/>
        <v/>
      </c>
      <c r="BC40" s="93" t="str">
        <f t="shared" ca="1" si="53"/>
        <v/>
      </c>
    </row>
    <row r="41" spans="1:55" ht="15.95" customHeight="1" x14ac:dyDescent="0.2">
      <c r="A41" s="41" t="str">
        <f>IF(Customization!B41="","",Customization!B41)</f>
        <v/>
      </c>
      <c r="B41" s="79" t="str">
        <f t="shared" ca="1" si="2"/>
        <v/>
      </c>
      <c r="C41" s="29" t="str">
        <f t="shared" ca="1" si="3"/>
        <v/>
      </c>
      <c r="D41" s="7" t="str">
        <f t="shared" ca="1" si="0"/>
        <v/>
      </c>
      <c r="E41" s="29" t="str">
        <f t="shared" ca="1" si="4"/>
        <v/>
      </c>
      <c r="F41" s="7" t="str">
        <f t="shared" ca="1" si="1"/>
        <v/>
      </c>
      <c r="G41" s="29" t="str">
        <f t="shared" ca="1" si="5"/>
        <v/>
      </c>
      <c r="H41" s="7" t="str">
        <f t="shared" ca="1" si="6"/>
        <v/>
      </c>
      <c r="I41" s="28" t="str">
        <f t="shared" ca="1" si="7"/>
        <v/>
      </c>
      <c r="J41" s="7" t="str">
        <f t="shared" ca="1" si="8"/>
        <v/>
      </c>
      <c r="K41" s="73" t="str">
        <f t="shared" ca="1" si="9"/>
        <v/>
      </c>
      <c r="L41" s="74" t="str">
        <f t="shared" ca="1" si="10"/>
        <v/>
      </c>
      <c r="M41" s="75" t="str">
        <f t="shared" ca="1" si="11"/>
        <v/>
      </c>
      <c r="N41" s="76" t="str">
        <f t="shared" ca="1" si="12"/>
        <v/>
      </c>
      <c r="O41" s="75" t="str">
        <f t="shared" ca="1" si="13"/>
        <v/>
      </c>
      <c r="P41" s="76" t="str">
        <f t="shared" ca="1" si="14"/>
        <v/>
      </c>
      <c r="Q41" s="75" t="str">
        <f t="shared" ca="1" si="15"/>
        <v/>
      </c>
      <c r="R41" s="77" t="str">
        <f t="shared" ca="1" si="16"/>
        <v/>
      </c>
      <c r="S41" s="89" t="str">
        <f t="shared" ca="1" si="17"/>
        <v/>
      </c>
      <c r="T41" s="88" t="str">
        <f t="shared" ca="1" si="18"/>
        <v/>
      </c>
      <c r="U41" s="92" t="str">
        <f t="shared" ca="1" si="19"/>
        <v/>
      </c>
      <c r="V41" s="88" t="str">
        <f t="shared" ca="1" si="20"/>
        <v/>
      </c>
      <c r="W41" s="92" t="str">
        <f t="shared" ca="1" si="21"/>
        <v/>
      </c>
      <c r="X41" s="88" t="str">
        <f t="shared" ca="1" si="22"/>
        <v/>
      </c>
      <c r="Y41" s="92" t="str">
        <f t="shared" ca="1" si="23"/>
        <v/>
      </c>
      <c r="Z41" s="88" t="str">
        <f t="shared" ca="1" si="24"/>
        <v/>
      </c>
      <c r="AA41" s="89" t="str">
        <f t="shared" ca="1" si="25"/>
        <v/>
      </c>
      <c r="AB41" s="88" t="str">
        <f t="shared" ca="1" si="26"/>
        <v/>
      </c>
      <c r="AC41" s="92" t="str">
        <f t="shared" ca="1" si="27"/>
        <v/>
      </c>
      <c r="AD41" s="88" t="str">
        <f t="shared" ca="1" si="28"/>
        <v/>
      </c>
      <c r="AE41" s="92" t="str">
        <f t="shared" ca="1" si="29"/>
        <v/>
      </c>
      <c r="AF41" s="88" t="str">
        <f t="shared" ca="1" si="30"/>
        <v/>
      </c>
      <c r="AG41" s="92" t="str">
        <f t="shared" ca="1" si="31"/>
        <v/>
      </c>
      <c r="AH41" s="88" t="str">
        <f t="shared" ca="1" si="32"/>
        <v/>
      </c>
      <c r="AI41" s="92" t="str">
        <f t="shared" ca="1" si="33"/>
        <v/>
      </c>
      <c r="AJ41" s="88" t="str">
        <f t="shared" ca="1" si="34"/>
        <v/>
      </c>
      <c r="AK41" s="92" t="str">
        <f t="shared" ca="1" si="35"/>
        <v/>
      </c>
      <c r="AL41" s="77" t="str">
        <f t="shared" ca="1" si="36"/>
        <v/>
      </c>
      <c r="AM41" s="89" t="str">
        <f t="shared" ca="1" si="37"/>
        <v/>
      </c>
      <c r="AN41" s="88" t="str">
        <f t="shared" ca="1" si="38"/>
        <v/>
      </c>
      <c r="AO41" s="89" t="str">
        <f t="shared" ca="1" si="39"/>
        <v/>
      </c>
      <c r="AP41" s="77" t="str">
        <f t="shared" ca="1" si="40"/>
        <v/>
      </c>
      <c r="AQ41" s="94" t="str">
        <f t="shared" ca="1" si="41"/>
        <v/>
      </c>
      <c r="AR41" s="77" t="str">
        <f t="shared" ca="1" si="42"/>
        <v/>
      </c>
      <c r="AS41" s="94" t="str">
        <f t="shared" ca="1" si="43"/>
        <v/>
      </c>
      <c r="AT41" s="77" t="str">
        <f t="shared" ca="1" si="44"/>
        <v/>
      </c>
      <c r="AU41" s="93" t="str">
        <f t="shared" ca="1" si="45"/>
        <v/>
      </c>
      <c r="AV41" s="77" t="str">
        <f t="shared" ca="1" si="46"/>
        <v/>
      </c>
      <c r="AW41" s="93" t="str">
        <f t="shared" ca="1" si="47"/>
        <v/>
      </c>
      <c r="AX41" s="77" t="str">
        <f t="shared" ca="1" si="48"/>
        <v/>
      </c>
      <c r="AY41" s="93" t="str">
        <f t="shared" ca="1" si="49"/>
        <v/>
      </c>
      <c r="AZ41" s="77" t="str">
        <f t="shared" ca="1" si="50"/>
        <v/>
      </c>
      <c r="BA41" s="93" t="str">
        <f t="shared" ca="1" si="51"/>
        <v/>
      </c>
      <c r="BB41" s="77" t="str">
        <f t="shared" ca="1" si="52"/>
        <v/>
      </c>
      <c r="BC41" s="93" t="str">
        <f t="shared" ca="1" si="53"/>
        <v/>
      </c>
    </row>
    <row r="42" spans="1:55" ht="15.95" customHeight="1" x14ac:dyDescent="0.2">
      <c r="A42" s="41" t="str">
        <f>IF(Customization!B42="","",Customization!B42)</f>
        <v/>
      </c>
      <c r="B42" s="79" t="str">
        <f t="shared" ca="1" si="2"/>
        <v/>
      </c>
      <c r="C42" s="29" t="str">
        <f t="shared" ca="1" si="3"/>
        <v/>
      </c>
      <c r="D42" s="7" t="str">
        <f t="shared" ca="1" si="0"/>
        <v/>
      </c>
      <c r="E42" s="29" t="str">
        <f t="shared" ca="1" si="4"/>
        <v/>
      </c>
      <c r="F42" s="7" t="str">
        <f t="shared" ca="1" si="1"/>
        <v/>
      </c>
      <c r="G42" s="29" t="str">
        <f t="shared" ca="1" si="5"/>
        <v/>
      </c>
      <c r="H42" s="7" t="str">
        <f t="shared" ca="1" si="6"/>
        <v/>
      </c>
      <c r="I42" s="28" t="str">
        <f t="shared" ca="1" si="7"/>
        <v/>
      </c>
      <c r="J42" s="7" t="str">
        <f t="shared" ca="1" si="8"/>
        <v/>
      </c>
      <c r="K42" s="73" t="str">
        <f t="shared" ca="1" si="9"/>
        <v/>
      </c>
      <c r="L42" s="74" t="str">
        <f t="shared" ca="1" si="10"/>
        <v/>
      </c>
      <c r="M42" s="75" t="str">
        <f t="shared" ca="1" si="11"/>
        <v/>
      </c>
      <c r="N42" s="76" t="str">
        <f t="shared" ca="1" si="12"/>
        <v/>
      </c>
      <c r="O42" s="75" t="str">
        <f t="shared" ca="1" si="13"/>
        <v/>
      </c>
      <c r="P42" s="76" t="str">
        <f t="shared" ca="1" si="14"/>
        <v/>
      </c>
      <c r="Q42" s="75" t="str">
        <f t="shared" ca="1" si="15"/>
        <v/>
      </c>
      <c r="R42" s="77" t="str">
        <f t="shared" ca="1" si="16"/>
        <v/>
      </c>
      <c r="S42" s="89" t="str">
        <f t="shared" ca="1" si="17"/>
        <v/>
      </c>
      <c r="T42" s="88" t="str">
        <f t="shared" ca="1" si="18"/>
        <v/>
      </c>
      <c r="U42" s="92" t="str">
        <f t="shared" ca="1" si="19"/>
        <v/>
      </c>
      <c r="V42" s="88" t="str">
        <f t="shared" ca="1" si="20"/>
        <v/>
      </c>
      <c r="W42" s="92" t="str">
        <f t="shared" ca="1" si="21"/>
        <v/>
      </c>
      <c r="X42" s="88" t="str">
        <f t="shared" ca="1" si="22"/>
        <v/>
      </c>
      <c r="Y42" s="92" t="str">
        <f t="shared" ca="1" si="23"/>
        <v/>
      </c>
      <c r="Z42" s="88" t="str">
        <f t="shared" ca="1" si="24"/>
        <v/>
      </c>
      <c r="AA42" s="89" t="str">
        <f t="shared" ca="1" si="25"/>
        <v/>
      </c>
      <c r="AB42" s="88" t="str">
        <f t="shared" ca="1" si="26"/>
        <v/>
      </c>
      <c r="AC42" s="92" t="str">
        <f t="shared" ca="1" si="27"/>
        <v/>
      </c>
      <c r="AD42" s="88" t="str">
        <f t="shared" ca="1" si="28"/>
        <v/>
      </c>
      <c r="AE42" s="92" t="str">
        <f t="shared" ca="1" si="29"/>
        <v/>
      </c>
      <c r="AF42" s="88" t="str">
        <f t="shared" ca="1" si="30"/>
        <v/>
      </c>
      <c r="AG42" s="92" t="str">
        <f t="shared" ca="1" si="31"/>
        <v/>
      </c>
      <c r="AH42" s="88" t="str">
        <f t="shared" ca="1" si="32"/>
        <v/>
      </c>
      <c r="AI42" s="92" t="str">
        <f t="shared" ca="1" si="33"/>
        <v/>
      </c>
      <c r="AJ42" s="88" t="str">
        <f t="shared" ca="1" si="34"/>
        <v/>
      </c>
      <c r="AK42" s="92" t="str">
        <f t="shared" ca="1" si="35"/>
        <v/>
      </c>
      <c r="AL42" s="77" t="str">
        <f t="shared" ca="1" si="36"/>
        <v/>
      </c>
      <c r="AM42" s="89" t="str">
        <f t="shared" ca="1" si="37"/>
        <v/>
      </c>
      <c r="AN42" s="88" t="str">
        <f t="shared" ca="1" si="38"/>
        <v/>
      </c>
      <c r="AO42" s="89" t="str">
        <f t="shared" ca="1" si="39"/>
        <v/>
      </c>
      <c r="AP42" s="77" t="str">
        <f t="shared" ca="1" si="40"/>
        <v/>
      </c>
      <c r="AQ42" s="94" t="str">
        <f t="shared" ca="1" si="41"/>
        <v/>
      </c>
      <c r="AR42" s="77" t="str">
        <f t="shared" ca="1" si="42"/>
        <v/>
      </c>
      <c r="AS42" s="94" t="str">
        <f t="shared" ca="1" si="43"/>
        <v/>
      </c>
      <c r="AT42" s="77" t="str">
        <f t="shared" ca="1" si="44"/>
        <v/>
      </c>
      <c r="AU42" s="93" t="str">
        <f t="shared" ca="1" si="45"/>
        <v/>
      </c>
      <c r="AV42" s="77" t="str">
        <f t="shared" ca="1" si="46"/>
        <v/>
      </c>
      <c r="AW42" s="93" t="str">
        <f t="shared" ca="1" si="47"/>
        <v/>
      </c>
      <c r="AX42" s="77" t="str">
        <f t="shared" ca="1" si="48"/>
        <v/>
      </c>
      <c r="AY42" s="93" t="str">
        <f t="shared" ca="1" si="49"/>
        <v/>
      </c>
      <c r="AZ42" s="77" t="str">
        <f t="shared" ca="1" si="50"/>
        <v/>
      </c>
      <c r="BA42" s="93" t="str">
        <f t="shared" ca="1" si="51"/>
        <v/>
      </c>
      <c r="BB42" s="77" t="str">
        <f t="shared" ca="1" si="52"/>
        <v/>
      </c>
      <c r="BC42" s="93" t="str">
        <f t="shared" ca="1" si="53"/>
        <v/>
      </c>
    </row>
    <row r="43" spans="1:55" ht="15.95" customHeight="1" x14ac:dyDescent="0.2">
      <c r="A43" s="41" t="str">
        <f>IF(Customization!B43="","",Customization!B43)</f>
        <v/>
      </c>
      <c r="B43" s="79" t="str">
        <f t="shared" ca="1" si="2"/>
        <v/>
      </c>
      <c r="C43" s="29" t="str">
        <f t="shared" ca="1" si="3"/>
        <v/>
      </c>
      <c r="D43" s="7" t="str">
        <f t="shared" ca="1" si="0"/>
        <v/>
      </c>
      <c r="E43" s="29" t="str">
        <f t="shared" ca="1" si="4"/>
        <v/>
      </c>
      <c r="F43" s="7" t="str">
        <f t="shared" ca="1" si="1"/>
        <v/>
      </c>
      <c r="G43" s="29" t="str">
        <f t="shared" ca="1" si="5"/>
        <v/>
      </c>
      <c r="H43" s="7" t="str">
        <f t="shared" ca="1" si="6"/>
        <v/>
      </c>
      <c r="I43" s="28" t="str">
        <f t="shared" ca="1" si="7"/>
        <v/>
      </c>
      <c r="J43" s="7" t="str">
        <f t="shared" ca="1" si="8"/>
        <v/>
      </c>
      <c r="K43" s="73" t="str">
        <f t="shared" ca="1" si="9"/>
        <v/>
      </c>
      <c r="L43" s="74" t="str">
        <f t="shared" ca="1" si="10"/>
        <v/>
      </c>
      <c r="M43" s="75" t="str">
        <f t="shared" ca="1" si="11"/>
        <v/>
      </c>
      <c r="N43" s="76" t="str">
        <f t="shared" ca="1" si="12"/>
        <v/>
      </c>
      <c r="O43" s="75" t="str">
        <f t="shared" ca="1" si="13"/>
        <v/>
      </c>
      <c r="P43" s="76" t="str">
        <f t="shared" ca="1" si="14"/>
        <v/>
      </c>
      <c r="Q43" s="75" t="str">
        <f t="shared" ca="1" si="15"/>
        <v/>
      </c>
      <c r="R43" s="77" t="str">
        <f t="shared" ca="1" si="16"/>
        <v/>
      </c>
      <c r="S43" s="89" t="str">
        <f t="shared" ca="1" si="17"/>
        <v/>
      </c>
      <c r="T43" s="88" t="str">
        <f t="shared" ca="1" si="18"/>
        <v/>
      </c>
      <c r="U43" s="92" t="str">
        <f t="shared" ca="1" si="19"/>
        <v/>
      </c>
      <c r="V43" s="88" t="str">
        <f t="shared" ca="1" si="20"/>
        <v/>
      </c>
      <c r="W43" s="92" t="str">
        <f t="shared" ca="1" si="21"/>
        <v/>
      </c>
      <c r="X43" s="88" t="str">
        <f t="shared" ca="1" si="22"/>
        <v/>
      </c>
      <c r="Y43" s="92" t="str">
        <f t="shared" ca="1" si="23"/>
        <v/>
      </c>
      <c r="Z43" s="88" t="str">
        <f t="shared" ca="1" si="24"/>
        <v/>
      </c>
      <c r="AA43" s="89" t="str">
        <f t="shared" ca="1" si="25"/>
        <v/>
      </c>
      <c r="AB43" s="88" t="str">
        <f t="shared" ca="1" si="26"/>
        <v/>
      </c>
      <c r="AC43" s="92" t="str">
        <f t="shared" ca="1" si="27"/>
        <v/>
      </c>
      <c r="AD43" s="88" t="str">
        <f t="shared" ca="1" si="28"/>
        <v/>
      </c>
      <c r="AE43" s="92" t="str">
        <f t="shared" ca="1" si="29"/>
        <v/>
      </c>
      <c r="AF43" s="88" t="str">
        <f t="shared" ca="1" si="30"/>
        <v/>
      </c>
      <c r="AG43" s="92" t="str">
        <f t="shared" ca="1" si="31"/>
        <v/>
      </c>
      <c r="AH43" s="88" t="str">
        <f t="shared" ca="1" si="32"/>
        <v/>
      </c>
      <c r="AI43" s="92" t="str">
        <f t="shared" ca="1" si="33"/>
        <v/>
      </c>
      <c r="AJ43" s="88" t="str">
        <f t="shared" ca="1" si="34"/>
        <v/>
      </c>
      <c r="AK43" s="92" t="str">
        <f t="shared" ca="1" si="35"/>
        <v/>
      </c>
      <c r="AL43" s="77" t="str">
        <f t="shared" ca="1" si="36"/>
        <v/>
      </c>
      <c r="AM43" s="89" t="str">
        <f t="shared" ca="1" si="37"/>
        <v/>
      </c>
      <c r="AN43" s="88" t="str">
        <f t="shared" ca="1" si="38"/>
        <v/>
      </c>
      <c r="AO43" s="89" t="str">
        <f t="shared" ca="1" si="39"/>
        <v/>
      </c>
      <c r="AP43" s="77" t="str">
        <f t="shared" ca="1" si="40"/>
        <v/>
      </c>
      <c r="AQ43" s="94" t="str">
        <f t="shared" ca="1" si="41"/>
        <v/>
      </c>
      <c r="AR43" s="77" t="str">
        <f t="shared" ca="1" si="42"/>
        <v/>
      </c>
      <c r="AS43" s="94" t="str">
        <f t="shared" ca="1" si="43"/>
        <v/>
      </c>
      <c r="AT43" s="77" t="str">
        <f t="shared" ca="1" si="44"/>
        <v/>
      </c>
      <c r="AU43" s="93" t="str">
        <f t="shared" ca="1" si="45"/>
        <v/>
      </c>
      <c r="AV43" s="77" t="str">
        <f t="shared" ca="1" si="46"/>
        <v/>
      </c>
      <c r="AW43" s="93" t="str">
        <f t="shared" ca="1" si="47"/>
        <v/>
      </c>
      <c r="AX43" s="77" t="str">
        <f t="shared" ca="1" si="48"/>
        <v/>
      </c>
      <c r="AY43" s="93" t="str">
        <f t="shared" ca="1" si="49"/>
        <v/>
      </c>
      <c r="AZ43" s="77" t="str">
        <f t="shared" ca="1" si="50"/>
        <v/>
      </c>
      <c r="BA43" s="93" t="str">
        <f t="shared" ca="1" si="51"/>
        <v/>
      </c>
      <c r="BB43" s="77" t="str">
        <f t="shared" ca="1" si="52"/>
        <v/>
      </c>
      <c r="BC43" s="93" t="str">
        <f t="shared" ca="1" si="53"/>
        <v/>
      </c>
    </row>
    <row r="44" spans="1:55" ht="15.95" customHeight="1" x14ac:dyDescent="0.2">
      <c r="A44" s="41" t="str">
        <f>IF(Customization!B44="","",Customization!B44)</f>
        <v/>
      </c>
      <c r="B44" s="79" t="str">
        <f t="shared" ca="1" si="2"/>
        <v/>
      </c>
      <c r="C44" s="29" t="str">
        <f t="shared" ca="1" si="3"/>
        <v/>
      </c>
      <c r="D44" s="7" t="str">
        <f t="shared" ca="1" si="0"/>
        <v/>
      </c>
      <c r="E44" s="29" t="str">
        <f t="shared" ca="1" si="4"/>
        <v/>
      </c>
      <c r="F44" s="7" t="str">
        <f t="shared" ca="1" si="1"/>
        <v/>
      </c>
      <c r="G44" s="29" t="str">
        <f t="shared" ca="1" si="5"/>
        <v/>
      </c>
      <c r="H44" s="7" t="str">
        <f t="shared" ca="1" si="6"/>
        <v/>
      </c>
      <c r="I44" s="28" t="str">
        <f t="shared" ca="1" si="7"/>
        <v/>
      </c>
      <c r="J44" s="7" t="str">
        <f t="shared" ca="1" si="8"/>
        <v/>
      </c>
      <c r="K44" s="73" t="str">
        <f t="shared" ca="1" si="9"/>
        <v/>
      </c>
      <c r="L44" s="74" t="str">
        <f t="shared" ca="1" si="10"/>
        <v/>
      </c>
      <c r="M44" s="75" t="str">
        <f t="shared" ca="1" si="11"/>
        <v/>
      </c>
      <c r="N44" s="76" t="str">
        <f t="shared" ca="1" si="12"/>
        <v/>
      </c>
      <c r="O44" s="75" t="str">
        <f t="shared" ca="1" si="13"/>
        <v/>
      </c>
      <c r="P44" s="76" t="str">
        <f t="shared" ca="1" si="14"/>
        <v/>
      </c>
      <c r="Q44" s="75" t="str">
        <f t="shared" ca="1" si="15"/>
        <v/>
      </c>
      <c r="R44" s="77" t="str">
        <f t="shared" ca="1" si="16"/>
        <v/>
      </c>
      <c r="S44" s="89" t="str">
        <f t="shared" ca="1" si="17"/>
        <v/>
      </c>
      <c r="T44" s="88" t="str">
        <f t="shared" ca="1" si="18"/>
        <v/>
      </c>
      <c r="U44" s="92" t="str">
        <f t="shared" ca="1" si="19"/>
        <v/>
      </c>
      <c r="V44" s="88" t="str">
        <f t="shared" ca="1" si="20"/>
        <v/>
      </c>
      <c r="W44" s="92" t="str">
        <f t="shared" ca="1" si="21"/>
        <v/>
      </c>
      <c r="X44" s="88" t="str">
        <f t="shared" ca="1" si="22"/>
        <v/>
      </c>
      <c r="Y44" s="92" t="str">
        <f t="shared" ca="1" si="23"/>
        <v/>
      </c>
      <c r="Z44" s="88" t="str">
        <f t="shared" ca="1" si="24"/>
        <v/>
      </c>
      <c r="AA44" s="89" t="str">
        <f t="shared" ca="1" si="25"/>
        <v/>
      </c>
      <c r="AB44" s="88" t="str">
        <f t="shared" ca="1" si="26"/>
        <v/>
      </c>
      <c r="AC44" s="92" t="str">
        <f t="shared" ca="1" si="27"/>
        <v/>
      </c>
      <c r="AD44" s="88" t="str">
        <f t="shared" ca="1" si="28"/>
        <v/>
      </c>
      <c r="AE44" s="92" t="str">
        <f t="shared" ca="1" si="29"/>
        <v/>
      </c>
      <c r="AF44" s="88" t="str">
        <f t="shared" ca="1" si="30"/>
        <v/>
      </c>
      <c r="AG44" s="92" t="str">
        <f t="shared" ca="1" si="31"/>
        <v/>
      </c>
      <c r="AH44" s="88" t="str">
        <f t="shared" ca="1" si="32"/>
        <v/>
      </c>
      <c r="AI44" s="92" t="str">
        <f t="shared" ca="1" si="33"/>
        <v/>
      </c>
      <c r="AJ44" s="88" t="str">
        <f t="shared" ca="1" si="34"/>
        <v/>
      </c>
      <c r="AK44" s="92" t="str">
        <f t="shared" ca="1" si="35"/>
        <v/>
      </c>
      <c r="AL44" s="77" t="str">
        <f t="shared" ca="1" si="36"/>
        <v/>
      </c>
      <c r="AM44" s="89" t="str">
        <f t="shared" ca="1" si="37"/>
        <v/>
      </c>
      <c r="AN44" s="88" t="str">
        <f t="shared" ca="1" si="38"/>
        <v/>
      </c>
      <c r="AO44" s="89" t="str">
        <f t="shared" ca="1" si="39"/>
        <v/>
      </c>
      <c r="AP44" s="77" t="str">
        <f t="shared" ca="1" si="40"/>
        <v/>
      </c>
      <c r="AQ44" s="94" t="str">
        <f t="shared" ca="1" si="41"/>
        <v/>
      </c>
      <c r="AR44" s="77" t="str">
        <f t="shared" ca="1" si="42"/>
        <v/>
      </c>
      <c r="AS44" s="94" t="str">
        <f t="shared" ca="1" si="43"/>
        <v/>
      </c>
      <c r="AT44" s="77" t="str">
        <f t="shared" ca="1" si="44"/>
        <v/>
      </c>
      <c r="AU44" s="93" t="str">
        <f t="shared" ca="1" si="45"/>
        <v/>
      </c>
      <c r="AV44" s="77" t="str">
        <f t="shared" ca="1" si="46"/>
        <v/>
      </c>
      <c r="AW44" s="93" t="str">
        <f t="shared" ca="1" si="47"/>
        <v/>
      </c>
      <c r="AX44" s="77" t="str">
        <f t="shared" ca="1" si="48"/>
        <v/>
      </c>
      <c r="AY44" s="93" t="str">
        <f t="shared" ca="1" si="49"/>
        <v/>
      </c>
      <c r="AZ44" s="77" t="str">
        <f t="shared" ca="1" si="50"/>
        <v/>
      </c>
      <c r="BA44" s="93" t="str">
        <f t="shared" ca="1" si="51"/>
        <v/>
      </c>
      <c r="BB44" s="77" t="str">
        <f t="shared" ca="1" si="52"/>
        <v/>
      </c>
      <c r="BC44" s="93" t="str">
        <f t="shared" ca="1" si="53"/>
        <v/>
      </c>
    </row>
    <row r="45" spans="1:55" ht="15.95" customHeight="1" x14ac:dyDescent="0.2">
      <c r="A45" s="41" t="str">
        <f>IF(Customization!B45="","",Customization!B45)</f>
        <v/>
      </c>
      <c r="B45" s="79" t="str">
        <f t="shared" ca="1" si="2"/>
        <v/>
      </c>
      <c r="C45" s="29" t="str">
        <f t="shared" ca="1" si="3"/>
        <v/>
      </c>
      <c r="D45" s="7" t="str">
        <f t="shared" ca="1" si="0"/>
        <v/>
      </c>
      <c r="E45" s="29" t="str">
        <f t="shared" ca="1" si="4"/>
        <v/>
      </c>
      <c r="F45" s="7" t="str">
        <f t="shared" ca="1" si="1"/>
        <v/>
      </c>
      <c r="G45" s="29" t="str">
        <f t="shared" ca="1" si="5"/>
        <v/>
      </c>
      <c r="H45" s="7" t="str">
        <f t="shared" ca="1" si="6"/>
        <v/>
      </c>
      <c r="I45" s="28" t="str">
        <f t="shared" ca="1" si="7"/>
        <v/>
      </c>
      <c r="J45" s="7" t="str">
        <f t="shared" ca="1" si="8"/>
        <v/>
      </c>
      <c r="K45" s="73" t="str">
        <f t="shared" ca="1" si="9"/>
        <v/>
      </c>
      <c r="L45" s="74" t="str">
        <f t="shared" ca="1" si="10"/>
        <v/>
      </c>
      <c r="M45" s="75" t="str">
        <f t="shared" ca="1" si="11"/>
        <v/>
      </c>
      <c r="N45" s="76" t="str">
        <f t="shared" ca="1" si="12"/>
        <v/>
      </c>
      <c r="O45" s="75" t="str">
        <f t="shared" ca="1" si="13"/>
        <v/>
      </c>
      <c r="P45" s="76" t="str">
        <f t="shared" ca="1" si="14"/>
        <v/>
      </c>
      <c r="Q45" s="75" t="str">
        <f t="shared" ca="1" si="15"/>
        <v/>
      </c>
      <c r="R45" s="77" t="str">
        <f t="shared" ca="1" si="16"/>
        <v/>
      </c>
      <c r="S45" s="89" t="str">
        <f t="shared" ca="1" si="17"/>
        <v/>
      </c>
      <c r="T45" s="88" t="str">
        <f t="shared" ca="1" si="18"/>
        <v/>
      </c>
      <c r="U45" s="92" t="str">
        <f t="shared" ca="1" si="19"/>
        <v/>
      </c>
      <c r="V45" s="88" t="str">
        <f t="shared" ca="1" si="20"/>
        <v/>
      </c>
      <c r="W45" s="92" t="str">
        <f t="shared" ca="1" si="21"/>
        <v/>
      </c>
      <c r="X45" s="88" t="str">
        <f t="shared" ca="1" si="22"/>
        <v/>
      </c>
      <c r="Y45" s="92" t="str">
        <f t="shared" ca="1" si="23"/>
        <v/>
      </c>
      <c r="Z45" s="88" t="str">
        <f t="shared" ca="1" si="24"/>
        <v/>
      </c>
      <c r="AA45" s="89" t="str">
        <f t="shared" ca="1" si="25"/>
        <v/>
      </c>
      <c r="AB45" s="88" t="str">
        <f t="shared" ca="1" si="26"/>
        <v/>
      </c>
      <c r="AC45" s="92" t="str">
        <f t="shared" ca="1" si="27"/>
        <v/>
      </c>
      <c r="AD45" s="88" t="str">
        <f t="shared" ca="1" si="28"/>
        <v/>
      </c>
      <c r="AE45" s="92" t="str">
        <f t="shared" ca="1" si="29"/>
        <v/>
      </c>
      <c r="AF45" s="88" t="str">
        <f t="shared" ca="1" si="30"/>
        <v/>
      </c>
      <c r="AG45" s="92" t="str">
        <f t="shared" ca="1" si="31"/>
        <v/>
      </c>
      <c r="AH45" s="88" t="str">
        <f t="shared" ca="1" si="32"/>
        <v/>
      </c>
      <c r="AI45" s="92" t="str">
        <f t="shared" ca="1" si="33"/>
        <v/>
      </c>
      <c r="AJ45" s="88" t="str">
        <f t="shared" ca="1" si="34"/>
        <v/>
      </c>
      <c r="AK45" s="92" t="str">
        <f t="shared" ca="1" si="35"/>
        <v/>
      </c>
      <c r="AL45" s="77" t="str">
        <f t="shared" ca="1" si="36"/>
        <v/>
      </c>
      <c r="AM45" s="89" t="str">
        <f t="shared" ca="1" si="37"/>
        <v/>
      </c>
      <c r="AN45" s="88" t="str">
        <f t="shared" ca="1" si="38"/>
        <v/>
      </c>
      <c r="AO45" s="89" t="str">
        <f t="shared" ca="1" si="39"/>
        <v/>
      </c>
      <c r="AP45" s="77" t="str">
        <f t="shared" ca="1" si="40"/>
        <v/>
      </c>
      <c r="AQ45" s="94" t="str">
        <f t="shared" ca="1" si="41"/>
        <v/>
      </c>
      <c r="AR45" s="77" t="str">
        <f t="shared" ca="1" si="42"/>
        <v/>
      </c>
      <c r="AS45" s="94" t="str">
        <f t="shared" ca="1" si="43"/>
        <v/>
      </c>
      <c r="AT45" s="77" t="str">
        <f t="shared" ca="1" si="44"/>
        <v/>
      </c>
      <c r="AU45" s="93" t="str">
        <f t="shared" ca="1" si="45"/>
        <v/>
      </c>
      <c r="AV45" s="77" t="str">
        <f t="shared" ca="1" si="46"/>
        <v/>
      </c>
      <c r="AW45" s="93" t="str">
        <f t="shared" ca="1" si="47"/>
        <v/>
      </c>
      <c r="AX45" s="77" t="str">
        <f t="shared" ca="1" si="48"/>
        <v/>
      </c>
      <c r="AY45" s="93" t="str">
        <f t="shared" ca="1" si="49"/>
        <v/>
      </c>
      <c r="AZ45" s="77" t="str">
        <f t="shared" ca="1" si="50"/>
        <v/>
      </c>
      <c r="BA45" s="93" t="str">
        <f t="shared" ca="1" si="51"/>
        <v/>
      </c>
      <c r="BB45" s="77" t="str">
        <f t="shared" ca="1" si="52"/>
        <v/>
      </c>
      <c r="BC45" s="93" t="str">
        <f t="shared" ca="1" si="53"/>
        <v/>
      </c>
    </row>
    <row r="46" spans="1:55" ht="15.95" customHeight="1" x14ac:dyDescent="0.2">
      <c r="A46" s="41" t="str">
        <f>IF(Customization!B46="","",Customization!B46)</f>
        <v/>
      </c>
      <c r="B46" s="79" t="str">
        <f t="shared" ca="1" si="2"/>
        <v/>
      </c>
      <c r="C46" s="29" t="str">
        <f t="shared" ca="1" si="3"/>
        <v/>
      </c>
      <c r="D46" s="7" t="str">
        <f t="shared" ca="1" si="0"/>
        <v/>
      </c>
      <c r="E46" s="29" t="str">
        <f t="shared" ca="1" si="4"/>
        <v/>
      </c>
      <c r="F46" s="7" t="str">
        <f t="shared" ca="1" si="1"/>
        <v/>
      </c>
      <c r="G46" s="29" t="str">
        <f t="shared" ca="1" si="5"/>
        <v/>
      </c>
      <c r="H46" s="7" t="str">
        <f t="shared" ca="1" si="6"/>
        <v/>
      </c>
      <c r="I46" s="28" t="str">
        <f t="shared" ca="1" si="7"/>
        <v/>
      </c>
      <c r="J46" s="7" t="str">
        <f t="shared" ca="1" si="8"/>
        <v/>
      </c>
      <c r="K46" s="73" t="str">
        <f t="shared" ca="1" si="9"/>
        <v/>
      </c>
      <c r="L46" s="74" t="str">
        <f t="shared" ca="1" si="10"/>
        <v/>
      </c>
      <c r="M46" s="75" t="str">
        <f t="shared" ca="1" si="11"/>
        <v/>
      </c>
      <c r="N46" s="76" t="str">
        <f t="shared" ca="1" si="12"/>
        <v/>
      </c>
      <c r="O46" s="75" t="str">
        <f t="shared" ca="1" si="13"/>
        <v/>
      </c>
      <c r="P46" s="76" t="str">
        <f t="shared" ca="1" si="14"/>
        <v/>
      </c>
      <c r="Q46" s="75" t="str">
        <f t="shared" ca="1" si="15"/>
        <v/>
      </c>
      <c r="R46" s="77" t="str">
        <f t="shared" ca="1" si="16"/>
        <v/>
      </c>
      <c r="S46" s="89" t="str">
        <f t="shared" ca="1" si="17"/>
        <v/>
      </c>
      <c r="T46" s="88" t="str">
        <f t="shared" ca="1" si="18"/>
        <v/>
      </c>
      <c r="U46" s="92" t="str">
        <f t="shared" ca="1" si="19"/>
        <v/>
      </c>
      <c r="V46" s="88" t="str">
        <f t="shared" ca="1" si="20"/>
        <v/>
      </c>
      <c r="W46" s="92" t="str">
        <f t="shared" ca="1" si="21"/>
        <v/>
      </c>
      <c r="X46" s="88" t="str">
        <f t="shared" ca="1" si="22"/>
        <v/>
      </c>
      <c r="Y46" s="92" t="str">
        <f t="shared" ca="1" si="23"/>
        <v/>
      </c>
      <c r="Z46" s="88" t="str">
        <f t="shared" ca="1" si="24"/>
        <v/>
      </c>
      <c r="AA46" s="89" t="str">
        <f t="shared" ca="1" si="25"/>
        <v/>
      </c>
      <c r="AB46" s="88" t="str">
        <f t="shared" ca="1" si="26"/>
        <v/>
      </c>
      <c r="AC46" s="92" t="str">
        <f t="shared" ca="1" si="27"/>
        <v/>
      </c>
      <c r="AD46" s="88" t="str">
        <f t="shared" ca="1" si="28"/>
        <v/>
      </c>
      <c r="AE46" s="92" t="str">
        <f t="shared" ca="1" si="29"/>
        <v/>
      </c>
      <c r="AF46" s="88" t="str">
        <f t="shared" ca="1" si="30"/>
        <v/>
      </c>
      <c r="AG46" s="92" t="str">
        <f t="shared" ca="1" si="31"/>
        <v/>
      </c>
      <c r="AH46" s="88" t="str">
        <f t="shared" ca="1" si="32"/>
        <v/>
      </c>
      <c r="AI46" s="92" t="str">
        <f t="shared" ca="1" si="33"/>
        <v/>
      </c>
      <c r="AJ46" s="88" t="str">
        <f t="shared" ca="1" si="34"/>
        <v/>
      </c>
      <c r="AK46" s="92" t="str">
        <f t="shared" ca="1" si="35"/>
        <v/>
      </c>
      <c r="AL46" s="77" t="str">
        <f t="shared" ca="1" si="36"/>
        <v/>
      </c>
      <c r="AM46" s="89" t="str">
        <f t="shared" ca="1" si="37"/>
        <v/>
      </c>
      <c r="AN46" s="88" t="str">
        <f t="shared" ca="1" si="38"/>
        <v/>
      </c>
      <c r="AO46" s="89" t="str">
        <f t="shared" ca="1" si="39"/>
        <v/>
      </c>
      <c r="AP46" s="77" t="str">
        <f t="shared" ca="1" si="40"/>
        <v/>
      </c>
      <c r="AQ46" s="94" t="str">
        <f t="shared" ca="1" si="41"/>
        <v/>
      </c>
      <c r="AR46" s="77" t="str">
        <f t="shared" ca="1" si="42"/>
        <v/>
      </c>
      <c r="AS46" s="94" t="str">
        <f t="shared" ca="1" si="43"/>
        <v/>
      </c>
      <c r="AT46" s="77" t="str">
        <f t="shared" ca="1" si="44"/>
        <v/>
      </c>
      <c r="AU46" s="93" t="str">
        <f t="shared" ca="1" si="45"/>
        <v/>
      </c>
      <c r="AV46" s="77" t="str">
        <f t="shared" ca="1" si="46"/>
        <v/>
      </c>
      <c r="AW46" s="93" t="str">
        <f t="shared" ca="1" si="47"/>
        <v/>
      </c>
      <c r="AX46" s="77" t="str">
        <f t="shared" ca="1" si="48"/>
        <v/>
      </c>
      <c r="AY46" s="93" t="str">
        <f t="shared" ca="1" si="49"/>
        <v/>
      </c>
      <c r="AZ46" s="77" t="str">
        <f t="shared" ca="1" si="50"/>
        <v/>
      </c>
      <c r="BA46" s="93" t="str">
        <f t="shared" ca="1" si="51"/>
        <v/>
      </c>
      <c r="BB46" s="77" t="str">
        <f t="shared" ca="1" si="52"/>
        <v/>
      </c>
      <c r="BC46" s="93" t="str">
        <f t="shared" ca="1" si="53"/>
        <v/>
      </c>
    </row>
    <row r="47" spans="1:55" ht="15.95" customHeight="1" x14ac:dyDescent="0.2">
      <c r="A47" s="41" t="str">
        <f>IF(Customization!B47="","",Customization!B47)</f>
        <v/>
      </c>
      <c r="B47" s="79" t="str">
        <f t="shared" ca="1" si="2"/>
        <v/>
      </c>
      <c r="C47" s="29" t="str">
        <f t="shared" ca="1" si="3"/>
        <v/>
      </c>
      <c r="D47" s="7" t="str">
        <f t="shared" ca="1" si="0"/>
        <v/>
      </c>
      <c r="E47" s="29" t="str">
        <f t="shared" ca="1" si="4"/>
        <v/>
      </c>
      <c r="F47" s="7" t="str">
        <f t="shared" ca="1" si="1"/>
        <v/>
      </c>
      <c r="G47" s="29" t="str">
        <f t="shared" ca="1" si="5"/>
        <v/>
      </c>
      <c r="H47" s="7" t="str">
        <f t="shared" ca="1" si="6"/>
        <v/>
      </c>
      <c r="I47" s="28" t="str">
        <f t="shared" ca="1" si="7"/>
        <v/>
      </c>
      <c r="J47" s="7" t="str">
        <f t="shared" ca="1" si="8"/>
        <v/>
      </c>
      <c r="K47" s="73" t="str">
        <f t="shared" ca="1" si="9"/>
        <v/>
      </c>
      <c r="L47" s="74" t="str">
        <f t="shared" ca="1" si="10"/>
        <v/>
      </c>
      <c r="M47" s="75" t="str">
        <f t="shared" ca="1" si="11"/>
        <v/>
      </c>
      <c r="N47" s="76" t="str">
        <f t="shared" ca="1" si="12"/>
        <v/>
      </c>
      <c r="O47" s="75" t="str">
        <f t="shared" ca="1" si="13"/>
        <v/>
      </c>
      <c r="P47" s="76" t="str">
        <f t="shared" ca="1" si="14"/>
        <v/>
      </c>
      <c r="Q47" s="75" t="str">
        <f t="shared" ca="1" si="15"/>
        <v/>
      </c>
      <c r="R47" s="77" t="str">
        <f t="shared" ca="1" si="16"/>
        <v/>
      </c>
      <c r="S47" s="89" t="str">
        <f t="shared" ca="1" si="17"/>
        <v/>
      </c>
      <c r="T47" s="88" t="str">
        <f t="shared" ca="1" si="18"/>
        <v/>
      </c>
      <c r="U47" s="92" t="str">
        <f t="shared" ca="1" si="19"/>
        <v/>
      </c>
      <c r="V47" s="88" t="str">
        <f t="shared" ca="1" si="20"/>
        <v/>
      </c>
      <c r="W47" s="92" t="str">
        <f t="shared" ca="1" si="21"/>
        <v/>
      </c>
      <c r="X47" s="88" t="str">
        <f t="shared" ca="1" si="22"/>
        <v/>
      </c>
      <c r="Y47" s="92" t="str">
        <f t="shared" ca="1" si="23"/>
        <v/>
      </c>
      <c r="Z47" s="88" t="str">
        <f t="shared" ca="1" si="24"/>
        <v/>
      </c>
      <c r="AA47" s="89" t="str">
        <f t="shared" ca="1" si="25"/>
        <v/>
      </c>
      <c r="AB47" s="88" t="str">
        <f t="shared" ca="1" si="26"/>
        <v/>
      </c>
      <c r="AC47" s="92" t="str">
        <f t="shared" ca="1" si="27"/>
        <v/>
      </c>
      <c r="AD47" s="88" t="str">
        <f t="shared" ca="1" si="28"/>
        <v/>
      </c>
      <c r="AE47" s="92" t="str">
        <f t="shared" ca="1" si="29"/>
        <v/>
      </c>
      <c r="AF47" s="88" t="str">
        <f t="shared" ca="1" si="30"/>
        <v/>
      </c>
      <c r="AG47" s="92" t="str">
        <f t="shared" ca="1" si="31"/>
        <v/>
      </c>
      <c r="AH47" s="88" t="str">
        <f t="shared" ca="1" si="32"/>
        <v/>
      </c>
      <c r="AI47" s="92" t="str">
        <f t="shared" ca="1" si="33"/>
        <v/>
      </c>
      <c r="AJ47" s="88" t="str">
        <f t="shared" ca="1" si="34"/>
        <v/>
      </c>
      <c r="AK47" s="92" t="str">
        <f t="shared" ca="1" si="35"/>
        <v/>
      </c>
      <c r="AL47" s="77" t="str">
        <f t="shared" ca="1" si="36"/>
        <v/>
      </c>
      <c r="AM47" s="89" t="str">
        <f t="shared" ca="1" si="37"/>
        <v/>
      </c>
      <c r="AN47" s="88" t="str">
        <f t="shared" ca="1" si="38"/>
        <v/>
      </c>
      <c r="AO47" s="89" t="str">
        <f t="shared" ca="1" si="39"/>
        <v/>
      </c>
      <c r="AP47" s="77" t="str">
        <f t="shared" ca="1" si="40"/>
        <v/>
      </c>
      <c r="AQ47" s="94" t="str">
        <f t="shared" ca="1" si="41"/>
        <v/>
      </c>
      <c r="AR47" s="77" t="str">
        <f t="shared" ca="1" si="42"/>
        <v/>
      </c>
      <c r="AS47" s="94" t="str">
        <f t="shared" ca="1" si="43"/>
        <v/>
      </c>
      <c r="AT47" s="77" t="str">
        <f t="shared" ca="1" si="44"/>
        <v/>
      </c>
      <c r="AU47" s="93" t="str">
        <f t="shared" ca="1" si="45"/>
        <v/>
      </c>
      <c r="AV47" s="77" t="str">
        <f t="shared" ca="1" si="46"/>
        <v/>
      </c>
      <c r="AW47" s="93" t="str">
        <f t="shared" ca="1" si="47"/>
        <v/>
      </c>
      <c r="AX47" s="77" t="str">
        <f t="shared" ca="1" si="48"/>
        <v/>
      </c>
      <c r="AY47" s="93" t="str">
        <f t="shared" ca="1" si="49"/>
        <v/>
      </c>
      <c r="AZ47" s="77" t="str">
        <f t="shared" ca="1" si="50"/>
        <v/>
      </c>
      <c r="BA47" s="93" t="str">
        <f t="shared" ca="1" si="51"/>
        <v/>
      </c>
      <c r="BB47" s="77" t="str">
        <f t="shared" ca="1" si="52"/>
        <v/>
      </c>
      <c r="BC47" s="93" t="str">
        <f t="shared" ca="1" si="53"/>
        <v/>
      </c>
    </row>
    <row r="48" spans="1:55" ht="15.95" customHeight="1" x14ac:dyDescent="0.2">
      <c r="A48" s="41" t="str">
        <f>IF(Customization!B48="","",Customization!B48)</f>
        <v/>
      </c>
      <c r="B48" s="79" t="str">
        <f t="shared" ca="1" si="2"/>
        <v/>
      </c>
      <c r="C48" s="29" t="str">
        <f t="shared" ca="1" si="3"/>
        <v/>
      </c>
      <c r="D48" s="7" t="str">
        <f t="shared" ca="1" si="0"/>
        <v/>
      </c>
      <c r="E48" s="29" t="str">
        <f t="shared" ca="1" si="4"/>
        <v/>
      </c>
      <c r="F48" s="7" t="str">
        <f t="shared" ca="1" si="1"/>
        <v/>
      </c>
      <c r="G48" s="29" t="str">
        <f t="shared" ca="1" si="5"/>
        <v/>
      </c>
      <c r="H48" s="7" t="str">
        <f t="shared" ca="1" si="6"/>
        <v/>
      </c>
      <c r="I48" s="28" t="str">
        <f t="shared" ca="1" si="7"/>
        <v/>
      </c>
      <c r="J48" s="7" t="str">
        <f t="shared" ca="1" si="8"/>
        <v/>
      </c>
      <c r="K48" s="73" t="str">
        <f t="shared" ca="1" si="9"/>
        <v/>
      </c>
      <c r="L48" s="74" t="str">
        <f t="shared" ca="1" si="10"/>
        <v/>
      </c>
      <c r="M48" s="75" t="str">
        <f t="shared" ca="1" si="11"/>
        <v/>
      </c>
      <c r="N48" s="76" t="str">
        <f t="shared" ca="1" si="12"/>
        <v/>
      </c>
      <c r="O48" s="75" t="str">
        <f t="shared" ca="1" si="13"/>
        <v/>
      </c>
      <c r="P48" s="76" t="str">
        <f t="shared" ca="1" si="14"/>
        <v/>
      </c>
      <c r="Q48" s="75" t="str">
        <f t="shared" ca="1" si="15"/>
        <v/>
      </c>
      <c r="R48" s="77" t="str">
        <f t="shared" ca="1" si="16"/>
        <v/>
      </c>
      <c r="S48" s="89" t="str">
        <f t="shared" ca="1" si="17"/>
        <v/>
      </c>
      <c r="T48" s="88" t="str">
        <f t="shared" ca="1" si="18"/>
        <v/>
      </c>
      <c r="U48" s="92" t="str">
        <f t="shared" ca="1" si="19"/>
        <v/>
      </c>
      <c r="V48" s="88" t="str">
        <f t="shared" ca="1" si="20"/>
        <v/>
      </c>
      <c r="W48" s="92" t="str">
        <f t="shared" ca="1" si="21"/>
        <v/>
      </c>
      <c r="X48" s="88" t="str">
        <f t="shared" ca="1" si="22"/>
        <v/>
      </c>
      <c r="Y48" s="92" t="str">
        <f t="shared" ca="1" si="23"/>
        <v/>
      </c>
      <c r="Z48" s="88" t="str">
        <f t="shared" ca="1" si="24"/>
        <v/>
      </c>
      <c r="AA48" s="89" t="str">
        <f t="shared" ca="1" si="25"/>
        <v/>
      </c>
      <c r="AB48" s="88" t="str">
        <f t="shared" ca="1" si="26"/>
        <v/>
      </c>
      <c r="AC48" s="92" t="str">
        <f t="shared" ca="1" si="27"/>
        <v/>
      </c>
      <c r="AD48" s="88" t="str">
        <f t="shared" ca="1" si="28"/>
        <v/>
      </c>
      <c r="AE48" s="92" t="str">
        <f t="shared" ca="1" si="29"/>
        <v/>
      </c>
      <c r="AF48" s="88" t="str">
        <f t="shared" ca="1" si="30"/>
        <v/>
      </c>
      <c r="AG48" s="92" t="str">
        <f t="shared" ca="1" si="31"/>
        <v/>
      </c>
      <c r="AH48" s="88" t="str">
        <f t="shared" ca="1" si="32"/>
        <v/>
      </c>
      <c r="AI48" s="92" t="str">
        <f t="shared" ca="1" si="33"/>
        <v/>
      </c>
      <c r="AJ48" s="88" t="str">
        <f t="shared" ca="1" si="34"/>
        <v/>
      </c>
      <c r="AK48" s="92" t="str">
        <f t="shared" ca="1" si="35"/>
        <v/>
      </c>
      <c r="AL48" s="77" t="str">
        <f t="shared" ca="1" si="36"/>
        <v/>
      </c>
      <c r="AM48" s="89" t="str">
        <f t="shared" ca="1" si="37"/>
        <v/>
      </c>
      <c r="AN48" s="88" t="str">
        <f t="shared" ca="1" si="38"/>
        <v/>
      </c>
      <c r="AO48" s="89" t="str">
        <f t="shared" ca="1" si="39"/>
        <v/>
      </c>
      <c r="AP48" s="77" t="str">
        <f t="shared" ca="1" si="40"/>
        <v/>
      </c>
      <c r="AQ48" s="94" t="str">
        <f t="shared" ca="1" si="41"/>
        <v/>
      </c>
      <c r="AR48" s="77" t="str">
        <f t="shared" ca="1" si="42"/>
        <v/>
      </c>
      <c r="AS48" s="94" t="str">
        <f t="shared" ca="1" si="43"/>
        <v/>
      </c>
      <c r="AT48" s="77" t="str">
        <f t="shared" ca="1" si="44"/>
        <v/>
      </c>
      <c r="AU48" s="93" t="str">
        <f t="shared" ca="1" si="45"/>
        <v/>
      </c>
      <c r="AV48" s="77" t="str">
        <f t="shared" ca="1" si="46"/>
        <v/>
      </c>
      <c r="AW48" s="93" t="str">
        <f t="shared" ca="1" si="47"/>
        <v/>
      </c>
      <c r="AX48" s="77" t="str">
        <f t="shared" ca="1" si="48"/>
        <v/>
      </c>
      <c r="AY48" s="93" t="str">
        <f t="shared" ca="1" si="49"/>
        <v/>
      </c>
      <c r="AZ48" s="77" t="str">
        <f t="shared" ca="1" si="50"/>
        <v/>
      </c>
      <c r="BA48" s="93" t="str">
        <f t="shared" ca="1" si="51"/>
        <v/>
      </c>
      <c r="BB48" s="77" t="str">
        <f t="shared" ca="1" si="52"/>
        <v/>
      </c>
      <c r="BC48" s="93" t="str">
        <f t="shared" ca="1" si="53"/>
        <v/>
      </c>
    </row>
    <row r="49" spans="1:55" ht="15.95" customHeight="1" x14ac:dyDescent="0.2">
      <c r="A49" s="41" t="str">
        <f>IF(Customization!B49="","",Customization!B49)</f>
        <v/>
      </c>
      <c r="B49" s="79" t="str">
        <f t="shared" ca="1" si="2"/>
        <v/>
      </c>
      <c r="C49" s="29" t="str">
        <f t="shared" ca="1" si="3"/>
        <v/>
      </c>
      <c r="D49" s="7" t="str">
        <f t="shared" ca="1" si="0"/>
        <v/>
      </c>
      <c r="E49" s="29" t="str">
        <f t="shared" ca="1" si="4"/>
        <v/>
      </c>
      <c r="F49" s="7" t="str">
        <f t="shared" ca="1" si="1"/>
        <v/>
      </c>
      <c r="G49" s="29" t="str">
        <f t="shared" ca="1" si="5"/>
        <v/>
      </c>
      <c r="H49" s="7" t="str">
        <f t="shared" ca="1" si="6"/>
        <v/>
      </c>
      <c r="I49" s="28" t="str">
        <f t="shared" ca="1" si="7"/>
        <v/>
      </c>
      <c r="J49" s="7" t="str">
        <f t="shared" ca="1" si="8"/>
        <v/>
      </c>
      <c r="K49" s="73" t="str">
        <f t="shared" ca="1" si="9"/>
        <v/>
      </c>
      <c r="L49" s="74" t="str">
        <f t="shared" ca="1" si="10"/>
        <v/>
      </c>
      <c r="M49" s="75" t="str">
        <f t="shared" ca="1" si="11"/>
        <v/>
      </c>
      <c r="N49" s="76" t="str">
        <f t="shared" ca="1" si="12"/>
        <v/>
      </c>
      <c r="O49" s="75" t="str">
        <f t="shared" ca="1" si="13"/>
        <v/>
      </c>
      <c r="P49" s="76" t="str">
        <f t="shared" ca="1" si="14"/>
        <v/>
      </c>
      <c r="Q49" s="75" t="str">
        <f t="shared" ca="1" si="15"/>
        <v/>
      </c>
      <c r="R49" s="77" t="str">
        <f t="shared" ca="1" si="16"/>
        <v/>
      </c>
      <c r="S49" s="89" t="str">
        <f t="shared" ca="1" si="17"/>
        <v/>
      </c>
      <c r="T49" s="88" t="str">
        <f t="shared" ca="1" si="18"/>
        <v/>
      </c>
      <c r="U49" s="92" t="str">
        <f t="shared" ca="1" si="19"/>
        <v/>
      </c>
      <c r="V49" s="88" t="str">
        <f t="shared" ca="1" si="20"/>
        <v/>
      </c>
      <c r="W49" s="92" t="str">
        <f t="shared" ca="1" si="21"/>
        <v/>
      </c>
      <c r="X49" s="88" t="str">
        <f t="shared" ca="1" si="22"/>
        <v/>
      </c>
      <c r="Y49" s="92" t="str">
        <f t="shared" ca="1" si="23"/>
        <v/>
      </c>
      <c r="Z49" s="88" t="str">
        <f t="shared" ca="1" si="24"/>
        <v/>
      </c>
      <c r="AA49" s="89" t="str">
        <f t="shared" ca="1" si="25"/>
        <v/>
      </c>
      <c r="AB49" s="88" t="str">
        <f t="shared" ca="1" si="26"/>
        <v/>
      </c>
      <c r="AC49" s="92" t="str">
        <f t="shared" ca="1" si="27"/>
        <v/>
      </c>
      <c r="AD49" s="88" t="str">
        <f t="shared" ca="1" si="28"/>
        <v/>
      </c>
      <c r="AE49" s="92" t="str">
        <f t="shared" ca="1" si="29"/>
        <v/>
      </c>
      <c r="AF49" s="88" t="str">
        <f t="shared" ca="1" si="30"/>
        <v/>
      </c>
      <c r="AG49" s="92" t="str">
        <f t="shared" ca="1" si="31"/>
        <v/>
      </c>
      <c r="AH49" s="88" t="str">
        <f t="shared" ca="1" si="32"/>
        <v/>
      </c>
      <c r="AI49" s="92" t="str">
        <f t="shared" ca="1" si="33"/>
        <v/>
      </c>
      <c r="AJ49" s="88" t="str">
        <f t="shared" ca="1" si="34"/>
        <v/>
      </c>
      <c r="AK49" s="92" t="str">
        <f t="shared" ca="1" si="35"/>
        <v/>
      </c>
      <c r="AL49" s="77" t="str">
        <f t="shared" ca="1" si="36"/>
        <v/>
      </c>
      <c r="AM49" s="89" t="str">
        <f t="shared" ca="1" si="37"/>
        <v/>
      </c>
      <c r="AN49" s="88" t="str">
        <f t="shared" ca="1" si="38"/>
        <v/>
      </c>
      <c r="AO49" s="89" t="str">
        <f t="shared" ca="1" si="39"/>
        <v/>
      </c>
      <c r="AP49" s="77" t="str">
        <f t="shared" ca="1" si="40"/>
        <v/>
      </c>
      <c r="AQ49" s="94" t="str">
        <f t="shared" ca="1" si="41"/>
        <v/>
      </c>
      <c r="AR49" s="77" t="str">
        <f t="shared" ca="1" si="42"/>
        <v/>
      </c>
      <c r="AS49" s="94" t="str">
        <f t="shared" ca="1" si="43"/>
        <v/>
      </c>
      <c r="AT49" s="77" t="str">
        <f t="shared" ca="1" si="44"/>
        <v/>
      </c>
      <c r="AU49" s="93" t="str">
        <f t="shared" ca="1" si="45"/>
        <v/>
      </c>
      <c r="AV49" s="77" t="str">
        <f t="shared" ca="1" si="46"/>
        <v/>
      </c>
      <c r="AW49" s="93" t="str">
        <f t="shared" ca="1" si="47"/>
        <v/>
      </c>
      <c r="AX49" s="77" t="str">
        <f t="shared" ca="1" si="48"/>
        <v/>
      </c>
      <c r="AY49" s="93" t="str">
        <f t="shared" ca="1" si="49"/>
        <v/>
      </c>
      <c r="AZ49" s="77" t="str">
        <f t="shared" ca="1" si="50"/>
        <v/>
      </c>
      <c r="BA49" s="93" t="str">
        <f t="shared" ca="1" si="51"/>
        <v/>
      </c>
      <c r="BB49" s="77" t="str">
        <f t="shared" ca="1" si="52"/>
        <v/>
      </c>
      <c r="BC49" s="93" t="str">
        <f t="shared" ca="1" si="53"/>
        <v/>
      </c>
    </row>
    <row r="50" spans="1:55" ht="15.95" customHeight="1" x14ac:dyDescent="0.2">
      <c r="A50" s="41" t="str">
        <f>IF(Customization!B50="","",Customization!B50)</f>
        <v/>
      </c>
      <c r="B50" s="79" t="str">
        <f t="shared" ca="1" si="2"/>
        <v/>
      </c>
      <c r="C50" s="29" t="str">
        <f t="shared" ca="1" si="3"/>
        <v/>
      </c>
      <c r="D50" s="7" t="str">
        <f t="shared" ca="1" si="0"/>
        <v/>
      </c>
      <c r="E50" s="29" t="str">
        <f t="shared" ca="1" si="4"/>
        <v/>
      </c>
      <c r="F50" s="7" t="str">
        <f t="shared" ca="1" si="1"/>
        <v/>
      </c>
      <c r="G50" s="29" t="str">
        <f t="shared" ca="1" si="5"/>
        <v/>
      </c>
      <c r="H50" s="7" t="str">
        <f t="shared" ca="1" si="6"/>
        <v/>
      </c>
      <c r="I50" s="28" t="str">
        <f t="shared" ca="1" si="7"/>
        <v/>
      </c>
      <c r="J50" s="7" t="str">
        <f t="shared" ca="1" si="8"/>
        <v/>
      </c>
      <c r="K50" s="73" t="str">
        <f t="shared" ca="1" si="9"/>
        <v/>
      </c>
      <c r="L50" s="74" t="str">
        <f t="shared" ca="1" si="10"/>
        <v/>
      </c>
      <c r="M50" s="75" t="str">
        <f t="shared" ca="1" si="11"/>
        <v/>
      </c>
      <c r="N50" s="76" t="str">
        <f t="shared" ca="1" si="12"/>
        <v/>
      </c>
      <c r="O50" s="75" t="str">
        <f t="shared" ca="1" si="13"/>
        <v/>
      </c>
      <c r="P50" s="76" t="str">
        <f t="shared" ca="1" si="14"/>
        <v/>
      </c>
      <c r="Q50" s="75" t="str">
        <f t="shared" ca="1" si="15"/>
        <v/>
      </c>
      <c r="R50" s="77" t="str">
        <f t="shared" ca="1" si="16"/>
        <v/>
      </c>
      <c r="S50" s="89" t="str">
        <f t="shared" ca="1" si="17"/>
        <v/>
      </c>
      <c r="T50" s="88" t="str">
        <f t="shared" ca="1" si="18"/>
        <v/>
      </c>
      <c r="U50" s="92" t="str">
        <f t="shared" ca="1" si="19"/>
        <v/>
      </c>
      <c r="V50" s="88" t="str">
        <f t="shared" ca="1" si="20"/>
        <v/>
      </c>
      <c r="W50" s="92" t="str">
        <f t="shared" ca="1" si="21"/>
        <v/>
      </c>
      <c r="X50" s="88" t="str">
        <f t="shared" ca="1" si="22"/>
        <v/>
      </c>
      <c r="Y50" s="92" t="str">
        <f t="shared" ca="1" si="23"/>
        <v/>
      </c>
      <c r="Z50" s="88" t="str">
        <f t="shared" ca="1" si="24"/>
        <v/>
      </c>
      <c r="AA50" s="89" t="str">
        <f t="shared" ca="1" si="25"/>
        <v/>
      </c>
      <c r="AB50" s="88" t="str">
        <f t="shared" ca="1" si="26"/>
        <v/>
      </c>
      <c r="AC50" s="92" t="str">
        <f t="shared" ca="1" si="27"/>
        <v/>
      </c>
      <c r="AD50" s="88" t="str">
        <f t="shared" ca="1" si="28"/>
        <v/>
      </c>
      <c r="AE50" s="92" t="str">
        <f t="shared" ca="1" si="29"/>
        <v/>
      </c>
      <c r="AF50" s="88" t="str">
        <f t="shared" ca="1" si="30"/>
        <v/>
      </c>
      <c r="AG50" s="92" t="str">
        <f t="shared" ca="1" si="31"/>
        <v/>
      </c>
      <c r="AH50" s="88" t="str">
        <f t="shared" ca="1" si="32"/>
        <v/>
      </c>
      <c r="AI50" s="92" t="str">
        <f t="shared" ca="1" si="33"/>
        <v/>
      </c>
      <c r="AJ50" s="88" t="str">
        <f t="shared" ca="1" si="34"/>
        <v/>
      </c>
      <c r="AK50" s="92" t="str">
        <f t="shared" ca="1" si="35"/>
        <v/>
      </c>
      <c r="AL50" s="77" t="str">
        <f t="shared" ca="1" si="36"/>
        <v/>
      </c>
      <c r="AM50" s="89" t="str">
        <f t="shared" ca="1" si="37"/>
        <v/>
      </c>
      <c r="AN50" s="88" t="str">
        <f t="shared" ca="1" si="38"/>
        <v/>
      </c>
      <c r="AO50" s="89" t="str">
        <f t="shared" ca="1" si="39"/>
        <v/>
      </c>
      <c r="AP50" s="77" t="str">
        <f t="shared" ca="1" si="40"/>
        <v/>
      </c>
      <c r="AQ50" s="94" t="str">
        <f t="shared" ca="1" si="41"/>
        <v/>
      </c>
      <c r="AR50" s="77" t="str">
        <f t="shared" ca="1" si="42"/>
        <v/>
      </c>
      <c r="AS50" s="94" t="str">
        <f t="shared" ca="1" si="43"/>
        <v/>
      </c>
      <c r="AT50" s="77" t="str">
        <f t="shared" ca="1" si="44"/>
        <v/>
      </c>
      <c r="AU50" s="93" t="str">
        <f t="shared" ca="1" si="45"/>
        <v/>
      </c>
      <c r="AV50" s="77" t="str">
        <f t="shared" ca="1" si="46"/>
        <v/>
      </c>
      <c r="AW50" s="93" t="str">
        <f t="shared" ca="1" si="47"/>
        <v/>
      </c>
      <c r="AX50" s="77" t="str">
        <f t="shared" ca="1" si="48"/>
        <v/>
      </c>
      <c r="AY50" s="93" t="str">
        <f t="shared" ca="1" si="49"/>
        <v/>
      </c>
      <c r="AZ50" s="77" t="str">
        <f t="shared" ca="1" si="50"/>
        <v/>
      </c>
      <c r="BA50" s="93" t="str">
        <f t="shared" ca="1" si="51"/>
        <v/>
      </c>
      <c r="BB50" s="77" t="str">
        <f t="shared" ca="1" si="52"/>
        <v/>
      </c>
      <c r="BC50" s="93" t="str">
        <f t="shared" ca="1" si="53"/>
        <v/>
      </c>
    </row>
    <row r="51" spans="1:55" ht="15.95" customHeight="1" x14ac:dyDescent="0.2">
      <c r="A51" s="41" t="str">
        <f>IF(Customization!B51="","",Customization!B51)</f>
        <v/>
      </c>
      <c r="B51" s="79" t="str">
        <f t="shared" ca="1" si="2"/>
        <v/>
      </c>
      <c r="C51" s="29" t="str">
        <f t="shared" ca="1" si="3"/>
        <v/>
      </c>
      <c r="D51" s="7" t="str">
        <f t="shared" ca="1" si="0"/>
        <v/>
      </c>
      <c r="E51" s="29" t="str">
        <f t="shared" ca="1" si="4"/>
        <v/>
      </c>
      <c r="F51" s="7" t="str">
        <f t="shared" ca="1" si="1"/>
        <v/>
      </c>
      <c r="G51" s="29" t="str">
        <f t="shared" ca="1" si="5"/>
        <v/>
      </c>
      <c r="H51" s="7" t="str">
        <f t="shared" ca="1" si="6"/>
        <v/>
      </c>
      <c r="I51" s="28" t="str">
        <f t="shared" ca="1" si="7"/>
        <v/>
      </c>
      <c r="J51" s="7" t="str">
        <f t="shared" ca="1" si="8"/>
        <v/>
      </c>
      <c r="K51" s="73" t="str">
        <f t="shared" ca="1" si="9"/>
        <v/>
      </c>
      <c r="L51" s="74" t="str">
        <f t="shared" ca="1" si="10"/>
        <v/>
      </c>
      <c r="M51" s="75" t="str">
        <f t="shared" ca="1" si="11"/>
        <v/>
      </c>
      <c r="N51" s="76" t="str">
        <f t="shared" ca="1" si="12"/>
        <v/>
      </c>
      <c r="O51" s="75" t="str">
        <f t="shared" ca="1" si="13"/>
        <v/>
      </c>
      <c r="P51" s="76" t="str">
        <f t="shared" ca="1" si="14"/>
        <v/>
      </c>
      <c r="Q51" s="75" t="str">
        <f t="shared" ca="1" si="15"/>
        <v/>
      </c>
      <c r="R51" s="77" t="str">
        <f t="shared" ca="1" si="16"/>
        <v/>
      </c>
      <c r="S51" s="89" t="str">
        <f t="shared" ca="1" si="17"/>
        <v/>
      </c>
      <c r="T51" s="88" t="str">
        <f t="shared" ca="1" si="18"/>
        <v/>
      </c>
      <c r="U51" s="92" t="str">
        <f t="shared" ca="1" si="19"/>
        <v/>
      </c>
      <c r="V51" s="88" t="str">
        <f t="shared" ca="1" si="20"/>
        <v/>
      </c>
      <c r="W51" s="92" t="str">
        <f t="shared" ca="1" si="21"/>
        <v/>
      </c>
      <c r="X51" s="88" t="str">
        <f t="shared" ca="1" si="22"/>
        <v/>
      </c>
      <c r="Y51" s="92" t="str">
        <f t="shared" ca="1" si="23"/>
        <v/>
      </c>
      <c r="Z51" s="88" t="str">
        <f t="shared" ca="1" si="24"/>
        <v/>
      </c>
      <c r="AA51" s="89" t="str">
        <f t="shared" ca="1" si="25"/>
        <v/>
      </c>
      <c r="AB51" s="88" t="str">
        <f t="shared" ca="1" si="26"/>
        <v/>
      </c>
      <c r="AC51" s="92" t="str">
        <f t="shared" ca="1" si="27"/>
        <v/>
      </c>
      <c r="AD51" s="88" t="str">
        <f t="shared" ca="1" si="28"/>
        <v/>
      </c>
      <c r="AE51" s="92" t="str">
        <f t="shared" ca="1" si="29"/>
        <v/>
      </c>
      <c r="AF51" s="88" t="str">
        <f t="shared" ca="1" si="30"/>
        <v/>
      </c>
      <c r="AG51" s="92" t="str">
        <f t="shared" ca="1" si="31"/>
        <v/>
      </c>
      <c r="AH51" s="88" t="str">
        <f t="shared" ca="1" si="32"/>
        <v/>
      </c>
      <c r="AI51" s="92" t="str">
        <f t="shared" ca="1" si="33"/>
        <v/>
      </c>
      <c r="AJ51" s="88" t="str">
        <f t="shared" ca="1" si="34"/>
        <v/>
      </c>
      <c r="AK51" s="92" t="str">
        <f t="shared" ca="1" si="35"/>
        <v/>
      </c>
      <c r="AL51" s="77" t="str">
        <f t="shared" ca="1" si="36"/>
        <v/>
      </c>
      <c r="AM51" s="89" t="str">
        <f t="shared" ca="1" si="37"/>
        <v/>
      </c>
      <c r="AN51" s="88" t="str">
        <f t="shared" ca="1" si="38"/>
        <v/>
      </c>
      <c r="AO51" s="89" t="str">
        <f t="shared" ca="1" si="39"/>
        <v/>
      </c>
      <c r="AP51" s="77" t="str">
        <f t="shared" ca="1" si="40"/>
        <v/>
      </c>
      <c r="AQ51" s="94" t="str">
        <f t="shared" ca="1" si="41"/>
        <v/>
      </c>
      <c r="AR51" s="77" t="str">
        <f t="shared" ca="1" si="42"/>
        <v/>
      </c>
      <c r="AS51" s="94" t="str">
        <f t="shared" ca="1" si="43"/>
        <v/>
      </c>
      <c r="AT51" s="77" t="str">
        <f t="shared" ca="1" si="44"/>
        <v/>
      </c>
      <c r="AU51" s="93" t="str">
        <f t="shared" ca="1" si="45"/>
        <v/>
      </c>
      <c r="AV51" s="77" t="str">
        <f t="shared" ca="1" si="46"/>
        <v/>
      </c>
      <c r="AW51" s="93" t="str">
        <f t="shared" ca="1" si="47"/>
        <v/>
      </c>
      <c r="AX51" s="77" t="str">
        <f t="shared" ca="1" si="48"/>
        <v/>
      </c>
      <c r="AY51" s="93" t="str">
        <f t="shared" ca="1" si="49"/>
        <v/>
      </c>
      <c r="AZ51" s="77" t="str">
        <f t="shared" ca="1" si="50"/>
        <v/>
      </c>
      <c r="BA51" s="93" t="str">
        <f t="shared" ca="1" si="51"/>
        <v/>
      </c>
      <c r="BB51" s="77" t="str">
        <f t="shared" ca="1" si="52"/>
        <v/>
      </c>
      <c r="BC51" s="93" t="str">
        <f t="shared" ca="1" si="53"/>
        <v/>
      </c>
    </row>
    <row r="52" spans="1:55" ht="15.95" customHeight="1" x14ac:dyDescent="0.2">
      <c r="A52" s="41" t="str">
        <f>IF(Customization!B52="","",Customization!B52)</f>
        <v/>
      </c>
      <c r="B52" s="79" t="str">
        <f t="shared" ca="1" si="2"/>
        <v/>
      </c>
      <c r="C52" s="29" t="str">
        <f t="shared" ca="1" si="3"/>
        <v/>
      </c>
      <c r="D52" s="7" t="str">
        <f t="shared" ca="1" si="0"/>
        <v/>
      </c>
      <c r="E52" s="29" t="str">
        <f t="shared" ca="1" si="4"/>
        <v/>
      </c>
      <c r="F52" s="7" t="str">
        <f t="shared" ca="1" si="1"/>
        <v/>
      </c>
      <c r="G52" s="29" t="str">
        <f t="shared" ca="1" si="5"/>
        <v/>
      </c>
      <c r="H52" s="7" t="str">
        <f t="shared" ca="1" si="6"/>
        <v/>
      </c>
      <c r="I52" s="28" t="str">
        <f t="shared" ca="1" si="7"/>
        <v/>
      </c>
      <c r="J52" s="7" t="str">
        <f t="shared" ca="1" si="8"/>
        <v/>
      </c>
      <c r="K52" s="73" t="str">
        <f t="shared" ca="1" si="9"/>
        <v/>
      </c>
      <c r="L52" s="74" t="str">
        <f t="shared" ca="1" si="10"/>
        <v/>
      </c>
      <c r="M52" s="75" t="str">
        <f t="shared" ca="1" si="11"/>
        <v/>
      </c>
      <c r="N52" s="76" t="str">
        <f t="shared" ca="1" si="12"/>
        <v/>
      </c>
      <c r="O52" s="75" t="str">
        <f t="shared" ca="1" si="13"/>
        <v/>
      </c>
      <c r="P52" s="76" t="str">
        <f t="shared" ca="1" si="14"/>
        <v/>
      </c>
      <c r="Q52" s="75" t="str">
        <f t="shared" ca="1" si="15"/>
        <v/>
      </c>
      <c r="R52" s="77" t="str">
        <f t="shared" ca="1" si="16"/>
        <v/>
      </c>
      <c r="S52" s="89" t="str">
        <f t="shared" ca="1" si="17"/>
        <v/>
      </c>
      <c r="T52" s="88" t="str">
        <f t="shared" ca="1" si="18"/>
        <v/>
      </c>
      <c r="U52" s="92" t="str">
        <f t="shared" ca="1" si="19"/>
        <v/>
      </c>
      <c r="V52" s="88" t="str">
        <f t="shared" ca="1" si="20"/>
        <v/>
      </c>
      <c r="W52" s="92" t="str">
        <f t="shared" ca="1" si="21"/>
        <v/>
      </c>
      <c r="X52" s="88" t="str">
        <f t="shared" ca="1" si="22"/>
        <v/>
      </c>
      <c r="Y52" s="92" t="str">
        <f t="shared" ca="1" si="23"/>
        <v/>
      </c>
      <c r="Z52" s="88" t="str">
        <f t="shared" ca="1" si="24"/>
        <v/>
      </c>
      <c r="AA52" s="89" t="str">
        <f t="shared" ca="1" si="25"/>
        <v/>
      </c>
      <c r="AB52" s="88" t="str">
        <f t="shared" ca="1" si="26"/>
        <v/>
      </c>
      <c r="AC52" s="92" t="str">
        <f t="shared" ca="1" si="27"/>
        <v/>
      </c>
      <c r="AD52" s="88" t="str">
        <f t="shared" ca="1" si="28"/>
        <v/>
      </c>
      <c r="AE52" s="92" t="str">
        <f t="shared" ca="1" si="29"/>
        <v/>
      </c>
      <c r="AF52" s="88" t="str">
        <f t="shared" ca="1" si="30"/>
        <v/>
      </c>
      <c r="AG52" s="92" t="str">
        <f t="shared" ca="1" si="31"/>
        <v/>
      </c>
      <c r="AH52" s="88" t="str">
        <f t="shared" ca="1" si="32"/>
        <v/>
      </c>
      <c r="AI52" s="92" t="str">
        <f t="shared" ca="1" si="33"/>
        <v/>
      </c>
      <c r="AJ52" s="88" t="str">
        <f t="shared" ca="1" si="34"/>
        <v/>
      </c>
      <c r="AK52" s="92" t="str">
        <f t="shared" ca="1" si="35"/>
        <v/>
      </c>
      <c r="AL52" s="77" t="str">
        <f t="shared" ca="1" si="36"/>
        <v/>
      </c>
      <c r="AM52" s="89" t="str">
        <f t="shared" ca="1" si="37"/>
        <v/>
      </c>
      <c r="AN52" s="88" t="str">
        <f t="shared" ca="1" si="38"/>
        <v/>
      </c>
      <c r="AO52" s="89" t="str">
        <f t="shared" ca="1" si="39"/>
        <v/>
      </c>
      <c r="AP52" s="77" t="str">
        <f t="shared" ca="1" si="40"/>
        <v/>
      </c>
      <c r="AQ52" s="94" t="str">
        <f t="shared" ca="1" si="41"/>
        <v/>
      </c>
      <c r="AR52" s="77" t="str">
        <f t="shared" ca="1" si="42"/>
        <v/>
      </c>
      <c r="AS52" s="94" t="str">
        <f t="shared" ca="1" si="43"/>
        <v/>
      </c>
      <c r="AT52" s="77" t="str">
        <f t="shared" ca="1" si="44"/>
        <v/>
      </c>
      <c r="AU52" s="93" t="str">
        <f t="shared" ca="1" si="45"/>
        <v/>
      </c>
      <c r="AV52" s="77" t="str">
        <f t="shared" ca="1" si="46"/>
        <v/>
      </c>
      <c r="AW52" s="93" t="str">
        <f t="shared" ca="1" si="47"/>
        <v/>
      </c>
      <c r="AX52" s="77" t="str">
        <f t="shared" ca="1" si="48"/>
        <v/>
      </c>
      <c r="AY52" s="93" t="str">
        <f t="shared" ca="1" si="49"/>
        <v/>
      </c>
      <c r="AZ52" s="77" t="str">
        <f t="shared" ca="1" si="50"/>
        <v/>
      </c>
      <c r="BA52" s="93" t="str">
        <f t="shared" ca="1" si="51"/>
        <v/>
      </c>
      <c r="BB52" s="77" t="str">
        <f t="shared" ca="1" si="52"/>
        <v/>
      </c>
      <c r="BC52" s="93" t="str">
        <f t="shared" ca="1" si="53"/>
        <v/>
      </c>
    </row>
    <row r="53" spans="1:55" ht="15.95" customHeight="1" x14ac:dyDescent="0.2">
      <c r="A53" s="41" t="str">
        <f>IF(Customization!B53="","",Customization!B53)</f>
        <v/>
      </c>
      <c r="B53" s="79" t="str">
        <f t="shared" ca="1" si="2"/>
        <v/>
      </c>
      <c r="C53" s="29" t="str">
        <f t="shared" ca="1" si="3"/>
        <v/>
      </c>
      <c r="D53" s="7" t="str">
        <f t="shared" ca="1" si="0"/>
        <v/>
      </c>
      <c r="E53" s="29" t="str">
        <f t="shared" ca="1" si="4"/>
        <v/>
      </c>
      <c r="F53" s="7" t="str">
        <f t="shared" ca="1" si="1"/>
        <v/>
      </c>
      <c r="G53" s="29" t="str">
        <f t="shared" ca="1" si="5"/>
        <v/>
      </c>
      <c r="H53" s="7" t="str">
        <f t="shared" ca="1" si="6"/>
        <v/>
      </c>
      <c r="I53" s="28" t="str">
        <f t="shared" ca="1" si="7"/>
        <v/>
      </c>
      <c r="J53" s="7" t="str">
        <f t="shared" ca="1" si="8"/>
        <v/>
      </c>
      <c r="K53" s="73" t="str">
        <f t="shared" ca="1" si="9"/>
        <v/>
      </c>
      <c r="L53" s="74" t="str">
        <f t="shared" ca="1" si="10"/>
        <v/>
      </c>
      <c r="M53" s="75" t="str">
        <f t="shared" ca="1" si="11"/>
        <v/>
      </c>
      <c r="N53" s="76" t="str">
        <f t="shared" ca="1" si="12"/>
        <v/>
      </c>
      <c r="O53" s="75" t="str">
        <f t="shared" ca="1" si="13"/>
        <v/>
      </c>
      <c r="P53" s="76" t="str">
        <f t="shared" ca="1" si="14"/>
        <v/>
      </c>
      <c r="Q53" s="75" t="str">
        <f t="shared" ca="1" si="15"/>
        <v/>
      </c>
      <c r="R53" s="77" t="str">
        <f t="shared" ca="1" si="16"/>
        <v/>
      </c>
      <c r="S53" s="89" t="str">
        <f t="shared" ca="1" si="17"/>
        <v/>
      </c>
      <c r="T53" s="88" t="str">
        <f t="shared" ca="1" si="18"/>
        <v/>
      </c>
      <c r="U53" s="92" t="str">
        <f t="shared" ca="1" si="19"/>
        <v/>
      </c>
      <c r="V53" s="88" t="str">
        <f t="shared" ca="1" si="20"/>
        <v/>
      </c>
      <c r="W53" s="92" t="str">
        <f t="shared" ca="1" si="21"/>
        <v/>
      </c>
      <c r="X53" s="88" t="str">
        <f t="shared" ca="1" si="22"/>
        <v/>
      </c>
      <c r="Y53" s="92" t="str">
        <f t="shared" ca="1" si="23"/>
        <v/>
      </c>
      <c r="Z53" s="88" t="str">
        <f t="shared" ca="1" si="24"/>
        <v/>
      </c>
      <c r="AA53" s="89" t="str">
        <f t="shared" ca="1" si="25"/>
        <v/>
      </c>
      <c r="AB53" s="88" t="str">
        <f t="shared" ca="1" si="26"/>
        <v/>
      </c>
      <c r="AC53" s="92" t="str">
        <f t="shared" ca="1" si="27"/>
        <v/>
      </c>
      <c r="AD53" s="88" t="str">
        <f t="shared" ca="1" si="28"/>
        <v/>
      </c>
      <c r="AE53" s="92" t="str">
        <f t="shared" ca="1" si="29"/>
        <v/>
      </c>
      <c r="AF53" s="88" t="str">
        <f t="shared" ca="1" si="30"/>
        <v/>
      </c>
      <c r="AG53" s="92" t="str">
        <f t="shared" ca="1" si="31"/>
        <v/>
      </c>
      <c r="AH53" s="88" t="str">
        <f t="shared" ca="1" si="32"/>
        <v/>
      </c>
      <c r="AI53" s="92" t="str">
        <f t="shared" ca="1" si="33"/>
        <v/>
      </c>
      <c r="AJ53" s="88" t="str">
        <f t="shared" ca="1" si="34"/>
        <v/>
      </c>
      <c r="AK53" s="92" t="str">
        <f t="shared" ca="1" si="35"/>
        <v/>
      </c>
      <c r="AL53" s="77" t="str">
        <f t="shared" ca="1" si="36"/>
        <v/>
      </c>
      <c r="AM53" s="89" t="str">
        <f t="shared" ca="1" si="37"/>
        <v/>
      </c>
      <c r="AN53" s="88" t="str">
        <f t="shared" ca="1" si="38"/>
        <v/>
      </c>
      <c r="AO53" s="89" t="str">
        <f t="shared" ca="1" si="39"/>
        <v/>
      </c>
      <c r="AP53" s="77" t="str">
        <f t="shared" ca="1" si="40"/>
        <v/>
      </c>
      <c r="AQ53" s="94" t="str">
        <f t="shared" ca="1" si="41"/>
        <v/>
      </c>
      <c r="AR53" s="77" t="str">
        <f t="shared" ca="1" si="42"/>
        <v/>
      </c>
      <c r="AS53" s="94" t="str">
        <f t="shared" ca="1" si="43"/>
        <v/>
      </c>
      <c r="AT53" s="77" t="str">
        <f t="shared" ca="1" si="44"/>
        <v/>
      </c>
      <c r="AU53" s="93" t="str">
        <f t="shared" ca="1" si="45"/>
        <v/>
      </c>
      <c r="AV53" s="77" t="str">
        <f t="shared" ca="1" si="46"/>
        <v/>
      </c>
      <c r="AW53" s="93" t="str">
        <f t="shared" ca="1" si="47"/>
        <v/>
      </c>
      <c r="AX53" s="77" t="str">
        <f t="shared" ca="1" si="48"/>
        <v/>
      </c>
      <c r="AY53" s="93" t="str">
        <f t="shared" ca="1" si="49"/>
        <v/>
      </c>
      <c r="AZ53" s="77" t="str">
        <f t="shared" ca="1" si="50"/>
        <v/>
      </c>
      <c r="BA53" s="93" t="str">
        <f t="shared" ca="1" si="51"/>
        <v/>
      </c>
      <c r="BB53" s="77" t="str">
        <f t="shared" ca="1" si="52"/>
        <v/>
      </c>
      <c r="BC53" s="93" t="str">
        <f t="shared" ca="1" si="53"/>
        <v/>
      </c>
    </row>
    <row r="54" spans="1:55" ht="15.95" customHeight="1" x14ac:dyDescent="0.2">
      <c r="A54" s="41" t="str">
        <f>IF(Customization!B54="","",Customization!B54)</f>
        <v/>
      </c>
      <c r="B54" s="79" t="str">
        <f t="shared" ca="1" si="2"/>
        <v/>
      </c>
      <c r="C54" s="29" t="str">
        <f t="shared" ca="1" si="3"/>
        <v/>
      </c>
      <c r="D54" s="7" t="str">
        <f t="shared" ca="1" si="0"/>
        <v/>
      </c>
      <c r="E54" s="29" t="str">
        <f t="shared" ca="1" si="4"/>
        <v/>
      </c>
      <c r="F54" s="7" t="str">
        <f t="shared" ca="1" si="1"/>
        <v/>
      </c>
      <c r="G54" s="29" t="str">
        <f t="shared" ca="1" si="5"/>
        <v/>
      </c>
      <c r="H54" s="7" t="str">
        <f t="shared" ca="1" si="6"/>
        <v/>
      </c>
      <c r="I54" s="28" t="str">
        <f t="shared" ca="1" si="7"/>
        <v/>
      </c>
      <c r="J54" s="7" t="str">
        <f t="shared" ca="1" si="8"/>
        <v/>
      </c>
      <c r="K54" s="73" t="str">
        <f t="shared" ca="1" si="9"/>
        <v/>
      </c>
      <c r="L54" s="74" t="str">
        <f t="shared" ca="1" si="10"/>
        <v/>
      </c>
      <c r="M54" s="75" t="str">
        <f t="shared" ca="1" si="11"/>
        <v/>
      </c>
      <c r="N54" s="76" t="str">
        <f t="shared" ca="1" si="12"/>
        <v/>
      </c>
      <c r="O54" s="75" t="str">
        <f t="shared" ca="1" si="13"/>
        <v/>
      </c>
      <c r="P54" s="76" t="str">
        <f t="shared" ca="1" si="14"/>
        <v/>
      </c>
      <c r="Q54" s="75" t="str">
        <f t="shared" ca="1" si="15"/>
        <v/>
      </c>
      <c r="R54" s="77" t="str">
        <f t="shared" ca="1" si="16"/>
        <v/>
      </c>
      <c r="S54" s="89" t="str">
        <f t="shared" ca="1" si="17"/>
        <v/>
      </c>
      <c r="T54" s="88" t="str">
        <f t="shared" ca="1" si="18"/>
        <v/>
      </c>
      <c r="U54" s="92" t="str">
        <f t="shared" ca="1" si="19"/>
        <v/>
      </c>
      <c r="V54" s="88" t="str">
        <f t="shared" ca="1" si="20"/>
        <v/>
      </c>
      <c r="W54" s="92" t="str">
        <f t="shared" ca="1" si="21"/>
        <v/>
      </c>
      <c r="X54" s="88" t="str">
        <f t="shared" ca="1" si="22"/>
        <v/>
      </c>
      <c r="Y54" s="92" t="str">
        <f t="shared" ca="1" si="23"/>
        <v/>
      </c>
      <c r="Z54" s="88" t="str">
        <f t="shared" ca="1" si="24"/>
        <v/>
      </c>
      <c r="AA54" s="89" t="str">
        <f t="shared" ca="1" si="25"/>
        <v/>
      </c>
      <c r="AB54" s="88" t="str">
        <f t="shared" ca="1" si="26"/>
        <v/>
      </c>
      <c r="AC54" s="92" t="str">
        <f t="shared" ca="1" si="27"/>
        <v/>
      </c>
      <c r="AD54" s="88" t="str">
        <f t="shared" ca="1" si="28"/>
        <v/>
      </c>
      <c r="AE54" s="92" t="str">
        <f t="shared" ca="1" si="29"/>
        <v/>
      </c>
      <c r="AF54" s="88" t="str">
        <f t="shared" ca="1" si="30"/>
        <v/>
      </c>
      <c r="AG54" s="92" t="str">
        <f t="shared" ca="1" si="31"/>
        <v/>
      </c>
      <c r="AH54" s="88" t="str">
        <f t="shared" ca="1" si="32"/>
        <v/>
      </c>
      <c r="AI54" s="92" t="str">
        <f t="shared" ca="1" si="33"/>
        <v/>
      </c>
      <c r="AJ54" s="88" t="str">
        <f t="shared" ca="1" si="34"/>
        <v/>
      </c>
      <c r="AK54" s="92" t="str">
        <f t="shared" ca="1" si="35"/>
        <v/>
      </c>
      <c r="AL54" s="77" t="str">
        <f t="shared" ca="1" si="36"/>
        <v/>
      </c>
      <c r="AM54" s="89" t="str">
        <f t="shared" ca="1" si="37"/>
        <v/>
      </c>
      <c r="AN54" s="88" t="str">
        <f t="shared" ca="1" si="38"/>
        <v/>
      </c>
      <c r="AO54" s="89" t="str">
        <f t="shared" ca="1" si="39"/>
        <v/>
      </c>
      <c r="AP54" s="77" t="str">
        <f t="shared" ca="1" si="40"/>
        <v/>
      </c>
      <c r="AQ54" s="94" t="str">
        <f t="shared" ca="1" si="41"/>
        <v/>
      </c>
      <c r="AR54" s="77" t="str">
        <f t="shared" ca="1" si="42"/>
        <v/>
      </c>
      <c r="AS54" s="94" t="str">
        <f t="shared" ca="1" si="43"/>
        <v/>
      </c>
      <c r="AT54" s="77" t="str">
        <f t="shared" ca="1" si="44"/>
        <v/>
      </c>
      <c r="AU54" s="93" t="str">
        <f t="shared" ca="1" si="45"/>
        <v/>
      </c>
      <c r="AV54" s="77" t="str">
        <f t="shared" ca="1" si="46"/>
        <v/>
      </c>
      <c r="AW54" s="93" t="str">
        <f t="shared" ca="1" si="47"/>
        <v/>
      </c>
      <c r="AX54" s="77" t="str">
        <f t="shared" ca="1" si="48"/>
        <v/>
      </c>
      <c r="AY54" s="93" t="str">
        <f t="shared" ca="1" si="49"/>
        <v/>
      </c>
      <c r="AZ54" s="77" t="str">
        <f t="shared" ca="1" si="50"/>
        <v/>
      </c>
      <c r="BA54" s="93" t="str">
        <f t="shared" ca="1" si="51"/>
        <v/>
      </c>
      <c r="BB54" s="77" t="str">
        <f t="shared" ca="1" si="52"/>
        <v/>
      </c>
      <c r="BC54" s="93" t="str">
        <f t="shared" ca="1" si="53"/>
        <v/>
      </c>
    </row>
    <row r="55" spans="1:55" ht="15.95" customHeight="1" x14ac:dyDescent="0.2">
      <c r="A55" s="41" t="str">
        <f>IF(Customization!B55="","",Customization!B55)</f>
        <v/>
      </c>
      <c r="B55" s="79" t="str">
        <f t="shared" ca="1" si="2"/>
        <v/>
      </c>
      <c r="C55" s="29" t="str">
        <f t="shared" ca="1" si="3"/>
        <v/>
      </c>
      <c r="D55" s="7" t="str">
        <f t="shared" ca="1" si="0"/>
        <v/>
      </c>
      <c r="E55" s="29" t="str">
        <f t="shared" ca="1" si="4"/>
        <v/>
      </c>
      <c r="F55" s="7" t="str">
        <f t="shared" ca="1" si="1"/>
        <v/>
      </c>
      <c r="G55" s="29" t="str">
        <f t="shared" ca="1" si="5"/>
        <v/>
      </c>
      <c r="H55" s="7" t="str">
        <f t="shared" ca="1" si="6"/>
        <v/>
      </c>
      <c r="I55" s="28" t="str">
        <f t="shared" ca="1" si="7"/>
        <v/>
      </c>
      <c r="J55" s="7" t="str">
        <f t="shared" ca="1" si="8"/>
        <v/>
      </c>
      <c r="K55" s="73" t="str">
        <f t="shared" ca="1" si="9"/>
        <v/>
      </c>
      <c r="L55" s="74" t="str">
        <f t="shared" ca="1" si="10"/>
        <v/>
      </c>
      <c r="M55" s="75" t="str">
        <f t="shared" ca="1" si="11"/>
        <v/>
      </c>
      <c r="N55" s="76" t="str">
        <f t="shared" ca="1" si="12"/>
        <v/>
      </c>
      <c r="O55" s="75" t="str">
        <f t="shared" ca="1" si="13"/>
        <v/>
      </c>
      <c r="P55" s="76" t="str">
        <f t="shared" ca="1" si="14"/>
        <v/>
      </c>
      <c r="Q55" s="75" t="str">
        <f t="shared" ca="1" si="15"/>
        <v/>
      </c>
      <c r="R55" s="77" t="str">
        <f t="shared" ca="1" si="16"/>
        <v/>
      </c>
      <c r="S55" s="89" t="str">
        <f t="shared" ca="1" si="17"/>
        <v/>
      </c>
      <c r="T55" s="88" t="str">
        <f t="shared" ca="1" si="18"/>
        <v/>
      </c>
      <c r="U55" s="92" t="str">
        <f t="shared" ca="1" si="19"/>
        <v/>
      </c>
      <c r="V55" s="88" t="str">
        <f t="shared" ca="1" si="20"/>
        <v/>
      </c>
      <c r="W55" s="92" t="str">
        <f t="shared" ca="1" si="21"/>
        <v/>
      </c>
      <c r="X55" s="88" t="str">
        <f t="shared" ca="1" si="22"/>
        <v/>
      </c>
      <c r="Y55" s="92" t="str">
        <f t="shared" ca="1" si="23"/>
        <v/>
      </c>
      <c r="Z55" s="88" t="str">
        <f t="shared" ca="1" si="24"/>
        <v/>
      </c>
      <c r="AA55" s="89" t="str">
        <f t="shared" ca="1" si="25"/>
        <v/>
      </c>
      <c r="AB55" s="88" t="str">
        <f t="shared" ca="1" si="26"/>
        <v/>
      </c>
      <c r="AC55" s="92" t="str">
        <f t="shared" ca="1" si="27"/>
        <v/>
      </c>
      <c r="AD55" s="88" t="str">
        <f t="shared" ca="1" si="28"/>
        <v/>
      </c>
      <c r="AE55" s="92" t="str">
        <f t="shared" ca="1" si="29"/>
        <v/>
      </c>
      <c r="AF55" s="88" t="str">
        <f t="shared" ca="1" si="30"/>
        <v/>
      </c>
      <c r="AG55" s="92" t="str">
        <f t="shared" ca="1" si="31"/>
        <v/>
      </c>
      <c r="AH55" s="88" t="str">
        <f t="shared" ca="1" si="32"/>
        <v/>
      </c>
      <c r="AI55" s="92" t="str">
        <f t="shared" ca="1" si="33"/>
        <v/>
      </c>
      <c r="AJ55" s="88" t="str">
        <f t="shared" ca="1" si="34"/>
        <v/>
      </c>
      <c r="AK55" s="92" t="str">
        <f t="shared" ca="1" si="35"/>
        <v/>
      </c>
      <c r="AL55" s="77" t="str">
        <f t="shared" ca="1" si="36"/>
        <v/>
      </c>
      <c r="AM55" s="89" t="str">
        <f t="shared" ca="1" si="37"/>
        <v/>
      </c>
      <c r="AN55" s="88" t="str">
        <f t="shared" ca="1" si="38"/>
        <v/>
      </c>
      <c r="AO55" s="89" t="str">
        <f t="shared" ca="1" si="39"/>
        <v/>
      </c>
      <c r="AP55" s="77" t="str">
        <f t="shared" ca="1" si="40"/>
        <v/>
      </c>
      <c r="AQ55" s="94" t="str">
        <f t="shared" ca="1" si="41"/>
        <v/>
      </c>
      <c r="AR55" s="77" t="str">
        <f t="shared" ca="1" si="42"/>
        <v/>
      </c>
      <c r="AS55" s="94" t="str">
        <f t="shared" ca="1" si="43"/>
        <v/>
      </c>
      <c r="AT55" s="77" t="str">
        <f t="shared" ca="1" si="44"/>
        <v/>
      </c>
      <c r="AU55" s="93" t="str">
        <f t="shared" ca="1" si="45"/>
        <v/>
      </c>
      <c r="AV55" s="77" t="str">
        <f t="shared" ca="1" si="46"/>
        <v/>
      </c>
      <c r="AW55" s="93" t="str">
        <f t="shared" ca="1" si="47"/>
        <v/>
      </c>
      <c r="AX55" s="77" t="str">
        <f t="shared" ca="1" si="48"/>
        <v/>
      </c>
      <c r="AY55" s="93" t="str">
        <f t="shared" ca="1" si="49"/>
        <v/>
      </c>
      <c r="AZ55" s="77" t="str">
        <f t="shared" ca="1" si="50"/>
        <v/>
      </c>
      <c r="BA55" s="93" t="str">
        <f t="shared" ca="1" si="51"/>
        <v/>
      </c>
      <c r="BB55" s="77" t="str">
        <f t="shared" ca="1" si="52"/>
        <v/>
      </c>
      <c r="BC55" s="93" t="str">
        <f t="shared" ca="1" si="53"/>
        <v/>
      </c>
    </row>
    <row r="56" spans="1:55" ht="15.95" customHeight="1" x14ac:dyDescent="0.2">
      <c r="A56" s="41" t="str">
        <f>IF(Customization!B56="","",Customization!B56)</f>
        <v/>
      </c>
      <c r="B56" s="79" t="str">
        <f t="shared" ca="1" si="2"/>
        <v/>
      </c>
      <c r="C56" s="29" t="str">
        <f t="shared" ca="1" si="3"/>
        <v/>
      </c>
      <c r="D56" s="7" t="str">
        <f t="shared" ca="1" si="0"/>
        <v/>
      </c>
      <c r="E56" s="29" t="str">
        <f t="shared" ca="1" si="4"/>
        <v/>
      </c>
      <c r="F56" s="7" t="str">
        <f t="shared" ca="1" si="1"/>
        <v/>
      </c>
      <c r="G56" s="29" t="str">
        <f t="shared" ca="1" si="5"/>
        <v/>
      </c>
      <c r="H56" s="7" t="str">
        <f t="shared" ca="1" si="6"/>
        <v/>
      </c>
      <c r="I56" s="28" t="str">
        <f t="shared" ca="1" si="7"/>
        <v/>
      </c>
      <c r="J56" s="7" t="str">
        <f t="shared" ca="1" si="8"/>
        <v/>
      </c>
      <c r="K56" s="73" t="str">
        <f t="shared" ca="1" si="9"/>
        <v/>
      </c>
      <c r="L56" s="74" t="str">
        <f t="shared" ca="1" si="10"/>
        <v/>
      </c>
      <c r="M56" s="75" t="str">
        <f t="shared" ca="1" si="11"/>
        <v/>
      </c>
      <c r="N56" s="76" t="str">
        <f t="shared" ca="1" si="12"/>
        <v/>
      </c>
      <c r="O56" s="75" t="str">
        <f t="shared" ca="1" si="13"/>
        <v/>
      </c>
      <c r="P56" s="76" t="str">
        <f t="shared" ca="1" si="14"/>
        <v/>
      </c>
      <c r="Q56" s="75" t="str">
        <f t="shared" ca="1" si="15"/>
        <v/>
      </c>
      <c r="R56" s="77" t="str">
        <f t="shared" ca="1" si="16"/>
        <v/>
      </c>
      <c r="S56" s="89" t="str">
        <f t="shared" ca="1" si="17"/>
        <v/>
      </c>
      <c r="T56" s="88" t="str">
        <f t="shared" ca="1" si="18"/>
        <v/>
      </c>
      <c r="U56" s="92" t="str">
        <f t="shared" ca="1" si="19"/>
        <v/>
      </c>
      <c r="V56" s="88" t="str">
        <f t="shared" ca="1" si="20"/>
        <v/>
      </c>
      <c r="W56" s="92" t="str">
        <f t="shared" ca="1" si="21"/>
        <v/>
      </c>
      <c r="X56" s="88" t="str">
        <f t="shared" ca="1" si="22"/>
        <v/>
      </c>
      <c r="Y56" s="92" t="str">
        <f t="shared" ca="1" si="23"/>
        <v/>
      </c>
      <c r="Z56" s="88" t="str">
        <f t="shared" ca="1" si="24"/>
        <v/>
      </c>
      <c r="AA56" s="89" t="str">
        <f t="shared" ca="1" si="25"/>
        <v/>
      </c>
      <c r="AB56" s="88" t="str">
        <f t="shared" ca="1" si="26"/>
        <v/>
      </c>
      <c r="AC56" s="92" t="str">
        <f t="shared" ca="1" si="27"/>
        <v/>
      </c>
      <c r="AD56" s="88" t="str">
        <f t="shared" ca="1" si="28"/>
        <v/>
      </c>
      <c r="AE56" s="92" t="str">
        <f t="shared" ca="1" si="29"/>
        <v/>
      </c>
      <c r="AF56" s="88" t="str">
        <f t="shared" ca="1" si="30"/>
        <v/>
      </c>
      <c r="AG56" s="92" t="str">
        <f t="shared" ca="1" si="31"/>
        <v/>
      </c>
      <c r="AH56" s="88" t="str">
        <f t="shared" ca="1" si="32"/>
        <v/>
      </c>
      <c r="AI56" s="92" t="str">
        <f t="shared" ca="1" si="33"/>
        <v/>
      </c>
      <c r="AJ56" s="88" t="str">
        <f t="shared" ca="1" si="34"/>
        <v/>
      </c>
      <c r="AK56" s="92" t="str">
        <f t="shared" ca="1" si="35"/>
        <v/>
      </c>
      <c r="AL56" s="77" t="str">
        <f t="shared" ca="1" si="36"/>
        <v/>
      </c>
      <c r="AM56" s="89" t="str">
        <f t="shared" ca="1" si="37"/>
        <v/>
      </c>
      <c r="AN56" s="88" t="str">
        <f t="shared" ca="1" si="38"/>
        <v/>
      </c>
      <c r="AO56" s="89" t="str">
        <f t="shared" ca="1" si="39"/>
        <v/>
      </c>
      <c r="AP56" s="77" t="str">
        <f t="shared" ca="1" si="40"/>
        <v/>
      </c>
      <c r="AQ56" s="94" t="str">
        <f t="shared" ca="1" si="41"/>
        <v/>
      </c>
      <c r="AR56" s="77" t="str">
        <f t="shared" ca="1" si="42"/>
        <v/>
      </c>
      <c r="AS56" s="94" t="str">
        <f t="shared" ca="1" si="43"/>
        <v/>
      </c>
      <c r="AT56" s="77" t="str">
        <f t="shared" ca="1" si="44"/>
        <v/>
      </c>
      <c r="AU56" s="93" t="str">
        <f t="shared" ca="1" si="45"/>
        <v/>
      </c>
      <c r="AV56" s="77" t="str">
        <f t="shared" ca="1" si="46"/>
        <v/>
      </c>
      <c r="AW56" s="93" t="str">
        <f t="shared" ca="1" si="47"/>
        <v/>
      </c>
      <c r="AX56" s="77" t="str">
        <f t="shared" ca="1" si="48"/>
        <v/>
      </c>
      <c r="AY56" s="93" t="str">
        <f t="shared" ca="1" si="49"/>
        <v/>
      </c>
      <c r="AZ56" s="77" t="str">
        <f t="shared" ca="1" si="50"/>
        <v/>
      </c>
      <c r="BA56" s="93" t="str">
        <f t="shared" ca="1" si="51"/>
        <v/>
      </c>
      <c r="BB56" s="77" t="str">
        <f t="shared" ca="1" si="52"/>
        <v/>
      </c>
      <c r="BC56" s="93" t="str">
        <f t="shared" ca="1" si="53"/>
        <v/>
      </c>
    </row>
    <row r="57" spans="1:55" ht="15.95" customHeight="1" x14ac:dyDescent="0.2">
      <c r="A57" s="41" t="str">
        <f>IF(Customization!B57="","",Customization!B57)</f>
        <v/>
      </c>
      <c r="B57" s="79" t="str">
        <f t="shared" ca="1" si="2"/>
        <v/>
      </c>
      <c r="C57" s="29" t="str">
        <f t="shared" ca="1" si="3"/>
        <v/>
      </c>
      <c r="D57" s="7" t="str">
        <f t="shared" ca="1" si="0"/>
        <v/>
      </c>
      <c r="E57" s="29" t="str">
        <f t="shared" ca="1" si="4"/>
        <v/>
      </c>
      <c r="F57" s="7" t="str">
        <f t="shared" ca="1" si="1"/>
        <v/>
      </c>
      <c r="G57" s="29" t="str">
        <f t="shared" ca="1" si="5"/>
        <v/>
      </c>
      <c r="H57" s="7" t="str">
        <f t="shared" ca="1" si="6"/>
        <v/>
      </c>
      <c r="I57" s="28" t="str">
        <f t="shared" ca="1" si="7"/>
        <v/>
      </c>
      <c r="J57" s="7" t="str">
        <f t="shared" ca="1" si="8"/>
        <v/>
      </c>
      <c r="K57" s="73" t="str">
        <f t="shared" ca="1" si="9"/>
        <v/>
      </c>
      <c r="L57" s="74" t="str">
        <f t="shared" ca="1" si="10"/>
        <v/>
      </c>
      <c r="M57" s="75" t="str">
        <f t="shared" ca="1" si="11"/>
        <v/>
      </c>
      <c r="N57" s="76" t="str">
        <f t="shared" ca="1" si="12"/>
        <v/>
      </c>
      <c r="O57" s="75" t="str">
        <f t="shared" ca="1" si="13"/>
        <v/>
      </c>
      <c r="P57" s="76" t="str">
        <f t="shared" ca="1" si="14"/>
        <v/>
      </c>
      <c r="Q57" s="75" t="str">
        <f t="shared" ca="1" si="15"/>
        <v/>
      </c>
      <c r="R57" s="77" t="str">
        <f t="shared" ca="1" si="16"/>
        <v/>
      </c>
      <c r="S57" s="89" t="str">
        <f t="shared" ca="1" si="17"/>
        <v/>
      </c>
      <c r="T57" s="88" t="str">
        <f t="shared" ca="1" si="18"/>
        <v/>
      </c>
      <c r="U57" s="92" t="str">
        <f t="shared" ca="1" si="19"/>
        <v/>
      </c>
      <c r="V57" s="88" t="str">
        <f t="shared" ca="1" si="20"/>
        <v/>
      </c>
      <c r="W57" s="92" t="str">
        <f t="shared" ca="1" si="21"/>
        <v/>
      </c>
      <c r="X57" s="88" t="str">
        <f t="shared" ca="1" si="22"/>
        <v/>
      </c>
      <c r="Y57" s="92" t="str">
        <f t="shared" ca="1" si="23"/>
        <v/>
      </c>
      <c r="Z57" s="88" t="str">
        <f t="shared" ca="1" si="24"/>
        <v/>
      </c>
      <c r="AA57" s="89" t="str">
        <f t="shared" ca="1" si="25"/>
        <v/>
      </c>
      <c r="AB57" s="88" t="str">
        <f t="shared" ca="1" si="26"/>
        <v/>
      </c>
      <c r="AC57" s="92" t="str">
        <f t="shared" ca="1" si="27"/>
        <v/>
      </c>
      <c r="AD57" s="88" t="str">
        <f t="shared" ca="1" si="28"/>
        <v/>
      </c>
      <c r="AE57" s="92" t="str">
        <f t="shared" ca="1" si="29"/>
        <v/>
      </c>
      <c r="AF57" s="88" t="str">
        <f t="shared" ca="1" si="30"/>
        <v/>
      </c>
      <c r="AG57" s="92" t="str">
        <f t="shared" ca="1" si="31"/>
        <v/>
      </c>
      <c r="AH57" s="88" t="str">
        <f t="shared" ca="1" si="32"/>
        <v/>
      </c>
      <c r="AI57" s="92" t="str">
        <f t="shared" ca="1" si="33"/>
        <v/>
      </c>
      <c r="AJ57" s="88" t="str">
        <f t="shared" ca="1" si="34"/>
        <v/>
      </c>
      <c r="AK57" s="92" t="str">
        <f t="shared" ca="1" si="35"/>
        <v/>
      </c>
      <c r="AL57" s="77" t="str">
        <f t="shared" ca="1" si="36"/>
        <v/>
      </c>
      <c r="AM57" s="89" t="str">
        <f t="shared" ca="1" si="37"/>
        <v/>
      </c>
      <c r="AN57" s="88" t="str">
        <f t="shared" ca="1" si="38"/>
        <v/>
      </c>
      <c r="AO57" s="89" t="str">
        <f t="shared" ca="1" si="39"/>
        <v/>
      </c>
      <c r="AP57" s="77" t="str">
        <f t="shared" ca="1" si="40"/>
        <v/>
      </c>
      <c r="AQ57" s="94" t="str">
        <f t="shared" ca="1" si="41"/>
        <v/>
      </c>
      <c r="AR57" s="77" t="str">
        <f t="shared" ca="1" si="42"/>
        <v/>
      </c>
      <c r="AS57" s="94" t="str">
        <f t="shared" ca="1" si="43"/>
        <v/>
      </c>
      <c r="AT57" s="77" t="str">
        <f t="shared" ca="1" si="44"/>
        <v/>
      </c>
      <c r="AU57" s="93" t="str">
        <f t="shared" ca="1" si="45"/>
        <v/>
      </c>
      <c r="AV57" s="77" t="str">
        <f t="shared" ca="1" si="46"/>
        <v/>
      </c>
      <c r="AW57" s="93" t="str">
        <f t="shared" ca="1" si="47"/>
        <v/>
      </c>
      <c r="AX57" s="77" t="str">
        <f t="shared" ca="1" si="48"/>
        <v/>
      </c>
      <c r="AY57" s="93" t="str">
        <f t="shared" ca="1" si="49"/>
        <v/>
      </c>
      <c r="AZ57" s="77" t="str">
        <f t="shared" ca="1" si="50"/>
        <v/>
      </c>
      <c r="BA57" s="93" t="str">
        <f t="shared" ca="1" si="51"/>
        <v/>
      </c>
      <c r="BB57" s="77" t="str">
        <f t="shared" ca="1" si="52"/>
        <v/>
      </c>
      <c r="BC57" s="93" t="str">
        <f t="shared" ca="1" si="53"/>
        <v/>
      </c>
    </row>
    <row r="58" spans="1:55" ht="15.95" customHeight="1" x14ac:dyDescent="0.2">
      <c r="A58" s="41" t="str">
        <f>IF(Customization!B58="","",Customization!B58)</f>
        <v/>
      </c>
      <c r="B58" s="79" t="str">
        <f t="shared" ca="1" si="2"/>
        <v/>
      </c>
      <c r="C58" s="29" t="str">
        <f t="shared" ca="1" si="3"/>
        <v/>
      </c>
      <c r="D58" s="7" t="str">
        <f t="shared" ca="1" si="0"/>
        <v/>
      </c>
      <c r="E58" s="29" t="str">
        <f t="shared" ca="1" si="4"/>
        <v/>
      </c>
      <c r="F58" s="7" t="str">
        <f t="shared" ca="1" si="1"/>
        <v/>
      </c>
      <c r="G58" s="29" t="str">
        <f t="shared" ca="1" si="5"/>
        <v/>
      </c>
      <c r="H58" s="7" t="str">
        <f t="shared" ca="1" si="6"/>
        <v/>
      </c>
      <c r="I58" s="28" t="str">
        <f t="shared" ca="1" si="7"/>
        <v/>
      </c>
      <c r="J58" s="7" t="str">
        <f t="shared" ca="1" si="8"/>
        <v/>
      </c>
      <c r="K58" s="73" t="str">
        <f t="shared" ca="1" si="9"/>
        <v/>
      </c>
      <c r="L58" s="74" t="str">
        <f t="shared" ca="1" si="10"/>
        <v/>
      </c>
      <c r="M58" s="75" t="str">
        <f t="shared" ca="1" si="11"/>
        <v/>
      </c>
      <c r="N58" s="76" t="str">
        <f t="shared" ca="1" si="12"/>
        <v/>
      </c>
      <c r="O58" s="75" t="str">
        <f t="shared" ca="1" si="13"/>
        <v/>
      </c>
      <c r="P58" s="76" t="str">
        <f t="shared" ca="1" si="14"/>
        <v/>
      </c>
      <c r="Q58" s="75" t="str">
        <f t="shared" ca="1" si="15"/>
        <v/>
      </c>
      <c r="R58" s="77" t="str">
        <f t="shared" ca="1" si="16"/>
        <v/>
      </c>
      <c r="S58" s="89" t="str">
        <f t="shared" ca="1" si="17"/>
        <v/>
      </c>
      <c r="T58" s="88" t="str">
        <f t="shared" ca="1" si="18"/>
        <v/>
      </c>
      <c r="U58" s="92" t="str">
        <f t="shared" ca="1" si="19"/>
        <v/>
      </c>
      <c r="V58" s="88" t="str">
        <f t="shared" ca="1" si="20"/>
        <v/>
      </c>
      <c r="W58" s="92" t="str">
        <f t="shared" ca="1" si="21"/>
        <v/>
      </c>
      <c r="X58" s="88" t="str">
        <f t="shared" ca="1" si="22"/>
        <v/>
      </c>
      <c r="Y58" s="92" t="str">
        <f t="shared" ca="1" si="23"/>
        <v/>
      </c>
      <c r="Z58" s="88" t="str">
        <f t="shared" ca="1" si="24"/>
        <v/>
      </c>
      <c r="AA58" s="89" t="str">
        <f t="shared" ca="1" si="25"/>
        <v/>
      </c>
      <c r="AB58" s="88" t="str">
        <f t="shared" ca="1" si="26"/>
        <v/>
      </c>
      <c r="AC58" s="92" t="str">
        <f t="shared" ca="1" si="27"/>
        <v/>
      </c>
      <c r="AD58" s="88" t="str">
        <f t="shared" ca="1" si="28"/>
        <v/>
      </c>
      <c r="AE58" s="92" t="str">
        <f t="shared" ca="1" si="29"/>
        <v/>
      </c>
      <c r="AF58" s="88" t="str">
        <f t="shared" ca="1" si="30"/>
        <v/>
      </c>
      <c r="AG58" s="92" t="str">
        <f t="shared" ca="1" si="31"/>
        <v/>
      </c>
      <c r="AH58" s="88" t="str">
        <f t="shared" ca="1" si="32"/>
        <v/>
      </c>
      <c r="AI58" s="92" t="str">
        <f t="shared" ca="1" si="33"/>
        <v/>
      </c>
      <c r="AJ58" s="88" t="str">
        <f t="shared" ca="1" si="34"/>
        <v/>
      </c>
      <c r="AK58" s="92" t="str">
        <f t="shared" ca="1" si="35"/>
        <v/>
      </c>
      <c r="AL58" s="77" t="str">
        <f t="shared" ca="1" si="36"/>
        <v/>
      </c>
      <c r="AM58" s="89" t="str">
        <f t="shared" ca="1" si="37"/>
        <v/>
      </c>
      <c r="AN58" s="88" t="str">
        <f t="shared" ca="1" si="38"/>
        <v/>
      </c>
      <c r="AO58" s="89" t="str">
        <f t="shared" ca="1" si="39"/>
        <v/>
      </c>
      <c r="AP58" s="77" t="str">
        <f t="shared" ca="1" si="40"/>
        <v/>
      </c>
      <c r="AQ58" s="94" t="str">
        <f t="shared" ca="1" si="41"/>
        <v/>
      </c>
      <c r="AR58" s="77" t="str">
        <f t="shared" ca="1" si="42"/>
        <v/>
      </c>
      <c r="AS58" s="94" t="str">
        <f t="shared" ca="1" si="43"/>
        <v/>
      </c>
      <c r="AT58" s="77" t="str">
        <f t="shared" ca="1" si="44"/>
        <v/>
      </c>
      <c r="AU58" s="93" t="str">
        <f t="shared" ca="1" si="45"/>
        <v/>
      </c>
      <c r="AV58" s="77" t="str">
        <f t="shared" ca="1" si="46"/>
        <v/>
      </c>
      <c r="AW58" s="93" t="str">
        <f t="shared" ca="1" si="47"/>
        <v/>
      </c>
      <c r="AX58" s="77" t="str">
        <f t="shared" ca="1" si="48"/>
        <v/>
      </c>
      <c r="AY58" s="93" t="str">
        <f t="shared" ca="1" si="49"/>
        <v/>
      </c>
      <c r="AZ58" s="77" t="str">
        <f t="shared" ca="1" si="50"/>
        <v/>
      </c>
      <c r="BA58" s="93" t="str">
        <f t="shared" ca="1" si="51"/>
        <v/>
      </c>
      <c r="BB58" s="77" t="str">
        <f t="shared" ca="1" si="52"/>
        <v/>
      </c>
      <c r="BC58" s="93" t="str">
        <f t="shared" ca="1" si="53"/>
        <v/>
      </c>
    </row>
    <row r="59" spans="1:55" ht="15.95" customHeight="1" x14ac:dyDescent="0.2">
      <c r="A59" s="41" t="str">
        <f>IF(Customization!B59="","",Customization!B59)</f>
        <v/>
      </c>
      <c r="B59" s="79" t="str">
        <f t="shared" ca="1" si="2"/>
        <v/>
      </c>
      <c r="C59" s="29" t="str">
        <f t="shared" ca="1" si="3"/>
        <v/>
      </c>
      <c r="D59" s="7" t="str">
        <f t="shared" ca="1" si="0"/>
        <v/>
      </c>
      <c r="E59" s="29" t="str">
        <f t="shared" ca="1" si="4"/>
        <v/>
      </c>
      <c r="F59" s="7" t="str">
        <f t="shared" ca="1" si="1"/>
        <v/>
      </c>
      <c r="G59" s="29" t="str">
        <f t="shared" ca="1" si="5"/>
        <v/>
      </c>
      <c r="H59" s="7" t="str">
        <f t="shared" ca="1" si="6"/>
        <v/>
      </c>
      <c r="I59" s="28" t="str">
        <f t="shared" ca="1" si="7"/>
        <v/>
      </c>
      <c r="J59" s="7" t="str">
        <f t="shared" ca="1" si="8"/>
        <v/>
      </c>
      <c r="K59" s="73" t="str">
        <f t="shared" ca="1" si="9"/>
        <v/>
      </c>
      <c r="L59" s="74" t="str">
        <f t="shared" ca="1" si="10"/>
        <v/>
      </c>
      <c r="M59" s="75" t="str">
        <f t="shared" ca="1" si="11"/>
        <v/>
      </c>
      <c r="N59" s="76" t="str">
        <f t="shared" ca="1" si="12"/>
        <v/>
      </c>
      <c r="O59" s="75" t="str">
        <f t="shared" ca="1" si="13"/>
        <v/>
      </c>
      <c r="P59" s="76" t="str">
        <f t="shared" ca="1" si="14"/>
        <v/>
      </c>
      <c r="Q59" s="75" t="str">
        <f t="shared" ca="1" si="15"/>
        <v/>
      </c>
      <c r="R59" s="77" t="str">
        <f t="shared" ca="1" si="16"/>
        <v/>
      </c>
      <c r="S59" s="89" t="str">
        <f t="shared" ca="1" si="17"/>
        <v/>
      </c>
      <c r="T59" s="88" t="str">
        <f t="shared" ca="1" si="18"/>
        <v/>
      </c>
      <c r="U59" s="92" t="str">
        <f t="shared" ca="1" si="19"/>
        <v/>
      </c>
      <c r="V59" s="88" t="str">
        <f t="shared" ca="1" si="20"/>
        <v/>
      </c>
      <c r="W59" s="92" t="str">
        <f t="shared" ca="1" si="21"/>
        <v/>
      </c>
      <c r="X59" s="88" t="str">
        <f t="shared" ca="1" si="22"/>
        <v/>
      </c>
      <c r="Y59" s="92" t="str">
        <f t="shared" ca="1" si="23"/>
        <v/>
      </c>
      <c r="Z59" s="88" t="str">
        <f t="shared" ca="1" si="24"/>
        <v/>
      </c>
      <c r="AA59" s="89" t="str">
        <f t="shared" ca="1" si="25"/>
        <v/>
      </c>
      <c r="AB59" s="88" t="str">
        <f t="shared" ca="1" si="26"/>
        <v/>
      </c>
      <c r="AC59" s="92" t="str">
        <f t="shared" ca="1" si="27"/>
        <v/>
      </c>
      <c r="AD59" s="88" t="str">
        <f t="shared" ca="1" si="28"/>
        <v/>
      </c>
      <c r="AE59" s="92" t="str">
        <f t="shared" ca="1" si="29"/>
        <v/>
      </c>
      <c r="AF59" s="88" t="str">
        <f t="shared" ca="1" si="30"/>
        <v/>
      </c>
      <c r="AG59" s="92" t="str">
        <f t="shared" ca="1" si="31"/>
        <v/>
      </c>
      <c r="AH59" s="88" t="str">
        <f t="shared" ca="1" si="32"/>
        <v/>
      </c>
      <c r="AI59" s="92" t="str">
        <f t="shared" ca="1" si="33"/>
        <v/>
      </c>
      <c r="AJ59" s="88" t="str">
        <f t="shared" ca="1" si="34"/>
        <v/>
      </c>
      <c r="AK59" s="92" t="str">
        <f t="shared" ca="1" si="35"/>
        <v/>
      </c>
      <c r="AL59" s="77" t="str">
        <f t="shared" ca="1" si="36"/>
        <v/>
      </c>
      <c r="AM59" s="89" t="str">
        <f t="shared" ca="1" si="37"/>
        <v/>
      </c>
      <c r="AN59" s="88" t="str">
        <f t="shared" ca="1" si="38"/>
        <v/>
      </c>
      <c r="AO59" s="89" t="str">
        <f t="shared" ca="1" si="39"/>
        <v/>
      </c>
      <c r="AP59" s="77" t="str">
        <f t="shared" ca="1" si="40"/>
        <v/>
      </c>
      <c r="AQ59" s="94" t="str">
        <f t="shared" ca="1" si="41"/>
        <v/>
      </c>
      <c r="AR59" s="77" t="str">
        <f t="shared" ca="1" si="42"/>
        <v/>
      </c>
      <c r="AS59" s="94" t="str">
        <f t="shared" ca="1" si="43"/>
        <v/>
      </c>
      <c r="AT59" s="77" t="str">
        <f t="shared" ca="1" si="44"/>
        <v/>
      </c>
      <c r="AU59" s="93" t="str">
        <f t="shared" ca="1" si="45"/>
        <v/>
      </c>
      <c r="AV59" s="77" t="str">
        <f t="shared" ca="1" si="46"/>
        <v/>
      </c>
      <c r="AW59" s="93" t="str">
        <f t="shared" ca="1" si="47"/>
        <v/>
      </c>
      <c r="AX59" s="77" t="str">
        <f t="shared" ca="1" si="48"/>
        <v/>
      </c>
      <c r="AY59" s="93" t="str">
        <f t="shared" ca="1" si="49"/>
        <v/>
      </c>
      <c r="AZ59" s="77" t="str">
        <f t="shared" ca="1" si="50"/>
        <v/>
      </c>
      <c r="BA59" s="93" t="str">
        <f t="shared" ca="1" si="51"/>
        <v/>
      </c>
      <c r="BB59" s="77" t="str">
        <f t="shared" ca="1" si="52"/>
        <v/>
      </c>
      <c r="BC59" s="93" t="str">
        <f t="shared" ca="1" si="53"/>
        <v/>
      </c>
    </row>
    <row r="60" spans="1:55" ht="15.95" customHeight="1" x14ac:dyDescent="0.2">
      <c r="A60" s="41" t="str">
        <f>IF(Customization!B60="","",Customization!B60)</f>
        <v/>
      </c>
      <c r="B60" s="79" t="str">
        <f t="shared" ca="1" si="2"/>
        <v/>
      </c>
      <c r="C60" s="29" t="str">
        <f t="shared" ca="1" si="3"/>
        <v/>
      </c>
      <c r="D60" s="7" t="str">
        <f t="shared" ca="1" si="0"/>
        <v/>
      </c>
      <c r="E60" s="29" t="str">
        <f t="shared" ca="1" si="4"/>
        <v/>
      </c>
      <c r="F60" s="7" t="str">
        <f t="shared" ca="1" si="1"/>
        <v/>
      </c>
      <c r="G60" s="29" t="str">
        <f t="shared" ca="1" si="5"/>
        <v/>
      </c>
      <c r="H60" s="7" t="str">
        <f t="shared" ca="1" si="6"/>
        <v/>
      </c>
      <c r="I60" s="28" t="str">
        <f t="shared" ca="1" si="7"/>
        <v/>
      </c>
      <c r="J60" s="7" t="str">
        <f t="shared" ca="1" si="8"/>
        <v/>
      </c>
      <c r="K60" s="73" t="str">
        <f t="shared" ca="1" si="9"/>
        <v/>
      </c>
      <c r="L60" s="74" t="str">
        <f t="shared" ca="1" si="10"/>
        <v/>
      </c>
      <c r="M60" s="75" t="str">
        <f t="shared" ca="1" si="11"/>
        <v/>
      </c>
      <c r="N60" s="76" t="str">
        <f t="shared" ca="1" si="12"/>
        <v/>
      </c>
      <c r="O60" s="75" t="str">
        <f t="shared" ca="1" si="13"/>
        <v/>
      </c>
      <c r="P60" s="76" t="str">
        <f t="shared" ca="1" si="14"/>
        <v/>
      </c>
      <c r="Q60" s="75" t="str">
        <f t="shared" ca="1" si="15"/>
        <v/>
      </c>
      <c r="R60" s="77" t="str">
        <f t="shared" ca="1" si="16"/>
        <v/>
      </c>
      <c r="S60" s="89" t="str">
        <f t="shared" ca="1" si="17"/>
        <v/>
      </c>
      <c r="T60" s="88" t="str">
        <f t="shared" ca="1" si="18"/>
        <v/>
      </c>
      <c r="U60" s="92" t="str">
        <f t="shared" ca="1" si="19"/>
        <v/>
      </c>
      <c r="V60" s="88" t="str">
        <f t="shared" ca="1" si="20"/>
        <v/>
      </c>
      <c r="W60" s="92" t="str">
        <f t="shared" ca="1" si="21"/>
        <v/>
      </c>
      <c r="X60" s="88" t="str">
        <f t="shared" ca="1" si="22"/>
        <v/>
      </c>
      <c r="Y60" s="92" t="str">
        <f t="shared" ca="1" si="23"/>
        <v/>
      </c>
      <c r="Z60" s="88" t="str">
        <f t="shared" ca="1" si="24"/>
        <v/>
      </c>
      <c r="AA60" s="89" t="str">
        <f t="shared" ca="1" si="25"/>
        <v/>
      </c>
      <c r="AB60" s="88" t="str">
        <f t="shared" ca="1" si="26"/>
        <v/>
      </c>
      <c r="AC60" s="92" t="str">
        <f t="shared" ca="1" si="27"/>
        <v/>
      </c>
      <c r="AD60" s="88" t="str">
        <f t="shared" ca="1" si="28"/>
        <v/>
      </c>
      <c r="AE60" s="92" t="str">
        <f t="shared" ca="1" si="29"/>
        <v/>
      </c>
      <c r="AF60" s="88" t="str">
        <f t="shared" ca="1" si="30"/>
        <v/>
      </c>
      <c r="AG60" s="92" t="str">
        <f t="shared" ca="1" si="31"/>
        <v/>
      </c>
      <c r="AH60" s="88" t="str">
        <f t="shared" ca="1" si="32"/>
        <v/>
      </c>
      <c r="AI60" s="92" t="str">
        <f t="shared" ca="1" si="33"/>
        <v/>
      </c>
      <c r="AJ60" s="88" t="str">
        <f t="shared" ca="1" si="34"/>
        <v/>
      </c>
      <c r="AK60" s="92" t="str">
        <f t="shared" ca="1" si="35"/>
        <v/>
      </c>
      <c r="AL60" s="77" t="str">
        <f t="shared" ca="1" si="36"/>
        <v/>
      </c>
      <c r="AM60" s="89" t="str">
        <f t="shared" ca="1" si="37"/>
        <v/>
      </c>
      <c r="AN60" s="88" t="str">
        <f t="shared" ca="1" si="38"/>
        <v/>
      </c>
      <c r="AO60" s="89" t="str">
        <f t="shared" ca="1" si="39"/>
        <v/>
      </c>
      <c r="AP60" s="77" t="str">
        <f t="shared" ca="1" si="40"/>
        <v/>
      </c>
      <c r="AQ60" s="94" t="str">
        <f t="shared" ca="1" si="41"/>
        <v/>
      </c>
      <c r="AR60" s="77" t="str">
        <f t="shared" ca="1" si="42"/>
        <v/>
      </c>
      <c r="AS60" s="94" t="str">
        <f t="shared" ca="1" si="43"/>
        <v/>
      </c>
      <c r="AT60" s="77" t="str">
        <f t="shared" ca="1" si="44"/>
        <v/>
      </c>
      <c r="AU60" s="93" t="str">
        <f t="shared" ca="1" si="45"/>
        <v/>
      </c>
      <c r="AV60" s="77" t="str">
        <f t="shared" ca="1" si="46"/>
        <v/>
      </c>
      <c r="AW60" s="93" t="str">
        <f t="shared" ca="1" si="47"/>
        <v/>
      </c>
      <c r="AX60" s="77" t="str">
        <f t="shared" ca="1" si="48"/>
        <v/>
      </c>
      <c r="AY60" s="93" t="str">
        <f t="shared" ca="1" si="49"/>
        <v/>
      </c>
      <c r="AZ60" s="77" t="str">
        <f t="shared" ca="1" si="50"/>
        <v/>
      </c>
      <c r="BA60" s="93" t="str">
        <f t="shared" ca="1" si="51"/>
        <v/>
      </c>
      <c r="BB60" s="77" t="str">
        <f t="shared" ca="1" si="52"/>
        <v/>
      </c>
      <c r="BC60" s="93" t="str">
        <f t="shared" ca="1" si="53"/>
        <v/>
      </c>
    </row>
    <row r="61" spans="1:55" ht="15.95" customHeight="1" x14ac:dyDescent="0.2">
      <c r="A61" s="41" t="str">
        <f>IF(Customization!B61="","",Customization!B61)</f>
        <v/>
      </c>
      <c r="B61" s="79" t="str">
        <f t="shared" ca="1" si="2"/>
        <v/>
      </c>
      <c r="C61" s="29" t="str">
        <f t="shared" ca="1" si="3"/>
        <v/>
      </c>
      <c r="D61" s="7" t="str">
        <f t="shared" ca="1" si="0"/>
        <v/>
      </c>
      <c r="E61" s="29" t="str">
        <f t="shared" ca="1" si="4"/>
        <v/>
      </c>
      <c r="F61" s="7" t="str">
        <f t="shared" ca="1" si="1"/>
        <v/>
      </c>
      <c r="G61" s="29" t="str">
        <f t="shared" ca="1" si="5"/>
        <v/>
      </c>
      <c r="H61" s="7" t="str">
        <f t="shared" ca="1" si="6"/>
        <v/>
      </c>
      <c r="I61" s="28" t="str">
        <f t="shared" ca="1" si="7"/>
        <v/>
      </c>
      <c r="J61" s="7" t="str">
        <f t="shared" ca="1" si="8"/>
        <v/>
      </c>
      <c r="K61" s="73" t="str">
        <f t="shared" ca="1" si="9"/>
        <v/>
      </c>
      <c r="L61" s="74" t="str">
        <f t="shared" ca="1" si="10"/>
        <v/>
      </c>
      <c r="M61" s="75" t="str">
        <f t="shared" ca="1" si="11"/>
        <v/>
      </c>
      <c r="N61" s="76" t="str">
        <f t="shared" ca="1" si="12"/>
        <v/>
      </c>
      <c r="O61" s="75" t="str">
        <f t="shared" ca="1" si="13"/>
        <v/>
      </c>
      <c r="P61" s="76" t="str">
        <f t="shared" ca="1" si="14"/>
        <v/>
      </c>
      <c r="Q61" s="75" t="str">
        <f t="shared" ca="1" si="15"/>
        <v/>
      </c>
      <c r="R61" s="77" t="str">
        <f t="shared" ca="1" si="16"/>
        <v/>
      </c>
      <c r="S61" s="89" t="str">
        <f t="shared" ca="1" si="17"/>
        <v/>
      </c>
      <c r="T61" s="88" t="str">
        <f t="shared" ca="1" si="18"/>
        <v/>
      </c>
      <c r="U61" s="92" t="str">
        <f t="shared" ca="1" si="19"/>
        <v/>
      </c>
      <c r="V61" s="88" t="str">
        <f t="shared" ca="1" si="20"/>
        <v/>
      </c>
      <c r="W61" s="92" t="str">
        <f t="shared" ca="1" si="21"/>
        <v/>
      </c>
      <c r="X61" s="88" t="str">
        <f t="shared" ca="1" si="22"/>
        <v/>
      </c>
      <c r="Y61" s="92" t="str">
        <f t="shared" ca="1" si="23"/>
        <v/>
      </c>
      <c r="Z61" s="88" t="str">
        <f t="shared" ca="1" si="24"/>
        <v/>
      </c>
      <c r="AA61" s="89" t="str">
        <f t="shared" ca="1" si="25"/>
        <v/>
      </c>
      <c r="AB61" s="88" t="str">
        <f t="shared" ca="1" si="26"/>
        <v/>
      </c>
      <c r="AC61" s="92" t="str">
        <f t="shared" ca="1" si="27"/>
        <v/>
      </c>
      <c r="AD61" s="88" t="str">
        <f t="shared" ca="1" si="28"/>
        <v/>
      </c>
      <c r="AE61" s="92" t="str">
        <f t="shared" ca="1" si="29"/>
        <v/>
      </c>
      <c r="AF61" s="88" t="str">
        <f t="shared" ca="1" si="30"/>
        <v/>
      </c>
      <c r="AG61" s="92" t="str">
        <f t="shared" ca="1" si="31"/>
        <v/>
      </c>
      <c r="AH61" s="88" t="str">
        <f t="shared" ca="1" si="32"/>
        <v/>
      </c>
      <c r="AI61" s="92" t="str">
        <f t="shared" ca="1" si="33"/>
        <v/>
      </c>
      <c r="AJ61" s="88" t="str">
        <f t="shared" ca="1" si="34"/>
        <v/>
      </c>
      <c r="AK61" s="92" t="str">
        <f t="shared" ca="1" si="35"/>
        <v/>
      </c>
      <c r="AL61" s="77" t="str">
        <f t="shared" ca="1" si="36"/>
        <v/>
      </c>
      <c r="AM61" s="89" t="str">
        <f t="shared" ca="1" si="37"/>
        <v/>
      </c>
      <c r="AN61" s="88" t="str">
        <f t="shared" ca="1" si="38"/>
        <v/>
      </c>
      <c r="AO61" s="89" t="str">
        <f t="shared" ca="1" si="39"/>
        <v/>
      </c>
      <c r="AP61" s="77" t="str">
        <f t="shared" ca="1" si="40"/>
        <v/>
      </c>
      <c r="AQ61" s="94" t="str">
        <f t="shared" ca="1" si="41"/>
        <v/>
      </c>
      <c r="AR61" s="77" t="str">
        <f t="shared" ca="1" si="42"/>
        <v/>
      </c>
      <c r="AS61" s="94" t="str">
        <f t="shared" ca="1" si="43"/>
        <v/>
      </c>
      <c r="AT61" s="77" t="str">
        <f t="shared" ca="1" si="44"/>
        <v/>
      </c>
      <c r="AU61" s="93" t="str">
        <f t="shared" ca="1" si="45"/>
        <v/>
      </c>
      <c r="AV61" s="77" t="str">
        <f t="shared" ca="1" si="46"/>
        <v/>
      </c>
      <c r="AW61" s="93" t="str">
        <f t="shared" ca="1" si="47"/>
        <v/>
      </c>
      <c r="AX61" s="77" t="str">
        <f t="shared" ca="1" si="48"/>
        <v/>
      </c>
      <c r="AY61" s="93" t="str">
        <f t="shared" ca="1" si="49"/>
        <v/>
      </c>
      <c r="AZ61" s="77" t="str">
        <f t="shared" ca="1" si="50"/>
        <v/>
      </c>
      <c r="BA61" s="93" t="str">
        <f t="shared" ca="1" si="51"/>
        <v/>
      </c>
      <c r="BB61" s="77" t="str">
        <f t="shared" ca="1" si="52"/>
        <v/>
      </c>
      <c r="BC61" s="93" t="str">
        <f t="shared" ca="1" si="53"/>
        <v/>
      </c>
    </row>
    <row r="62" spans="1:55" ht="15.95" customHeight="1" x14ac:dyDescent="0.2">
      <c r="A62" s="41" t="str">
        <f>IF(Customization!B62="","",Customization!B62)</f>
        <v/>
      </c>
      <c r="B62" s="79" t="str">
        <f t="shared" ca="1" si="2"/>
        <v/>
      </c>
      <c r="C62" s="29" t="str">
        <f t="shared" ca="1" si="3"/>
        <v/>
      </c>
      <c r="D62" s="7" t="str">
        <f t="shared" ca="1" si="0"/>
        <v/>
      </c>
      <c r="E62" s="29" t="str">
        <f t="shared" ca="1" si="4"/>
        <v/>
      </c>
      <c r="F62" s="7" t="str">
        <f t="shared" ca="1" si="1"/>
        <v/>
      </c>
      <c r="G62" s="29" t="str">
        <f t="shared" ca="1" si="5"/>
        <v/>
      </c>
      <c r="H62" s="7" t="str">
        <f t="shared" ca="1" si="6"/>
        <v/>
      </c>
      <c r="I62" s="28" t="str">
        <f t="shared" ca="1" si="7"/>
        <v/>
      </c>
      <c r="J62" s="7" t="str">
        <f t="shared" ca="1" si="8"/>
        <v/>
      </c>
      <c r="K62" s="73" t="str">
        <f t="shared" ca="1" si="9"/>
        <v/>
      </c>
      <c r="L62" s="74" t="str">
        <f t="shared" ca="1" si="10"/>
        <v/>
      </c>
      <c r="M62" s="75" t="str">
        <f t="shared" ca="1" si="11"/>
        <v/>
      </c>
      <c r="N62" s="76" t="str">
        <f t="shared" ca="1" si="12"/>
        <v/>
      </c>
      <c r="O62" s="75" t="str">
        <f t="shared" ca="1" si="13"/>
        <v/>
      </c>
      <c r="P62" s="76" t="str">
        <f t="shared" ca="1" si="14"/>
        <v/>
      </c>
      <c r="Q62" s="75" t="str">
        <f t="shared" ca="1" si="15"/>
        <v/>
      </c>
      <c r="R62" s="77" t="str">
        <f t="shared" ca="1" si="16"/>
        <v/>
      </c>
      <c r="S62" s="89" t="str">
        <f t="shared" ca="1" si="17"/>
        <v/>
      </c>
      <c r="T62" s="88" t="str">
        <f t="shared" ca="1" si="18"/>
        <v/>
      </c>
      <c r="U62" s="92" t="str">
        <f t="shared" ca="1" si="19"/>
        <v/>
      </c>
      <c r="V62" s="88" t="str">
        <f t="shared" ca="1" si="20"/>
        <v/>
      </c>
      <c r="W62" s="92" t="str">
        <f t="shared" ca="1" si="21"/>
        <v/>
      </c>
      <c r="X62" s="88" t="str">
        <f t="shared" ca="1" si="22"/>
        <v/>
      </c>
      <c r="Y62" s="92" t="str">
        <f t="shared" ca="1" si="23"/>
        <v/>
      </c>
      <c r="Z62" s="88" t="str">
        <f t="shared" ca="1" si="24"/>
        <v/>
      </c>
      <c r="AA62" s="89" t="str">
        <f t="shared" ca="1" si="25"/>
        <v/>
      </c>
      <c r="AB62" s="88" t="str">
        <f t="shared" ca="1" si="26"/>
        <v/>
      </c>
      <c r="AC62" s="92" t="str">
        <f t="shared" ca="1" si="27"/>
        <v/>
      </c>
      <c r="AD62" s="88" t="str">
        <f t="shared" ca="1" si="28"/>
        <v/>
      </c>
      <c r="AE62" s="92" t="str">
        <f t="shared" ca="1" si="29"/>
        <v/>
      </c>
      <c r="AF62" s="88" t="str">
        <f t="shared" ca="1" si="30"/>
        <v/>
      </c>
      <c r="AG62" s="92" t="str">
        <f t="shared" ca="1" si="31"/>
        <v/>
      </c>
      <c r="AH62" s="88" t="str">
        <f t="shared" ca="1" si="32"/>
        <v/>
      </c>
      <c r="AI62" s="92" t="str">
        <f t="shared" ca="1" si="33"/>
        <v/>
      </c>
      <c r="AJ62" s="88" t="str">
        <f t="shared" ca="1" si="34"/>
        <v/>
      </c>
      <c r="AK62" s="92" t="str">
        <f t="shared" ca="1" si="35"/>
        <v/>
      </c>
      <c r="AL62" s="77" t="str">
        <f t="shared" ca="1" si="36"/>
        <v/>
      </c>
      <c r="AM62" s="89" t="str">
        <f t="shared" ca="1" si="37"/>
        <v/>
      </c>
      <c r="AN62" s="88" t="str">
        <f t="shared" ca="1" si="38"/>
        <v/>
      </c>
      <c r="AO62" s="89" t="str">
        <f t="shared" ca="1" si="39"/>
        <v/>
      </c>
      <c r="AP62" s="77" t="str">
        <f t="shared" ca="1" si="40"/>
        <v/>
      </c>
      <c r="AQ62" s="94" t="str">
        <f t="shared" ca="1" si="41"/>
        <v/>
      </c>
      <c r="AR62" s="77" t="str">
        <f t="shared" ca="1" si="42"/>
        <v/>
      </c>
      <c r="AS62" s="94" t="str">
        <f t="shared" ca="1" si="43"/>
        <v/>
      </c>
      <c r="AT62" s="77" t="str">
        <f t="shared" ca="1" si="44"/>
        <v/>
      </c>
      <c r="AU62" s="93" t="str">
        <f t="shared" ca="1" si="45"/>
        <v/>
      </c>
      <c r="AV62" s="77" t="str">
        <f t="shared" ca="1" si="46"/>
        <v/>
      </c>
      <c r="AW62" s="93" t="str">
        <f t="shared" ca="1" si="47"/>
        <v/>
      </c>
      <c r="AX62" s="77" t="str">
        <f t="shared" ca="1" si="48"/>
        <v/>
      </c>
      <c r="AY62" s="93" t="str">
        <f t="shared" ca="1" si="49"/>
        <v/>
      </c>
      <c r="AZ62" s="77" t="str">
        <f t="shared" ca="1" si="50"/>
        <v/>
      </c>
      <c r="BA62" s="93" t="str">
        <f t="shared" ca="1" si="51"/>
        <v/>
      </c>
      <c r="BB62" s="77" t="str">
        <f t="shared" ca="1" si="52"/>
        <v/>
      </c>
      <c r="BC62" s="93" t="str">
        <f t="shared" ca="1" si="53"/>
        <v/>
      </c>
    </row>
    <row r="63" spans="1:55" ht="15.95" customHeight="1" x14ac:dyDescent="0.2">
      <c r="A63" s="41" t="str">
        <f>IF(Customization!B63="","",Customization!B63)</f>
        <v/>
      </c>
      <c r="B63" s="79" t="str">
        <f t="shared" ca="1" si="2"/>
        <v/>
      </c>
      <c r="C63" s="29" t="str">
        <f t="shared" ca="1" si="3"/>
        <v/>
      </c>
      <c r="D63" s="7" t="str">
        <f t="shared" ca="1" si="0"/>
        <v/>
      </c>
      <c r="E63" s="29" t="str">
        <f t="shared" ca="1" si="4"/>
        <v/>
      </c>
      <c r="F63" s="7" t="str">
        <f t="shared" ca="1" si="1"/>
        <v/>
      </c>
      <c r="G63" s="29" t="str">
        <f t="shared" ca="1" si="5"/>
        <v/>
      </c>
      <c r="H63" s="7" t="str">
        <f t="shared" ca="1" si="6"/>
        <v/>
      </c>
      <c r="I63" s="28" t="str">
        <f t="shared" ca="1" si="7"/>
        <v/>
      </c>
      <c r="J63" s="7" t="str">
        <f t="shared" ca="1" si="8"/>
        <v/>
      </c>
      <c r="K63" s="73" t="str">
        <f t="shared" ca="1" si="9"/>
        <v/>
      </c>
      <c r="L63" s="74" t="str">
        <f t="shared" ca="1" si="10"/>
        <v/>
      </c>
      <c r="M63" s="75" t="str">
        <f t="shared" ca="1" si="11"/>
        <v/>
      </c>
      <c r="N63" s="76" t="str">
        <f t="shared" ca="1" si="12"/>
        <v/>
      </c>
      <c r="O63" s="75" t="str">
        <f t="shared" ca="1" si="13"/>
        <v/>
      </c>
      <c r="P63" s="76" t="str">
        <f t="shared" ca="1" si="14"/>
        <v/>
      </c>
      <c r="Q63" s="75" t="str">
        <f t="shared" ca="1" si="15"/>
        <v/>
      </c>
      <c r="R63" s="77" t="str">
        <f t="shared" ca="1" si="16"/>
        <v/>
      </c>
      <c r="S63" s="89" t="str">
        <f t="shared" ca="1" si="17"/>
        <v/>
      </c>
      <c r="T63" s="88" t="str">
        <f t="shared" ca="1" si="18"/>
        <v/>
      </c>
      <c r="U63" s="92" t="str">
        <f t="shared" ca="1" si="19"/>
        <v/>
      </c>
      <c r="V63" s="88" t="str">
        <f t="shared" ca="1" si="20"/>
        <v/>
      </c>
      <c r="W63" s="92" t="str">
        <f t="shared" ca="1" si="21"/>
        <v/>
      </c>
      <c r="X63" s="88" t="str">
        <f t="shared" ca="1" si="22"/>
        <v/>
      </c>
      <c r="Y63" s="92" t="str">
        <f t="shared" ca="1" si="23"/>
        <v/>
      </c>
      <c r="Z63" s="88" t="str">
        <f t="shared" ca="1" si="24"/>
        <v/>
      </c>
      <c r="AA63" s="89" t="str">
        <f t="shared" ca="1" si="25"/>
        <v/>
      </c>
      <c r="AB63" s="88" t="str">
        <f t="shared" ca="1" si="26"/>
        <v/>
      </c>
      <c r="AC63" s="92" t="str">
        <f t="shared" ca="1" si="27"/>
        <v/>
      </c>
      <c r="AD63" s="88" t="str">
        <f t="shared" ca="1" si="28"/>
        <v/>
      </c>
      <c r="AE63" s="92" t="str">
        <f t="shared" ca="1" si="29"/>
        <v/>
      </c>
      <c r="AF63" s="88" t="str">
        <f t="shared" ca="1" si="30"/>
        <v/>
      </c>
      <c r="AG63" s="92" t="str">
        <f t="shared" ca="1" si="31"/>
        <v/>
      </c>
      <c r="AH63" s="88" t="str">
        <f t="shared" ca="1" si="32"/>
        <v/>
      </c>
      <c r="AI63" s="92" t="str">
        <f t="shared" ca="1" si="33"/>
        <v/>
      </c>
      <c r="AJ63" s="88" t="str">
        <f t="shared" ca="1" si="34"/>
        <v/>
      </c>
      <c r="AK63" s="92" t="str">
        <f t="shared" ca="1" si="35"/>
        <v/>
      </c>
      <c r="AL63" s="77" t="str">
        <f t="shared" ca="1" si="36"/>
        <v/>
      </c>
      <c r="AM63" s="89" t="str">
        <f t="shared" ca="1" si="37"/>
        <v/>
      </c>
      <c r="AN63" s="88" t="str">
        <f t="shared" ca="1" si="38"/>
        <v/>
      </c>
      <c r="AO63" s="89" t="str">
        <f t="shared" ca="1" si="39"/>
        <v/>
      </c>
      <c r="AP63" s="77" t="str">
        <f t="shared" ca="1" si="40"/>
        <v/>
      </c>
      <c r="AQ63" s="94" t="str">
        <f t="shared" ca="1" si="41"/>
        <v/>
      </c>
      <c r="AR63" s="77" t="str">
        <f t="shared" ca="1" si="42"/>
        <v/>
      </c>
      <c r="AS63" s="94" t="str">
        <f t="shared" ca="1" si="43"/>
        <v/>
      </c>
      <c r="AT63" s="77" t="str">
        <f t="shared" ca="1" si="44"/>
        <v/>
      </c>
      <c r="AU63" s="93" t="str">
        <f t="shared" ca="1" si="45"/>
        <v/>
      </c>
      <c r="AV63" s="77" t="str">
        <f t="shared" ca="1" si="46"/>
        <v/>
      </c>
      <c r="AW63" s="93" t="str">
        <f t="shared" ca="1" si="47"/>
        <v/>
      </c>
      <c r="AX63" s="77" t="str">
        <f t="shared" ca="1" si="48"/>
        <v/>
      </c>
      <c r="AY63" s="93" t="str">
        <f t="shared" ca="1" si="49"/>
        <v/>
      </c>
      <c r="AZ63" s="77" t="str">
        <f t="shared" ca="1" si="50"/>
        <v/>
      </c>
      <c r="BA63" s="93" t="str">
        <f t="shared" ca="1" si="51"/>
        <v/>
      </c>
      <c r="BB63" s="77" t="str">
        <f t="shared" ca="1" si="52"/>
        <v/>
      </c>
      <c r="BC63" s="93" t="str">
        <f t="shared" ca="1" si="53"/>
        <v/>
      </c>
    </row>
    <row r="64" spans="1:55" ht="15.95" customHeight="1" x14ac:dyDescent="0.2">
      <c r="A64" s="41" t="str">
        <f>IF(Customization!B64="","",Customization!B64)</f>
        <v/>
      </c>
      <c r="B64" s="79" t="str">
        <f t="shared" ca="1" si="2"/>
        <v/>
      </c>
      <c r="C64" s="29" t="str">
        <f t="shared" ca="1" si="3"/>
        <v/>
      </c>
      <c r="D64" s="7" t="str">
        <f t="shared" ca="1" si="0"/>
        <v/>
      </c>
      <c r="E64" s="29" t="str">
        <f t="shared" ca="1" si="4"/>
        <v/>
      </c>
      <c r="F64" s="7" t="str">
        <f t="shared" ca="1" si="1"/>
        <v/>
      </c>
      <c r="G64" s="29" t="str">
        <f t="shared" ca="1" si="5"/>
        <v/>
      </c>
      <c r="H64" s="7" t="str">
        <f t="shared" ca="1" si="6"/>
        <v/>
      </c>
      <c r="I64" s="28" t="str">
        <f t="shared" ca="1" si="7"/>
        <v/>
      </c>
      <c r="J64" s="7" t="str">
        <f t="shared" ca="1" si="8"/>
        <v/>
      </c>
      <c r="K64" s="73" t="str">
        <f t="shared" ca="1" si="9"/>
        <v/>
      </c>
      <c r="L64" s="74" t="str">
        <f t="shared" ca="1" si="10"/>
        <v/>
      </c>
      <c r="M64" s="75" t="str">
        <f t="shared" ca="1" si="11"/>
        <v/>
      </c>
      <c r="N64" s="76" t="str">
        <f t="shared" ca="1" si="12"/>
        <v/>
      </c>
      <c r="O64" s="75" t="str">
        <f t="shared" ca="1" si="13"/>
        <v/>
      </c>
      <c r="P64" s="76" t="str">
        <f t="shared" ca="1" si="14"/>
        <v/>
      </c>
      <c r="Q64" s="75" t="str">
        <f t="shared" ca="1" si="15"/>
        <v/>
      </c>
      <c r="R64" s="77" t="str">
        <f t="shared" ca="1" si="16"/>
        <v/>
      </c>
      <c r="S64" s="89" t="str">
        <f t="shared" ca="1" si="17"/>
        <v/>
      </c>
      <c r="T64" s="88" t="str">
        <f t="shared" ca="1" si="18"/>
        <v/>
      </c>
      <c r="U64" s="92" t="str">
        <f t="shared" ca="1" si="19"/>
        <v/>
      </c>
      <c r="V64" s="88" t="str">
        <f t="shared" ca="1" si="20"/>
        <v/>
      </c>
      <c r="W64" s="92" t="str">
        <f t="shared" ca="1" si="21"/>
        <v/>
      </c>
      <c r="X64" s="88" t="str">
        <f t="shared" ca="1" si="22"/>
        <v/>
      </c>
      <c r="Y64" s="92" t="str">
        <f t="shared" ca="1" si="23"/>
        <v/>
      </c>
      <c r="Z64" s="88" t="str">
        <f t="shared" ca="1" si="24"/>
        <v/>
      </c>
      <c r="AA64" s="89" t="str">
        <f t="shared" ca="1" si="25"/>
        <v/>
      </c>
      <c r="AB64" s="88" t="str">
        <f t="shared" ca="1" si="26"/>
        <v/>
      </c>
      <c r="AC64" s="92" t="str">
        <f t="shared" ca="1" si="27"/>
        <v/>
      </c>
      <c r="AD64" s="88" t="str">
        <f t="shared" ca="1" si="28"/>
        <v/>
      </c>
      <c r="AE64" s="92" t="str">
        <f t="shared" ca="1" si="29"/>
        <v/>
      </c>
      <c r="AF64" s="88" t="str">
        <f t="shared" ca="1" si="30"/>
        <v/>
      </c>
      <c r="AG64" s="92" t="str">
        <f t="shared" ca="1" si="31"/>
        <v/>
      </c>
      <c r="AH64" s="88" t="str">
        <f t="shared" ca="1" si="32"/>
        <v/>
      </c>
      <c r="AI64" s="92" t="str">
        <f t="shared" ca="1" si="33"/>
        <v/>
      </c>
      <c r="AJ64" s="88" t="str">
        <f t="shared" ca="1" si="34"/>
        <v/>
      </c>
      <c r="AK64" s="92" t="str">
        <f t="shared" ca="1" si="35"/>
        <v/>
      </c>
      <c r="AL64" s="77" t="str">
        <f t="shared" ca="1" si="36"/>
        <v/>
      </c>
      <c r="AM64" s="89" t="str">
        <f t="shared" ca="1" si="37"/>
        <v/>
      </c>
      <c r="AN64" s="88" t="str">
        <f t="shared" ca="1" si="38"/>
        <v/>
      </c>
      <c r="AO64" s="89" t="str">
        <f t="shared" ca="1" si="39"/>
        <v/>
      </c>
      <c r="AP64" s="77" t="str">
        <f t="shared" ca="1" si="40"/>
        <v/>
      </c>
      <c r="AQ64" s="94" t="str">
        <f t="shared" ca="1" si="41"/>
        <v/>
      </c>
      <c r="AR64" s="77" t="str">
        <f t="shared" ca="1" si="42"/>
        <v/>
      </c>
      <c r="AS64" s="94" t="str">
        <f t="shared" ca="1" si="43"/>
        <v/>
      </c>
      <c r="AT64" s="77" t="str">
        <f t="shared" ca="1" si="44"/>
        <v/>
      </c>
      <c r="AU64" s="93" t="str">
        <f t="shared" ca="1" si="45"/>
        <v/>
      </c>
      <c r="AV64" s="77" t="str">
        <f t="shared" ca="1" si="46"/>
        <v/>
      </c>
      <c r="AW64" s="93" t="str">
        <f t="shared" ca="1" si="47"/>
        <v/>
      </c>
      <c r="AX64" s="77" t="str">
        <f t="shared" ca="1" si="48"/>
        <v/>
      </c>
      <c r="AY64" s="93" t="str">
        <f t="shared" ca="1" si="49"/>
        <v/>
      </c>
      <c r="AZ64" s="77" t="str">
        <f t="shared" ca="1" si="50"/>
        <v/>
      </c>
      <c r="BA64" s="93" t="str">
        <f t="shared" ca="1" si="51"/>
        <v/>
      </c>
      <c r="BB64" s="77" t="str">
        <f t="shared" ca="1" si="52"/>
        <v/>
      </c>
      <c r="BC64" s="93" t="str">
        <f t="shared" ca="1" si="53"/>
        <v/>
      </c>
    </row>
    <row r="65" spans="1:55" ht="15.95" customHeight="1" x14ac:dyDescent="0.2">
      <c r="A65" s="41" t="str">
        <f>IF(Customization!B65="","",Customization!B65)</f>
        <v/>
      </c>
      <c r="B65" s="79" t="str">
        <f t="shared" ca="1" si="2"/>
        <v/>
      </c>
      <c r="C65" s="29" t="str">
        <f t="shared" ca="1" si="3"/>
        <v/>
      </c>
      <c r="D65" s="7" t="str">
        <f t="shared" ca="1" si="0"/>
        <v/>
      </c>
      <c r="E65" s="29" t="str">
        <f t="shared" ca="1" si="4"/>
        <v/>
      </c>
      <c r="F65" s="7" t="str">
        <f t="shared" ca="1" si="1"/>
        <v/>
      </c>
      <c r="G65" s="29" t="str">
        <f t="shared" ca="1" si="5"/>
        <v/>
      </c>
      <c r="H65" s="7" t="str">
        <f t="shared" ca="1" si="6"/>
        <v/>
      </c>
      <c r="I65" s="28" t="str">
        <f t="shared" ca="1" si="7"/>
        <v/>
      </c>
      <c r="J65" s="7" t="str">
        <f t="shared" ca="1" si="8"/>
        <v/>
      </c>
      <c r="K65" s="73" t="str">
        <f t="shared" ca="1" si="9"/>
        <v/>
      </c>
      <c r="L65" s="74" t="str">
        <f t="shared" ca="1" si="10"/>
        <v/>
      </c>
      <c r="M65" s="75" t="str">
        <f t="shared" ca="1" si="11"/>
        <v/>
      </c>
      <c r="N65" s="76" t="str">
        <f t="shared" ca="1" si="12"/>
        <v/>
      </c>
      <c r="O65" s="75" t="str">
        <f t="shared" ca="1" si="13"/>
        <v/>
      </c>
      <c r="P65" s="76" t="str">
        <f t="shared" ca="1" si="14"/>
        <v/>
      </c>
      <c r="Q65" s="75" t="str">
        <f t="shared" ca="1" si="15"/>
        <v/>
      </c>
      <c r="R65" s="77" t="str">
        <f t="shared" ca="1" si="16"/>
        <v/>
      </c>
      <c r="S65" s="89" t="str">
        <f t="shared" ca="1" si="17"/>
        <v/>
      </c>
      <c r="T65" s="88" t="str">
        <f t="shared" ca="1" si="18"/>
        <v/>
      </c>
      <c r="U65" s="92" t="str">
        <f t="shared" ca="1" si="19"/>
        <v/>
      </c>
      <c r="V65" s="88" t="str">
        <f t="shared" ca="1" si="20"/>
        <v/>
      </c>
      <c r="W65" s="92" t="str">
        <f t="shared" ca="1" si="21"/>
        <v/>
      </c>
      <c r="X65" s="88" t="str">
        <f t="shared" ca="1" si="22"/>
        <v/>
      </c>
      <c r="Y65" s="92" t="str">
        <f t="shared" ca="1" si="23"/>
        <v/>
      </c>
      <c r="Z65" s="88" t="str">
        <f t="shared" ca="1" si="24"/>
        <v/>
      </c>
      <c r="AA65" s="89" t="str">
        <f t="shared" ca="1" si="25"/>
        <v/>
      </c>
      <c r="AB65" s="88" t="str">
        <f t="shared" ca="1" si="26"/>
        <v/>
      </c>
      <c r="AC65" s="92" t="str">
        <f t="shared" ca="1" si="27"/>
        <v/>
      </c>
      <c r="AD65" s="88" t="str">
        <f t="shared" ca="1" si="28"/>
        <v/>
      </c>
      <c r="AE65" s="92" t="str">
        <f t="shared" ca="1" si="29"/>
        <v/>
      </c>
      <c r="AF65" s="88" t="str">
        <f t="shared" ca="1" si="30"/>
        <v/>
      </c>
      <c r="AG65" s="92" t="str">
        <f t="shared" ca="1" si="31"/>
        <v/>
      </c>
      <c r="AH65" s="88" t="str">
        <f t="shared" ca="1" si="32"/>
        <v/>
      </c>
      <c r="AI65" s="92" t="str">
        <f t="shared" ca="1" si="33"/>
        <v/>
      </c>
      <c r="AJ65" s="88" t="str">
        <f t="shared" ca="1" si="34"/>
        <v/>
      </c>
      <c r="AK65" s="92" t="str">
        <f t="shared" ca="1" si="35"/>
        <v/>
      </c>
      <c r="AL65" s="77" t="str">
        <f t="shared" ca="1" si="36"/>
        <v/>
      </c>
      <c r="AM65" s="89" t="str">
        <f t="shared" ca="1" si="37"/>
        <v/>
      </c>
      <c r="AN65" s="88" t="str">
        <f t="shared" ca="1" si="38"/>
        <v/>
      </c>
      <c r="AO65" s="89" t="str">
        <f t="shared" ca="1" si="39"/>
        <v/>
      </c>
      <c r="AP65" s="77" t="str">
        <f t="shared" ca="1" si="40"/>
        <v/>
      </c>
      <c r="AQ65" s="94" t="str">
        <f t="shared" ca="1" si="41"/>
        <v/>
      </c>
      <c r="AR65" s="77" t="str">
        <f t="shared" ca="1" si="42"/>
        <v/>
      </c>
      <c r="AS65" s="94" t="str">
        <f t="shared" ca="1" si="43"/>
        <v/>
      </c>
      <c r="AT65" s="77" t="str">
        <f t="shared" ca="1" si="44"/>
        <v/>
      </c>
      <c r="AU65" s="93" t="str">
        <f t="shared" ca="1" si="45"/>
        <v/>
      </c>
      <c r="AV65" s="77" t="str">
        <f t="shared" ca="1" si="46"/>
        <v/>
      </c>
      <c r="AW65" s="93" t="str">
        <f t="shared" ca="1" si="47"/>
        <v/>
      </c>
      <c r="AX65" s="77" t="str">
        <f t="shared" ca="1" si="48"/>
        <v/>
      </c>
      <c r="AY65" s="93" t="str">
        <f t="shared" ca="1" si="49"/>
        <v/>
      </c>
      <c r="AZ65" s="77" t="str">
        <f t="shared" ca="1" si="50"/>
        <v/>
      </c>
      <c r="BA65" s="93" t="str">
        <f t="shared" ca="1" si="51"/>
        <v/>
      </c>
      <c r="BB65" s="77" t="str">
        <f t="shared" ca="1" si="52"/>
        <v/>
      </c>
      <c r="BC65" s="93" t="str">
        <f t="shared" ca="1" si="53"/>
        <v/>
      </c>
    </row>
    <row r="66" spans="1:55" ht="15.95" customHeight="1" x14ac:dyDescent="0.2">
      <c r="A66" s="41" t="str">
        <f>IF(Customization!B66="","",Customization!B66)</f>
        <v/>
      </c>
      <c r="B66" s="79" t="str">
        <f t="shared" ca="1" si="2"/>
        <v/>
      </c>
      <c r="C66" s="29" t="str">
        <f t="shared" ca="1" si="3"/>
        <v/>
      </c>
      <c r="D66" s="7" t="str">
        <f t="shared" ca="1" si="0"/>
        <v/>
      </c>
      <c r="E66" s="29" t="str">
        <f t="shared" ca="1" si="4"/>
        <v/>
      </c>
      <c r="F66" s="7" t="str">
        <f t="shared" ca="1" si="1"/>
        <v/>
      </c>
      <c r="G66" s="29" t="str">
        <f t="shared" ca="1" si="5"/>
        <v/>
      </c>
      <c r="H66" s="7" t="str">
        <f t="shared" ca="1" si="6"/>
        <v/>
      </c>
      <c r="I66" s="28" t="str">
        <f t="shared" ca="1" si="7"/>
        <v/>
      </c>
      <c r="J66" s="7" t="str">
        <f t="shared" ca="1" si="8"/>
        <v/>
      </c>
      <c r="K66" s="73" t="str">
        <f t="shared" ca="1" si="9"/>
        <v/>
      </c>
      <c r="L66" s="74" t="str">
        <f t="shared" ca="1" si="10"/>
        <v/>
      </c>
      <c r="M66" s="75" t="str">
        <f t="shared" ca="1" si="11"/>
        <v/>
      </c>
      <c r="N66" s="76" t="str">
        <f t="shared" ca="1" si="12"/>
        <v/>
      </c>
      <c r="O66" s="75" t="str">
        <f t="shared" ca="1" si="13"/>
        <v/>
      </c>
      <c r="P66" s="76" t="str">
        <f t="shared" ca="1" si="14"/>
        <v/>
      </c>
      <c r="Q66" s="75" t="str">
        <f t="shared" ca="1" si="15"/>
        <v/>
      </c>
      <c r="R66" s="77" t="str">
        <f t="shared" ca="1" si="16"/>
        <v/>
      </c>
      <c r="S66" s="89" t="str">
        <f t="shared" ca="1" si="17"/>
        <v/>
      </c>
      <c r="T66" s="88" t="str">
        <f t="shared" ca="1" si="18"/>
        <v/>
      </c>
      <c r="U66" s="92" t="str">
        <f t="shared" ca="1" si="19"/>
        <v/>
      </c>
      <c r="V66" s="88" t="str">
        <f t="shared" ca="1" si="20"/>
        <v/>
      </c>
      <c r="W66" s="92" t="str">
        <f t="shared" ca="1" si="21"/>
        <v/>
      </c>
      <c r="X66" s="88" t="str">
        <f t="shared" ca="1" si="22"/>
        <v/>
      </c>
      <c r="Y66" s="92" t="str">
        <f t="shared" ca="1" si="23"/>
        <v/>
      </c>
      <c r="Z66" s="88" t="str">
        <f t="shared" ca="1" si="24"/>
        <v/>
      </c>
      <c r="AA66" s="89" t="str">
        <f t="shared" ca="1" si="25"/>
        <v/>
      </c>
      <c r="AB66" s="88" t="str">
        <f t="shared" ca="1" si="26"/>
        <v/>
      </c>
      <c r="AC66" s="92" t="str">
        <f t="shared" ca="1" si="27"/>
        <v/>
      </c>
      <c r="AD66" s="88" t="str">
        <f t="shared" ca="1" si="28"/>
        <v/>
      </c>
      <c r="AE66" s="92" t="str">
        <f t="shared" ca="1" si="29"/>
        <v/>
      </c>
      <c r="AF66" s="88" t="str">
        <f t="shared" ca="1" si="30"/>
        <v/>
      </c>
      <c r="AG66" s="92" t="str">
        <f t="shared" ca="1" si="31"/>
        <v/>
      </c>
      <c r="AH66" s="88" t="str">
        <f t="shared" ca="1" si="32"/>
        <v/>
      </c>
      <c r="AI66" s="92" t="str">
        <f t="shared" ca="1" si="33"/>
        <v/>
      </c>
      <c r="AJ66" s="88" t="str">
        <f t="shared" ca="1" si="34"/>
        <v/>
      </c>
      <c r="AK66" s="92" t="str">
        <f t="shared" ca="1" si="35"/>
        <v/>
      </c>
      <c r="AL66" s="77" t="str">
        <f t="shared" ca="1" si="36"/>
        <v/>
      </c>
      <c r="AM66" s="89" t="str">
        <f t="shared" ca="1" si="37"/>
        <v/>
      </c>
      <c r="AN66" s="88" t="str">
        <f t="shared" ca="1" si="38"/>
        <v/>
      </c>
      <c r="AO66" s="89" t="str">
        <f t="shared" ca="1" si="39"/>
        <v/>
      </c>
      <c r="AP66" s="77" t="str">
        <f t="shared" ca="1" si="40"/>
        <v/>
      </c>
      <c r="AQ66" s="94" t="str">
        <f t="shared" ca="1" si="41"/>
        <v/>
      </c>
      <c r="AR66" s="77" t="str">
        <f t="shared" ca="1" si="42"/>
        <v/>
      </c>
      <c r="AS66" s="94" t="str">
        <f t="shared" ca="1" si="43"/>
        <v/>
      </c>
      <c r="AT66" s="77" t="str">
        <f t="shared" ca="1" si="44"/>
        <v/>
      </c>
      <c r="AU66" s="93" t="str">
        <f t="shared" ca="1" si="45"/>
        <v/>
      </c>
      <c r="AV66" s="77" t="str">
        <f t="shared" ca="1" si="46"/>
        <v/>
      </c>
      <c r="AW66" s="93" t="str">
        <f t="shared" ca="1" si="47"/>
        <v/>
      </c>
      <c r="AX66" s="77" t="str">
        <f t="shared" ca="1" si="48"/>
        <v/>
      </c>
      <c r="AY66" s="93" t="str">
        <f t="shared" ca="1" si="49"/>
        <v/>
      </c>
      <c r="AZ66" s="77" t="str">
        <f t="shared" ca="1" si="50"/>
        <v/>
      </c>
      <c r="BA66" s="93" t="str">
        <f t="shared" ca="1" si="51"/>
        <v/>
      </c>
      <c r="BB66" s="77" t="str">
        <f t="shared" ca="1" si="52"/>
        <v/>
      </c>
      <c r="BC66" s="93" t="str">
        <f t="shared" ca="1" si="53"/>
        <v/>
      </c>
    </row>
    <row r="67" spans="1:55" ht="15.95" customHeight="1" x14ac:dyDescent="0.2">
      <c r="A67" s="41" t="str">
        <f>IF(Customization!B67="","",Customization!B67)</f>
        <v/>
      </c>
      <c r="B67" s="79" t="str">
        <f t="shared" ca="1" si="2"/>
        <v/>
      </c>
      <c r="C67" s="29" t="str">
        <f t="shared" ca="1" si="3"/>
        <v/>
      </c>
      <c r="D67" s="7" t="str">
        <f t="shared" ref="D67:D130" ca="1" si="54">IFERROR(INDIRECT("'"&amp;$A67&amp;"'!Q5"),"")</f>
        <v/>
      </c>
      <c r="E67" s="29" t="str">
        <f t="shared" ca="1" si="4"/>
        <v/>
      </c>
      <c r="F67" s="7" t="str">
        <f t="shared" ref="F67:F130" ca="1" si="55">IFERROR(INDIRECT("'"&amp;$A67&amp;"'!S5"),"")</f>
        <v/>
      </c>
      <c r="G67" s="29" t="str">
        <f t="shared" ca="1" si="5"/>
        <v/>
      </c>
      <c r="H67" s="7" t="str">
        <f t="shared" ca="1" si="6"/>
        <v/>
      </c>
      <c r="I67" s="28" t="str">
        <f t="shared" ca="1" si="7"/>
        <v/>
      </c>
      <c r="J67" s="7" t="str">
        <f t="shared" ca="1" si="8"/>
        <v/>
      </c>
      <c r="K67" s="73" t="str">
        <f t="shared" ca="1" si="9"/>
        <v/>
      </c>
      <c r="L67" s="74" t="str">
        <f t="shared" ca="1" si="10"/>
        <v/>
      </c>
      <c r="M67" s="75" t="str">
        <f t="shared" ca="1" si="11"/>
        <v/>
      </c>
      <c r="N67" s="76" t="str">
        <f t="shared" ca="1" si="12"/>
        <v/>
      </c>
      <c r="O67" s="75" t="str">
        <f t="shared" ca="1" si="13"/>
        <v/>
      </c>
      <c r="P67" s="76" t="str">
        <f t="shared" ca="1" si="14"/>
        <v/>
      </c>
      <c r="Q67" s="75" t="str">
        <f t="shared" ca="1" si="15"/>
        <v/>
      </c>
      <c r="R67" s="77" t="str">
        <f t="shared" ca="1" si="16"/>
        <v/>
      </c>
      <c r="S67" s="89" t="str">
        <f t="shared" ca="1" si="17"/>
        <v/>
      </c>
      <c r="T67" s="88" t="str">
        <f t="shared" ca="1" si="18"/>
        <v/>
      </c>
      <c r="U67" s="92" t="str">
        <f t="shared" ca="1" si="19"/>
        <v/>
      </c>
      <c r="V67" s="88" t="str">
        <f t="shared" ca="1" si="20"/>
        <v/>
      </c>
      <c r="W67" s="92" t="str">
        <f t="shared" ca="1" si="21"/>
        <v/>
      </c>
      <c r="X67" s="88" t="str">
        <f t="shared" ca="1" si="22"/>
        <v/>
      </c>
      <c r="Y67" s="92" t="str">
        <f t="shared" ca="1" si="23"/>
        <v/>
      </c>
      <c r="Z67" s="88" t="str">
        <f t="shared" ca="1" si="24"/>
        <v/>
      </c>
      <c r="AA67" s="89" t="str">
        <f t="shared" ca="1" si="25"/>
        <v/>
      </c>
      <c r="AB67" s="88" t="str">
        <f t="shared" ca="1" si="26"/>
        <v/>
      </c>
      <c r="AC67" s="92" t="str">
        <f t="shared" ca="1" si="27"/>
        <v/>
      </c>
      <c r="AD67" s="88" t="str">
        <f t="shared" ca="1" si="28"/>
        <v/>
      </c>
      <c r="AE67" s="92" t="str">
        <f t="shared" ca="1" si="29"/>
        <v/>
      </c>
      <c r="AF67" s="88" t="str">
        <f t="shared" ca="1" si="30"/>
        <v/>
      </c>
      <c r="AG67" s="92" t="str">
        <f t="shared" ca="1" si="31"/>
        <v/>
      </c>
      <c r="AH67" s="88" t="str">
        <f t="shared" ca="1" si="32"/>
        <v/>
      </c>
      <c r="AI67" s="92" t="str">
        <f t="shared" ca="1" si="33"/>
        <v/>
      </c>
      <c r="AJ67" s="88" t="str">
        <f t="shared" ca="1" si="34"/>
        <v/>
      </c>
      <c r="AK67" s="92" t="str">
        <f t="shared" ca="1" si="35"/>
        <v/>
      </c>
      <c r="AL67" s="77" t="str">
        <f t="shared" ca="1" si="36"/>
        <v/>
      </c>
      <c r="AM67" s="89" t="str">
        <f t="shared" ca="1" si="37"/>
        <v/>
      </c>
      <c r="AN67" s="88" t="str">
        <f t="shared" ca="1" si="38"/>
        <v/>
      </c>
      <c r="AO67" s="89" t="str">
        <f t="shared" ca="1" si="39"/>
        <v/>
      </c>
      <c r="AP67" s="77" t="str">
        <f t="shared" ca="1" si="40"/>
        <v/>
      </c>
      <c r="AQ67" s="94" t="str">
        <f t="shared" ca="1" si="41"/>
        <v/>
      </c>
      <c r="AR67" s="77" t="str">
        <f t="shared" ca="1" si="42"/>
        <v/>
      </c>
      <c r="AS67" s="94" t="str">
        <f t="shared" ca="1" si="43"/>
        <v/>
      </c>
      <c r="AT67" s="77" t="str">
        <f t="shared" ca="1" si="44"/>
        <v/>
      </c>
      <c r="AU67" s="93" t="str">
        <f t="shared" ca="1" si="45"/>
        <v/>
      </c>
      <c r="AV67" s="77" t="str">
        <f t="shared" ca="1" si="46"/>
        <v/>
      </c>
      <c r="AW67" s="93" t="str">
        <f t="shared" ca="1" si="47"/>
        <v/>
      </c>
      <c r="AX67" s="77" t="str">
        <f t="shared" ca="1" si="48"/>
        <v/>
      </c>
      <c r="AY67" s="93" t="str">
        <f t="shared" ca="1" si="49"/>
        <v/>
      </c>
      <c r="AZ67" s="77" t="str">
        <f t="shared" ca="1" si="50"/>
        <v/>
      </c>
      <c r="BA67" s="93" t="str">
        <f t="shared" ca="1" si="51"/>
        <v/>
      </c>
      <c r="BB67" s="77" t="str">
        <f t="shared" ca="1" si="52"/>
        <v/>
      </c>
      <c r="BC67" s="93" t="str">
        <f t="shared" ca="1" si="53"/>
        <v/>
      </c>
    </row>
    <row r="68" spans="1:55" ht="15.95" customHeight="1" x14ac:dyDescent="0.2">
      <c r="A68" s="41" t="str">
        <f>IF(Customization!B68="","",Customization!B68)</f>
        <v/>
      </c>
      <c r="B68" s="79" t="str">
        <f t="shared" ref="B68:B131" ca="1" si="56">IFERROR(INDIRECT("'"&amp;$A68&amp;"'!O5"),"")</f>
        <v/>
      </c>
      <c r="C68" s="29" t="str">
        <f t="shared" ref="C68:C131" ca="1" si="57">IFERROR(INDIRECT("'"&amp;$A68&amp;"'!P5"),"")</f>
        <v/>
      </c>
      <c r="D68" s="7" t="str">
        <f t="shared" ca="1" si="54"/>
        <v/>
      </c>
      <c r="E68" s="29" t="str">
        <f t="shared" ref="E68:E131" ca="1" si="58">IFERROR(INDIRECT("'"&amp;$A68&amp;"'!R5"),"")</f>
        <v/>
      </c>
      <c r="F68" s="7" t="str">
        <f t="shared" ca="1" si="55"/>
        <v/>
      </c>
      <c r="G68" s="29" t="str">
        <f t="shared" ref="G68:G131" ca="1" si="59">IFERROR(INDIRECT("'"&amp;$A68&amp;"'!T5"),"")</f>
        <v/>
      </c>
      <c r="H68" s="7" t="str">
        <f t="shared" ref="H68:H131" ca="1" si="60">IFERROR(INDIRECT("'"&amp;$A68&amp;"'!U5"),"")</f>
        <v/>
      </c>
      <c r="I68" s="28" t="str">
        <f t="shared" ref="I68:I131" ca="1" si="61">IFERROR(INDIRECT("'"&amp;$A68&amp;"'!V5"),"")</f>
        <v/>
      </c>
      <c r="J68" s="7" t="str">
        <f t="shared" ref="J68:J131" ca="1" si="62">IFERROR(INDIRECT("'"&amp;$A68&amp;"'!W5"),"")</f>
        <v/>
      </c>
      <c r="K68" s="73" t="str">
        <f t="shared" ref="K68:K131" ca="1" si="63">IFERROR(INDIRECT("'"&amp;A68&amp;"'!O11"),"")</f>
        <v/>
      </c>
      <c r="L68" s="74" t="str">
        <f t="shared" ref="L68:L131" ca="1" si="64">IFERROR(INDIRECT("'"&amp;A68&amp;"'!P11"),"")</f>
        <v/>
      </c>
      <c r="M68" s="75" t="str">
        <f t="shared" ref="M68:M131" ca="1" si="65">IFERROR(INDIRECT("'"&amp;A68&amp;"'!Q11"),"")</f>
        <v/>
      </c>
      <c r="N68" s="76" t="str">
        <f t="shared" ref="N68:N131" ca="1" si="66">IFERROR(INDIRECT("'"&amp;A68&amp;"'!R11"),"")</f>
        <v/>
      </c>
      <c r="O68" s="75" t="str">
        <f t="shared" ref="O68:O131" ca="1" si="67">IFERROR(INDIRECT("'"&amp;A68&amp;"'!S11"),"")</f>
        <v/>
      </c>
      <c r="P68" s="76" t="str">
        <f t="shared" ref="P68:P131" ca="1" si="68">IFERROR(INDIRECT("'"&amp;A68&amp;"'!T11"),"")</f>
        <v/>
      </c>
      <c r="Q68" s="75" t="str">
        <f t="shared" ref="Q68:Q131" ca="1" si="69">IFERROR(INDIRECT("'"&amp;A68&amp;"'!U11"),"")</f>
        <v/>
      </c>
      <c r="R68" s="77" t="str">
        <f t="shared" ref="R68:R131" ca="1" si="70">IFERROR(INDIRECT("'"&amp;A68&amp;"'!V11"),"")</f>
        <v/>
      </c>
      <c r="S68" s="89" t="str">
        <f t="shared" ref="S68:S131" ca="1" si="71">IFERROR(INDIRECT("'"&amp;A68&amp;"'!W11"),"")</f>
        <v/>
      </c>
      <c r="T68" s="88" t="str">
        <f t="shared" ref="T68:T131" ca="1" si="72">IFERROR(INDIRECT("'"&amp;A68&amp;"'!O17"),"")</f>
        <v/>
      </c>
      <c r="U68" s="92" t="str">
        <f t="shared" ref="U68:U131" ca="1" si="73">IFERROR(INDIRECT("'"&amp;A68&amp;"'!P17"),"")</f>
        <v/>
      </c>
      <c r="V68" s="88" t="str">
        <f t="shared" ref="V68:V131" ca="1" si="74">IFERROR(INDIRECT("'"&amp;A68&amp;"'!Q17"),"")</f>
        <v/>
      </c>
      <c r="W68" s="92" t="str">
        <f t="shared" ref="W68:W131" ca="1" si="75">IFERROR(INDIRECT("'"&amp;A68&amp;"'!R17"),"")</f>
        <v/>
      </c>
      <c r="X68" s="88" t="str">
        <f t="shared" ref="X68:X131" ca="1" si="76">IFERROR(INDIRECT("'"&amp;A68&amp;"'!S17"),"")</f>
        <v/>
      </c>
      <c r="Y68" s="92" t="str">
        <f t="shared" ref="Y68:Y131" ca="1" si="77">IFERROR(INDIRECT("'"&amp;A68&amp;"'!T17"),"")</f>
        <v/>
      </c>
      <c r="Z68" s="88" t="str">
        <f t="shared" ref="Z68:Z131" ca="1" si="78">IFERROR(INDIRECT("'"&amp;A68&amp;"'!U17"),"")</f>
        <v/>
      </c>
      <c r="AA68" s="89" t="str">
        <f t="shared" ref="AA68:AA131" ca="1" si="79">IFERROR(INDIRECT("'"&amp;A68&amp;"'!V17"),"")</f>
        <v/>
      </c>
      <c r="AB68" s="88" t="str">
        <f t="shared" ref="AB68:AB131" ca="1" si="80">IFERROR(INDIRECT("'"&amp;A68&amp;"'!W17"),"")</f>
        <v/>
      </c>
      <c r="AC68" s="92" t="str">
        <f t="shared" ref="AC68:AC131" ca="1" si="81">IFERROR(INDIRECT("'"&amp;A68&amp;"'!X5"),"")</f>
        <v/>
      </c>
      <c r="AD68" s="88" t="str">
        <f t="shared" ref="AD68:AD131" ca="1" si="82">IFERROR(INDIRECT("'"&amp;A68&amp;"'!Y5"),"")</f>
        <v/>
      </c>
      <c r="AE68" s="92" t="str">
        <f t="shared" ref="AE68:AE131" ca="1" si="83">IFERROR(INDIRECT("'"&amp;A68&amp;"'!Z5"),"")</f>
        <v/>
      </c>
      <c r="AF68" s="88" t="str">
        <f t="shared" ref="AF68:AF131" ca="1" si="84">IFERROR(INDIRECT("'"&amp;A68&amp;"'!AA5"),"")</f>
        <v/>
      </c>
      <c r="AG68" s="92" t="str">
        <f t="shared" ref="AG68:AG131" ca="1" si="85">IFERROR(INDIRECT("'"&amp;A68&amp;"'!AB5"),"")</f>
        <v/>
      </c>
      <c r="AH68" s="88" t="str">
        <f t="shared" ref="AH68:AH131" ca="1" si="86">IFERROR(INDIRECT("'"&amp;A68&amp;"'!AC5"),"")</f>
        <v/>
      </c>
      <c r="AI68" s="92" t="str">
        <f t="shared" ref="AI68:AI131" ca="1" si="87">IFERROR(INDIRECT("'"&amp;A68&amp;"'!AD5"),"")</f>
        <v/>
      </c>
      <c r="AJ68" s="88" t="str">
        <f t="shared" ref="AJ68:AJ131" ca="1" si="88">IFERROR(INDIRECT("'"&amp;A68&amp;"'!AE5"),"")</f>
        <v/>
      </c>
      <c r="AK68" s="92" t="str">
        <f t="shared" ref="AK68:AK131" ca="1" si="89">IFERROR(INDIRECT("'"&amp;A68&amp;"'!AF5"),"")</f>
        <v/>
      </c>
      <c r="AL68" s="77" t="str">
        <f t="shared" ref="AL68:AL131" ca="1" si="90">IFERROR(INDIRECT("'"&amp;A68&amp;"'!X11"),"")</f>
        <v/>
      </c>
      <c r="AM68" s="89" t="str">
        <f t="shared" ref="AM68:AM131" ca="1" si="91">IFERROR(INDIRECT("'"&amp;A68&amp;"'!Y11"),"")</f>
        <v/>
      </c>
      <c r="AN68" s="88" t="str">
        <f t="shared" ref="AN68:AN131" ca="1" si="92">IFERROR(INDIRECT("'"&amp;A68&amp;"'!Z11"),"")</f>
        <v/>
      </c>
      <c r="AO68" s="89" t="str">
        <f t="shared" ref="AO68:AO131" ca="1" si="93">IFERROR(INDIRECT("'"&amp;A68&amp;"'!AA11"),"")</f>
        <v/>
      </c>
      <c r="AP68" s="77" t="str">
        <f t="shared" ref="AP68:AP131" ca="1" si="94">IFERROR(INDIRECT("'"&amp;A68&amp;"'!AB11"),"")</f>
        <v/>
      </c>
      <c r="AQ68" s="94" t="str">
        <f t="shared" ref="AQ68:AQ131" ca="1" si="95">IFERROR(INDIRECT("'"&amp;A68&amp;"'!AC11"),"")</f>
        <v/>
      </c>
      <c r="AR68" s="77" t="str">
        <f t="shared" ref="AR68:AR131" ca="1" si="96">IFERROR(INDIRECT("'"&amp;A68&amp;"'!AD11"),"")</f>
        <v/>
      </c>
      <c r="AS68" s="94" t="str">
        <f t="shared" ref="AS68:AS131" ca="1" si="97">IFERROR(INDIRECT("'"&amp;A68&amp;"'!AE11"),"")</f>
        <v/>
      </c>
      <c r="AT68" s="77" t="str">
        <f t="shared" ref="AT68:AT131" ca="1" si="98">IFERROR(INDIRECT("'"&amp;A68&amp;"'!AF11"),"")</f>
        <v/>
      </c>
      <c r="AU68" s="93" t="str">
        <f t="shared" ref="AU68:AU131" ca="1" si="99">IFERROR(INDIRECT("'"&amp;A68&amp;"'!X17"),"")</f>
        <v/>
      </c>
      <c r="AV68" s="77" t="str">
        <f t="shared" ref="AV68:AV131" ca="1" si="100">IFERROR(INDIRECT("'"&amp;A68&amp;"'!Y17"),"")</f>
        <v/>
      </c>
      <c r="AW68" s="93" t="str">
        <f t="shared" ref="AW68:AW131" ca="1" si="101">IFERROR(INDIRECT("'"&amp;A68&amp;"'!Z17"),"")</f>
        <v/>
      </c>
      <c r="AX68" s="77" t="str">
        <f t="shared" ref="AX68:AX131" ca="1" si="102">IFERROR(INDIRECT("'"&amp;A68&amp;"'!AA17"),"")</f>
        <v/>
      </c>
      <c r="AY68" s="93" t="str">
        <f t="shared" ref="AY68:AY131" ca="1" si="103">IFERROR(INDIRECT("'"&amp;A68&amp;"'!AB17"),"")</f>
        <v/>
      </c>
      <c r="AZ68" s="77" t="str">
        <f t="shared" ref="AZ68:AZ131" ca="1" si="104">IFERROR(INDIRECT("'"&amp;$A68&amp;"'!AC17"),"")</f>
        <v/>
      </c>
      <c r="BA68" s="93" t="str">
        <f t="shared" ref="BA68:BA131" ca="1" si="105">IFERROR(INDIRECT("'"&amp;$A68&amp;"'!AD17"),"")</f>
        <v/>
      </c>
      <c r="BB68" s="77" t="str">
        <f t="shared" ref="BB68:BB131" ca="1" si="106">IFERROR(INDIRECT("'"&amp;$A68&amp;"'!AE17"),"")</f>
        <v/>
      </c>
      <c r="BC68" s="93" t="str">
        <f t="shared" ref="BC68:BC131" ca="1" si="107">IFERROR(INDIRECT("'"&amp;$A68&amp;"'!AF17"),"")</f>
        <v/>
      </c>
    </row>
    <row r="69" spans="1:55" ht="15.95" customHeight="1" x14ac:dyDescent="0.2">
      <c r="A69" s="41" t="str">
        <f>IF(Customization!B69="","",Customization!B69)</f>
        <v/>
      </c>
      <c r="B69" s="79" t="str">
        <f t="shared" ca="1" si="56"/>
        <v/>
      </c>
      <c r="C69" s="29" t="str">
        <f t="shared" ca="1" si="57"/>
        <v/>
      </c>
      <c r="D69" s="7" t="str">
        <f t="shared" ca="1" si="54"/>
        <v/>
      </c>
      <c r="E69" s="29" t="str">
        <f t="shared" ca="1" si="58"/>
        <v/>
      </c>
      <c r="F69" s="7" t="str">
        <f t="shared" ca="1" si="55"/>
        <v/>
      </c>
      <c r="G69" s="29" t="str">
        <f t="shared" ca="1" si="59"/>
        <v/>
      </c>
      <c r="H69" s="7" t="str">
        <f t="shared" ca="1" si="60"/>
        <v/>
      </c>
      <c r="I69" s="28" t="str">
        <f t="shared" ca="1" si="61"/>
        <v/>
      </c>
      <c r="J69" s="7" t="str">
        <f t="shared" ca="1" si="62"/>
        <v/>
      </c>
      <c r="K69" s="73" t="str">
        <f t="shared" ca="1" si="63"/>
        <v/>
      </c>
      <c r="L69" s="74" t="str">
        <f t="shared" ca="1" si="64"/>
        <v/>
      </c>
      <c r="M69" s="75" t="str">
        <f t="shared" ca="1" si="65"/>
        <v/>
      </c>
      <c r="N69" s="76" t="str">
        <f t="shared" ca="1" si="66"/>
        <v/>
      </c>
      <c r="O69" s="75" t="str">
        <f t="shared" ca="1" si="67"/>
        <v/>
      </c>
      <c r="P69" s="76" t="str">
        <f t="shared" ca="1" si="68"/>
        <v/>
      </c>
      <c r="Q69" s="75" t="str">
        <f t="shared" ca="1" si="69"/>
        <v/>
      </c>
      <c r="R69" s="77" t="str">
        <f t="shared" ca="1" si="70"/>
        <v/>
      </c>
      <c r="S69" s="89" t="str">
        <f t="shared" ca="1" si="71"/>
        <v/>
      </c>
      <c r="T69" s="88" t="str">
        <f t="shared" ca="1" si="72"/>
        <v/>
      </c>
      <c r="U69" s="92" t="str">
        <f t="shared" ca="1" si="73"/>
        <v/>
      </c>
      <c r="V69" s="88" t="str">
        <f t="shared" ca="1" si="74"/>
        <v/>
      </c>
      <c r="W69" s="92" t="str">
        <f t="shared" ca="1" si="75"/>
        <v/>
      </c>
      <c r="X69" s="88" t="str">
        <f t="shared" ca="1" si="76"/>
        <v/>
      </c>
      <c r="Y69" s="92" t="str">
        <f t="shared" ca="1" si="77"/>
        <v/>
      </c>
      <c r="Z69" s="88" t="str">
        <f t="shared" ca="1" si="78"/>
        <v/>
      </c>
      <c r="AA69" s="89" t="str">
        <f t="shared" ca="1" si="79"/>
        <v/>
      </c>
      <c r="AB69" s="88" t="str">
        <f t="shared" ca="1" si="80"/>
        <v/>
      </c>
      <c r="AC69" s="92" t="str">
        <f t="shared" ca="1" si="81"/>
        <v/>
      </c>
      <c r="AD69" s="88" t="str">
        <f t="shared" ca="1" si="82"/>
        <v/>
      </c>
      <c r="AE69" s="92" t="str">
        <f t="shared" ca="1" si="83"/>
        <v/>
      </c>
      <c r="AF69" s="88" t="str">
        <f t="shared" ca="1" si="84"/>
        <v/>
      </c>
      <c r="AG69" s="92" t="str">
        <f t="shared" ca="1" si="85"/>
        <v/>
      </c>
      <c r="AH69" s="88" t="str">
        <f t="shared" ca="1" si="86"/>
        <v/>
      </c>
      <c r="AI69" s="92" t="str">
        <f t="shared" ca="1" si="87"/>
        <v/>
      </c>
      <c r="AJ69" s="88" t="str">
        <f t="shared" ca="1" si="88"/>
        <v/>
      </c>
      <c r="AK69" s="92" t="str">
        <f t="shared" ca="1" si="89"/>
        <v/>
      </c>
      <c r="AL69" s="77" t="str">
        <f t="shared" ca="1" si="90"/>
        <v/>
      </c>
      <c r="AM69" s="89" t="str">
        <f t="shared" ca="1" si="91"/>
        <v/>
      </c>
      <c r="AN69" s="88" t="str">
        <f t="shared" ca="1" si="92"/>
        <v/>
      </c>
      <c r="AO69" s="89" t="str">
        <f t="shared" ca="1" si="93"/>
        <v/>
      </c>
      <c r="AP69" s="77" t="str">
        <f t="shared" ca="1" si="94"/>
        <v/>
      </c>
      <c r="AQ69" s="94" t="str">
        <f t="shared" ca="1" si="95"/>
        <v/>
      </c>
      <c r="AR69" s="77" t="str">
        <f t="shared" ca="1" si="96"/>
        <v/>
      </c>
      <c r="AS69" s="94" t="str">
        <f t="shared" ca="1" si="97"/>
        <v/>
      </c>
      <c r="AT69" s="77" t="str">
        <f t="shared" ca="1" si="98"/>
        <v/>
      </c>
      <c r="AU69" s="93" t="str">
        <f t="shared" ca="1" si="99"/>
        <v/>
      </c>
      <c r="AV69" s="77" t="str">
        <f t="shared" ca="1" si="100"/>
        <v/>
      </c>
      <c r="AW69" s="93" t="str">
        <f t="shared" ca="1" si="101"/>
        <v/>
      </c>
      <c r="AX69" s="77" t="str">
        <f t="shared" ca="1" si="102"/>
        <v/>
      </c>
      <c r="AY69" s="93" t="str">
        <f t="shared" ca="1" si="103"/>
        <v/>
      </c>
      <c r="AZ69" s="77" t="str">
        <f t="shared" ca="1" si="104"/>
        <v/>
      </c>
      <c r="BA69" s="93" t="str">
        <f t="shared" ca="1" si="105"/>
        <v/>
      </c>
      <c r="BB69" s="77" t="str">
        <f t="shared" ca="1" si="106"/>
        <v/>
      </c>
      <c r="BC69" s="93" t="str">
        <f t="shared" ca="1" si="107"/>
        <v/>
      </c>
    </row>
    <row r="70" spans="1:55" ht="15.95" customHeight="1" x14ac:dyDescent="0.2">
      <c r="A70" s="41" t="str">
        <f>IF(Customization!B70="","",Customization!B70)</f>
        <v/>
      </c>
      <c r="B70" s="79" t="str">
        <f t="shared" ca="1" si="56"/>
        <v/>
      </c>
      <c r="C70" s="29" t="str">
        <f t="shared" ca="1" si="57"/>
        <v/>
      </c>
      <c r="D70" s="7" t="str">
        <f t="shared" ca="1" si="54"/>
        <v/>
      </c>
      <c r="E70" s="29" t="str">
        <f t="shared" ca="1" si="58"/>
        <v/>
      </c>
      <c r="F70" s="7" t="str">
        <f t="shared" ca="1" si="55"/>
        <v/>
      </c>
      <c r="G70" s="29" t="str">
        <f t="shared" ca="1" si="59"/>
        <v/>
      </c>
      <c r="H70" s="7" t="str">
        <f t="shared" ca="1" si="60"/>
        <v/>
      </c>
      <c r="I70" s="28" t="str">
        <f t="shared" ca="1" si="61"/>
        <v/>
      </c>
      <c r="J70" s="7" t="str">
        <f t="shared" ca="1" si="62"/>
        <v/>
      </c>
      <c r="K70" s="73" t="str">
        <f t="shared" ca="1" si="63"/>
        <v/>
      </c>
      <c r="L70" s="74" t="str">
        <f t="shared" ca="1" si="64"/>
        <v/>
      </c>
      <c r="M70" s="75" t="str">
        <f t="shared" ca="1" si="65"/>
        <v/>
      </c>
      <c r="N70" s="76" t="str">
        <f t="shared" ca="1" si="66"/>
        <v/>
      </c>
      <c r="O70" s="75" t="str">
        <f t="shared" ca="1" si="67"/>
        <v/>
      </c>
      <c r="P70" s="76" t="str">
        <f t="shared" ca="1" si="68"/>
        <v/>
      </c>
      <c r="Q70" s="75" t="str">
        <f t="shared" ca="1" si="69"/>
        <v/>
      </c>
      <c r="R70" s="77" t="str">
        <f t="shared" ca="1" si="70"/>
        <v/>
      </c>
      <c r="S70" s="89" t="str">
        <f t="shared" ca="1" si="71"/>
        <v/>
      </c>
      <c r="T70" s="88" t="str">
        <f t="shared" ca="1" si="72"/>
        <v/>
      </c>
      <c r="U70" s="92" t="str">
        <f t="shared" ca="1" si="73"/>
        <v/>
      </c>
      <c r="V70" s="88" t="str">
        <f t="shared" ca="1" si="74"/>
        <v/>
      </c>
      <c r="W70" s="92" t="str">
        <f t="shared" ca="1" si="75"/>
        <v/>
      </c>
      <c r="X70" s="88" t="str">
        <f t="shared" ca="1" si="76"/>
        <v/>
      </c>
      <c r="Y70" s="92" t="str">
        <f t="shared" ca="1" si="77"/>
        <v/>
      </c>
      <c r="Z70" s="88" t="str">
        <f t="shared" ca="1" si="78"/>
        <v/>
      </c>
      <c r="AA70" s="89" t="str">
        <f t="shared" ca="1" si="79"/>
        <v/>
      </c>
      <c r="AB70" s="88" t="str">
        <f t="shared" ca="1" si="80"/>
        <v/>
      </c>
      <c r="AC70" s="92" t="str">
        <f t="shared" ca="1" si="81"/>
        <v/>
      </c>
      <c r="AD70" s="88" t="str">
        <f t="shared" ca="1" si="82"/>
        <v/>
      </c>
      <c r="AE70" s="92" t="str">
        <f t="shared" ca="1" si="83"/>
        <v/>
      </c>
      <c r="AF70" s="88" t="str">
        <f t="shared" ca="1" si="84"/>
        <v/>
      </c>
      <c r="AG70" s="92" t="str">
        <f t="shared" ca="1" si="85"/>
        <v/>
      </c>
      <c r="AH70" s="88" t="str">
        <f t="shared" ca="1" si="86"/>
        <v/>
      </c>
      <c r="AI70" s="92" t="str">
        <f t="shared" ca="1" si="87"/>
        <v/>
      </c>
      <c r="AJ70" s="88" t="str">
        <f t="shared" ca="1" si="88"/>
        <v/>
      </c>
      <c r="AK70" s="92" t="str">
        <f t="shared" ca="1" si="89"/>
        <v/>
      </c>
      <c r="AL70" s="77" t="str">
        <f t="shared" ca="1" si="90"/>
        <v/>
      </c>
      <c r="AM70" s="89" t="str">
        <f t="shared" ca="1" si="91"/>
        <v/>
      </c>
      <c r="AN70" s="88" t="str">
        <f t="shared" ca="1" si="92"/>
        <v/>
      </c>
      <c r="AO70" s="89" t="str">
        <f t="shared" ca="1" si="93"/>
        <v/>
      </c>
      <c r="AP70" s="77" t="str">
        <f t="shared" ca="1" si="94"/>
        <v/>
      </c>
      <c r="AQ70" s="94" t="str">
        <f t="shared" ca="1" si="95"/>
        <v/>
      </c>
      <c r="AR70" s="77" t="str">
        <f t="shared" ca="1" si="96"/>
        <v/>
      </c>
      <c r="AS70" s="94" t="str">
        <f t="shared" ca="1" si="97"/>
        <v/>
      </c>
      <c r="AT70" s="77" t="str">
        <f t="shared" ca="1" si="98"/>
        <v/>
      </c>
      <c r="AU70" s="93" t="str">
        <f t="shared" ca="1" si="99"/>
        <v/>
      </c>
      <c r="AV70" s="77" t="str">
        <f t="shared" ca="1" si="100"/>
        <v/>
      </c>
      <c r="AW70" s="93" t="str">
        <f t="shared" ca="1" si="101"/>
        <v/>
      </c>
      <c r="AX70" s="77" t="str">
        <f t="shared" ca="1" si="102"/>
        <v/>
      </c>
      <c r="AY70" s="93" t="str">
        <f t="shared" ca="1" si="103"/>
        <v/>
      </c>
      <c r="AZ70" s="77" t="str">
        <f t="shared" ca="1" si="104"/>
        <v/>
      </c>
      <c r="BA70" s="93" t="str">
        <f t="shared" ca="1" si="105"/>
        <v/>
      </c>
      <c r="BB70" s="77" t="str">
        <f t="shared" ca="1" si="106"/>
        <v/>
      </c>
      <c r="BC70" s="93" t="str">
        <f t="shared" ca="1" si="107"/>
        <v/>
      </c>
    </row>
    <row r="71" spans="1:55" ht="15.95" customHeight="1" x14ac:dyDescent="0.2">
      <c r="A71" s="41" t="str">
        <f>IF(Customization!B71="","",Customization!B71)</f>
        <v/>
      </c>
      <c r="B71" s="79" t="str">
        <f t="shared" ca="1" si="56"/>
        <v/>
      </c>
      <c r="C71" s="29" t="str">
        <f t="shared" ca="1" si="57"/>
        <v/>
      </c>
      <c r="D71" s="7" t="str">
        <f t="shared" ca="1" si="54"/>
        <v/>
      </c>
      <c r="E71" s="29" t="str">
        <f t="shared" ca="1" si="58"/>
        <v/>
      </c>
      <c r="F71" s="7" t="str">
        <f t="shared" ca="1" si="55"/>
        <v/>
      </c>
      <c r="G71" s="29" t="str">
        <f t="shared" ca="1" si="59"/>
        <v/>
      </c>
      <c r="H71" s="7" t="str">
        <f t="shared" ca="1" si="60"/>
        <v/>
      </c>
      <c r="I71" s="28" t="str">
        <f t="shared" ca="1" si="61"/>
        <v/>
      </c>
      <c r="J71" s="7" t="str">
        <f t="shared" ca="1" si="62"/>
        <v/>
      </c>
      <c r="K71" s="73" t="str">
        <f t="shared" ca="1" si="63"/>
        <v/>
      </c>
      <c r="L71" s="74" t="str">
        <f t="shared" ca="1" si="64"/>
        <v/>
      </c>
      <c r="M71" s="75" t="str">
        <f t="shared" ca="1" si="65"/>
        <v/>
      </c>
      <c r="N71" s="76" t="str">
        <f t="shared" ca="1" si="66"/>
        <v/>
      </c>
      <c r="O71" s="75" t="str">
        <f t="shared" ca="1" si="67"/>
        <v/>
      </c>
      <c r="P71" s="76" t="str">
        <f t="shared" ca="1" si="68"/>
        <v/>
      </c>
      <c r="Q71" s="75" t="str">
        <f t="shared" ca="1" si="69"/>
        <v/>
      </c>
      <c r="R71" s="77" t="str">
        <f t="shared" ca="1" si="70"/>
        <v/>
      </c>
      <c r="S71" s="89" t="str">
        <f t="shared" ca="1" si="71"/>
        <v/>
      </c>
      <c r="T71" s="88" t="str">
        <f t="shared" ca="1" si="72"/>
        <v/>
      </c>
      <c r="U71" s="92" t="str">
        <f t="shared" ca="1" si="73"/>
        <v/>
      </c>
      <c r="V71" s="88" t="str">
        <f t="shared" ca="1" si="74"/>
        <v/>
      </c>
      <c r="W71" s="92" t="str">
        <f t="shared" ca="1" si="75"/>
        <v/>
      </c>
      <c r="X71" s="88" t="str">
        <f t="shared" ca="1" si="76"/>
        <v/>
      </c>
      <c r="Y71" s="92" t="str">
        <f t="shared" ca="1" si="77"/>
        <v/>
      </c>
      <c r="Z71" s="88" t="str">
        <f t="shared" ca="1" si="78"/>
        <v/>
      </c>
      <c r="AA71" s="89" t="str">
        <f t="shared" ca="1" si="79"/>
        <v/>
      </c>
      <c r="AB71" s="88" t="str">
        <f t="shared" ca="1" si="80"/>
        <v/>
      </c>
      <c r="AC71" s="92" t="str">
        <f t="shared" ca="1" si="81"/>
        <v/>
      </c>
      <c r="AD71" s="88" t="str">
        <f t="shared" ca="1" si="82"/>
        <v/>
      </c>
      <c r="AE71" s="92" t="str">
        <f t="shared" ca="1" si="83"/>
        <v/>
      </c>
      <c r="AF71" s="88" t="str">
        <f t="shared" ca="1" si="84"/>
        <v/>
      </c>
      <c r="AG71" s="92" t="str">
        <f t="shared" ca="1" si="85"/>
        <v/>
      </c>
      <c r="AH71" s="88" t="str">
        <f t="shared" ca="1" si="86"/>
        <v/>
      </c>
      <c r="AI71" s="92" t="str">
        <f t="shared" ca="1" si="87"/>
        <v/>
      </c>
      <c r="AJ71" s="88" t="str">
        <f t="shared" ca="1" si="88"/>
        <v/>
      </c>
      <c r="AK71" s="92" t="str">
        <f t="shared" ca="1" si="89"/>
        <v/>
      </c>
      <c r="AL71" s="77" t="str">
        <f t="shared" ca="1" si="90"/>
        <v/>
      </c>
      <c r="AM71" s="89" t="str">
        <f t="shared" ca="1" si="91"/>
        <v/>
      </c>
      <c r="AN71" s="88" t="str">
        <f t="shared" ca="1" si="92"/>
        <v/>
      </c>
      <c r="AO71" s="89" t="str">
        <f t="shared" ca="1" si="93"/>
        <v/>
      </c>
      <c r="AP71" s="77" t="str">
        <f t="shared" ca="1" si="94"/>
        <v/>
      </c>
      <c r="AQ71" s="94" t="str">
        <f t="shared" ca="1" si="95"/>
        <v/>
      </c>
      <c r="AR71" s="77" t="str">
        <f t="shared" ca="1" si="96"/>
        <v/>
      </c>
      <c r="AS71" s="94" t="str">
        <f t="shared" ca="1" si="97"/>
        <v/>
      </c>
      <c r="AT71" s="77" t="str">
        <f t="shared" ca="1" si="98"/>
        <v/>
      </c>
      <c r="AU71" s="93" t="str">
        <f t="shared" ca="1" si="99"/>
        <v/>
      </c>
      <c r="AV71" s="77" t="str">
        <f t="shared" ca="1" si="100"/>
        <v/>
      </c>
      <c r="AW71" s="93" t="str">
        <f t="shared" ca="1" si="101"/>
        <v/>
      </c>
      <c r="AX71" s="77" t="str">
        <f t="shared" ca="1" si="102"/>
        <v/>
      </c>
      <c r="AY71" s="93" t="str">
        <f t="shared" ca="1" si="103"/>
        <v/>
      </c>
      <c r="AZ71" s="77" t="str">
        <f t="shared" ca="1" si="104"/>
        <v/>
      </c>
      <c r="BA71" s="93" t="str">
        <f t="shared" ca="1" si="105"/>
        <v/>
      </c>
      <c r="BB71" s="77" t="str">
        <f t="shared" ca="1" si="106"/>
        <v/>
      </c>
      <c r="BC71" s="93" t="str">
        <f t="shared" ca="1" si="107"/>
        <v/>
      </c>
    </row>
    <row r="72" spans="1:55" ht="15.95" customHeight="1" x14ac:dyDescent="0.2">
      <c r="A72" s="41" t="str">
        <f>IF(Customization!B72="","",Customization!B72)</f>
        <v/>
      </c>
      <c r="B72" s="79" t="str">
        <f t="shared" ca="1" si="56"/>
        <v/>
      </c>
      <c r="C72" s="29" t="str">
        <f t="shared" ca="1" si="57"/>
        <v/>
      </c>
      <c r="D72" s="7" t="str">
        <f t="shared" ca="1" si="54"/>
        <v/>
      </c>
      <c r="E72" s="29" t="str">
        <f t="shared" ca="1" si="58"/>
        <v/>
      </c>
      <c r="F72" s="7" t="str">
        <f t="shared" ca="1" si="55"/>
        <v/>
      </c>
      <c r="G72" s="29" t="str">
        <f t="shared" ca="1" si="59"/>
        <v/>
      </c>
      <c r="H72" s="7" t="str">
        <f t="shared" ca="1" si="60"/>
        <v/>
      </c>
      <c r="I72" s="28" t="str">
        <f t="shared" ca="1" si="61"/>
        <v/>
      </c>
      <c r="J72" s="7" t="str">
        <f t="shared" ca="1" si="62"/>
        <v/>
      </c>
      <c r="K72" s="73" t="str">
        <f t="shared" ca="1" si="63"/>
        <v/>
      </c>
      <c r="L72" s="74" t="str">
        <f t="shared" ca="1" si="64"/>
        <v/>
      </c>
      <c r="M72" s="75" t="str">
        <f t="shared" ca="1" si="65"/>
        <v/>
      </c>
      <c r="N72" s="76" t="str">
        <f t="shared" ca="1" si="66"/>
        <v/>
      </c>
      <c r="O72" s="75" t="str">
        <f t="shared" ca="1" si="67"/>
        <v/>
      </c>
      <c r="P72" s="76" t="str">
        <f t="shared" ca="1" si="68"/>
        <v/>
      </c>
      <c r="Q72" s="75" t="str">
        <f t="shared" ca="1" si="69"/>
        <v/>
      </c>
      <c r="R72" s="77" t="str">
        <f t="shared" ca="1" si="70"/>
        <v/>
      </c>
      <c r="S72" s="89" t="str">
        <f t="shared" ca="1" si="71"/>
        <v/>
      </c>
      <c r="T72" s="88" t="str">
        <f t="shared" ca="1" si="72"/>
        <v/>
      </c>
      <c r="U72" s="92" t="str">
        <f t="shared" ca="1" si="73"/>
        <v/>
      </c>
      <c r="V72" s="88" t="str">
        <f t="shared" ca="1" si="74"/>
        <v/>
      </c>
      <c r="W72" s="92" t="str">
        <f t="shared" ca="1" si="75"/>
        <v/>
      </c>
      <c r="X72" s="88" t="str">
        <f t="shared" ca="1" si="76"/>
        <v/>
      </c>
      <c r="Y72" s="92" t="str">
        <f t="shared" ca="1" si="77"/>
        <v/>
      </c>
      <c r="Z72" s="88" t="str">
        <f t="shared" ca="1" si="78"/>
        <v/>
      </c>
      <c r="AA72" s="89" t="str">
        <f t="shared" ca="1" si="79"/>
        <v/>
      </c>
      <c r="AB72" s="88" t="str">
        <f t="shared" ca="1" si="80"/>
        <v/>
      </c>
      <c r="AC72" s="92" t="str">
        <f t="shared" ca="1" si="81"/>
        <v/>
      </c>
      <c r="AD72" s="88" t="str">
        <f t="shared" ca="1" si="82"/>
        <v/>
      </c>
      <c r="AE72" s="92" t="str">
        <f t="shared" ca="1" si="83"/>
        <v/>
      </c>
      <c r="AF72" s="88" t="str">
        <f t="shared" ca="1" si="84"/>
        <v/>
      </c>
      <c r="AG72" s="92" t="str">
        <f t="shared" ca="1" si="85"/>
        <v/>
      </c>
      <c r="AH72" s="88" t="str">
        <f t="shared" ca="1" si="86"/>
        <v/>
      </c>
      <c r="AI72" s="92" t="str">
        <f t="shared" ca="1" si="87"/>
        <v/>
      </c>
      <c r="AJ72" s="88" t="str">
        <f t="shared" ca="1" si="88"/>
        <v/>
      </c>
      <c r="AK72" s="92" t="str">
        <f t="shared" ca="1" si="89"/>
        <v/>
      </c>
      <c r="AL72" s="77" t="str">
        <f t="shared" ca="1" si="90"/>
        <v/>
      </c>
      <c r="AM72" s="89" t="str">
        <f t="shared" ca="1" si="91"/>
        <v/>
      </c>
      <c r="AN72" s="88" t="str">
        <f t="shared" ca="1" si="92"/>
        <v/>
      </c>
      <c r="AO72" s="89" t="str">
        <f t="shared" ca="1" si="93"/>
        <v/>
      </c>
      <c r="AP72" s="77" t="str">
        <f t="shared" ca="1" si="94"/>
        <v/>
      </c>
      <c r="AQ72" s="94" t="str">
        <f t="shared" ca="1" si="95"/>
        <v/>
      </c>
      <c r="AR72" s="77" t="str">
        <f t="shared" ca="1" si="96"/>
        <v/>
      </c>
      <c r="AS72" s="94" t="str">
        <f t="shared" ca="1" si="97"/>
        <v/>
      </c>
      <c r="AT72" s="77" t="str">
        <f t="shared" ca="1" si="98"/>
        <v/>
      </c>
      <c r="AU72" s="93" t="str">
        <f t="shared" ca="1" si="99"/>
        <v/>
      </c>
      <c r="AV72" s="77" t="str">
        <f t="shared" ca="1" si="100"/>
        <v/>
      </c>
      <c r="AW72" s="93" t="str">
        <f t="shared" ca="1" si="101"/>
        <v/>
      </c>
      <c r="AX72" s="77" t="str">
        <f t="shared" ca="1" si="102"/>
        <v/>
      </c>
      <c r="AY72" s="93" t="str">
        <f t="shared" ca="1" si="103"/>
        <v/>
      </c>
      <c r="AZ72" s="77" t="str">
        <f t="shared" ca="1" si="104"/>
        <v/>
      </c>
      <c r="BA72" s="93" t="str">
        <f t="shared" ca="1" si="105"/>
        <v/>
      </c>
      <c r="BB72" s="77" t="str">
        <f t="shared" ca="1" si="106"/>
        <v/>
      </c>
      <c r="BC72" s="93" t="str">
        <f t="shared" ca="1" si="107"/>
        <v/>
      </c>
    </row>
    <row r="73" spans="1:55" ht="15.95" customHeight="1" x14ac:dyDescent="0.2">
      <c r="A73" s="41" t="str">
        <f>IF(Customization!B73="","",Customization!B73)</f>
        <v/>
      </c>
      <c r="B73" s="79" t="str">
        <f t="shared" ca="1" si="56"/>
        <v/>
      </c>
      <c r="C73" s="29" t="str">
        <f t="shared" ca="1" si="57"/>
        <v/>
      </c>
      <c r="D73" s="7" t="str">
        <f t="shared" ca="1" si="54"/>
        <v/>
      </c>
      <c r="E73" s="29" t="str">
        <f t="shared" ca="1" si="58"/>
        <v/>
      </c>
      <c r="F73" s="7" t="str">
        <f t="shared" ca="1" si="55"/>
        <v/>
      </c>
      <c r="G73" s="29" t="str">
        <f t="shared" ca="1" si="59"/>
        <v/>
      </c>
      <c r="H73" s="7" t="str">
        <f t="shared" ca="1" si="60"/>
        <v/>
      </c>
      <c r="I73" s="28" t="str">
        <f t="shared" ca="1" si="61"/>
        <v/>
      </c>
      <c r="J73" s="7" t="str">
        <f t="shared" ca="1" si="62"/>
        <v/>
      </c>
      <c r="K73" s="73" t="str">
        <f t="shared" ca="1" si="63"/>
        <v/>
      </c>
      <c r="L73" s="74" t="str">
        <f t="shared" ca="1" si="64"/>
        <v/>
      </c>
      <c r="M73" s="75" t="str">
        <f t="shared" ca="1" si="65"/>
        <v/>
      </c>
      <c r="N73" s="76" t="str">
        <f t="shared" ca="1" si="66"/>
        <v/>
      </c>
      <c r="O73" s="75" t="str">
        <f t="shared" ca="1" si="67"/>
        <v/>
      </c>
      <c r="P73" s="76" t="str">
        <f t="shared" ca="1" si="68"/>
        <v/>
      </c>
      <c r="Q73" s="75" t="str">
        <f t="shared" ca="1" si="69"/>
        <v/>
      </c>
      <c r="R73" s="77" t="str">
        <f t="shared" ca="1" si="70"/>
        <v/>
      </c>
      <c r="S73" s="89" t="str">
        <f t="shared" ca="1" si="71"/>
        <v/>
      </c>
      <c r="T73" s="88" t="str">
        <f t="shared" ca="1" si="72"/>
        <v/>
      </c>
      <c r="U73" s="92" t="str">
        <f t="shared" ca="1" si="73"/>
        <v/>
      </c>
      <c r="V73" s="88" t="str">
        <f t="shared" ca="1" si="74"/>
        <v/>
      </c>
      <c r="W73" s="92" t="str">
        <f t="shared" ca="1" si="75"/>
        <v/>
      </c>
      <c r="X73" s="88" t="str">
        <f t="shared" ca="1" si="76"/>
        <v/>
      </c>
      <c r="Y73" s="92" t="str">
        <f t="shared" ca="1" si="77"/>
        <v/>
      </c>
      <c r="Z73" s="88" t="str">
        <f t="shared" ca="1" si="78"/>
        <v/>
      </c>
      <c r="AA73" s="89" t="str">
        <f t="shared" ca="1" si="79"/>
        <v/>
      </c>
      <c r="AB73" s="88" t="str">
        <f t="shared" ca="1" si="80"/>
        <v/>
      </c>
      <c r="AC73" s="92" t="str">
        <f t="shared" ca="1" si="81"/>
        <v/>
      </c>
      <c r="AD73" s="88" t="str">
        <f t="shared" ca="1" si="82"/>
        <v/>
      </c>
      <c r="AE73" s="92" t="str">
        <f t="shared" ca="1" si="83"/>
        <v/>
      </c>
      <c r="AF73" s="88" t="str">
        <f t="shared" ca="1" si="84"/>
        <v/>
      </c>
      <c r="AG73" s="92" t="str">
        <f t="shared" ca="1" si="85"/>
        <v/>
      </c>
      <c r="AH73" s="88" t="str">
        <f t="shared" ca="1" si="86"/>
        <v/>
      </c>
      <c r="AI73" s="92" t="str">
        <f t="shared" ca="1" si="87"/>
        <v/>
      </c>
      <c r="AJ73" s="88" t="str">
        <f t="shared" ca="1" si="88"/>
        <v/>
      </c>
      <c r="AK73" s="92" t="str">
        <f t="shared" ca="1" si="89"/>
        <v/>
      </c>
      <c r="AL73" s="77" t="str">
        <f t="shared" ca="1" si="90"/>
        <v/>
      </c>
      <c r="AM73" s="89" t="str">
        <f t="shared" ca="1" si="91"/>
        <v/>
      </c>
      <c r="AN73" s="88" t="str">
        <f t="shared" ca="1" si="92"/>
        <v/>
      </c>
      <c r="AO73" s="89" t="str">
        <f t="shared" ca="1" si="93"/>
        <v/>
      </c>
      <c r="AP73" s="77" t="str">
        <f t="shared" ca="1" si="94"/>
        <v/>
      </c>
      <c r="AQ73" s="94" t="str">
        <f t="shared" ca="1" si="95"/>
        <v/>
      </c>
      <c r="AR73" s="77" t="str">
        <f t="shared" ca="1" si="96"/>
        <v/>
      </c>
      <c r="AS73" s="94" t="str">
        <f t="shared" ca="1" si="97"/>
        <v/>
      </c>
      <c r="AT73" s="77" t="str">
        <f t="shared" ca="1" si="98"/>
        <v/>
      </c>
      <c r="AU73" s="93" t="str">
        <f t="shared" ca="1" si="99"/>
        <v/>
      </c>
      <c r="AV73" s="77" t="str">
        <f t="shared" ca="1" si="100"/>
        <v/>
      </c>
      <c r="AW73" s="93" t="str">
        <f t="shared" ca="1" si="101"/>
        <v/>
      </c>
      <c r="AX73" s="77" t="str">
        <f t="shared" ca="1" si="102"/>
        <v/>
      </c>
      <c r="AY73" s="93" t="str">
        <f t="shared" ca="1" si="103"/>
        <v/>
      </c>
      <c r="AZ73" s="77" t="str">
        <f t="shared" ca="1" si="104"/>
        <v/>
      </c>
      <c r="BA73" s="93" t="str">
        <f t="shared" ca="1" si="105"/>
        <v/>
      </c>
      <c r="BB73" s="77" t="str">
        <f t="shared" ca="1" si="106"/>
        <v/>
      </c>
      <c r="BC73" s="93" t="str">
        <f t="shared" ca="1" si="107"/>
        <v/>
      </c>
    </row>
    <row r="74" spans="1:55" ht="15.95" customHeight="1" x14ac:dyDescent="0.2">
      <c r="A74" s="41" t="str">
        <f>IF(Customization!B74="","",Customization!B74)</f>
        <v/>
      </c>
      <c r="B74" s="79" t="str">
        <f t="shared" ca="1" si="56"/>
        <v/>
      </c>
      <c r="C74" s="29" t="str">
        <f t="shared" ca="1" si="57"/>
        <v/>
      </c>
      <c r="D74" s="7" t="str">
        <f t="shared" ca="1" si="54"/>
        <v/>
      </c>
      <c r="E74" s="29" t="str">
        <f t="shared" ca="1" si="58"/>
        <v/>
      </c>
      <c r="F74" s="7" t="str">
        <f t="shared" ca="1" si="55"/>
        <v/>
      </c>
      <c r="G74" s="29" t="str">
        <f t="shared" ca="1" si="59"/>
        <v/>
      </c>
      <c r="H74" s="7" t="str">
        <f t="shared" ca="1" si="60"/>
        <v/>
      </c>
      <c r="I74" s="28" t="str">
        <f t="shared" ca="1" si="61"/>
        <v/>
      </c>
      <c r="J74" s="7" t="str">
        <f t="shared" ca="1" si="62"/>
        <v/>
      </c>
      <c r="K74" s="73" t="str">
        <f t="shared" ca="1" si="63"/>
        <v/>
      </c>
      <c r="L74" s="74" t="str">
        <f t="shared" ca="1" si="64"/>
        <v/>
      </c>
      <c r="M74" s="75" t="str">
        <f t="shared" ca="1" si="65"/>
        <v/>
      </c>
      <c r="N74" s="76" t="str">
        <f t="shared" ca="1" si="66"/>
        <v/>
      </c>
      <c r="O74" s="75" t="str">
        <f t="shared" ca="1" si="67"/>
        <v/>
      </c>
      <c r="P74" s="76" t="str">
        <f t="shared" ca="1" si="68"/>
        <v/>
      </c>
      <c r="Q74" s="75" t="str">
        <f t="shared" ca="1" si="69"/>
        <v/>
      </c>
      <c r="R74" s="77" t="str">
        <f t="shared" ca="1" si="70"/>
        <v/>
      </c>
      <c r="S74" s="89" t="str">
        <f t="shared" ca="1" si="71"/>
        <v/>
      </c>
      <c r="T74" s="88" t="str">
        <f t="shared" ca="1" si="72"/>
        <v/>
      </c>
      <c r="U74" s="92" t="str">
        <f t="shared" ca="1" si="73"/>
        <v/>
      </c>
      <c r="V74" s="88" t="str">
        <f t="shared" ca="1" si="74"/>
        <v/>
      </c>
      <c r="W74" s="92" t="str">
        <f t="shared" ca="1" si="75"/>
        <v/>
      </c>
      <c r="X74" s="88" t="str">
        <f t="shared" ca="1" si="76"/>
        <v/>
      </c>
      <c r="Y74" s="92" t="str">
        <f t="shared" ca="1" si="77"/>
        <v/>
      </c>
      <c r="Z74" s="88" t="str">
        <f t="shared" ca="1" si="78"/>
        <v/>
      </c>
      <c r="AA74" s="89" t="str">
        <f t="shared" ca="1" si="79"/>
        <v/>
      </c>
      <c r="AB74" s="88" t="str">
        <f t="shared" ca="1" si="80"/>
        <v/>
      </c>
      <c r="AC74" s="92" t="str">
        <f t="shared" ca="1" si="81"/>
        <v/>
      </c>
      <c r="AD74" s="88" t="str">
        <f t="shared" ca="1" si="82"/>
        <v/>
      </c>
      <c r="AE74" s="92" t="str">
        <f t="shared" ca="1" si="83"/>
        <v/>
      </c>
      <c r="AF74" s="88" t="str">
        <f t="shared" ca="1" si="84"/>
        <v/>
      </c>
      <c r="AG74" s="92" t="str">
        <f t="shared" ca="1" si="85"/>
        <v/>
      </c>
      <c r="AH74" s="88" t="str">
        <f t="shared" ca="1" si="86"/>
        <v/>
      </c>
      <c r="AI74" s="92" t="str">
        <f t="shared" ca="1" si="87"/>
        <v/>
      </c>
      <c r="AJ74" s="88" t="str">
        <f t="shared" ca="1" si="88"/>
        <v/>
      </c>
      <c r="AK74" s="92" t="str">
        <f t="shared" ca="1" si="89"/>
        <v/>
      </c>
      <c r="AL74" s="77" t="str">
        <f t="shared" ca="1" si="90"/>
        <v/>
      </c>
      <c r="AM74" s="89" t="str">
        <f t="shared" ca="1" si="91"/>
        <v/>
      </c>
      <c r="AN74" s="88" t="str">
        <f t="shared" ca="1" si="92"/>
        <v/>
      </c>
      <c r="AO74" s="89" t="str">
        <f t="shared" ca="1" si="93"/>
        <v/>
      </c>
      <c r="AP74" s="77" t="str">
        <f t="shared" ca="1" si="94"/>
        <v/>
      </c>
      <c r="AQ74" s="94" t="str">
        <f t="shared" ca="1" si="95"/>
        <v/>
      </c>
      <c r="AR74" s="77" t="str">
        <f t="shared" ca="1" si="96"/>
        <v/>
      </c>
      <c r="AS74" s="94" t="str">
        <f t="shared" ca="1" si="97"/>
        <v/>
      </c>
      <c r="AT74" s="77" t="str">
        <f t="shared" ca="1" si="98"/>
        <v/>
      </c>
      <c r="AU74" s="93" t="str">
        <f t="shared" ca="1" si="99"/>
        <v/>
      </c>
      <c r="AV74" s="77" t="str">
        <f t="shared" ca="1" si="100"/>
        <v/>
      </c>
      <c r="AW74" s="93" t="str">
        <f t="shared" ca="1" si="101"/>
        <v/>
      </c>
      <c r="AX74" s="77" t="str">
        <f t="shared" ca="1" si="102"/>
        <v/>
      </c>
      <c r="AY74" s="93" t="str">
        <f t="shared" ca="1" si="103"/>
        <v/>
      </c>
      <c r="AZ74" s="77" t="str">
        <f t="shared" ca="1" si="104"/>
        <v/>
      </c>
      <c r="BA74" s="93" t="str">
        <f t="shared" ca="1" si="105"/>
        <v/>
      </c>
      <c r="BB74" s="77" t="str">
        <f t="shared" ca="1" si="106"/>
        <v/>
      </c>
      <c r="BC74" s="93" t="str">
        <f t="shared" ca="1" si="107"/>
        <v/>
      </c>
    </row>
    <row r="75" spans="1:55" ht="15.95" customHeight="1" x14ac:dyDescent="0.2">
      <c r="A75" s="41" t="str">
        <f>IF(Customization!B75="","",Customization!B75)</f>
        <v/>
      </c>
      <c r="B75" s="79" t="str">
        <f t="shared" ca="1" si="56"/>
        <v/>
      </c>
      <c r="C75" s="29" t="str">
        <f t="shared" ca="1" si="57"/>
        <v/>
      </c>
      <c r="D75" s="7" t="str">
        <f t="shared" ca="1" si="54"/>
        <v/>
      </c>
      <c r="E75" s="29" t="str">
        <f t="shared" ca="1" si="58"/>
        <v/>
      </c>
      <c r="F75" s="7" t="str">
        <f t="shared" ca="1" si="55"/>
        <v/>
      </c>
      <c r="G75" s="29" t="str">
        <f t="shared" ca="1" si="59"/>
        <v/>
      </c>
      <c r="H75" s="7" t="str">
        <f t="shared" ca="1" si="60"/>
        <v/>
      </c>
      <c r="I75" s="28" t="str">
        <f t="shared" ca="1" si="61"/>
        <v/>
      </c>
      <c r="J75" s="7" t="str">
        <f t="shared" ca="1" si="62"/>
        <v/>
      </c>
      <c r="K75" s="73" t="str">
        <f t="shared" ca="1" si="63"/>
        <v/>
      </c>
      <c r="L75" s="74" t="str">
        <f t="shared" ca="1" si="64"/>
        <v/>
      </c>
      <c r="M75" s="75" t="str">
        <f t="shared" ca="1" si="65"/>
        <v/>
      </c>
      <c r="N75" s="76" t="str">
        <f t="shared" ca="1" si="66"/>
        <v/>
      </c>
      <c r="O75" s="75" t="str">
        <f t="shared" ca="1" si="67"/>
        <v/>
      </c>
      <c r="P75" s="76" t="str">
        <f t="shared" ca="1" si="68"/>
        <v/>
      </c>
      <c r="Q75" s="75" t="str">
        <f t="shared" ca="1" si="69"/>
        <v/>
      </c>
      <c r="R75" s="77" t="str">
        <f t="shared" ca="1" si="70"/>
        <v/>
      </c>
      <c r="S75" s="89" t="str">
        <f t="shared" ca="1" si="71"/>
        <v/>
      </c>
      <c r="T75" s="88" t="str">
        <f t="shared" ca="1" si="72"/>
        <v/>
      </c>
      <c r="U75" s="92" t="str">
        <f t="shared" ca="1" si="73"/>
        <v/>
      </c>
      <c r="V75" s="88" t="str">
        <f t="shared" ca="1" si="74"/>
        <v/>
      </c>
      <c r="W75" s="92" t="str">
        <f t="shared" ca="1" si="75"/>
        <v/>
      </c>
      <c r="X75" s="88" t="str">
        <f t="shared" ca="1" si="76"/>
        <v/>
      </c>
      <c r="Y75" s="92" t="str">
        <f t="shared" ca="1" si="77"/>
        <v/>
      </c>
      <c r="Z75" s="88" t="str">
        <f t="shared" ca="1" si="78"/>
        <v/>
      </c>
      <c r="AA75" s="89" t="str">
        <f t="shared" ca="1" si="79"/>
        <v/>
      </c>
      <c r="AB75" s="88" t="str">
        <f t="shared" ca="1" si="80"/>
        <v/>
      </c>
      <c r="AC75" s="92" t="str">
        <f t="shared" ca="1" si="81"/>
        <v/>
      </c>
      <c r="AD75" s="88" t="str">
        <f t="shared" ca="1" si="82"/>
        <v/>
      </c>
      <c r="AE75" s="92" t="str">
        <f t="shared" ca="1" si="83"/>
        <v/>
      </c>
      <c r="AF75" s="88" t="str">
        <f t="shared" ca="1" si="84"/>
        <v/>
      </c>
      <c r="AG75" s="92" t="str">
        <f t="shared" ca="1" si="85"/>
        <v/>
      </c>
      <c r="AH75" s="88" t="str">
        <f t="shared" ca="1" si="86"/>
        <v/>
      </c>
      <c r="AI75" s="92" t="str">
        <f t="shared" ca="1" si="87"/>
        <v/>
      </c>
      <c r="AJ75" s="88" t="str">
        <f t="shared" ca="1" si="88"/>
        <v/>
      </c>
      <c r="AK75" s="92" t="str">
        <f t="shared" ca="1" si="89"/>
        <v/>
      </c>
      <c r="AL75" s="77" t="str">
        <f t="shared" ca="1" si="90"/>
        <v/>
      </c>
      <c r="AM75" s="89" t="str">
        <f t="shared" ca="1" si="91"/>
        <v/>
      </c>
      <c r="AN75" s="88" t="str">
        <f t="shared" ca="1" si="92"/>
        <v/>
      </c>
      <c r="AO75" s="89" t="str">
        <f t="shared" ca="1" si="93"/>
        <v/>
      </c>
      <c r="AP75" s="77" t="str">
        <f t="shared" ca="1" si="94"/>
        <v/>
      </c>
      <c r="AQ75" s="94" t="str">
        <f t="shared" ca="1" si="95"/>
        <v/>
      </c>
      <c r="AR75" s="77" t="str">
        <f t="shared" ca="1" si="96"/>
        <v/>
      </c>
      <c r="AS75" s="94" t="str">
        <f t="shared" ca="1" si="97"/>
        <v/>
      </c>
      <c r="AT75" s="77" t="str">
        <f t="shared" ca="1" si="98"/>
        <v/>
      </c>
      <c r="AU75" s="93" t="str">
        <f t="shared" ca="1" si="99"/>
        <v/>
      </c>
      <c r="AV75" s="77" t="str">
        <f t="shared" ca="1" si="100"/>
        <v/>
      </c>
      <c r="AW75" s="93" t="str">
        <f t="shared" ca="1" si="101"/>
        <v/>
      </c>
      <c r="AX75" s="77" t="str">
        <f t="shared" ca="1" si="102"/>
        <v/>
      </c>
      <c r="AY75" s="93" t="str">
        <f t="shared" ca="1" si="103"/>
        <v/>
      </c>
      <c r="AZ75" s="77" t="str">
        <f t="shared" ca="1" si="104"/>
        <v/>
      </c>
      <c r="BA75" s="93" t="str">
        <f t="shared" ca="1" si="105"/>
        <v/>
      </c>
      <c r="BB75" s="77" t="str">
        <f t="shared" ca="1" si="106"/>
        <v/>
      </c>
      <c r="BC75" s="93" t="str">
        <f t="shared" ca="1" si="107"/>
        <v/>
      </c>
    </row>
    <row r="76" spans="1:55" ht="15.95" customHeight="1" x14ac:dyDescent="0.2">
      <c r="A76" s="41" t="str">
        <f>IF(Customization!B76="","",Customization!B76)</f>
        <v/>
      </c>
      <c r="B76" s="79" t="str">
        <f t="shared" ca="1" si="56"/>
        <v/>
      </c>
      <c r="C76" s="29" t="str">
        <f t="shared" ca="1" si="57"/>
        <v/>
      </c>
      <c r="D76" s="7" t="str">
        <f t="shared" ca="1" si="54"/>
        <v/>
      </c>
      <c r="E76" s="29" t="str">
        <f t="shared" ca="1" si="58"/>
        <v/>
      </c>
      <c r="F76" s="7" t="str">
        <f t="shared" ca="1" si="55"/>
        <v/>
      </c>
      <c r="G76" s="29" t="str">
        <f t="shared" ca="1" si="59"/>
        <v/>
      </c>
      <c r="H76" s="7" t="str">
        <f t="shared" ca="1" si="60"/>
        <v/>
      </c>
      <c r="I76" s="28" t="str">
        <f t="shared" ca="1" si="61"/>
        <v/>
      </c>
      <c r="J76" s="7" t="str">
        <f t="shared" ca="1" si="62"/>
        <v/>
      </c>
      <c r="K76" s="73" t="str">
        <f t="shared" ca="1" si="63"/>
        <v/>
      </c>
      <c r="L76" s="74" t="str">
        <f t="shared" ca="1" si="64"/>
        <v/>
      </c>
      <c r="M76" s="75" t="str">
        <f t="shared" ca="1" si="65"/>
        <v/>
      </c>
      <c r="N76" s="76" t="str">
        <f t="shared" ca="1" si="66"/>
        <v/>
      </c>
      <c r="O76" s="75" t="str">
        <f t="shared" ca="1" si="67"/>
        <v/>
      </c>
      <c r="P76" s="76" t="str">
        <f t="shared" ca="1" si="68"/>
        <v/>
      </c>
      <c r="Q76" s="75" t="str">
        <f t="shared" ca="1" si="69"/>
        <v/>
      </c>
      <c r="R76" s="77" t="str">
        <f t="shared" ca="1" si="70"/>
        <v/>
      </c>
      <c r="S76" s="89" t="str">
        <f t="shared" ca="1" si="71"/>
        <v/>
      </c>
      <c r="T76" s="88" t="str">
        <f t="shared" ca="1" si="72"/>
        <v/>
      </c>
      <c r="U76" s="92" t="str">
        <f t="shared" ca="1" si="73"/>
        <v/>
      </c>
      <c r="V76" s="88" t="str">
        <f t="shared" ca="1" si="74"/>
        <v/>
      </c>
      <c r="W76" s="92" t="str">
        <f t="shared" ca="1" si="75"/>
        <v/>
      </c>
      <c r="X76" s="88" t="str">
        <f t="shared" ca="1" si="76"/>
        <v/>
      </c>
      <c r="Y76" s="92" t="str">
        <f t="shared" ca="1" si="77"/>
        <v/>
      </c>
      <c r="Z76" s="88" t="str">
        <f t="shared" ca="1" si="78"/>
        <v/>
      </c>
      <c r="AA76" s="89" t="str">
        <f t="shared" ca="1" si="79"/>
        <v/>
      </c>
      <c r="AB76" s="88" t="str">
        <f t="shared" ca="1" si="80"/>
        <v/>
      </c>
      <c r="AC76" s="92" t="str">
        <f t="shared" ca="1" si="81"/>
        <v/>
      </c>
      <c r="AD76" s="88" t="str">
        <f t="shared" ca="1" si="82"/>
        <v/>
      </c>
      <c r="AE76" s="92" t="str">
        <f t="shared" ca="1" si="83"/>
        <v/>
      </c>
      <c r="AF76" s="88" t="str">
        <f t="shared" ca="1" si="84"/>
        <v/>
      </c>
      <c r="AG76" s="92" t="str">
        <f t="shared" ca="1" si="85"/>
        <v/>
      </c>
      <c r="AH76" s="88" t="str">
        <f t="shared" ca="1" si="86"/>
        <v/>
      </c>
      <c r="AI76" s="92" t="str">
        <f t="shared" ca="1" si="87"/>
        <v/>
      </c>
      <c r="AJ76" s="88" t="str">
        <f t="shared" ca="1" si="88"/>
        <v/>
      </c>
      <c r="AK76" s="92" t="str">
        <f t="shared" ca="1" si="89"/>
        <v/>
      </c>
      <c r="AL76" s="77" t="str">
        <f t="shared" ca="1" si="90"/>
        <v/>
      </c>
      <c r="AM76" s="89" t="str">
        <f t="shared" ca="1" si="91"/>
        <v/>
      </c>
      <c r="AN76" s="88" t="str">
        <f t="shared" ca="1" si="92"/>
        <v/>
      </c>
      <c r="AO76" s="89" t="str">
        <f t="shared" ca="1" si="93"/>
        <v/>
      </c>
      <c r="AP76" s="77" t="str">
        <f t="shared" ca="1" si="94"/>
        <v/>
      </c>
      <c r="AQ76" s="94" t="str">
        <f t="shared" ca="1" si="95"/>
        <v/>
      </c>
      <c r="AR76" s="77" t="str">
        <f t="shared" ca="1" si="96"/>
        <v/>
      </c>
      <c r="AS76" s="94" t="str">
        <f t="shared" ca="1" si="97"/>
        <v/>
      </c>
      <c r="AT76" s="77" t="str">
        <f t="shared" ca="1" si="98"/>
        <v/>
      </c>
      <c r="AU76" s="93" t="str">
        <f t="shared" ca="1" si="99"/>
        <v/>
      </c>
      <c r="AV76" s="77" t="str">
        <f t="shared" ca="1" si="100"/>
        <v/>
      </c>
      <c r="AW76" s="93" t="str">
        <f t="shared" ca="1" si="101"/>
        <v/>
      </c>
      <c r="AX76" s="77" t="str">
        <f t="shared" ca="1" si="102"/>
        <v/>
      </c>
      <c r="AY76" s="93" t="str">
        <f t="shared" ca="1" si="103"/>
        <v/>
      </c>
      <c r="AZ76" s="77" t="str">
        <f t="shared" ca="1" si="104"/>
        <v/>
      </c>
      <c r="BA76" s="93" t="str">
        <f t="shared" ca="1" si="105"/>
        <v/>
      </c>
      <c r="BB76" s="77" t="str">
        <f t="shared" ca="1" si="106"/>
        <v/>
      </c>
      <c r="BC76" s="93" t="str">
        <f t="shared" ca="1" si="107"/>
        <v/>
      </c>
    </row>
    <row r="77" spans="1:55" ht="15.95" customHeight="1" x14ac:dyDescent="0.2">
      <c r="A77" s="41" t="str">
        <f>IF(Customization!B77="","",Customization!B77)</f>
        <v/>
      </c>
      <c r="B77" s="79" t="str">
        <f t="shared" ca="1" si="56"/>
        <v/>
      </c>
      <c r="C77" s="29" t="str">
        <f t="shared" ca="1" si="57"/>
        <v/>
      </c>
      <c r="D77" s="7" t="str">
        <f t="shared" ca="1" si="54"/>
        <v/>
      </c>
      <c r="E77" s="29" t="str">
        <f t="shared" ca="1" si="58"/>
        <v/>
      </c>
      <c r="F77" s="7" t="str">
        <f t="shared" ca="1" si="55"/>
        <v/>
      </c>
      <c r="G77" s="29" t="str">
        <f t="shared" ca="1" si="59"/>
        <v/>
      </c>
      <c r="H77" s="7" t="str">
        <f t="shared" ca="1" si="60"/>
        <v/>
      </c>
      <c r="I77" s="28" t="str">
        <f t="shared" ca="1" si="61"/>
        <v/>
      </c>
      <c r="J77" s="7" t="str">
        <f t="shared" ca="1" si="62"/>
        <v/>
      </c>
      <c r="K77" s="73" t="str">
        <f t="shared" ca="1" si="63"/>
        <v/>
      </c>
      <c r="L77" s="74" t="str">
        <f t="shared" ca="1" si="64"/>
        <v/>
      </c>
      <c r="M77" s="75" t="str">
        <f t="shared" ca="1" si="65"/>
        <v/>
      </c>
      <c r="N77" s="76" t="str">
        <f t="shared" ca="1" si="66"/>
        <v/>
      </c>
      <c r="O77" s="75" t="str">
        <f t="shared" ca="1" si="67"/>
        <v/>
      </c>
      <c r="P77" s="76" t="str">
        <f t="shared" ca="1" si="68"/>
        <v/>
      </c>
      <c r="Q77" s="75" t="str">
        <f t="shared" ca="1" si="69"/>
        <v/>
      </c>
      <c r="R77" s="77" t="str">
        <f t="shared" ca="1" si="70"/>
        <v/>
      </c>
      <c r="S77" s="89" t="str">
        <f t="shared" ca="1" si="71"/>
        <v/>
      </c>
      <c r="T77" s="88" t="str">
        <f t="shared" ca="1" si="72"/>
        <v/>
      </c>
      <c r="U77" s="92" t="str">
        <f t="shared" ca="1" si="73"/>
        <v/>
      </c>
      <c r="V77" s="88" t="str">
        <f t="shared" ca="1" si="74"/>
        <v/>
      </c>
      <c r="W77" s="92" t="str">
        <f t="shared" ca="1" si="75"/>
        <v/>
      </c>
      <c r="X77" s="88" t="str">
        <f t="shared" ca="1" si="76"/>
        <v/>
      </c>
      <c r="Y77" s="92" t="str">
        <f t="shared" ca="1" si="77"/>
        <v/>
      </c>
      <c r="Z77" s="88" t="str">
        <f t="shared" ca="1" si="78"/>
        <v/>
      </c>
      <c r="AA77" s="89" t="str">
        <f t="shared" ca="1" si="79"/>
        <v/>
      </c>
      <c r="AB77" s="88" t="str">
        <f t="shared" ca="1" si="80"/>
        <v/>
      </c>
      <c r="AC77" s="92" t="str">
        <f t="shared" ca="1" si="81"/>
        <v/>
      </c>
      <c r="AD77" s="88" t="str">
        <f t="shared" ca="1" si="82"/>
        <v/>
      </c>
      <c r="AE77" s="92" t="str">
        <f t="shared" ca="1" si="83"/>
        <v/>
      </c>
      <c r="AF77" s="88" t="str">
        <f t="shared" ca="1" si="84"/>
        <v/>
      </c>
      <c r="AG77" s="92" t="str">
        <f t="shared" ca="1" si="85"/>
        <v/>
      </c>
      <c r="AH77" s="88" t="str">
        <f t="shared" ca="1" si="86"/>
        <v/>
      </c>
      <c r="AI77" s="92" t="str">
        <f t="shared" ca="1" si="87"/>
        <v/>
      </c>
      <c r="AJ77" s="88" t="str">
        <f t="shared" ca="1" si="88"/>
        <v/>
      </c>
      <c r="AK77" s="92" t="str">
        <f t="shared" ca="1" si="89"/>
        <v/>
      </c>
      <c r="AL77" s="77" t="str">
        <f t="shared" ca="1" si="90"/>
        <v/>
      </c>
      <c r="AM77" s="89" t="str">
        <f t="shared" ca="1" si="91"/>
        <v/>
      </c>
      <c r="AN77" s="88" t="str">
        <f t="shared" ca="1" si="92"/>
        <v/>
      </c>
      <c r="AO77" s="89" t="str">
        <f t="shared" ca="1" si="93"/>
        <v/>
      </c>
      <c r="AP77" s="77" t="str">
        <f t="shared" ca="1" si="94"/>
        <v/>
      </c>
      <c r="AQ77" s="94" t="str">
        <f t="shared" ca="1" si="95"/>
        <v/>
      </c>
      <c r="AR77" s="77" t="str">
        <f t="shared" ca="1" si="96"/>
        <v/>
      </c>
      <c r="AS77" s="94" t="str">
        <f t="shared" ca="1" si="97"/>
        <v/>
      </c>
      <c r="AT77" s="77" t="str">
        <f t="shared" ca="1" si="98"/>
        <v/>
      </c>
      <c r="AU77" s="93" t="str">
        <f t="shared" ca="1" si="99"/>
        <v/>
      </c>
      <c r="AV77" s="77" t="str">
        <f t="shared" ca="1" si="100"/>
        <v/>
      </c>
      <c r="AW77" s="93" t="str">
        <f t="shared" ca="1" si="101"/>
        <v/>
      </c>
      <c r="AX77" s="77" t="str">
        <f t="shared" ca="1" si="102"/>
        <v/>
      </c>
      <c r="AY77" s="93" t="str">
        <f t="shared" ca="1" si="103"/>
        <v/>
      </c>
      <c r="AZ77" s="77" t="str">
        <f t="shared" ca="1" si="104"/>
        <v/>
      </c>
      <c r="BA77" s="93" t="str">
        <f t="shared" ca="1" si="105"/>
        <v/>
      </c>
      <c r="BB77" s="77" t="str">
        <f t="shared" ca="1" si="106"/>
        <v/>
      </c>
      <c r="BC77" s="93" t="str">
        <f t="shared" ca="1" si="107"/>
        <v/>
      </c>
    </row>
    <row r="78" spans="1:55" ht="15.95" customHeight="1" x14ac:dyDescent="0.2">
      <c r="A78" s="41" t="str">
        <f>IF(Customization!B78="","",Customization!B78)</f>
        <v/>
      </c>
      <c r="B78" s="79" t="str">
        <f t="shared" ca="1" si="56"/>
        <v/>
      </c>
      <c r="C78" s="29" t="str">
        <f t="shared" ca="1" si="57"/>
        <v/>
      </c>
      <c r="D78" s="7" t="str">
        <f t="shared" ca="1" si="54"/>
        <v/>
      </c>
      <c r="E78" s="29" t="str">
        <f t="shared" ca="1" si="58"/>
        <v/>
      </c>
      <c r="F78" s="7" t="str">
        <f t="shared" ca="1" si="55"/>
        <v/>
      </c>
      <c r="G78" s="29" t="str">
        <f t="shared" ca="1" si="59"/>
        <v/>
      </c>
      <c r="H78" s="7" t="str">
        <f t="shared" ca="1" si="60"/>
        <v/>
      </c>
      <c r="I78" s="28" t="str">
        <f t="shared" ca="1" si="61"/>
        <v/>
      </c>
      <c r="J78" s="7" t="str">
        <f t="shared" ca="1" si="62"/>
        <v/>
      </c>
      <c r="K78" s="73" t="str">
        <f t="shared" ca="1" si="63"/>
        <v/>
      </c>
      <c r="L78" s="74" t="str">
        <f t="shared" ca="1" si="64"/>
        <v/>
      </c>
      <c r="M78" s="75" t="str">
        <f t="shared" ca="1" si="65"/>
        <v/>
      </c>
      <c r="N78" s="76" t="str">
        <f t="shared" ca="1" si="66"/>
        <v/>
      </c>
      <c r="O78" s="75" t="str">
        <f t="shared" ca="1" si="67"/>
        <v/>
      </c>
      <c r="P78" s="76" t="str">
        <f t="shared" ca="1" si="68"/>
        <v/>
      </c>
      <c r="Q78" s="75" t="str">
        <f t="shared" ca="1" si="69"/>
        <v/>
      </c>
      <c r="R78" s="77" t="str">
        <f t="shared" ca="1" si="70"/>
        <v/>
      </c>
      <c r="S78" s="89" t="str">
        <f t="shared" ca="1" si="71"/>
        <v/>
      </c>
      <c r="T78" s="88" t="str">
        <f t="shared" ca="1" si="72"/>
        <v/>
      </c>
      <c r="U78" s="92" t="str">
        <f t="shared" ca="1" si="73"/>
        <v/>
      </c>
      <c r="V78" s="88" t="str">
        <f t="shared" ca="1" si="74"/>
        <v/>
      </c>
      <c r="W78" s="92" t="str">
        <f t="shared" ca="1" si="75"/>
        <v/>
      </c>
      <c r="X78" s="88" t="str">
        <f t="shared" ca="1" si="76"/>
        <v/>
      </c>
      <c r="Y78" s="92" t="str">
        <f t="shared" ca="1" si="77"/>
        <v/>
      </c>
      <c r="Z78" s="88" t="str">
        <f t="shared" ca="1" si="78"/>
        <v/>
      </c>
      <c r="AA78" s="89" t="str">
        <f t="shared" ca="1" si="79"/>
        <v/>
      </c>
      <c r="AB78" s="88" t="str">
        <f t="shared" ca="1" si="80"/>
        <v/>
      </c>
      <c r="AC78" s="92" t="str">
        <f t="shared" ca="1" si="81"/>
        <v/>
      </c>
      <c r="AD78" s="88" t="str">
        <f t="shared" ca="1" si="82"/>
        <v/>
      </c>
      <c r="AE78" s="92" t="str">
        <f t="shared" ca="1" si="83"/>
        <v/>
      </c>
      <c r="AF78" s="88" t="str">
        <f t="shared" ca="1" si="84"/>
        <v/>
      </c>
      <c r="AG78" s="92" t="str">
        <f t="shared" ca="1" si="85"/>
        <v/>
      </c>
      <c r="AH78" s="88" t="str">
        <f t="shared" ca="1" si="86"/>
        <v/>
      </c>
      <c r="AI78" s="92" t="str">
        <f t="shared" ca="1" si="87"/>
        <v/>
      </c>
      <c r="AJ78" s="88" t="str">
        <f t="shared" ca="1" si="88"/>
        <v/>
      </c>
      <c r="AK78" s="92" t="str">
        <f t="shared" ca="1" si="89"/>
        <v/>
      </c>
      <c r="AL78" s="77" t="str">
        <f t="shared" ca="1" si="90"/>
        <v/>
      </c>
      <c r="AM78" s="89" t="str">
        <f t="shared" ca="1" si="91"/>
        <v/>
      </c>
      <c r="AN78" s="88" t="str">
        <f t="shared" ca="1" si="92"/>
        <v/>
      </c>
      <c r="AO78" s="89" t="str">
        <f t="shared" ca="1" si="93"/>
        <v/>
      </c>
      <c r="AP78" s="77" t="str">
        <f t="shared" ca="1" si="94"/>
        <v/>
      </c>
      <c r="AQ78" s="94" t="str">
        <f t="shared" ca="1" si="95"/>
        <v/>
      </c>
      <c r="AR78" s="77" t="str">
        <f t="shared" ca="1" si="96"/>
        <v/>
      </c>
      <c r="AS78" s="94" t="str">
        <f t="shared" ca="1" si="97"/>
        <v/>
      </c>
      <c r="AT78" s="77" t="str">
        <f t="shared" ca="1" si="98"/>
        <v/>
      </c>
      <c r="AU78" s="93" t="str">
        <f t="shared" ca="1" si="99"/>
        <v/>
      </c>
      <c r="AV78" s="77" t="str">
        <f t="shared" ca="1" si="100"/>
        <v/>
      </c>
      <c r="AW78" s="93" t="str">
        <f t="shared" ca="1" si="101"/>
        <v/>
      </c>
      <c r="AX78" s="77" t="str">
        <f t="shared" ca="1" si="102"/>
        <v/>
      </c>
      <c r="AY78" s="93" t="str">
        <f t="shared" ca="1" si="103"/>
        <v/>
      </c>
      <c r="AZ78" s="77" t="str">
        <f t="shared" ca="1" si="104"/>
        <v/>
      </c>
      <c r="BA78" s="93" t="str">
        <f t="shared" ca="1" si="105"/>
        <v/>
      </c>
      <c r="BB78" s="77" t="str">
        <f t="shared" ca="1" si="106"/>
        <v/>
      </c>
      <c r="BC78" s="93" t="str">
        <f t="shared" ca="1" si="107"/>
        <v/>
      </c>
    </row>
    <row r="79" spans="1:55" ht="15.95" customHeight="1" x14ac:dyDescent="0.2">
      <c r="A79" s="41" t="str">
        <f>IF(Customization!B79="","",Customization!B79)</f>
        <v/>
      </c>
      <c r="B79" s="79" t="str">
        <f t="shared" ca="1" si="56"/>
        <v/>
      </c>
      <c r="C79" s="29" t="str">
        <f t="shared" ca="1" si="57"/>
        <v/>
      </c>
      <c r="D79" s="7" t="str">
        <f t="shared" ca="1" si="54"/>
        <v/>
      </c>
      <c r="E79" s="29" t="str">
        <f t="shared" ca="1" si="58"/>
        <v/>
      </c>
      <c r="F79" s="7" t="str">
        <f t="shared" ca="1" si="55"/>
        <v/>
      </c>
      <c r="G79" s="29" t="str">
        <f t="shared" ca="1" si="59"/>
        <v/>
      </c>
      <c r="H79" s="7" t="str">
        <f t="shared" ca="1" si="60"/>
        <v/>
      </c>
      <c r="I79" s="28" t="str">
        <f t="shared" ca="1" si="61"/>
        <v/>
      </c>
      <c r="J79" s="7" t="str">
        <f t="shared" ca="1" si="62"/>
        <v/>
      </c>
      <c r="K79" s="73" t="str">
        <f t="shared" ca="1" si="63"/>
        <v/>
      </c>
      <c r="L79" s="74" t="str">
        <f t="shared" ca="1" si="64"/>
        <v/>
      </c>
      <c r="M79" s="75" t="str">
        <f t="shared" ca="1" si="65"/>
        <v/>
      </c>
      <c r="N79" s="76" t="str">
        <f t="shared" ca="1" si="66"/>
        <v/>
      </c>
      <c r="O79" s="75" t="str">
        <f t="shared" ca="1" si="67"/>
        <v/>
      </c>
      <c r="P79" s="76" t="str">
        <f t="shared" ca="1" si="68"/>
        <v/>
      </c>
      <c r="Q79" s="75" t="str">
        <f t="shared" ca="1" si="69"/>
        <v/>
      </c>
      <c r="R79" s="77" t="str">
        <f t="shared" ca="1" si="70"/>
        <v/>
      </c>
      <c r="S79" s="89" t="str">
        <f t="shared" ca="1" si="71"/>
        <v/>
      </c>
      <c r="T79" s="88" t="str">
        <f t="shared" ca="1" si="72"/>
        <v/>
      </c>
      <c r="U79" s="92" t="str">
        <f t="shared" ca="1" si="73"/>
        <v/>
      </c>
      <c r="V79" s="88" t="str">
        <f t="shared" ca="1" si="74"/>
        <v/>
      </c>
      <c r="W79" s="92" t="str">
        <f t="shared" ca="1" si="75"/>
        <v/>
      </c>
      <c r="X79" s="88" t="str">
        <f t="shared" ca="1" si="76"/>
        <v/>
      </c>
      <c r="Y79" s="92" t="str">
        <f t="shared" ca="1" si="77"/>
        <v/>
      </c>
      <c r="Z79" s="88" t="str">
        <f t="shared" ca="1" si="78"/>
        <v/>
      </c>
      <c r="AA79" s="89" t="str">
        <f t="shared" ca="1" si="79"/>
        <v/>
      </c>
      <c r="AB79" s="88" t="str">
        <f t="shared" ca="1" si="80"/>
        <v/>
      </c>
      <c r="AC79" s="92" t="str">
        <f t="shared" ca="1" si="81"/>
        <v/>
      </c>
      <c r="AD79" s="88" t="str">
        <f t="shared" ca="1" si="82"/>
        <v/>
      </c>
      <c r="AE79" s="92" t="str">
        <f t="shared" ca="1" si="83"/>
        <v/>
      </c>
      <c r="AF79" s="88" t="str">
        <f t="shared" ca="1" si="84"/>
        <v/>
      </c>
      <c r="AG79" s="92" t="str">
        <f t="shared" ca="1" si="85"/>
        <v/>
      </c>
      <c r="AH79" s="88" t="str">
        <f t="shared" ca="1" si="86"/>
        <v/>
      </c>
      <c r="AI79" s="92" t="str">
        <f t="shared" ca="1" si="87"/>
        <v/>
      </c>
      <c r="AJ79" s="88" t="str">
        <f t="shared" ca="1" si="88"/>
        <v/>
      </c>
      <c r="AK79" s="92" t="str">
        <f t="shared" ca="1" si="89"/>
        <v/>
      </c>
      <c r="AL79" s="77" t="str">
        <f t="shared" ca="1" si="90"/>
        <v/>
      </c>
      <c r="AM79" s="89" t="str">
        <f t="shared" ca="1" si="91"/>
        <v/>
      </c>
      <c r="AN79" s="88" t="str">
        <f t="shared" ca="1" si="92"/>
        <v/>
      </c>
      <c r="AO79" s="89" t="str">
        <f t="shared" ca="1" si="93"/>
        <v/>
      </c>
      <c r="AP79" s="77" t="str">
        <f t="shared" ca="1" si="94"/>
        <v/>
      </c>
      <c r="AQ79" s="94" t="str">
        <f t="shared" ca="1" si="95"/>
        <v/>
      </c>
      <c r="AR79" s="77" t="str">
        <f t="shared" ca="1" si="96"/>
        <v/>
      </c>
      <c r="AS79" s="94" t="str">
        <f t="shared" ca="1" si="97"/>
        <v/>
      </c>
      <c r="AT79" s="77" t="str">
        <f t="shared" ca="1" si="98"/>
        <v/>
      </c>
      <c r="AU79" s="93" t="str">
        <f t="shared" ca="1" si="99"/>
        <v/>
      </c>
      <c r="AV79" s="77" t="str">
        <f t="shared" ca="1" si="100"/>
        <v/>
      </c>
      <c r="AW79" s="93" t="str">
        <f t="shared" ca="1" si="101"/>
        <v/>
      </c>
      <c r="AX79" s="77" t="str">
        <f t="shared" ca="1" si="102"/>
        <v/>
      </c>
      <c r="AY79" s="93" t="str">
        <f t="shared" ca="1" si="103"/>
        <v/>
      </c>
      <c r="AZ79" s="77" t="str">
        <f t="shared" ca="1" si="104"/>
        <v/>
      </c>
      <c r="BA79" s="93" t="str">
        <f t="shared" ca="1" si="105"/>
        <v/>
      </c>
      <c r="BB79" s="77" t="str">
        <f t="shared" ca="1" si="106"/>
        <v/>
      </c>
      <c r="BC79" s="93" t="str">
        <f t="shared" ca="1" si="107"/>
        <v/>
      </c>
    </row>
    <row r="80" spans="1:55" ht="15.95" customHeight="1" x14ac:dyDescent="0.2">
      <c r="A80" s="41" t="str">
        <f>IF(Customization!B80="","",Customization!B80)</f>
        <v/>
      </c>
      <c r="B80" s="79" t="str">
        <f t="shared" ca="1" si="56"/>
        <v/>
      </c>
      <c r="C80" s="29" t="str">
        <f t="shared" ca="1" si="57"/>
        <v/>
      </c>
      <c r="D80" s="7" t="str">
        <f t="shared" ca="1" si="54"/>
        <v/>
      </c>
      <c r="E80" s="29" t="str">
        <f t="shared" ca="1" si="58"/>
        <v/>
      </c>
      <c r="F80" s="7" t="str">
        <f t="shared" ca="1" si="55"/>
        <v/>
      </c>
      <c r="G80" s="29" t="str">
        <f t="shared" ca="1" si="59"/>
        <v/>
      </c>
      <c r="H80" s="7" t="str">
        <f t="shared" ca="1" si="60"/>
        <v/>
      </c>
      <c r="I80" s="28" t="str">
        <f t="shared" ca="1" si="61"/>
        <v/>
      </c>
      <c r="J80" s="7" t="str">
        <f t="shared" ca="1" si="62"/>
        <v/>
      </c>
      <c r="K80" s="73" t="str">
        <f t="shared" ca="1" si="63"/>
        <v/>
      </c>
      <c r="L80" s="74" t="str">
        <f t="shared" ca="1" si="64"/>
        <v/>
      </c>
      <c r="M80" s="75" t="str">
        <f t="shared" ca="1" si="65"/>
        <v/>
      </c>
      <c r="N80" s="76" t="str">
        <f t="shared" ca="1" si="66"/>
        <v/>
      </c>
      <c r="O80" s="75" t="str">
        <f t="shared" ca="1" si="67"/>
        <v/>
      </c>
      <c r="P80" s="76" t="str">
        <f t="shared" ca="1" si="68"/>
        <v/>
      </c>
      <c r="Q80" s="75" t="str">
        <f t="shared" ca="1" si="69"/>
        <v/>
      </c>
      <c r="R80" s="77" t="str">
        <f t="shared" ca="1" si="70"/>
        <v/>
      </c>
      <c r="S80" s="89" t="str">
        <f t="shared" ca="1" si="71"/>
        <v/>
      </c>
      <c r="T80" s="88" t="str">
        <f t="shared" ca="1" si="72"/>
        <v/>
      </c>
      <c r="U80" s="92" t="str">
        <f t="shared" ca="1" si="73"/>
        <v/>
      </c>
      <c r="V80" s="88" t="str">
        <f t="shared" ca="1" si="74"/>
        <v/>
      </c>
      <c r="W80" s="92" t="str">
        <f t="shared" ca="1" si="75"/>
        <v/>
      </c>
      <c r="X80" s="88" t="str">
        <f t="shared" ca="1" si="76"/>
        <v/>
      </c>
      <c r="Y80" s="92" t="str">
        <f t="shared" ca="1" si="77"/>
        <v/>
      </c>
      <c r="Z80" s="88" t="str">
        <f t="shared" ca="1" si="78"/>
        <v/>
      </c>
      <c r="AA80" s="89" t="str">
        <f t="shared" ca="1" si="79"/>
        <v/>
      </c>
      <c r="AB80" s="88" t="str">
        <f t="shared" ca="1" si="80"/>
        <v/>
      </c>
      <c r="AC80" s="92" t="str">
        <f t="shared" ca="1" si="81"/>
        <v/>
      </c>
      <c r="AD80" s="88" t="str">
        <f t="shared" ca="1" si="82"/>
        <v/>
      </c>
      <c r="AE80" s="92" t="str">
        <f t="shared" ca="1" si="83"/>
        <v/>
      </c>
      <c r="AF80" s="88" t="str">
        <f t="shared" ca="1" si="84"/>
        <v/>
      </c>
      <c r="AG80" s="92" t="str">
        <f t="shared" ca="1" si="85"/>
        <v/>
      </c>
      <c r="AH80" s="88" t="str">
        <f t="shared" ca="1" si="86"/>
        <v/>
      </c>
      <c r="AI80" s="92" t="str">
        <f t="shared" ca="1" si="87"/>
        <v/>
      </c>
      <c r="AJ80" s="88" t="str">
        <f t="shared" ca="1" si="88"/>
        <v/>
      </c>
      <c r="AK80" s="92" t="str">
        <f t="shared" ca="1" si="89"/>
        <v/>
      </c>
      <c r="AL80" s="77" t="str">
        <f t="shared" ca="1" si="90"/>
        <v/>
      </c>
      <c r="AM80" s="89" t="str">
        <f t="shared" ca="1" si="91"/>
        <v/>
      </c>
      <c r="AN80" s="88" t="str">
        <f t="shared" ca="1" si="92"/>
        <v/>
      </c>
      <c r="AO80" s="89" t="str">
        <f t="shared" ca="1" si="93"/>
        <v/>
      </c>
      <c r="AP80" s="77" t="str">
        <f t="shared" ca="1" si="94"/>
        <v/>
      </c>
      <c r="AQ80" s="94" t="str">
        <f t="shared" ca="1" si="95"/>
        <v/>
      </c>
      <c r="AR80" s="77" t="str">
        <f t="shared" ca="1" si="96"/>
        <v/>
      </c>
      <c r="AS80" s="94" t="str">
        <f t="shared" ca="1" si="97"/>
        <v/>
      </c>
      <c r="AT80" s="77" t="str">
        <f t="shared" ca="1" si="98"/>
        <v/>
      </c>
      <c r="AU80" s="93" t="str">
        <f t="shared" ca="1" si="99"/>
        <v/>
      </c>
      <c r="AV80" s="77" t="str">
        <f t="shared" ca="1" si="100"/>
        <v/>
      </c>
      <c r="AW80" s="93" t="str">
        <f t="shared" ca="1" si="101"/>
        <v/>
      </c>
      <c r="AX80" s="77" t="str">
        <f t="shared" ca="1" si="102"/>
        <v/>
      </c>
      <c r="AY80" s="93" t="str">
        <f t="shared" ca="1" si="103"/>
        <v/>
      </c>
      <c r="AZ80" s="77" t="str">
        <f t="shared" ca="1" si="104"/>
        <v/>
      </c>
      <c r="BA80" s="93" t="str">
        <f t="shared" ca="1" si="105"/>
        <v/>
      </c>
      <c r="BB80" s="77" t="str">
        <f t="shared" ca="1" si="106"/>
        <v/>
      </c>
      <c r="BC80" s="93" t="str">
        <f t="shared" ca="1" si="107"/>
        <v/>
      </c>
    </row>
    <row r="81" spans="1:55" ht="15.95" customHeight="1" x14ac:dyDescent="0.2">
      <c r="A81" s="41" t="str">
        <f>IF(Customization!B81="","",Customization!B81)</f>
        <v/>
      </c>
      <c r="B81" s="79" t="str">
        <f t="shared" ca="1" si="56"/>
        <v/>
      </c>
      <c r="C81" s="29" t="str">
        <f t="shared" ca="1" si="57"/>
        <v/>
      </c>
      <c r="D81" s="7" t="str">
        <f t="shared" ca="1" si="54"/>
        <v/>
      </c>
      <c r="E81" s="29" t="str">
        <f t="shared" ca="1" si="58"/>
        <v/>
      </c>
      <c r="F81" s="7" t="str">
        <f t="shared" ca="1" si="55"/>
        <v/>
      </c>
      <c r="G81" s="29" t="str">
        <f t="shared" ca="1" si="59"/>
        <v/>
      </c>
      <c r="H81" s="7" t="str">
        <f t="shared" ca="1" si="60"/>
        <v/>
      </c>
      <c r="I81" s="28" t="str">
        <f t="shared" ca="1" si="61"/>
        <v/>
      </c>
      <c r="J81" s="7" t="str">
        <f t="shared" ca="1" si="62"/>
        <v/>
      </c>
      <c r="K81" s="73" t="str">
        <f t="shared" ca="1" si="63"/>
        <v/>
      </c>
      <c r="L81" s="74" t="str">
        <f t="shared" ca="1" si="64"/>
        <v/>
      </c>
      <c r="M81" s="75" t="str">
        <f t="shared" ca="1" si="65"/>
        <v/>
      </c>
      <c r="N81" s="76" t="str">
        <f t="shared" ca="1" si="66"/>
        <v/>
      </c>
      <c r="O81" s="75" t="str">
        <f t="shared" ca="1" si="67"/>
        <v/>
      </c>
      <c r="P81" s="76" t="str">
        <f t="shared" ca="1" si="68"/>
        <v/>
      </c>
      <c r="Q81" s="75" t="str">
        <f t="shared" ca="1" si="69"/>
        <v/>
      </c>
      <c r="R81" s="77" t="str">
        <f t="shared" ca="1" si="70"/>
        <v/>
      </c>
      <c r="S81" s="89" t="str">
        <f t="shared" ca="1" si="71"/>
        <v/>
      </c>
      <c r="T81" s="88" t="str">
        <f t="shared" ca="1" si="72"/>
        <v/>
      </c>
      <c r="U81" s="92" t="str">
        <f t="shared" ca="1" si="73"/>
        <v/>
      </c>
      <c r="V81" s="88" t="str">
        <f t="shared" ca="1" si="74"/>
        <v/>
      </c>
      <c r="W81" s="92" t="str">
        <f t="shared" ca="1" si="75"/>
        <v/>
      </c>
      <c r="X81" s="88" t="str">
        <f t="shared" ca="1" si="76"/>
        <v/>
      </c>
      <c r="Y81" s="92" t="str">
        <f t="shared" ca="1" si="77"/>
        <v/>
      </c>
      <c r="Z81" s="88" t="str">
        <f t="shared" ca="1" si="78"/>
        <v/>
      </c>
      <c r="AA81" s="89" t="str">
        <f t="shared" ca="1" si="79"/>
        <v/>
      </c>
      <c r="AB81" s="88" t="str">
        <f t="shared" ca="1" si="80"/>
        <v/>
      </c>
      <c r="AC81" s="92" t="str">
        <f t="shared" ca="1" si="81"/>
        <v/>
      </c>
      <c r="AD81" s="88" t="str">
        <f t="shared" ca="1" si="82"/>
        <v/>
      </c>
      <c r="AE81" s="92" t="str">
        <f t="shared" ca="1" si="83"/>
        <v/>
      </c>
      <c r="AF81" s="88" t="str">
        <f t="shared" ca="1" si="84"/>
        <v/>
      </c>
      <c r="AG81" s="92" t="str">
        <f t="shared" ca="1" si="85"/>
        <v/>
      </c>
      <c r="AH81" s="88" t="str">
        <f t="shared" ca="1" si="86"/>
        <v/>
      </c>
      <c r="AI81" s="92" t="str">
        <f t="shared" ca="1" si="87"/>
        <v/>
      </c>
      <c r="AJ81" s="88" t="str">
        <f t="shared" ca="1" si="88"/>
        <v/>
      </c>
      <c r="AK81" s="92" t="str">
        <f t="shared" ca="1" si="89"/>
        <v/>
      </c>
      <c r="AL81" s="77" t="str">
        <f t="shared" ca="1" si="90"/>
        <v/>
      </c>
      <c r="AM81" s="89" t="str">
        <f t="shared" ca="1" si="91"/>
        <v/>
      </c>
      <c r="AN81" s="88" t="str">
        <f t="shared" ca="1" si="92"/>
        <v/>
      </c>
      <c r="AO81" s="89" t="str">
        <f t="shared" ca="1" si="93"/>
        <v/>
      </c>
      <c r="AP81" s="77" t="str">
        <f t="shared" ca="1" si="94"/>
        <v/>
      </c>
      <c r="AQ81" s="94" t="str">
        <f t="shared" ca="1" si="95"/>
        <v/>
      </c>
      <c r="AR81" s="77" t="str">
        <f t="shared" ca="1" si="96"/>
        <v/>
      </c>
      <c r="AS81" s="94" t="str">
        <f t="shared" ca="1" si="97"/>
        <v/>
      </c>
      <c r="AT81" s="77" t="str">
        <f t="shared" ca="1" si="98"/>
        <v/>
      </c>
      <c r="AU81" s="93" t="str">
        <f t="shared" ca="1" si="99"/>
        <v/>
      </c>
      <c r="AV81" s="77" t="str">
        <f t="shared" ca="1" si="100"/>
        <v/>
      </c>
      <c r="AW81" s="93" t="str">
        <f t="shared" ca="1" si="101"/>
        <v/>
      </c>
      <c r="AX81" s="77" t="str">
        <f t="shared" ca="1" si="102"/>
        <v/>
      </c>
      <c r="AY81" s="93" t="str">
        <f t="shared" ca="1" si="103"/>
        <v/>
      </c>
      <c r="AZ81" s="77" t="str">
        <f t="shared" ca="1" si="104"/>
        <v/>
      </c>
      <c r="BA81" s="93" t="str">
        <f t="shared" ca="1" si="105"/>
        <v/>
      </c>
      <c r="BB81" s="77" t="str">
        <f t="shared" ca="1" si="106"/>
        <v/>
      </c>
      <c r="BC81" s="93" t="str">
        <f t="shared" ca="1" si="107"/>
        <v/>
      </c>
    </row>
    <row r="82" spans="1:55" ht="15.95" customHeight="1" x14ac:dyDescent="0.2">
      <c r="A82" s="41" t="str">
        <f>IF(Customization!B82="","",Customization!B82)</f>
        <v/>
      </c>
      <c r="B82" s="79" t="str">
        <f t="shared" ca="1" si="56"/>
        <v/>
      </c>
      <c r="C82" s="29" t="str">
        <f t="shared" ca="1" si="57"/>
        <v/>
      </c>
      <c r="D82" s="7" t="str">
        <f t="shared" ca="1" si="54"/>
        <v/>
      </c>
      <c r="E82" s="29" t="str">
        <f t="shared" ca="1" si="58"/>
        <v/>
      </c>
      <c r="F82" s="7" t="str">
        <f t="shared" ca="1" si="55"/>
        <v/>
      </c>
      <c r="G82" s="29" t="str">
        <f t="shared" ca="1" si="59"/>
        <v/>
      </c>
      <c r="H82" s="7" t="str">
        <f t="shared" ca="1" si="60"/>
        <v/>
      </c>
      <c r="I82" s="28" t="str">
        <f t="shared" ca="1" si="61"/>
        <v/>
      </c>
      <c r="J82" s="7" t="str">
        <f t="shared" ca="1" si="62"/>
        <v/>
      </c>
      <c r="K82" s="73" t="str">
        <f t="shared" ca="1" si="63"/>
        <v/>
      </c>
      <c r="L82" s="74" t="str">
        <f t="shared" ca="1" si="64"/>
        <v/>
      </c>
      <c r="M82" s="75" t="str">
        <f t="shared" ca="1" si="65"/>
        <v/>
      </c>
      <c r="N82" s="76" t="str">
        <f t="shared" ca="1" si="66"/>
        <v/>
      </c>
      <c r="O82" s="75" t="str">
        <f t="shared" ca="1" si="67"/>
        <v/>
      </c>
      <c r="P82" s="76" t="str">
        <f t="shared" ca="1" si="68"/>
        <v/>
      </c>
      <c r="Q82" s="75" t="str">
        <f t="shared" ca="1" si="69"/>
        <v/>
      </c>
      <c r="R82" s="77" t="str">
        <f t="shared" ca="1" si="70"/>
        <v/>
      </c>
      <c r="S82" s="89" t="str">
        <f t="shared" ca="1" si="71"/>
        <v/>
      </c>
      <c r="T82" s="88" t="str">
        <f t="shared" ca="1" si="72"/>
        <v/>
      </c>
      <c r="U82" s="92" t="str">
        <f t="shared" ca="1" si="73"/>
        <v/>
      </c>
      <c r="V82" s="88" t="str">
        <f t="shared" ca="1" si="74"/>
        <v/>
      </c>
      <c r="W82" s="92" t="str">
        <f t="shared" ca="1" si="75"/>
        <v/>
      </c>
      <c r="X82" s="88" t="str">
        <f t="shared" ca="1" si="76"/>
        <v/>
      </c>
      <c r="Y82" s="92" t="str">
        <f t="shared" ca="1" si="77"/>
        <v/>
      </c>
      <c r="Z82" s="88" t="str">
        <f t="shared" ca="1" si="78"/>
        <v/>
      </c>
      <c r="AA82" s="89" t="str">
        <f t="shared" ca="1" si="79"/>
        <v/>
      </c>
      <c r="AB82" s="88" t="str">
        <f t="shared" ca="1" si="80"/>
        <v/>
      </c>
      <c r="AC82" s="92" t="str">
        <f t="shared" ca="1" si="81"/>
        <v/>
      </c>
      <c r="AD82" s="88" t="str">
        <f t="shared" ca="1" si="82"/>
        <v/>
      </c>
      <c r="AE82" s="92" t="str">
        <f t="shared" ca="1" si="83"/>
        <v/>
      </c>
      <c r="AF82" s="88" t="str">
        <f t="shared" ca="1" si="84"/>
        <v/>
      </c>
      <c r="AG82" s="92" t="str">
        <f t="shared" ca="1" si="85"/>
        <v/>
      </c>
      <c r="AH82" s="88" t="str">
        <f t="shared" ca="1" si="86"/>
        <v/>
      </c>
      <c r="AI82" s="92" t="str">
        <f t="shared" ca="1" si="87"/>
        <v/>
      </c>
      <c r="AJ82" s="88" t="str">
        <f t="shared" ca="1" si="88"/>
        <v/>
      </c>
      <c r="AK82" s="92" t="str">
        <f t="shared" ca="1" si="89"/>
        <v/>
      </c>
      <c r="AL82" s="77" t="str">
        <f t="shared" ca="1" si="90"/>
        <v/>
      </c>
      <c r="AM82" s="89" t="str">
        <f t="shared" ca="1" si="91"/>
        <v/>
      </c>
      <c r="AN82" s="88" t="str">
        <f t="shared" ca="1" si="92"/>
        <v/>
      </c>
      <c r="AO82" s="89" t="str">
        <f t="shared" ca="1" si="93"/>
        <v/>
      </c>
      <c r="AP82" s="77" t="str">
        <f t="shared" ca="1" si="94"/>
        <v/>
      </c>
      <c r="AQ82" s="94" t="str">
        <f t="shared" ca="1" si="95"/>
        <v/>
      </c>
      <c r="AR82" s="77" t="str">
        <f t="shared" ca="1" si="96"/>
        <v/>
      </c>
      <c r="AS82" s="94" t="str">
        <f t="shared" ca="1" si="97"/>
        <v/>
      </c>
      <c r="AT82" s="77" t="str">
        <f t="shared" ca="1" si="98"/>
        <v/>
      </c>
      <c r="AU82" s="93" t="str">
        <f t="shared" ca="1" si="99"/>
        <v/>
      </c>
      <c r="AV82" s="77" t="str">
        <f t="shared" ca="1" si="100"/>
        <v/>
      </c>
      <c r="AW82" s="93" t="str">
        <f t="shared" ca="1" si="101"/>
        <v/>
      </c>
      <c r="AX82" s="77" t="str">
        <f t="shared" ca="1" si="102"/>
        <v/>
      </c>
      <c r="AY82" s="93" t="str">
        <f t="shared" ca="1" si="103"/>
        <v/>
      </c>
      <c r="AZ82" s="77" t="str">
        <f t="shared" ca="1" si="104"/>
        <v/>
      </c>
      <c r="BA82" s="93" t="str">
        <f t="shared" ca="1" si="105"/>
        <v/>
      </c>
      <c r="BB82" s="77" t="str">
        <f t="shared" ca="1" si="106"/>
        <v/>
      </c>
      <c r="BC82" s="93" t="str">
        <f t="shared" ca="1" si="107"/>
        <v/>
      </c>
    </row>
    <row r="83" spans="1:55" ht="15.95" customHeight="1" x14ac:dyDescent="0.2">
      <c r="A83" s="41" t="str">
        <f>IF(Customization!B83="","",Customization!B83)</f>
        <v/>
      </c>
      <c r="B83" s="79" t="str">
        <f t="shared" ca="1" si="56"/>
        <v/>
      </c>
      <c r="C83" s="29" t="str">
        <f t="shared" ca="1" si="57"/>
        <v/>
      </c>
      <c r="D83" s="7" t="str">
        <f t="shared" ca="1" si="54"/>
        <v/>
      </c>
      <c r="E83" s="29" t="str">
        <f t="shared" ca="1" si="58"/>
        <v/>
      </c>
      <c r="F83" s="7" t="str">
        <f t="shared" ca="1" si="55"/>
        <v/>
      </c>
      <c r="G83" s="29" t="str">
        <f t="shared" ca="1" si="59"/>
        <v/>
      </c>
      <c r="H83" s="7" t="str">
        <f t="shared" ca="1" si="60"/>
        <v/>
      </c>
      <c r="I83" s="28" t="str">
        <f t="shared" ca="1" si="61"/>
        <v/>
      </c>
      <c r="J83" s="7" t="str">
        <f t="shared" ca="1" si="62"/>
        <v/>
      </c>
      <c r="K83" s="73" t="str">
        <f t="shared" ca="1" si="63"/>
        <v/>
      </c>
      <c r="L83" s="74" t="str">
        <f t="shared" ca="1" si="64"/>
        <v/>
      </c>
      <c r="M83" s="75" t="str">
        <f t="shared" ca="1" si="65"/>
        <v/>
      </c>
      <c r="N83" s="76" t="str">
        <f t="shared" ca="1" si="66"/>
        <v/>
      </c>
      <c r="O83" s="75" t="str">
        <f t="shared" ca="1" si="67"/>
        <v/>
      </c>
      <c r="P83" s="76" t="str">
        <f t="shared" ca="1" si="68"/>
        <v/>
      </c>
      <c r="Q83" s="75" t="str">
        <f t="shared" ca="1" si="69"/>
        <v/>
      </c>
      <c r="R83" s="77" t="str">
        <f t="shared" ca="1" si="70"/>
        <v/>
      </c>
      <c r="S83" s="89" t="str">
        <f t="shared" ca="1" si="71"/>
        <v/>
      </c>
      <c r="T83" s="88" t="str">
        <f t="shared" ca="1" si="72"/>
        <v/>
      </c>
      <c r="U83" s="92" t="str">
        <f t="shared" ca="1" si="73"/>
        <v/>
      </c>
      <c r="V83" s="88" t="str">
        <f t="shared" ca="1" si="74"/>
        <v/>
      </c>
      <c r="W83" s="92" t="str">
        <f t="shared" ca="1" si="75"/>
        <v/>
      </c>
      <c r="X83" s="88" t="str">
        <f t="shared" ca="1" si="76"/>
        <v/>
      </c>
      <c r="Y83" s="92" t="str">
        <f t="shared" ca="1" si="77"/>
        <v/>
      </c>
      <c r="Z83" s="88" t="str">
        <f t="shared" ca="1" si="78"/>
        <v/>
      </c>
      <c r="AA83" s="89" t="str">
        <f t="shared" ca="1" si="79"/>
        <v/>
      </c>
      <c r="AB83" s="88" t="str">
        <f t="shared" ca="1" si="80"/>
        <v/>
      </c>
      <c r="AC83" s="92" t="str">
        <f t="shared" ca="1" si="81"/>
        <v/>
      </c>
      <c r="AD83" s="88" t="str">
        <f t="shared" ca="1" si="82"/>
        <v/>
      </c>
      <c r="AE83" s="92" t="str">
        <f t="shared" ca="1" si="83"/>
        <v/>
      </c>
      <c r="AF83" s="88" t="str">
        <f t="shared" ca="1" si="84"/>
        <v/>
      </c>
      <c r="AG83" s="92" t="str">
        <f t="shared" ca="1" si="85"/>
        <v/>
      </c>
      <c r="AH83" s="88" t="str">
        <f t="shared" ca="1" si="86"/>
        <v/>
      </c>
      <c r="AI83" s="92" t="str">
        <f t="shared" ca="1" si="87"/>
        <v/>
      </c>
      <c r="AJ83" s="88" t="str">
        <f t="shared" ca="1" si="88"/>
        <v/>
      </c>
      <c r="AK83" s="92" t="str">
        <f t="shared" ca="1" si="89"/>
        <v/>
      </c>
      <c r="AL83" s="77" t="str">
        <f t="shared" ca="1" si="90"/>
        <v/>
      </c>
      <c r="AM83" s="89" t="str">
        <f t="shared" ca="1" si="91"/>
        <v/>
      </c>
      <c r="AN83" s="88" t="str">
        <f t="shared" ca="1" si="92"/>
        <v/>
      </c>
      <c r="AO83" s="89" t="str">
        <f t="shared" ca="1" si="93"/>
        <v/>
      </c>
      <c r="AP83" s="77" t="str">
        <f t="shared" ca="1" si="94"/>
        <v/>
      </c>
      <c r="AQ83" s="94" t="str">
        <f t="shared" ca="1" si="95"/>
        <v/>
      </c>
      <c r="AR83" s="77" t="str">
        <f t="shared" ca="1" si="96"/>
        <v/>
      </c>
      <c r="AS83" s="94" t="str">
        <f t="shared" ca="1" si="97"/>
        <v/>
      </c>
      <c r="AT83" s="77" t="str">
        <f t="shared" ca="1" si="98"/>
        <v/>
      </c>
      <c r="AU83" s="93" t="str">
        <f t="shared" ca="1" si="99"/>
        <v/>
      </c>
      <c r="AV83" s="77" t="str">
        <f t="shared" ca="1" si="100"/>
        <v/>
      </c>
      <c r="AW83" s="93" t="str">
        <f t="shared" ca="1" si="101"/>
        <v/>
      </c>
      <c r="AX83" s="77" t="str">
        <f t="shared" ca="1" si="102"/>
        <v/>
      </c>
      <c r="AY83" s="93" t="str">
        <f t="shared" ca="1" si="103"/>
        <v/>
      </c>
      <c r="AZ83" s="77" t="str">
        <f t="shared" ca="1" si="104"/>
        <v/>
      </c>
      <c r="BA83" s="93" t="str">
        <f t="shared" ca="1" si="105"/>
        <v/>
      </c>
      <c r="BB83" s="77" t="str">
        <f t="shared" ca="1" si="106"/>
        <v/>
      </c>
      <c r="BC83" s="93" t="str">
        <f t="shared" ca="1" si="107"/>
        <v/>
      </c>
    </row>
    <row r="84" spans="1:55" ht="15.95" customHeight="1" x14ac:dyDescent="0.2">
      <c r="A84" s="41" t="str">
        <f>IF(Customization!B84="","",Customization!B84)</f>
        <v/>
      </c>
      <c r="B84" s="79" t="str">
        <f t="shared" ca="1" si="56"/>
        <v/>
      </c>
      <c r="C84" s="29" t="str">
        <f t="shared" ca="1" si="57"/>
        <v/>
      </c>
      <c r="D84" s="7" t="str">
        <f t="shared" ca="1" si="54"/>
        <v/>
      </c>
      <c r="E84" s="29" t="str">
        <f t="shared" ca="1" si="58"/>
        <v/>
      </c>
      <c r="F84" s="7" t="str">
        <f t="shared" ca="1" si="55"/>
        <v/>
      </c>
      <c r="G84" s="29" t="str">
        <f t="shared" ca="1" si="59"/>
        <v/>
      </c>
      <c r="H84" s="7" t="str">
        <f t="shared" ca="1" si="60"/>
        <v/>
      </c>
      <c r="I84" s="28" t="str">
        <f t="shared" ca="1" si="61"/>
        <v/>
      </c>
      <c r="J84" s="7" t="str">
        <f t="shared" ca="1" si="62"/>
        <v/>
      </c>
      <c r="K84" s="73" t="str">
        <f t="shared" ca="1" si="63"/>
        <v/>
      </c>
      <c r="L84" s="74" t="str">
        <f t="shared" ca="1" si="64"/>
        <v/>
      </c>
      <c r="M84" s="75" t="str">
        <f t="shared" ca="1" si="65"/>
        <v/>
      </c>
      <c r="N84" s="76" t="str">
        <f t="shared" ca="1" si="66"/>
        <v/>
      </c>
      <c r="O84" s="75" t="str">
        <f t="shared" ca="1" si="67"/>
        <v/>
      </c>
      <c r="P84" s="76" t="str">
        <f t="shared" ca="1" si="68"/>
        <v/>
      </c>
      <c r="Q84" s="75" t="str">
        <f t="shared" ca="1" si="69"/>
        <v/>
      </c>
      <c r="R84" s="77" t="str">
        <f t="shared" ca="1" si="70"/>
        <v/>
      </c>
      <c r="S84" s="89" t="str">
        <f t="shared" ca="1" si="71"/>
        <v/>
      </c>
      <c r="T84" s="88" t="str">
        <f t="shared" ca="1" si="72"/>
        <v/>
      </c>
      <c r="U84" s="92" t="str">
        <f t="shared" ca="1" si="73"/>
        <v/>
      </c>
      <c r="V84" s="88" t="str">
        <f t="shared" ca="1" si="74"/>
        <v/>
      </c>
      <c r="W84" s="92" t="str">
        <f t="shared" ca="1" si="75"/>
        <v/>
      </c>
      <c r="X84" s="88" t="str">
        <f t="shared" ca="1" si="76"/>
        <v/>
      </c>
      <c r="Y84" s="92" t="str">
        <f t="shared" ca="1" si="77"/>
        <v/>
      </c>
      <c r="Z84" s="88" t="str">
        <f t="shared" ca="1" si="78"/>
        <v/>
      </c>
      <c r="AA84" s="89" t="str">
        <f t="shared" ca="1" si="79"/>
        <v/>
      </c>
      <c r="AB84" s="88" t="str">
        <f t="shared" ca="1" si="80"/>
        <v/>
      </c>
      <c r="AC84" s="92" t="str">
        <f t="shared" ca="1" si="81"/>
        <v/>
      </c>
      <c r="AD84" s="88" t="str">
        <f t="shared" ca="1" si="82"/>
        <v/>
      </c>
      <c r="AE84" s="92" t="str">
        <f t="shared" ca="1" si="83"/>
        <v/>
      </c>
      <c r="AF84" s="88" t="str">
        <f t="shared" ca="1" si="84"/>
        <v/>
      </c>
      <c r="AG84" s="92" t="str">
        <f t="shared" ca="1" si="85"/>
        <v/>
      </c>
      <c r="AH84" s="88" t="str">
        <f t="shared" ca="1" si="86"/>
        <v/>
      </c>
      <c r="AI84" s="92" t="str">
        <f t="shared" ca="1" si="87"/>
        <v/>
      </c>
      <c r="AJ84" s="88" t="str">
        <f t="shared" ca="1" si="88"/>
        <v/>
      </c>
      <c r="AK84" s="92" t="str">
        <f t="shared" ca="1" si="89"/>
        <v/>
      </c>
      <c r="AL84" s="77" t="str">
        <f t="shared" ca="1" si="90"/>
        <v/>
      </c>
      <c r="AM84" s="89" t="str">
        <f t="shared" ca="1" si="91"/>
        <v/>
      </c>
      <c r="AN84" s="88" t="str">
        <f t="shared" ca="1" si="92"/>
        <v/>
      </c>
      <c r="AO84" s="89" t="str">
        <f t="shared" ca="1" si="93"/>
        <v/>
      </c>
      <c r="AP84" s="77" t="str">
        <f t="shared" ca="1" si="94"/>
        <v/>
      </c>
      <c r="AQ84" s="94" t="str">
        <f t="shared" ca="1" si="95"/>
        <v/>
      </c>
      <c r="AR84" s="77" t="str">
        <f t="shared" ca="1" si="96"/>
        <v/>
      </c>
      <c r="AS84" s="94" t="str">
        <f t="shared" ca="1" si="97"/>
        <v/>
      </c>
      <c r="AT84" s="77" t="str">
        <f t="shared" ca="1" si="98"/>
        <v/>
      </c>
      <c r="AU84" s="93" t="str">
        <f t="shared" ca="1" si="99"/>
        <v/>
      </c>
      <c r="AV84" s="77" t="str">
        <f t="shared" ca="1" si="100"/>
        <v/>
      </c>
      <c r="AW84" s="93" t="str">
        <f t="shared" ca="1" si="101"/>
        <v/>
      </c>
      <c r="AX84" s="77" t="str">
        <f t="shared" ca="1" si="102"/>
        <v/>
      </c>
      <c r="AY84" s="93" t="str">
        <f t="shared" ca="1" si="103"/>
        <v/>
      </c>
      <c r="AZ84" s="77" t="str">
        <f t="shared" ca="1" si="104"/>
        <v/>
      </c>
      <c r="BA84" s="93" t="str">
        <f t="shared" ca="1" si="105"/>
        <v/>
      </c>
      <c r="BB84" s="77" t="str">
        <f t="shared" ca="1" si="106"/>
        <v/>
      </c>
      <c r="BC84" s="93" t="str">
        <f t="shared" ca="1" si="107"/>
        <v/>
      </c>
    </row>
    <row r="85" spans="1:55" ht="15.95" customHeight="1" x14ac:dyDescent="0.2">
      <c r="A85" s="41" t="str">
        <f>IF(Customization!B85="","",Customization!B85)</f>
        <v/>
      </c>
      <c r="B85" s="79" t="str">
        <f t="shared" ca="1" si="56"/>
        <v/>
      </c>
      <c r="C85" s="29" t="str">
        <f t="shared" ca="1" si="57"/>
        <v/>
      </c>
      <c r="D85" s="7" t="str">
        <f t="shared" ca="1" si="54"/>
        <v/>
      </c>
      <c r="E85" s="29" t="str">
        <f t="shared" ca="1" si="58"/>
        <v/>
      </c>
      <c r="F85" s="7" t="str">
        <f t="shared" ca="1" si="55"/>
        <v/>
      </c>
      <c r="G85" s="29" t="str">
        <f t="shared" ca="1" si="59"/>
        <v/>
      </c>
      <c r="H85" s="7" t="str">
        <f t="shared" ca="1" si="60"/>
        <v/>
      </c>
      <c r="I85" s="28" t="str">
        <f t="shared" ca="1" si="61"/>
        <v/>
      </c>
      <c r="J85" s="7" t="str">
        <f t="shared" ca="1" si="62"/>
        <v/>
      </c>
      <c r="K85" s="73" t="str">
        <f t="shared" ca="1" si="63"/>
        <v/>
      </c>
      <c r="L85" s="74" t="str">
        <f t="shared" ca="1" si="64"/>
        <v/>
      </c>
      <c r="M85" s="75" t="str">
        <f t="shared" ca="1" si="65"/>
        <v/>
      </c>
      <c r="N85" s="76" t="str">
        <f t="shared" ca="1" si="66"/>
        <v/>
      </c>
      <c r="O85" s="75" t="str">
        <f t="shared" ca="1" si="67"/>
        <v/>
      </c>
      <c r="P85" s="76" t="str">
        <f t="shared" ca="1" si="68"/>
        <v/>
      </c>
      <c r="Q85" s="75" t="str">
        <f t="shared" ca="1" si="69"/>
        <v/>
      </c>
      <c r="R85" s="77" t="str">
        <f t="shared" ca="1" si="70"/>
        <v/>
      </c>
      <c r="S85" s="89" t="str">
        <f t="shared" ca="1" si="71"/>
        <v/>
      </c>
      <c r="T85" s="88" t="str">
        <f t="shared" ca="1" si="72"/>
        <v/>
      </c>
      <c r="U85" s="92" t="str">
        <f t="shared" ca="1" si="73"/>
        <v/>
      </c>
      <c r="V85" s="88" t="str">
        <f t="shared" ca="1" si="74"/>
        <v/>
      </c>
      <c r="W85" s="92" t="str">
        <f t="shared" ca="1" si="75"/>
        <v/>
      </c>
      <c r="X85" s="88" t="str">
        <f t="shared" ca="1" si="76"/>
        <v/>
      </c>
      <c r="Y85" s="92" t="str">
        <f t="shared" ca="1" si="77"/>
        <v/>
      </c>
      <c r="Z85" s="88" t="str">
        <f t="shared" ca="1" si="78"/>
        <v/>
      </c>
      <c r="AA85" s="89" t="str">
        <f t="shared" ca="1" si="79"/>
        <v/>
      </c>
      <c r="AB85" s="88" t="str">
        <f t="shared" ca="1" si="80"/>
        <v/>
      </c>
      <c r="AC85" s="92" t="str">
        <f t="shared" ca="1" si="81"/>
        <v/>
      </c>
      <c r="AD85" s="88" t="str">
        <f t="shared" ca="1" si="82"/>
        <v/>
      </c>
      <c r="AE85" s="92" t="str">
        <f t="shared" ca="1" si="83"/>
        <v/>
      </c>
      <c r="AF85" s="88" t="str">
        <f t="shared" ca="1" si="84"/>
        <v/>
      </c>
      <c r="AG85" s="92" t="str">
        <f t="shared" ca="1" si="85"/>
        <v/>
      </c>
      <c r="AH85" s="88" t="str">
        <f t="shared" ca="1" si="86"/>
        <v/>
      </c>
      <c r="AI85" s="92" t="str">
        <f t="shared" ca="1" si="87"/>
        <v/>
      </c>
      <c r="AJ85" s="88" t="str">
        <f t="shared" ca="1" si="88"/>
        <v/>
      </c>
      <c r="AK85" s="92" t="str">
        <f t="shared" ca="1" si="89"/>
        <v/>
      </c>
      <c r="AL85" s="77" t="str">
        <f t="shared" ca="1" si="90"/>
        <v/>
      </c>
      <c r="AM85" s="89" t="str">
        <f t="shared" ca="1" si="91"/>
        <v/>
      </c>
      <c r="AN85" s="88" t="str">
        <f t="shared" ca="1" si="92"/>
        <v/>
      </c>
      <c r="AO85" s="89" t="str">
        <f t="shared" ca="1" si="93"/>
        <v/>
      </c>
      <c r="AP85" s="77" t="str">
        <f t="shared" ca="1" si="94"/>
        <v/>
      </c>
      <c r="AQ85" s="94" t="str">
        <f t="shared" ca="1" si="95"/>
        <v/>
      </c>
      <c r="AR85" s="77" t="str">
        <f t="shared" ca="1" si="96"/>
        <v/>
      </c>
      <c r="AS85" s="94" t="str">
        <f t="shared" ca="1" si="97"/>
        <v/>
      </c>
      <c r="AT85" s="77" t="str">
        <f t="shared" ca="1" si="98"/>
        <v/>
      </c>
      <c r="AU85" s="93" t="str">
        <f t="shared" ca="1" si="99"/>
        <v/>
      </c>
      <c r="AV85" s="77" t="str">
        <f t="shared" ca="1" si="100"/>
        <v/>
      </c>
      <c r="AW85" s="93" t="str">
        <f t="shared" ca="1" si="101"/>
        <v/>
      </c>
      <c r="AX85" s="77" t="str">
        <f t="shared" ca="1" si="102"/>
        <v/>
      </c>
      <c r="AY85" s="93" t="str">
        <f t="shared" ca="1" si="103"/>
        <v/>
      </c>
      <c r="AZ85" s="77" t="str">
        <f t="shared" ca="1" si="104"/>
        <v/>
      </c>
      <c r="BA85" s="93" t="str">
        <f t="shared" ca="1" si="105"/>
        <v/>
      </c>
      <c r="BB85" s="77" t="str">
        <f t="shared" ca="1" si="106"/>
        <v/>
      </c>
      <c r="BC85" s="93" t="str">
        <f t="shared" ca="1" si="107"/>
        <v/>
      </c>
    </row>
    <row r="86" spans="1:55" ht="15.95" customHeight="1" x14ac:dyDescent="0.2">
      <c r="A86" s="41" t="str">
        <f>IF(Customization!B86="","",Customization!B86)</f>
        <v/>
      </c>
      <c r="B86" s="79" t="str">
        <f t="shared" ca="1" si="56"/>
        <v/>
      </c>
      <c r="C86" s="29" t="str">
        <f t="shared" ca="1" si="57"/>
        <v/>
      </c>
      <c r="D86" s="7" t="str">
        <f t="shared" ca="1" si="54"/>
        <v/>
      </c>
      <c r="E86" s="29" t="str">
        <f t="shared" ca="1" si="58"/>
        <v/>
      </c>
      <c r="F86" s="7" t="str">
        <f t="shared" ca="1" si="55"/>
        <v/>
      </c>
      <c r="G86" s="29" t="str">
        <f t="shared" ca="1" si="59"/>
        <v/>
      </c>
      <c r="H86" s="7" t="str">
        <f t="shared" ca="1" si="60"/>
        <v/>
      </c>
      <c r="I86" s="28" t="str">
        <f t="shared" ca="1" si="61"/>
        <v/>
      </c>
      <c r="J86" s="7" t="str">
        <f t="shared" ca="1" si="62"/>
        <v/>
      </c>
      <c r="K86" s="73" t="str">
        <f t="shared" ca="1" si="63"/>
        <v/>
      </c>
      <c r="L86" s="74" t="str">
        <f t="shared" ca="1" si="64"/>
        <v/>
      </c>
      <c r="M86" s="75" t="str">
        <f t="shared" ca="1" si="65"/>
        <v/>
      </c>
      <c r="N86" s="76" t="str">
        <f t="shared" ca="1" si="66"/>
        <v/>
      </c>
      <c r="O86" s="75" t="str">
        <f t="shared" ca="1" si="67"/>
        <v/>
      </c>
      <c r="P86" s="76" t="str">
        <f t="shared" ca="1" si="68"/>
        <v/>
      </c>
      <c r="Q86" s="75" t="str">
        <f t="shared" ca="1" si="69"/>
        <v/>
      </c>
      <c r="R86" s="77" t="str">
        <f t="shared" ca="1" si="70"/>
        <v/>
      </c>
      <c r="S86" s="89" t="str">
        <f t="shared" ca="1" si="71"/>
        <v/>
      </c>
      <c r="T86" s="88" t="str">
        <f t="shared" ca="1" si="72"/>
        <v/>
      </c>
      <c r="U86" s="92" t="str">
        <f t="shared" ca="1" si="73"/>
        <v/>
      </c>
      <c r="V86" s="88" t="str">
        <f t="shared" ca="1" si="74"/>
        <v/>
      </c>
      <c r="W86" s="92" t="str">
        <f t="shared" ca="1" si="75"/>
        <v/>
      </c>
      <c r="X86" s="88" t="str">
        <f t="shared" ca="1" si="76"/>
        <v/>
      </c>
      <c r="Y86" s="92" t="str">
        <f t="shared" ca="1" si="77"/>
        <v/>
      </c>
      <c r="Z86" s="88" t="str">
        <f t="shared" ca="1" si="78"/>
        <v/>
      </c>
      <c r="AA86" s="89" t="str">
        <f t="shared" ca="1" si="79"/>
        <v/>
      </c>
      <c r="AB86" s="88" t="str">
        <f t="shared" ca="1" si="80"/>
        <v/>
      </c>
      <c r="AC86" s="92" t="str">
        <f t="shared" ca="1" si="81"/>
        <v/>
      </c>
      <c r="AD86" s="88" t="str">
        <f t="shared" ca="1" si="82"/>
        <v/>
      </c>
      <c r="AE86" s="92" t="str">
        <f t="shared" ca="1" si="83"/>
        <v/>
      </c>
      <c r="AF86" s="88" t="str">
        <f t="shared" ca="1" si="84"/>
        <v/>
      </c>
      <c r="AG86" s="92" t="str">
        <f t="shared" ca="1" si="85"/>
        <v/>
      </c>
      <c r="AH86" s="88" t="str">
        <f t="shared" ca="1" si="86"/>
        <v/>
      </c>
      <c r="AI86" s="92" t="str">
        <f t="shared" ca="1" si="87"/>
        <v/>
      </c>
      <c r="AJ86" s="88" t="str">
        <f t="shared" ca="1" si="88"/>
        <v/>
      </c>
      <c r="AK86" s="92" t="str">
        <f t="shared" ca="1" si="89"/>
        <v/>
      </c>
      <c r="AL86" s="77" t="str">
        <f t="shared" ca="1" si="90"/>
        <v/>
      </c>
      <c r="AM86" s="89" t="str">
        <f t="shared" ca="1" si="91"/>
        <v/>
      </c>
      <c r="AN86" s="88" t="str">
        <f t="shared" ca="1" si="92"/>
        <v/>
      </c>
      <c r="AO86" s="89" t="str">
        <f t="shared" ca="1" si="93"/>
        <v/>
      </c>
      <c r="AP86" s="77" t="str">
        <f t="shared" ca="1" si="94"/>
        <v/>
      </c>
      <c r="AQ86" s="94" t="str">
        <f t="shared" ca="1" si="95"/>
        <v/>
      </c>
      <c r="AR86" s="77" t="str">
        <f t="shared" ca="1" si="96"/>
        <v/>
      </c>
      <c r="AS86" s="94" t="str">
        <f t="shared" ca="1" si="97"/>
        <v/>
      </c>
      <c r="AT86" s="77" t="str">
        <f t="shared" ca="1" si="98"/>
        <v/>
      </c>
      <c r="AU86" s="93" t="str">
        <f t="shared" ca="1" si="99"/>
        <v/>
      </c>
      <c r="AV86" s="77" t="str">
        <f t="shared" ca="1" si="100"/>
        <v/>
      </c>
      <c r="AW86" s="93" t="str">
        <f t="shared" ca="1" si="101"/>
        <v/>
      </c>
      <c r="AX86" s="77" t="str">
        <f t="shared" ca="1" si="102"/>
        <v/>
      </c>
      <c r="AY86" s="93" t="str">
        <f t="shared" ca="1" si="103"/>
        <v/>
      </c>
      <c r="AZ86" s="77" t="str">
        <f t="shared" ca="1" si="104"/>
        <v/>
      </c>
      <c r="BA86" s="93" t="str">
        <f t="shared" ca="1" si="105"/>
        <v/>
      </c>
      <c r="BB86" s="77" t="str">
        <f t="shared" ca="1" si="106"/>
        <v/>
      </c>
      <c r="BC86" s="93" t="str">
        <f t="shared" ca="1" si="107"/>
        <v/>
      </c>
    </row>
    <row r="87" spans="1:55" ht="15.95" customHeight="1" x14ac:dyDescent="0.2">
      <c r="A87" s="41" t="str">
        <f>IF(Customization!B87="","",Customization!B87)</f>
        <v/>
      </c>
      <c r="B87" s="79" t="str">
        <f t="shared" ca="1" si="56"/>
        <v/>
      </c>
      <c r="C87" s="29" t="str">
        <f t="shared" ca="1" si="57"/>
        <v/>
      </c>
      <c r="D87" s="7" t="str">
        <f t="shared" ca="1" si="54"/>
        <v/>
      </c>
      <c r="E87" s="29" t="str">
        <f t="shared" ca="1" si="58"/>
        <v/>
      </c>
      <c r="F87" s="7" t="str">
        <f t="shared" ca="1" si="55"/>
        <v/>
      </c>
      <c r="G87" s="29" t="str">
        <f t="shared" ca="1" si="59"/>
        <v/>
      </c>
      <c r="H87" s="7" t="str">
        <f t="shared" ca="1" si="60"/>
        <v/>
      </c>
      <c r="I87" s="28" t="str">
        <f t="shared" ca="1" si="61"/>
        <v/>
      </c>
      <c r="J87" s="7" t="str">
        <f t="shared" ca="1" si="62"/>
        <v/>
      </c>
      <c r="K87" s="73" t="str">
        <f t="shared" ca="1" si="63"/>
        <v/>
      </c>
      <c r="L87" s="74" t="str">
        <f t="shared" ca="1" si="64"/>
        <v/>
      </c>
      <c r="M87" s="75" t="str">
        <f t="shared" ca="1" si="65"/>
        <v/>
      </c>
      <c r="N87" s="76" t="str">
        <f t="shared" ca="1" si="66"/>
        <v/>
      </c>
      <c r="O87" s="75" t="str">
        <f t="shared" ca="1" si="67"/>
        <v/>
      </c>
      <c r="P87" s="76" t="str">
        <f t="shared" ca="1" si="68"/>
        <v/>
      </c>
      <c r="Q87" s="75" t="str">
        <f t="shared" ca="1" si="69"/>
        <v/>
      </c>
      <c r="R87" s="77" t="str">
        <f t="shared" ca="1" si="70"/>
        <v/>
      </c>
      <c r="S87" s="89" t="str">
        <f t="shared" ca="1" si="71"/>
        <v/>
      </c>
      <c r="T87" s="88" t="str">
        <f t="shared" ca="1" si="72"/>
        <v/>
      </c>
      <c r="U87" s="92" t="str">
        <f t="shared" ca="1" si="73"/>
        <v/>
      </c>
      <c r="V87" s="88" t="str">
        <f t="shared" ca="1" si="74"/>
        <v/>
      </c>
      <c r="W87" s="92" t="str">
        <f t="shared" ca="1" si="75"/>
        <v/>
      </c>
      <c r="X87" s="88" t="str">
        <f t="shared" ca="1" si="76"/>
        <v/>
      </c>
      <c r="Y87" s="92" t="str">
        <f t="shared" ca="1" si="77"/>
        <v/>
      </c>
      <c r="Z87" s="88" t="str">
        <f t="shared" ca="1" si="78"/>
        <v/>
      </c>
      <c r="AA87" s="89" t="str">
        <f t="shared" ca="1" si="79"/>
        <v/>
      </c>
      <c r="AB87" s="88" t="str">
        <f t="shared" ca="1" si="80"/>
        <v/>
      </c>
      <c r="AC87" s="92" t="str">
        <f t="shared" ca="1" si="81"/>
        <v/>
      </c>
      <c r="AD87" s="88" t="str">
        <f t="shared" ca="1" si="82"/>
        <v/>
      </c>
      <c r="AE87" s="92" t="str">
        <f t="shared" ca="1" si="83"/>
        <v/>
      </c>
      <c r="AF87" s="88" t="str">
        <f t="shared" ca="1" si="84"/>
        <v/>
      </c>
      <c r="AG87" s="92" t="str">
        <f t="shared" ca="1" si="85"/>
        <v/>
      </c>
      <c r="AH87" s="88" t="str">
        <f t="shared" ca="1" si="86"/>
        <v/>
      </c>
      <c r="AI87" s="92" t="str">
        <f t="shared" ca="1" si="87"/>
        <v/>
      </c>
      <c r="AJ87" s="88" t="str">
        <f t="shared" ca="1" si="88"/>
        <v/>
      </c>
      <c r="AK87" s="92" t="str">
        <f t="shared" ca="1" si="89"/>
        <v/>
      </c>
      <c r="AL87" s="77" t="str">
        <f t="shared" ca="1" si="90"/>
        <v/>
      </c>
      <c r="AM87" s="89" t="str">
        <f t="shared" ca="1" si="91"/>
        <v/>
      </c>
      <c r="AN87" s="88" t="str">
        <f t="shared" ca="1" si="92"/>
        <v/>
      </c>
      <c r="AO87" s="89" t="str">
        <f t="shared" ca="1" si="93"/>
        <v/>
      </c>
      <c r="AP87" s="77" t="str">
        <f t="shared" ca="1" si="94"/>
        <v/>
      </c>
      <c r="AQ87" s="94" t="str">
        <f t="shared" ca="1" si="95"/>
        <v/>
      </c>
      <c r="AR87" s="77" t="str">
        <f t="shared" ca="1" si="96"/>
        <v/>
      </c>
      <c r="AS87" s="94" t="str">
        <f t="shared" ca="1" si="97"/>
        <v/>
      </c>
      <c r="AT87" s="77" t="str">
        <f t="shared" ca="1" si="98"/>
        <v/>
      </c>
      <c r="AU87" s="93" t="str">
        <f t="shared" ca="1" si="99"/>
        <v/>
      </c>
      <c r="AV87" s="77" t="str">
        <f t="shared" ca="1" si="100"/>
        <v/>
      </c>
      <c r="AW87" s="93" t="str">
        <f t="shared" ca="1" si="101"/>
        <v/>
      </c>
      <c r="AX87" s="77" t="str">
        <f t="shared" ca="1" si="102"/>
        <v/>
      </c>
      <c r="AY87" s="93" t="str">
        <f t="shared" ca="1" si="103"/>
        <v/>
      </c>
      <c r="AZ87" s="77" t="str">
        <f t="shared" ca="1" si="104"/>
        <v/>
      </c>
      <c r="BA87" s="93" t="str">
        <f t="shared" ca="1" si="105"/>
        <v/>
      </c>
      <c r="BB87" s="77" t="str">
        <f t="shared" ca="1" si="106"/>
        <v/>
      </c>
      <c r="BC87" s="93" t="str">
        <f t="shared" ca="1" si="107"/>
        <v/>
      </c>
    </row>
    <row r="88" spans="1:55" ht="15.95" customHeight="1" x14ac:dyDescent="0.2">
      <c r="A88" s="41" t="str">
        <f>IF(Customization!B88="","",Customization!B88)</f>
        <v/>
      </c>
      <c r="B88" s="79" t="str">
        <f t="shared" ca="1" si="56"/>
        <v/>
      </c>
      <c r="C88" s="29" t="str">
        <f t="shared" ca="1" si="57"/>
        <v/>
      </c>
      <c r="D88" s="7" t="str">
        <f t="shared" ca="1" si="54"/>
        <v/>
      </c>
      <c r="E88" s="29" t="str">
        <f t="shared" ca="1" si="58"/>
        <v/>
      </c>
      <c r="F88" s="7" t="str">
        <f t="shared" ca="1" si="55"/>
        <v/>
      </c>
      <c r="G88" s="29" t="str">
        <f t="shared" ca="1" si="59"/>
        <v/>
      </c>
      <c r="H88" s="7" t="str">
        <f t="shared" ca="1" si="60"/>
        <v/>
      </c>
      <c r="I88" s="28" t="str">
        <f t="shared" ca="1" si="61"/>
        <v/>
      </c>
      <c r="J88" s="7" t="str">
        <f t="shared" ca="1" si="62"/>
        <v/>
      </c>
      <c r="K88" s="73" t="str">
        <f t="shared" ca="1" si="63"/>
        <v/>
      </c>
      <c r="L88" s="74" t="str">
        <f t="shared" ca="1" si="64"/>
        <v/>
      </c>
      <c r="M88" s="75" t="str">
        <f t="shared" ca="1" si="65"/>
        <v/>
      </c>
      <c r="N88" s="76" t="str">
        <f t="shared" ca="1" si="66"/>
        <v/>
      </c>
      <c r="O88" s="75" t="str">
        <f t="shared" ca="1" si="67"/>
        <v/>
      </c>
      <c r="P88" s="76" t="str">
        <f t="shared" ca="1" si="68"/>
        <v/>
      </c>
      <c r="Q88" s="75" t="str">
        <f t="shared" ca="1" si="69"/>
        <v/>
      </c>
      <c r="R88" s="77" t="str">
        <f t="shared" ca="1" si="70"/>
        <v/>
      </c>
      <c r="S88" s="89" t="str">
        <f t="shared" ca="1" si="71"/>
        <v/>
      </c>
      <c r="T88" s="88" t="str">
        <f t="shared" ca="1" si="72"/>
        <v/>
      </c>
      <c r="U88" s="92" t="str">
        <f t="shared" ca="1" si="73"/>
        <v/>
      </c>
      <c r="V88" s="88" t="str">
        <f t="shared" ca="1" si="74"/>
        <v/>
      </c>
      <c r="W88" s="92" t="str">
        <f t="shared" ca="1" si="75"/>
        <v/>
      </c>
      <c r="X88" s="88" t="str">
        <f t="shared" ca="1" si="76"/>
        <v/>
      </c>
      <c r="Y88" s="92" t="str">
        <f t="shared" ca="1" si="77"/>
        <v/>
      </c>
      <c r="Z88" s="88" t="str">
        <f t="shared" ca="1" si="78"/>
        <v/>
      </c>
      <c r="AA88" s="89" t="str">
        <f t="shared" ca="1" si="79"/>
        <v/>
      </c>
      <c r="AB88" s="88" t="str">
        <f t="shared" ca="1" si="80"/>
        <v/>
      </c>
      <c r="AC88" s="92" t="str">
        <f t="shared" ca="1" si="81"/>
        <v/>
      </c>
      <c r="AD88" s="88" t="str">
        <f t="shared" ca="1" si="82"/>
        <v/>
      </c>
      <c r="AE88" s="92" t="str">
        <f t="shared" ca="1" si="83"/>
        <v/>
      </c>
      <c r="AF88" s="88" t="str">
        <f t="shared" ca="1" si="84"/>
        <v/>
      </c>
      <c r="AG88" s="92" t="str">
        <f t="shared" ca="1" si="85"/>
        <v/>
      </c>
      <c r="AH88" s="88" t="str">
        <f t="shared" ca="1" si="86"/>
        <v/>
      </c>
      <c r="AI88" s="92" t="str">
        <f t="shared" ca="1" si="87"/>
        <v/>
      </c>
      <c r="AJ88" s="88" t="str">
        <f t="shared" ca="1" si="88"/>
        <v/>
      </c>
      <c r="AK88" s="92" t="str">
        <f t="shared" ca="1" si="89"/>
        <v/>
      </c>
      <c r="AL88" s="77" t="str">
        <f t="shared" ca="1" si="90"/>
        <v/>
      </c>
      <c r="AM88" s="89" t="str">
        <f t="shared" ca="1" si="91"/>
        <v/>
      </c>
      <c r="AN88" s="88" t="str">
        <f t="shared" ca="1" si="92"/>
        <v/>
      </c>
      <c r="AO88" s="89" t="str">
        <f t="shared" ca="1" si="93"/>
        <v/>
      </c>
      <c r="AP88" s="77" t="str">
        <f t="shared" ca="1" si="94"/>
        <v/>
      </c>
      <c r="AQ88" s="94" t="str">
        <f t="shared" ca="1" si="95"/>
        <v/>
      </c>
      <c r="AR88" s="77" t="str">
        <f t="shared" ca="1" si="96"/>
        <v/>
      </c>
      <c r="AS88" s="94" t="str">
        <f t="shared" ca="1" si="97"/>
        <v/>
      </c>
      <c r="AT88" s="77" t="str">
        <f t="shared" ca="1" si="98"/>
        <v/>
      </c>
      <c r="AU88" s="93" t="str">
        <f t="shared" ca="1" si="99"/>
        <v/>
      </c>
      <c r="AV88" s="77" t="str">
        <f t="shared" ca="1" si="100"/>
        <v/>
      </c>
      <c r="AW88" s="93" t="str">
        <f t="shared" ca="1" si="101"/>
        <v/>
      </c>
      <c r="AX88" s="77" t="str">
        <f t="shared" ca="1" si="102"/>
        <v/>
      </c>
      <c r="AY88" s="93" t="str">
        <f t="shared" ca="1" si="103"/>
        <v/>
      </c>
      <c r="AZ88" s="77" t="str">
        <f t="shared" ca="1" si="104"/>
        <v/>
      </c>
      <c r="BA88" s="93" t="str">
        <f t="shared" ca="1" si="105"/>
        <v/>
      </c>
      <c r="BB88" s="77" t="str">
        <f t="shared" ca="1" si="106"/>
        <v/>
      </c>
      <c r="BC88" s="93" t="str">
        <f t="shared" ca="1" si="107"/>
        <v/>
      </c>
    </row>
    <row r="89" spans="1:55" ht="15.95" customHeight="1" x14ac:dyDescent="0.2">
      <c r="A89" s="41" t="str">
        <f>IF(Customization!B89="","",Customization!B89)</f>
        <v/>
      </c>
      <c r="B89" s="79" t="str">
        <f t="shared" ca="1" si="56"/>
        <v/>
      </c>
      <c r="C89" s="29" t="str">
        <f t="shared" ca="1" si="57"/>
        <v/>
      </c>
      <c r="D89" s="7" t="str">
        <f t="shared" ca="1" si="54"/>
        <v/>
      </c>
      <c r="E89" s="29" t="str">
        <f t="shared" ca="1" si="58"/>
        <v/>
      </c>
      <c r="F89" s="7" t="str">
        <f t="shared" ca="1" si="55"/>
        <v/>
      </c>
      <c r="G89" s="29" t="str">
        <f t="shared" ca="1" si="59"/>
        <v/>
      </c>
      <c r="H89" s="7" t="str">
        <f t="shared" ca="1" si="60"/>
        <v/>
      </c>
      <c r="I89" s="28" t="str">
        <f t="shared" ca="1" si="61"/>
        <v/>
      </c>
      <c r="J89" s="7" t="str">
        <f t="shared" ca="1" si="62"/>
        <v/>
      </c>
      <c r="K89" s="73" t="str">
        <f t="shared" ca="1" si="63"/>
        <v/>
      </c>
      <c r="L89" s="74" t="str">
        <f t="shared" ca="1" si="64"/>
        <v/>
      </c>
      <c r="M89" s="75" t="str">
        <f t="shared" ca="1" si="65"/>
        <v/>
      </c>
      <c r="N89" s="76" t="str">
        <f t="shared" ca="1" si="66"/>
        <v/>
      </c>
      <c r="O89" s="75" t="str">
        <f t="shared" ca="1" si="67"/>
        <v/>
      </c>
      <c r="P89" s="76" t="str">
        <f t="shared" ca="1" si="68"/>
        <v/>
      </c>
      <c r="Q89" s="75" t="str">
        <f t="shared" ca="1" si="69"/>
        <v/>
      </c>
      <c r="R89" s="77" t="str">
        <f t="shared" ca="1" si="70"/>
        <v/>
      </c>
      <c r="S89" s="89" t="str">
        <f t="shared" ca="1" si="71"/>
        <v/>
      </c>
      <c r="T89" s="88" t="str">
        <f t="shared" ca="1" si="72"/>
        <v/>
      </c>
      <c r="U89" s="92" t="str">
        <f t="shared" ca="1" si="73"/>
        <v/>
      </c>
      <c r="V89" s="88" t="str">
        <f t="shared" ca="1" si="74"/>
        <v/>
      </c>
      <c r="W89" s="92" t="str">
        <f t="shared" ca="1" si="75"/>
        <v/>
      </c>
      <c r="X89" s="88" t="str">
        <f t="shared" ca="1" si="76"/>
        <v/>
      </c>
      <c r="Y89" s="92" t="str">
        <f t="shared" ca="1" si="77"/>
        <v/>
      </c>
      <c r="Z89" s="88" t="str">
        <f t="shared" ca="1" si="78"/>
        <v/>
      </c>
      <c r="AA89" s="89" t="str">
        <f t="shared" ca="1" si="79"/>
        <v/>
      </c>
      <c r="AB89" s="88" t="str">
        <f t="shared" ca="1" si="80"/>
        <v/>
      </c>
      <c r="AC89" s="92" t="str">
        <f t="shared" ca="1" si="81"/>
        <v/>
      </c>
      <c r="AD89" s="88" t="str">
        <f t="shared" ca="1" si="82"/>
        <v/>
      </c>
      <c r="AE89" s="92" t="str">
        <f t="shared" ca="1" si="83"/>
        <v/>
      </c>
      <c r="AF89" s="88" t="str">
        <f t="shared" ca="1" si="84"/>
        <v/>
      </c>
      <c r="AG89" s="92" t="str">
        <f t="shared" ca="1" si="85"/>
        <v/>
      </c>
      <c r="AH89" s="88" t="str">
        <f t="shared" ca="1" si="86"/>
        <v/>
      </c>
      <c r="AI89" s="92" t="str">
        <f t="shared" ca="1" si="87"/>
        <v/>
      </c>
      <c r="AJ89" s="88" t="str">
        <f t="shared" ca="1" si="88"/>
        <v/>
      </c>
      <c r="AK89" s="92" t="str">
        <f t="shared" ca="1" si="89"/>
        <v/>
      </c>
      <c r="AL89" s="77" t="str">
        <f t="shared" ca="1" si="90"/>
        <v/>
      </c>
      <c r="AM89" s="89" t="str">
        <f t="shared" ca="1" si="91"/>
        <v/>
      </c>
      <c r="AN89" s="88" t="str">
        <f t="shared" ca="1" si="92"/>
        <v/>
      </c>
      <c r="AO89" s="89" t="str">
        <f t="shared" ca="1" si="93"/>
        <v/>
      </c>
      <c r="AP89" s="77" t="str">
        <f t="shared" ca="1" si="94"/>
        <v/>
      </c>
      <c r="AQ89" s="94" t="str">
        <f t="shared" ca="1" si="95"/>
        <v/>
      </c>
      <c r="AR89" s="77" t="str">
        <f t="shared" ca="1" si="96"/>
        <v/>
      </c>
      <c r="AS89" s="94" t="str">
        <f t="shared" ca="1" si="97"/>
        <v/>
      </c>
      <c r="AT89" s="77" t="str">
        <f t="shared" ca="1" si="98"/>
        <v/>
      </c>
      <c r="AU89" s="93" t="str">
        <f t="shared" ca="1" si="99"/>
        <v/>
      </c>
      <c r="AV89" s="77" t="str">
        <f t="shared" ca="1" si="100"/>
        <v/>
      </c>
      <c r="AW89" s="93" t="str">
        <f t="shared" ca="1" si="101"/>
        <v/>
      </c>
      <c r="AX89" s="77" t="str">
        <f t="shared" ca="1" si="102"/>
        <v/>
      </c>
      <c r="AY89" s="93" t="str">
        <f t="shared" ca="1" si="103"/>
        <v/>
      </c>
      <c r="AZ89" s="77" t="str">
        <f t="shared" ca="1" si="104"/>
        <v/>
      </c>
      <c r="BA89" s="93" t="str">
        <f t="shared" ca="1" si="105"/>
        <v/>
      </c>
      <c r="BB89" s="77" t="str">
        <f t="shared" ca="1" si="106"/>
        <v/>
      </c>
      <c r="BC89" s="93" t="str">
        <f t="shared" ca="1" si="107"/>
        <v/>
      </c>
    </row>
    <row r="90" spans="1:55" ht="15.95" customHeight="1" x14ac:dyDescent="0.2">
      <c r="A90" s="41" t="str">
        <f>IF(Customization!B90="","",Customization!B90)</f>
        <v/>
      </c>
      <c r="B90" s="79" t="str">
        <f t="shared" ca="1" si="56"/>
        <v/>
      </c>
      <c r="C90" s="29" t="str">
        <f t="shared" ca="1" si="57"/>
        <v/>
      </c>
      <c r="D90" s="7" t="str">
        <f t="shared" ca="1" si="54"/>
        <v/>
      </c>
      <c r="E90" s="29" t="str">
        <f t="shared" ca="1" si="58"/>
        <v/>
      </c>
      <c r="F90" s="7" t="str">
        <f t="shared" ca="1" si="55"/>
        <v/>
      </c>
      <c r="G90" s="29" t="str">
        <f t="shared" ca="1" si="59"/>
        <v/>
      </c>
      <c r="H90" s="7" t="str">
        <f t="shared" ca="1" si="60"/>
        <v/>
      </c>
      <c r="I90" s="28" t="str">
        <f t="shared" ca="1" si="61"/>
        <v/>
      </c>
      <c r="J90" s="7" t="str">
        <f t="shared" ca="1" si="62"/>
        <v/>
      </c>
      <c r="K90" s="73" t="str">
        <f t="shared" ca="1" si="63"/>
        <v/>
      </c>
      <c r="L90" s="74" t="str">
        <f t="shared" ca="1" si="64"/>
        <v/>
      </c>
      <c r="M90" s="75" t="str">
        <f t="shared" ca="1" si="65"/>
        <v/>
      </c>
      <c r="N90" s="76" t="str">
        <f t="shared" ca="1" si="66"/>
        <v/>
      </c>
      <c r="O90" s="75" t="str">
        <f t="shared" ca="1" si="67"/>
        <v/>
      </c>
      <c r="P90" s="76" t="str">
        <f t="shared" ca="1" si="68"/>
        <v/>
      </c>
      <c r="Q90" s="75" t="str">
        <f t="shared" ca="1" si="69"/>
        <v/>
      </c>
      <c r="R90" s="77" t="str">
        <f t="shared" ca="1" si="70"/>
        <v/>
      </c>
      <c r="S90" s="89" t="str">
        <f t="shared" ca="1" si="71"/>
        <v/>
      </c>
      <c r="T90" s="88" t="str">
        <f t="shared" ca="1" si="72"/>
        <v/>
      </c>
      <c r="U90" s="92" t="str">
        <f t="shared" ca="1" si="73"/>
        <v/>
      </c>
      <c r="V90" s="88" t="str">
        <f t="shared" ca="1" si="74"/>
        <v/>
      </c>
      <c r="W90" s="92" t="str">
        <f t="shared" ca="1" si="75"/>
        <v/>
      </c>
      <c r="X90" s="88" t="str">
        <f t="shared" ca="1" si="76"/>
        <v/>
      </c>
      <c r="Y90" s="92" t="str">
        <f t="shared" ca="1" si="77"/>
        <v/>
      </c>
      <c r="Z90" s="88" t="str">
        <f t="shared" ca="1" si="78"/>
        <v/>
      </c>
      <c r="AA90" s="89" t="str">
        <f t="shared" ca="1" si="79"/>
        <v/>
      </c>
      <c r="AB90" s="88" t="str">
        <f t="shared" ca="1" si="80"/>
        <v/>
      </c>
      <c r="AC90" s="92" t="str">
        <f t="shared" ca="1" si="81"/>
        <v/>
      </c>
      <c r="AD90" s="88" t="str">
        <f t="shared" ca="1" si="82"/>
        <v/>
      </c>
      <c r="AE90" s="92" t="str">
        <f t="shared" ca="1" si="83"/>
        <v/>
      </c>
      <c r="AF90" s="88" t="str">
        <f t="shared" ca="1" si="84"/>
        <v/>
      </c>
      <c r="AG90" s="92" t="str">
        <f t="shared" ca="1" si="85"/>
        <v/>
      </c>
      <c r="AH90" s="88" t="str">
        <f t="shared" ca="1" si="86"/>
        <v/>
      </c>
      <c r="AI90" s="92" t="str">
        <f t="shared" ca="1" si="87"/>
        <v/>
      </c>
      <c r="AJ90" s="88" t="str">
        <f t="shared" ca="1" si="88"/>
        <v/>
      </c>
      <c r="AK90" s="92" t="str">
        <f t="shared" ca="1" si="89"/>
        <v/>
      </c>
      <c r="AL90" s="77" t="str">
        <f t="shared" ca="1" si="90"/>
        <v/>
      </c>
      <c r="AM90" s="89" t="str">
        <f t="shared" ca="1" si="91"/>
        <v/>
      </c>
      <c r="AN90" s="88" t="str">
        <f t="shared" ca="1" si="92"/>
        <v/>
      </c>
      <c r="AO90" s="89" t="str">
        <f t="shared" ca="1" si="93"/>
        <v/>
      </c>
      <c r="AP90" s="77" t="str">
        <f t="shared" ca="1" si="94"/>
        <v/>
      </c>
      <c r="AQ90" s="94" t="str">
        <f t="shared" ca="1" si="95"/>
        <v/>
      </c>
      <c r="AR90" s="77" t="str">
        <f t="shared" ca="1" si="96"/>
        <v/>
      </c>
      <c r="AS90" s="94" t="str">
        <f t="shared" ca="1" si="97"/>
        <v/>
      </c>
      <c r="AT90" s="77" t="str">
        <f t="shared" ca="1" si="98"/>
        <v/>
      </c>
      <c r="AU90" s="93" t="str">
        <f t="shared" ca="1" si="99"/>
        <v/>
      </c>
      <c r="AV90" s="77" t="str">
        <f t="shared" ca="1" si="100"/>
        <v/>
      </c>
      <c r="AW90" s="93" t="str">
        <f t="shared" ca="1" si="101"/>
        <v/>
      </c>
      <c r="AX90" s="77" t="str">
        <f t="shared" ca="1" si="102"/>
        <v/>
      </c>
      <c r="AY90" s="93" t="str">
        <f t="shared" ca="1" si="103"/>
        <v/>
      </c>
      <c r="AZ90" s="77" t="str">
        <f t="shared" ca="1" si="104"/>
        <v/>
      </c>
      <c r="BA90" s="93" t="str">
        <f t="shared" ca="1" si="105"/>
        <v/>
      </c>
      <c r="BB90" s="77" t="str">
        <f t="shared" ca="1" si="106"/>
        <v/>
      </c>
      <c r="BC90" s="93" t="str">
        <f t="shared" ca="1" si="107"/>
        <v/>
      </c>
    </row>
    <row r="91" spans="1:55" ht="15.95" customHeight="1" x14ac:dyDescent="0.2">
      <c r="A91" s="41" t="str">
        <f>IF(Customization!B91="","",Customization!B91)</f>
        <v/>
      </c>
      <c r="B91" s="79" t="str">
        <f t="shared" ca="1" si="56"/>
        <v/>
      </c>
      <c r="C91" s="29" t="str">
        <f t="shared" ca="1" si="57"/>
        <v/>
      </c>
      <c r="D91" s="7" t="str">
        <f t="shared" ca="1" si="54"/>
        <v/>
      </c>
      <c r="E91" s="29" t="str">
        <f t="shared" ca="1" si="58"/>
        <v/>
      </c>
      <c r="F91" s="7" t="str">
        <f t="shared" ca="1" si="55"/>
        <v/>
      </c>
      <c r="G91" s="29" t="str">
        <f t="shared" ca="1" si="59"/>
        <v/>
      </c>
      <c r="H91" s="7" t="str">
        <f t="shared" ca="1" si="60"/>
        <v/>
      </c>
      <c r="I91" s="28" t="str">
        <f t="shared" ca="1" si="61"/>
        <v/>
      </c>
      <c r="J91" s="7" t="str">
        <f t="shared" ca="1" si="62"/>
        <v/>
      </c>
      <c r="K91" s="73" t="str">
        <f t="shared" ca="1" si="63"/>
        <v/>
      </c>
      <c r="L91" s="74" t="str">
        <f t="shared" ca="1" si="64"/>
        <v/>
      </c>
      <c r="M91" s="75" t="str">
        <f t="shared" ca="1" si="65"/>
        <v/>
      </c>
      <c r="N91" s="76" t="str">
        <f t="shared" ca="1" si="66"/>
        <v/>
      </c>
      <c r="O91" s="75" t="str">
        <f t="shared" ca="1" si="67"/>
        <v/>
      </c>
      <c r="P91" s="76" t="str">
        <f t="shared" ca="1" si="68"/>
        <v/>
      </c>
      <c r="Q91" s="75" t="str">
        <f t="shared" ca="1" si="69"/>
        <v/>
      </c>
      <c r="R91" s="77" t="str">
        <f t="shared" ca="1" si="70"/>
        <v/>
      </c>
      <c r="S91" s="89" t="str">
        <f t="shared" ca="1" si="71"/>
        <v/>
      </c>
      <c r="T91" s="88" t="str">
        <f t="shared" ca="1" si="72"/>
        <v/>
      </c>
      <c r="U91" s="92" t="str">
        <f t="shared" ca="1" si="73"/>
        <v/>
      </c>
      <c r="V91" s="88" t="str">
        <f t="shared" ca="1" si="74"/>
        <v/>
      </c>
      <c r="W91" s="92" t="str">
        <f t="shared" ca="1" si="75"/>
        <v/>
      </c>
      <c r="X91" s="88" t="str">
        <f t="shared" ca="1" si="76"/>
        <v/>
      </c>
      <c r="Y91" s="92" t="str">
        <f t="shared" ca="1" si="77"/>
        <v/>
      </c>
      <c r="Z91" s="88" t="str">
        <f t="shared" ca="1" si="78"/>
        <v/>
      </c>
      <c r="AA91" s="89" t="str">
        <f t="shared" ca="1" si="79"/>
        <v/>
      </c>
      <c r="AB91" s="88" t="str">
        <f t="shared" ca="1" si="80"/>
        <v/>
      </c>
      <c r="AC91" s="92" t="str">
        <f t="shared" ca="1" si="81"/>
        <v/>
      </c>
      <c r="AD91" s="88" t="str">
        <f t="shared" ca="1" si="82"/>
        <v/>
      </c>
      <c r="AE91" s="92" t="str">
        <f t="shared" ca="1" si="83"/>
        <v/>
      </c>
      <c r="AF91" s="88" t="str">
        <f t="shared" ca="1" si="84"/>
        <v/>
      </c>
      <c r="AG91" s="92" t="str">
        <f t="shared" ca="1" si="85"/>
        <v/>
      </c>
      <c r="AH91" s="88" t="str">
        <f t="shared" ca="1" si="86"/>
        <v/>
      </c>
      <c r="AI91" s="92" t="str">
        <f t="shared" ca="1" si="87"/>
        <v/>
      </c>
      <c r="AJ91" s="88" t="str">
        <f t="shared" ca="1" si="88"/>
        <v/>
      </c>
      <c r="AK91" s="92" t="str">
        <f t="shared" ca="1" si="89"/>
        <v/>
      </c>
      <c r="AL91" s="77" t="str">
        <f t="shared" ca="1" si="90"/>
        <v/>
      </c>
      <c r="AM91" s="89" t="str">
        <f t="shared" ca="1" si="91"/>
        <v/>
      </c>
      <c r="AN91" s="88" t="str">
        <f t="shared" ca="1" si="92"/>
        <v/>
      </c>
      <c r="AO91" s="89" t="str">
        <f t="shared" ca="1" si="93"/>
        <v/>
      </c>
      <c r="AP91" s="77" t="str">
        <f t="shared" ca="1" si="94"/>
        <v/>
      </c>
      <c r="AQ91" s="94" t="str">
        <f t="shared" ca="1" si="95"/>
        <v/>
      </c>
      <c r="AR91" s="77" t="str">
        <f t="shared" ca="1" si="96"/>
        <v/>
      </c>
      <c r="AS91" s="94" t="str">
        <f t="shared" ca="1" si="97"/>
        <v/>
      </c>
      <c r="AT91" s="77" t="str">
        <f t="shared" ca="1" si="98"/>
        <v/>
      </c>
      <c r="AU91" s="93" t="str">
        <f t="shared" ca="1" si="99"/>
        <v/>
      </c>
      <c r="AV91" s="77" t="str">
        <f t="shared" ca="1" si="100"/>
        <v/>
      </c>
      <c r="AW91" s="93" t="str">
        <f t="shared" ca="1" si="101"/>
        <v/>
      </c>
      <c r="AX91" s="77" t="str">
        <f t="shared" ca="1" si="102"/>
        <v/>
      </c>
      <c r="AY91" s="93" t="str">
        <f t="shared" ca="1" si="103"/>
        <v/>
      </c>
      <c r="AZ91" s="77" t="str">
        <f t="shared" ca="1" si="104"/>
        <v/>
      </c>
      <c r="BA91" s="93" t="str">
        <f t="shared" ca="1" si="105"/>
        <v/>
      </c>
      <c r="BB91" s="77" t="str">
        <f t="shared" ca="1" si="106"/>
        <v/>
      </c>
      <c r="BC91" s="93" t="str">
        <f t="shared" ca="1" si="107"/>
        <v/>
      </c>
    </row>
    <row r="92" spans="1:55" ht="15.95" customHeight="1" x14ac:dyDescent="0.2">
      <c r="A92" s="41" t="str">
        <f>IF(Customization!B92="","",Customization!B92)</f>
        <v/>
      </c>
      <c r="B92" s="79" t="str">
        <f t="shared" ca="1" si="56"/>
        <v/>
      </c>
      <c r="C92" s="29" t="str">
        <f t="shared" ca="1" si="57"/>
        <v/>
      </c>
      <c r="D92" s="7" t="str">
        <f t="shared" ca="1" si="54"/>
        <v/>
      </c>
      <c r="E92" s="29" t="str">
        <f t="shared" ca="1" si="58"/>
        <v/>
      </c>
      <c r="F92" s="7" t="str">
        <f t="shared" ca="1" si="55"/>
        <v/>
      </c>
      <c r="G92" s="29" t="str">
        <f t="shared" ca="1" si="59"/>
        <v/>
      </c>
      <c r="H92" s="7" t="str">
        <f t="shared" ca="1" si="60"/>
        <v/>
      </c>
      <c r="I92" s="28" t="str">
        <f t="shared" ca="1" si="61"/>
        <v/>
      </c>
      <c r="J92" s="7" t="str">
        <f t="shared" ca="1" si="62"/>
        <v/>
      </c>
      <c r="K92" s="73" t="str">
        <f t="shared" ca="1" si="63"/>
        <v/>
      </c>
      <c r="L92" s="74" t="str">
        <f t="shared" ca="1" si="64"/>
        <v/>
      </c>
      <c r="M92" s="75" t="str">
        <f t="shared" ca="1" si="65"/>
        <v/>
      </c>
      <c r="N92" s="76" t="str">
        <f t="shared" ca="1" si="66"/>
        <v/>
      </c>
      <c r="O92" s="75" t="str">
        <f t="shared" ca="1" si="67"/>
        <v/>
      </c>
      <c r="P92" s="76" t="str">
        <f t="shared" ca="1" si="68"/>
        <v/>
      </c>
      <c r="Q92" s="75" t="str">
        <f t="shared" ca="1" si="69"/>
        <v/>
      </c>
      <c r="R92" s="77" t="str">
        <f t="shared" ca="1" si="70"/>
        <v/>
      </c>
      <c r="S92" s="89" t="str">
        <f t="shared" ca="1" si="71"/>
        <v/>
      </c>
      <c r="T92" s="88" t="str">
        <f t="shared" ca="1" si="72"/>
        <v/>
      </c>
      <c r="U92" s="92" t="str">
        <f t="shared" ca="1" si="73"/>
        <v/>
      </c>
      <c r="V92" s="88" t="str">
        <f t="shared" ca="1" si="74"/>
        <v/>
      </c>
      <c r="W92" s="92" t="str">
        <f t="shared" ca="1" si="75"/>
        <v/>
      </c>
      <c r="X92" s="88" t="str">
        <f t="shared" ca="1" si="76"/>
        <v/>
      </c>
      <c r="Y92" s="92" t="str">
        <f t="shared" ca="1" si="77"/>
        <v/>
      </c>
      <c r="Z92" s="88" t="str">
        <f t="shared" ca="1" si="78"/>
        <v/>
      </c>
      <c r="AA92" s="89" t="str">
        <f t="shared" ca="1" si="79"/>
        <v/>
      </c>
      <c r="AB92" s="88" t="str">
        <f t="shared" ca="1" si="80"/>
        <v/>
      </c>
      <c r="AC92" s="92" t="str">
        <f t="shared" ca="1" si="81"/>
        <v/>
      </c>
      <c r="AD92" s="88" t="str">
        <f t="shared" ca="1" si="82"/>
        <v/>
      </c>
      <c r="AE92" s="92" t="str">
        <f t="shared" ca="1" si="83"/>
        <v/>
      </c>
      <c r="AF92" s="88" t="str">
        <f t="shared" ca="1" si="84"/>
        <v/>
      </c>
      <c r="AG92" s="92" t="str">
        <f t="shared" ca="1" si="85"/>
        <v/>
      </c>
      <c r="AH92" s="88" t="str">
        <f t="shared" ca="1" si="86"/>
        <v/>
      </c>
      <c r="AI92" s="92" t="str">
        <f t="shared" ca="1" si="87"/>
        <v/>
      </c>
      <c r="AJ92" s="88" t="str">
        <f t="shared" ca="1" si="88"/>
        <v/>
      </c>
      <c r="AK92" s="92" t="str">
        <f t="shared" ca="1" si="89"/>
        <v/>
      </c>
      <c r="AL92" s="77" t="str">
        <f t="shared" ca="1" si="90"/>
        <v/>
      </c>
      <c r="AM92" s="89" t="str">
        <f t="shared" ca="1" si="91"/>
        <v/>
      </c>
      <c r="AN92" s="88" t="str">
        <f t="shared" ca="1" si="92"/>
        <v/>
      </c>
      <c r="AO92" s="89" t="str">
        <f t="shared" ca="1" si="93"/>
        <v/>
      </c>
      <c r="AP92" s="77" t="str">
        <f t="shared" ca="1" si="94"/>
        <v/>
      </c>
      <c r="AQ92" s="94" t="str">
        <f t="shared" ca="1" si="95"/>
        <v/>
      </c>
      <c r="AR92" s="77" t="str">
        <f t="shared" ca="1" si="96"/>
        <v/>
      </c>
      <c r="AS92" s="94" t="str">
        <f t="shared" ca="1" si="97"/>
        <v/>
      </c>
      <c r="AT92" s="77" t="str">
        <f t="shared" ca="1" si="98"/>
        <v/>
      </c>
      <c r="AU92" s="93" t="str">
        <f t="shared" ca="1" si="99"/>
        <v/>
      </c>
      <c r="AV92" s="77" t="str">
        <f t="shared" ca="1" si="100"/>
        <v/>
      </c>
      <c r="AW92" s="93" t="str">
        <f t="shared" ca="1" si="101"/>
        <v/>
      </c>
      <c r="AX92" s="77" t="str">
        <f t="shared" ca="1" si="102"/>
        <v/>
      </c>
      <c r="AY92" s="93" t="str">
        <f t="shared" ca="1" si="103"/>
        <v/>
      </c>
      <c r="AZ92" s="77" t="str">
        <f t="shared" ca="1" si="104"/>
        <v/>
      </c>
      <c r="BA92" s="93" t="str">
        <f t="shared" ca="1" si="105"/>
        <v/>
      </c>
      <c r="BB92" s="77" t="str">
        <f t="shared" ca="1" si="106"/>
        <v/>
      </c>
      <c r="BC92" s="93" t="str">
        <f t="shared" ca="1" si="107"/>
        <v/>
      </c>
    </row>
    <row r="93" spans="1:55" ht="15.95" customHeight="1" x14ac:dyDescent="0.2">
      <c r="A93" s="41" t="str">
        <f>IF(Customization!B93="","",Customization!B93)</f>
        <v/>
      </c>
      <c r="B93" s="79" t="str">
        <f t="shared" ca="1" si="56"/>
        <v/>
      </c>
      <c r="C93" s="29" t="str">
        <f t="shared" ca="1" si="57"/>
        <v/>
      </c>
      <c r="D93" s="7" t="str">
        <f t="shared" ca="1" si="54"/>
        <v/>
      </c>
      <c r="E93" s="29" t="str">
        <f t="shared" ca="1" si="58"/>
        <v/>
      </c>
      <c r="F93" s="7" t="str">
        <f t="shared" ca="1" si="55"/>
        <v/>
      </c>
      <c r="G93" s="29" t="str">
        <f t="shared" ca="1" si="59"/>
        <v/>
      </c>
      <c r="H93" s="7" t="str">
        <f t="shared" ca="1" si="60"/>
        <v/>
      </c>
      <c r="I93" s="28" t="str">
        <f t="shared" ca="1" si="61"/>
        <v/>
      </c>
      <c r="J93" s="7" t="str">
        <f t="shared" ca="1" si="62"/>
        <v/>
      </c>
      <c r="K93" s="73" t="str">
        <f t="shared" ca="1" si="63"/>
        <v/>
      </c>
      <c r="L93" s="74" t="str">
        <f t="shared" ca="1" si="64"/>
        <v/>
      </c>
      <c r="M93" s="75" t="str">
        <f t="shared" ca="1" si="65"/>
        <v/>
      </c>
      <c r="N93" s="76" t="str">
        <f t="shared" ca="1" si="66"/>
        <v/>
      </c>
      <c r="O93" s="75" t="str">
        <f t="shared" ca="1" si="67"/>
        <v/>
      </c>
      <c r="P93" s="76" t="str">
        <f t="shared" ca="1" si="68"/>
        <v/>
      </c>
      <c r="Q93" s="75" t="str">
        <f t="shared" ca="1" si="69"/>
        <v/>
      </c>
      <c r="R93" s="77" t="str">
        <f t="shared" ca="1" si="70"/>
        <v/>
      </c>
      <c r="S93" s="89" t="str">
        <f t="shared" ca="1" si="71"/>
        <v/>
      </c>
      <c r="T93" s="88" t="str">
        <f t="shared" ca="1" si="72"/>
        <v/>
      </c>
      <c r="U93" s="92" t="str">
        <f t="shared" ca="1" si="73"/>
        <v/>
      </c>
      <c r="V93" s="88" t="str">
        <f t="shared" ca="1" si="74"/>
        <v/>
      </c>
      <c r="W93" s="92" t="str">
        <f t="shared" ca="1" si="75"/>
        <v/>
      </c>
      <c r="X93" s="88" t="str">
        <f t="shared" ca="1" si="76"/>
        <v/>
      </c>
      <c r="Y93" s="92" t="str">
        <f t="shared" ca="1" si="77"/>
        <v/>
      </c>
      <c r="Z93" s="88" t="str">
        <f t="shared" ca="1" si="78"/>
        <v/>
      </c>
      <c r="AA93" s="89" t="str">
        <f t="shared" ca="1" si="79"/>
        <v/>
      </c>
      <c r="AB93" s="88" t="str">
        <f t="shared" ca="1" si="80"/>
        <v/>
      </c>
      <c r="AC93" s="92" t="str">
        <f t="shared" ca="1" si="81"/>
        <v/>
      </c>
      <c r="AD93" s="88" t="str">
        <f t="shared" ca="1" si="82"/>
        <v/>
      </c>
      <c r="AE93" s="92" t="str">
        <f t="shared" ca="1" si="83"/>
        <v/>
      </c>
      <c r="AF93" s="88" t="str">
        <f t="shared" ca="1" si="84"/>
        <v/>
      </c>
      <c r="AG93" s="92" t="str">
        <f t="shared" ca="1" si="85"/>
        <v/>
      </c>
      <c r="AH93" s="88" t="str">
        <f t="shared" ca="1" si="86"/>
        <v/>
      </c>
      <c r="AI93" s="92" t="str">
        <f t="shared" ca="1" si="87"/>
        <v/>
      </c>
      <c r="AJ93" s="88" t="str">
        <f t="shared" ca="1" si="88"/>
        <v/>
      </c>
      <c r="AK93" s="92" t="str">
        <f t="shared" ca="1" si="89"/>
        <v/>
      </c>
      <c r="AL93" s="77" t="str">
        <f t="shared" ca="1" si="90"/>
        <v/>
      </c>
      <c r="AM93" s="89" t="str">
        <f t="shared" ca="1" si="91"/>
        <v/>
      </c>
      <c r="AN93" s="88" t="str">
        <f t="shared" ca="1" si="92"/>
        <v/>
      </c>
      <c r="AO93" s="89" t="str">
        <f t="shared" ca="1" si="93"/>
        <v/>
      </c>
      <c r="AP93" s="77" t="str">
        <f t="shared" ca="1" si="94"/>
        <v/>
      </c>
      <c r="AQ93" s="94" t="str">
        <f t="shared" ca="1" si="95"/>
        <v/>
      </c>
      <c r="AR93" s="77" t="str">
        <f t="shared" ca="1" si="96"/>
        <v/>
      </c>
      <c r="AS93" s="94" t="str">
        <f t="shared" ca="1" si="97"/>
        <v/>
      </c>
      <c r="AT93" s="77" t="str">
        <f t="shared" ca="1" si="98"/>
        <v/>
      </c>
      <c r="AU93" s="93" t="str">
        <f t="shared" ca="1" si="99"/>
        <v/>
      </c>
      <c r="AV93" s="77" t="str">
        <f t="shared" ca="1" si="100"/>
        <v/>
      </c>
      <c r="AW93" s="93" t="str">
        <f t="shared" ca="1" si="101"/>
        <v/>
      </c>
      <c r="AX93" s="77" t="str">
        <f t="shared" ca="1" si="102"/>
        <v/>
      </c>
      <c r="AY93" s="93" t="str">
        <f t="shared" ca="1" si="103"/>
        <v/>
      </c>
      <c r="AZ93" s="77" t="str">
        <f t="shared" ca="1" si="104"/>
        <v/>
      </c>
      <c r="BA93" s="93" t="str">
        <f t="shared" ca="1" si="105"/>
        <v/>
      </c>
      <c r="BB93" s="77" t="str">
        <f t="shared" ca="1" si="106"/>
        <v/>
      </c>
      <c r="BC93" s="93" t="str">
        <f t="shared" ca="1" si="107"/>
        <v/>
      </c>
    </row>
    <row r="94" spans="1:55" ht="15.95" customHeight="1" x14ac:dyDescent="0.2">
      <c r="A94" s="41" t="str">
        <f>IF(Customization!B94="","",Customization!B94)</f>
        <v/>
      </c>
      <c r="B94" s="79" t="str">
        <f t="shared" ca="1" si="56"/>
        <v/>
      </c>
      <c r="C94" s="29" t="str">
        <f t="shared" ca="1" si="57"/>
        <v/>
      </c>
      <c r="D94" s="7" t="str">
        <f t="shared" ca="1" si="54"/>
        <v/>
      </c>
      <c r="E94" s="29" t="str">
        <f t="shared" ca="1" si="58"/>
        <v/>
      </c>
      <c r="F94" s="7" t="str">
        <f t="shared" ca="1" si="55"/>
        <v/>
      </c>
      <c r="G94" s="29" t="str">
        <f t="shared" ca="1" si="59"/>
        <v/>
      </c>
      <c r="H94" s="7" t="str">
        <f t="shared" ca="1" si="60"/>
        <v/>
      </c>
      <c r="I94" s="28" t="str">
        <f t="shared" ca="1" si="61"/>
        <v/>
      </c>
      <c r="J94" s="7" t="str">
        <f t="shared" ca="1" si="62"/>
        <v/>
      </c>
      <c r="K94" s="73" t="str">
        <f t="shared" ca="1" si="63"/>
        <v/>
      </c>
      <c r="L94" s="74" t="str">
        <f t="shared" ca="1" si="64"/>
        <v/>
      </c>
      <c r="M94" s="75" t="str">
        <f t="shared" ca="1" si="65"/>
        <v/>
      </c>
      <c r="N94" s="76" t="str">
        <f t="shared" ca="1" si="66"/>
        <v/>
      </c>
      <c r="O94" s="75" t="str">
        <f t="shared" ca="1" si="67"/>
        <v/>
      </c>
      <c r="P94" s="76" t="str">
        <f t="shared" ca="1" si="68"/>
        <v/>
      </c>
      <c r="Q94" s="75" t="str">
        <f t="shared" ca="1" si="69"/>
        <v/>
      </c>
      <c r="R94" s="77" t="str">
        <f t="shared" ca="1" si="70"/>
        <v/>
      </c>
      <c r="S94" s="89" t="str">
        <f t="shared" ca="1" si="71"/>
        <v/>
      </c>
      <c r="T94" s="88" t="str">
        <f t="shared" ca="1" si="72"/>
        <v/>
      </c>
      <c r="U94" s="92" t="str">
        <f t="shared" ca="1" si="73"/>
        <v/>
      </c>
      <c r="V94" s="88" t="str">
        <f t="shared" ca="1" si="74"/>
        <v/>
      </c>
      <c r="W94" s="92" t="str">
        <f t="shared" ca="1" si="75"/>
        <v/>
      </c>
      <c r="X94" s="88" t="str">
        <f t="shared" ca="1" si="76"/>
        <v/>
      </c>
      <c r="Y94" s="92" t="str">
        <f t="shared" ca="1" si="77"/>
        <v/>
      </c>
      <c r="Z94" s="88" t="str">
        <f t="shared" ca="1" si="78"/>
        <v/>
      </c>
      <c r="AA94" s="89" t="str">
        <f t="shared" ca="1" si="79"/>
        <v/>
      </c>
      <c r="AB94" s="88" t="str">
        <f t="shared" ca="1" si="80"/>
        <v/>
      </c>
      <c r="AC94" s="92" t="str">
        <f t="shared" ca="1" si="81"/>
        <v/>
      </c>
      <c r="AD94" s="88" t="str">
        <f t="shared" ca="1" si="82"/>
        <v/>
      </c>
      <c r="AE94" s="92" t="str">
        <f t="shared" ca="1" si="83"/>
        <v/>
      </c>
      <c r="AF94" s="88" t="str">
        <f t="shared" ca="1" si="84"/>
        <v/>
      </c>
      <c r="AG94" s="92" t="str">
        <f t="shared" ca="1" si="85"/>
        <v/>
      </c>
      <c r="AH94" s="88" t="str">
        <f t="shared" ca="1" si="86"/>
        <v/>
      </c>
      <c r="AI94" s="92" t="str">
        <f t="shared" ca="1" si="87"/>
        <v/>
      </c>
      <c r="AJ94" s="88" t="str">
        <f t="shared" ca="1" si="88"/>
        <v/>
      </c>
      <c r="AK94" s="92" t="str">
        <f t="shared" ca="1" si="89"/>
        <v/>
      </c>
      <c r="AL94" s="77" t="str">
        <f t="shared" ca="1" si="90"/>
        <v/>
      </c>
      <c r="AM94" s="89" t="str">
        <f t="shared" ca="1" si="91"/>
        <v/>
      </c>
      <c r="AN94" s="88" t="str">
        <f t="shared" ca="1" si="92"/>
        <v/>
      </c>
      <c r="AO94" s="89" t="str">
        <f t="shared" ca="1" si="93"/>
        <v/>
      </c>
      <c r="AP94" s="77" t="str">
        <f t="shared" ca="1" si="94"/>
        <v/>
      </c>
      <c r="AQ94" s="94" t="str">
        <f t="shared" ca="1" si="95"/>
        <v/>
      </c>
      <c r="AR94" s="77" t="str">
        <f t="shared" ca="1" si="96"/>
        <v/>
      </c>
      <c r="AS94" s="94" t="str">
        <f t="shared" ca="1" si="97"/>
        <v/>
      </c>
      <c r="AT94" s="77" t="str">
        <f t="shared" ca="1" si="98"/>
        <v/>
      </c>
      <c r="AU94" s="93" t="str">
        <f t="shared" ca="1" si="99"/>
        <v/>
      </c>
      <c r="AV94" s="77" t="str">
        <f t="shared" ca="1" si="100"/>
        <v/>
      </c>
      <c r="AW94" s="93" t="str">
        <f t="shared" ca="1" si="101"/>
        <v/>
      </c>
      <c r="AX94" s="77" t="str">
        <f t="shared" ca="1" si="102"/>
        <v/>
      </c>
      <c r="AY94" s="93" t="str">
        <f t="shared" ca="1" si="103"/>
        <v/>
      </c>
      <c r="AZ94" s="77" t="str">
        <f t="shared" ca="1" si="104"/>
        <v/>
      </c>
      <c r="BA94" s="93" t="str">
        <f t="shared" ca="1" si="105"/>
        <v/>
      </c>
      <c r="BB94" s="77" t="str">
        <f t="shared" ca="1" si="106"/>
        <v/>
      </c>
      <c r="BC94" s="93" t="str">
        <f t="shared" ca="1" si="107"/>
        <v/>
      </c>
    </row>
    <row r="95" spans="1:55" ht="15.95" customHeight="1" x14ac:dyDescent="0.2">
      <c r="A95" s="41" t="str">
        <f>IF(Customization!B95="","",Customization!B95)</f>
        <v/>
      </c>
      <c r="B95" s="79" t="str">
        <f t="shared" ca="1" si="56"/>
        <v/>
      </c>
      <c r="C95" s="29" t="str">
        <f t="shared" ca="1" si="57"/>
        <v/>
      </c>
      <c r="D95" s="7" t="str">
        <f t="shared" ca="1" si="54"/>
        <v/>
      </c>
      <c r="E95" s="29" t="str">
        <f t="shared" ca="1" si="58"/>
        <v/>
      </c>
      <c r="F95" s="7" t="str">
        <f t="shared" ca="1" si="55"/>
        <v/>
      </c>
      <c r="G95" s="29" t="str">
        <f t="shared" ca="1" si="59"/>
        <v/>
      </c>
      <c r="H95" s="7" t="str">
        <f t="shared" ca="1" si="60"/>
        <v/>
      </c>
      <c r="I95" s="28" t="str">
        <f t="shared" ca="1" si="61"/>
        <v/>
      </c>
      <c r="J95" s="7" t="str">
        <f t="shared" ca="1" si="62"/>
        <v/>
      </c>
      <c r="K95" s="73" t="str">
        <f t="shared" ca="1" si="63"/>
        <v/>
      </c>
      <c r="L95" s="74" t="str">
        <f t="shared" ca="1" si="64"/>
        <v/>
      </c>
      <c r="M95" s="75" t="str">
        <f t="shared" ca="1" si="65"/>
        <v/>
      </c>
      <c r="N95" s="76" t="str">
        <f t="shared" ca="1" si="66"/>
        <v/>
      </c>
      <c r="O95" s="75" t="str">
        <f t="shared" ca="1" si="67"/>
        <v/>
      </c>
      <c r="P95" s="76" t="str">
        <f t="shared" ca="1" si="68"/>
        <v/>
      </c>
      <c r="Q95" s="75" t="str">
        <f t="shared" ca="1" si="69"/>
        <v/>
      </c>
      <c r="R95" s="77" t="str">
        <f t="shared" ca="1" si="70"/>
        <v/>
      </c>
      <c r="S95" s="89" t="str">
        <f t="shared" ca="1" si="71"/>
        <v/>
      </c>
      <c r="T95" s="88" t="str">
        <f t="shared" ca="1" si="72"/>
        <v/>
      </c>
      <c r="U95" s="92" t="str">
        <f t="shared" ca="1" si="73"/>
        <v/>
      </c>
      <c r="V95" s="88" t="str">
        <f t="shared" ca="1" si="74"/>
        <v/>
      </c>
      <c r="W95" s="92" t="str">
        <f t="shared" ca="1" si="75"/>
        <v/>
      </c>
      <c r="X95" s="88" t="str">
        <f t="shared" ca="1" si="76"/>
        <v/>
      </c>
      <c r="Y95" s="92" t="str">
        <f t="shared" ca="1" si="77"/>
        <v/>
      </c>
      <c r="Z95" s="88" t="str">
        <f t="shared" ca="1" si="78"/>
        <v/>
      </c>
      <c r="AA95" s="89" t="str">
        <f t="shared" ca="1" si="79"/>
        <v/>
      </c>
      <c r="AB95" s="88" t="str">
        <f t="shared" ca="1" si="80"/>
        <v/>
      </c>
      <c r="AC95" s="92" t="str">
        <f t="shared" ca="1" si="81"/>
        <v/>
      </c>
      <c r="AD95" s="88" t="str">
        <f t="shared" ca="1" si="82"/>
        <v/>
      </c>
      <c r="AE95" s="92" t="str">
        <f t="shared" ca="1" si="83"/>
        <v/>
      </c>
      <c r="AF95" s="88" t="str">
        <f t="shared" ca="1" si="84"/>
        <v/>
      </c>
      <c r="AG95" s="92" t="str">
        <f t="shared" ca="1" si="85"/>
        <v/>
      </c>
      <c r="AH95" s="88" t="str">
        <f t="shared" ca="1" si="86"/>
        <v/>
      </c>
      <c r="AI95" s="92" t="str">
        <f t="shared" ca="1" si="87"/>
        <v/>
      </c>
      <c r="AJ95" s="88" t="str">
        <f t="shared" ca="1" si="88"/>
        <v/>
      </c>
      <c r="AK95" s="92" t="str">
        <f t="shared" ca="1" si="89"/>
        <v/>
      </c>
      <c r="AL95" s="77" t="str">
        <f t="shared" ca="1" si="90"/>
        <v/>
      </c>
      <c r="AM95" s="89" t="str">
        <f t="shared" ca="1" si="91"/>
        <v/>
      </c>
      <c r="AN95" s="88" t="str">
        <f t="shared" ca="1" si="92"/>
        <v/>
      </c>
      <c r="AO95" s="89" t="str">
        <f t="shared" ca="1" si="93"/>
        <v/>
      </c>
      <c r="AP95" s="77" t="str">
        <f t="shared" ca="1" si="94"/>
        <v/>
      </c>
      <c r="AQ95" s="94" t="str">
        <f t="shared" ca="1" si="95"/>
        <v/>
      </c>
      <c r="AR95" s="77" t="str">
        <f t="shared" ca="1" si="96"/>
        <v/>
      </c>
      <c r="AS95" s="94" t="str">
        <f t="shared" ca="1" si="97"/>
        <v/>
      </c>
      <c r="AT95" s="77" t="str">
        <f t="shared" ca="1" si="98"/>
        <v/>
      </c>
      <c r="AU95" s="93" t="str">
        <f t="shared" ca="1" si="99"/>
        <v/>
      </c>
      <c r="AV95" s="77" t="str">
        <f t="shared" ca="1" si="100"/>
        <v/>
      </c>
      <c r="AW95" s="93" t="str">
        <f t="shared" ca="1" si="101"/>
        <v/>
      </c>
      <c r="AX95" s="77" t="str">
        <f t="shared" ca="1" si="102"/>
        <v/>
      </c>
      <c r="AY95" s="93" t="str">
        <f t="shared" ca="1" si="103"/>
        <v/>
      </c>
      <c r="AZ95" s="77" t="str">
        <f t="shared" ca="1" si="104"/>
        <v/>
      </c>
      <c r="BA95" s="93" t="str">
        <f t="shared" ca="1" si="105"/>
        <v/>
      </c>
      <c r="BB95" s="77" t="str">
        <f t="shared" ca="1" si="106"/>
        <v/>
      </c>
      <c r="BC95" s="93" t="str">
        <f t="shared" ca="1" si="107"/>
        <v/>
      </c>
    </row>
    <row r="96" spans="1:55" ht="15.95" customHeight="1" x14ac:dyDescent="0.2">
      <c r="A96" s="41" t="str">
        <f>IF(Customization!B96="","",Customization!B96)</f>
        <v/>
      </c>
      <c r="B96" s="79" t="str">
        <f t="shared" ca="1" si="56"/>
        <v/>
      </c>
      <c r="C96" s="29" t="str">
        <f t="shared" ca="1" si="57"/>
        <v/>
      </c>
      <c r="D96" s="7" t="str">
        <f t="shared" ca="1" si="54"/>
        <v/>
      </c>
      <c r="E96" s="29" t="str">
        <f t="shared" ca="1" si="58"/>
        <v/>
      </c>
      <c r="F96" s="7" t="str">
        <f t="shared" ca="1" si="55"/>
        <v/>
      </c>
      <c r="G96" s="29" t="str">
        <f t="shared" ca="1" si="59"/>
        <v/>
      </c>
      <c r="H96" s="7" t="str">
        <f t="shared" ca="1" si="60"/>
        <v/>
      </c>
      <c r="I96" s="28" t="str">
        <f t="shared" ca="1" si="61"/>
        <v/>
      </c>
      <c r="J96" s="7" t="str">
        <f t="shared" ca="1" si="62"/>
        <v/>
      </c>
      <c r="K96" s="73" t="str">
        <f t="shared" ca="1" si="63"/>
        <v/>
      </c>
      <c r="L96" s="74" t="str">
        <f t="shared" ca="1" si="64"/>
        <v/>
      </c>
      <c r="M96" s="75" t="str">
        <f t="shared" ca="1" si="65"/>
        <v/>
      </c>
      <c r="N96" s="76" t="str">
        <f t="shared" ca="1" si="66"/>
        <v/>
      </c>
      <c r="O96" s="75" t="str">
        <f t="shared" ca="1" si="67"/>
        <v/>
      </c>
      <c r="P96" s="76" t="str">
        <f t="shared" ca="1" si="68"/>
        <v/>
      </c>
      <c r="Q96" s="75" t="str">
        <f t="shared" ca="1" si="69"/>
        <v/>
      </c>
      <c r="R96" s="77" t="str">
        <f t="shared" ca="1" si="70"/>
        <v/>
      </c>
      <c r="S96" s="89" t="str">
        <f t="shared" ca="1" si="71"/>
        <v/>
      </c>
      <c r="T96" s="88" t="str">
        <f t="shared" ca="1" si="72"/>
        <v/>
      </c>
      <c r="U96" s="92" t="str">
        <f t="shared" ca="1" si="73"/>
        <v/>
      </c>
      <c r="V96" s="88" t="str">
        <f t="shared" ca="1" si="74"/>
        <v/>
      </c>
      <c r="W96" s="92" t="str">
        <f t="shared" ca="1" si="75"/>
        <v/>
      </c>
      <c r="X96" s="88" t="str">
        <f t="shared" ca="1" si="76"/>
        <v/>
      </c>
      <c r="Y96" s="92" t="str">
        <f t="shared" ca="1" si="77"/>
        <v/>
      </c>
      <c r="Z96" s="88" t="str">
        <f t="shared" ca="1" si="78"/>
        <v/>
      </c>
      <c r="AA96" s="89" t="str">
        <f t="shared" ca="1" si="79"/>
        <v/>
      </c>
      <c r="AB96" s="88" t="str">
        <f t="shared" ca="1" si="80"/>
        <v/>
      </c>
      <c r="AC96" s="92" t="str">
        <f t="shared" ca="1" si="81"/>
        <v/>
      </c>
      <c r="AD96" s="88" t="str">
        <f t="shared" ca="1" si="82"/>
        <v/>
      </c>
      <c r="AE96" s="92" t="str">
        <f t="shared" ca="1" si="83"/>
        <v/>
      </c>
      <c r="AF96" s="88" t="str">
        <f t="shared" ca="1" si="84"/>
        <v/>
      </c>
      <c r="AG96" s="92" t="str">
        <f t="shared" ca="1" si="85"/>
        <v/>
      </c>
      <c r="AH96" s="88" t="str">
        <f t="shared" ca="1" si="86"/>
        <v/>
      </c>
      <c r="AI96" s="92" t="str">
        <f t="shared" ca="1" si="87"/>
        <v/>
      </c>
      <c r="AJ96" s="88" t="str">
        <f t="shared" ca="1" si="88"/>
        <v/>
      </c>
      <c r="AK96" s="92" t="str">
        <f t="shared" ca="1" si="89"/>
        <v/>
      </c>
      <c r="AL96" s="77" t="str">
        <f t="shared" ca="1" si="90"/>
        <v/>
      </c>
      <c r="AM96" s="89" t="str">
        <f t="shared" ca="1" si="91"/>
        <v/>
      </c>
      <c r="AN96" s="88" t="str">
        <f t="shared" ca="1" si="92"/>
        <v/>
      </c>
      <c r="AO96" s="89" t="str">
        <f t="shared" ca="1" si="93"/>
        <v/>
      </c>
      <c r="AP96" s="77" t="str">
        <f t="shared" ca="1" si="94"/>
        <v/>
      </c>
      <c r="AQ96" s="94" t="str">
        <f t="shared" ca="1" si="95"/>
        <v/>
      </c>
      <c r="AR96" s="77" t="str">
        <f t="shared" ca="1" si="96"/>
        <v/>
      </c>
      <c r="AS96" s="94" t="str">
        <f t="shared" ca="1" si="97"/>
        <v/>
      </c>
      <c r="AT96" s="77" t="str">
        <f t="shared" ca="1" si="98"/>
        <v/>
      </c>
      <c r="AU96" s="93" t="str">
        <f t="shared" ca="1" si="99"/>
        <v/>
      </c>
      <c r="AV96" s="77" t="str">
        <f t="shared" ca="1" si="100"/>
        <v/>
      </c>
      <c r="AW96" s="93" t="str">
        <f t="shared" ca="1" si="101"/>
        <v/>
      </c>
      <c r="AX96" s="77" t="str">
        <f t="shared" ca="1" si="102"/>
        <v/>
      </c>
      <c r="AY96" s="93" t="str">
        <f t="shared" ca="1" si="103"/>
        <v/>
      </c>
      <c r="AZ96" s="77" t="str">
        <f t="shared" ca="1" si="104"/>
        <v/>
      </c>
      <c r="BA96" s="93" t="str">
        <f t="shared" ca="1" si="105"/>
        <v/>
      </c>
      <c r="BB96" s="77" t="str">
        <f t="shared" ca="1" si="106"/>
        <v/>
      </c>
      <c r="BC96" s="93" t="str">
        <f t="shared" ca="1" si="107"/>
        <v/>
      </c>
    </row>
    <row r="97" spans="1:55" ht="15.95" customHeight="1" x14ac:dyDescent="0.2">
      <c r="A97" s="41" t="str">
        <f>IF(Customization!B97="","",Customization!B97)</f>
        <v/>
      </c>
      <c r="B97" s="79" t="str">
        <f t="shared" ca="1" si="56"/>
        <v/>
      </c>
      <c r="C97" s="29" t="str">
        <f t="shared" ca="1" si="57"/>
        <v/>
      </c>
      <c r="D97" s="7" t="str">
        <f t="shared" ca="1" si="54"/>
        <v/>
      </c>
      <c r="E97" s="29" t="str">
        <f t="shared" ca="1" si="58"/>
        <v/>
      </c>
      <c r="F97" s="7" t="str">
        <f t="shared" ca="1" si="55"/>
        <v/>
      </c>
      <c r="G97" s="29" t="str">
        <f t="shared" ca="1" si="59"/>
        <v/>
      </c>
      <c r="H97" s="7" t="str">
        <f t="shared" ca="1" si="60"/>
        <v/>
      </c>
      <c r="I97" s="28" t="str">
        <f t="shared" ca="1" si="61"/>
        <v/>
      </c>
      <c r="J97" s="7" t="str">
        <f t="shared" ca="1" si="62"/>
        <v/>
      </c>
      <c r="K97" s="73" t="str">
        <f t="shared" ca="1" si="63"/>
        <v/>
      </c>
      <c r="L97" s="74" t="str">
        <f t="shared" ca="1" si="64"/>
        <v/>
      </c>
      <c r="M97" s="75" t="str">
        <f t="shared" ca="1" si="65"/>
        <v/>
      </c>
      <c r="N97" s="76" t="str">
        <f t="shared" ca="1" si="66"/>
        <v/>
      </c>
      <c r="O97" s="75" t="str">
        <f t="shared" ca="1" si="67"/>
        <v/>
      </c>
      <c r="P97" s="76" t="str">
        <f t="shared" ca="1" si="68"/>
        <v/>
      </c>
      <c r="Q97" s="75" t="str">
        <f t="shared" ca="1" si="69"/>
        <v/>
      </c>
      <c r="R97" s="77" t="str">
        <f t="shared" ca="1" si="70"/>
        <v/>
      </c>
      <c r="S97" s="89" t="str">
        <f t="shared" ca="1" si="71"/>
        <v/>
      </c>
      <c r="T97" s="88" t="str">
        <f t="shared" ca="1" si="72"/>
        <v/>
      </c>
      <c r="U97" s="92" t="str">
        <f t="shared" ca="1" si="73"/>
        <v/>
      </c>
      <c r="V97" s="88" t="str">
        <f t="shared" ca="1" si="74"/>
        <v/>
      </c>
      <c r="W97" s="92" t="str">
        <f t="shared" ca="1" si="75"/>
        <v/>
      </c>
      <c r="X97" s="88" t="str">
        <f t="shared" ca="1" si="76"/>
        <v/>
      </c>
      <c r="Y97" s="92" t="str">
        <f t="shared" ca="1" si="77"/>
        <v/>
      </c>
      <c r="Z97" s="88" t="str">
        <f t="shared" ca="1" si="78"/>
        <v/>
      </c>
      <c r="AA97" s="89" t="str">
        <f t="shared" ca="1" si="79"/>
        <v/>
      </c>
      <c r="AB97" s="88" t="str">
        <f t="shared" ca="1" si="80"/>
        <v/>
      </c>
      <c r="AC97" s="92" t="str">
        <f t="shared" ca="1" si="81"/>
        <v/>
      </c>
      <c r="AD97" s="88" t="str">
        <f t="shared" ca="1" si="82"/>
        <v/>
      </c>
      <c r="AE97" s="92" t="str">
        <f t="shared" ca="1" si="83"/>
        <v/>
      </c>
      <c r="AF97" s="88" t="str">
        <f t="shared" ca="1" si="84"/>
        <v/>
      </c>
      <c r="AG97" s="92" t="str">
        <f t="shared" ca="1" si="85"/>
        <v/>
      </c>
      <c r="AH97" s="88" t="str">
        <f t="shared" ca="1" si="86"/>
        <v/>
      </c>
      <c r="AI97" s="92" t="str">
        <f t="shared" ca="1" si="87"/>
        <v/>
      </c>
      <c r="AJ97" s="88" t="str">
        <f t="shared" ca="1" si="88"/>
        <v/>
      </c>
      <c r="AK97" s="92" t="str">
        <f t="shared" ca="1" si="89"/>
        <v/>
      </c>
      <c r="AL97" s="77" t="str">
        <f t="shared" ca="1" si="90"/>
        <v/>
      </c>
      <c r="AM97" s="89" t="str">
        <f t="shared" ca="1" si="91"/>
        <v/>
      </c>
      <c r="AN97" s="88" t="str">
        <f t="shared" ca="1" si="92"/>
        <v/>
      </c>
      <c r="AO97" s="89" t="str">
        <f t="shared" ca="1" si="93"/>
        <v/>
      </c>
      <c r="AP97" s="77" t="str">
        <f t="shared" ca="1" si="94"/>
        <v/>
      </c>
      <c r="AQ97" s="94" t="str">
        <f t="shared" ca="1" si="95"/>
        <v/>
      </c>
      <c r="AR97" s="77" t="str">
        <f t="shared" ca="1" si="96"/>
        <v/>
      </c>
      <c r="AS97" s="94" t="str">
        <f t="shared" ca="1" si="97"/>
        <v/>
      </c>
      <c r="AT97" s="77" t="str">
        <f t="shared" ca="1" si="98"/>
        <v/>
      </c>
      <c r="AU97" s="93" t="str">
        <f t="shared" ca="1" si="99"/>
        <v/>
      </c>
      <c r="AV97" s="77" t="str">
        <f t="shared" ca="1" si="100"/>
        <v/>
      </c>
      <c r="AW97" s="93" t="str">
        <f t="shared" ca="1" si="101"/>
        <v/>
      </c>
      <c r="AX97" s="77" t="str">
        <f t="shared" ca="1" si="102"/>
        <v/>
      </c>
      <c r="AY97" s="93" t="str">
        <f t="shared" ca="1" si="103"/>
        <v/>
      </c>
      <c r="AZ97" s="77" t="str">
        <f t="shared" ca="1" si="104"/>
        <v/>
      </c>
      <c r="BA97" s="93" t="str">
        <f t="shared" ca="1" si="105"/>
        <v/>
      </c>
      <c r="BB97" s="77" t="str">
        <f t="shared" ca="1" si="106"/>
        <v/>
      </c>
      <c r="BC97" s="93" t="str">
        <f t="shared" ca="1" si="107"/>
        <v/>
      </c>
    </row>
    <row r="98" spans="1:55" ht="15.95" customHeight="1" x14ac:dyDescent="0.2">
      <c r="A98" s="41" t="str">
        <f>IF(Customization!B98="","",Customization!B98)</f>
        <v/>
      </c>
      <c r="B98" s="79" t="str">
        <f t="shared" ca="1" si="56"/>
        <v/>
      </c>
      <c r="C98" s="29" t="str">
        <f t="shared" ca="1" si="57"/>
        <v/>
      </c>
      <c r="D98" s="7" t="str">
        <f t="shared" ca="1" si="54"/>
        <v/>
      </c>
      <c r="E98" s="29" t="str">
        <f t="shared" ca="1" si="58"/>
        <v/>
      </c>
      <c r="F98" s="7" t="str">
        <f t="shared" ca="1" si="55"/>
        <v/>
      </c>
      <c r="G98" s="29" t="str">
        <f t="shared" ca="1" si="59"/>
        <v/>
      </c>
      <c r="H98" s="7" t="str">
        <f t="shared" ca="1" si="60"/>
        <v/>
      </c>
      <c r="I98" s="28" t="str">
        <f t="shared" ca="1" si="61"/>
        <v/>
      </c>
      <c r="J98" s="7" t="str">
        <f t="shared" ca="1" si="62"/>
        <v/>
      </c>
      <c r="K98" s="73" t="str">
        <f t="shared" ca="1" si="63"/>
        <v/>
      </c>
      <c r="L98" s="74" t="str">
        <f t="shared" ca="1" si="64"/>
        <v/>
      </c>
      <c r="M98" s="75" t="str">
        <f t="shared" ca="1" si="65"/>
        <v/>
      </c>
      <c r="N98" s="76" t="str">
        <f t="shared" ca="1" si="66"/>
        <v/>
      </c>
      <c r="O98" s="75" t="str">
        <f t="shared" ca="1" si="67"/>
        <v/>
      </c>
      <c r="P98" s="76" t="str">
        <f t="shared" ca="1" si="68"/>
        <v/>
      </c>
      <c r="Q98" s="75" t="str">
        <f t="shared" ca="1" si="69"/>
        <v/>
      </c>
      <c r="R98" s="77" t="str">
        <f t="shared" ca="1" si="70"/>
        <v/>
      </c>
      <c r="S98" s="89" t="str">
        <f t="shared" ca="1" si="71"/>
        <v/>
      </c>
      <c r="T98" s="88" t="str">
        <f t="shared" ca="1" si="72"/>
        <v/>
      </c>
      <c r="U98" s="92" t="str">
        <f t="shared" ca="1" si="73"/>
        <v/>
      </c>
      <c r="V98" s="88" t="str">
        <f t="shared" ca="1" si="74"/>
        <v/>
      </c>
      <c r="W98" s="92" t="str">
        <f t="shared" ca="1" si="75"/>
        <v/>
      </c>
      <c r="X98" s="88" t="str">
        <f t="shared" ca="1" si="76"/>
        <v/>
      </c>
      <c r="Y98" s="92" t="str">
        <f t="shared" ca="1" si="77"/>
        <v/>
      </c>
      <c r="Z98" s="88" t="str">
        <f t="shared" ca="1" si="78"/>
        <v/>
      </c>
      <c r="AA98" s="89" t="str">
        <f t="shared" ca="1" si="79"/>
        <v/>
      </c>
      <c r="AB98" s="88" t="str">
        <f t="shared" ca="1" si="80"/>
        <v/>
      </c>
      <c r="AC98" s="92" t="str">
        <f t="shared" ca="1" si="81"/>
        <v/>
      </c>
      <c r="AD98" s="88" t="str">
        <f t="shared" ca="1" si="82"/>
        <v/>
      </c>
      <c r="AE98" s="92" t="str">
        <f t="shared" ca="1" si="83"/>
        <v/>
      </c>
      <c r="AF98" s="88" t="str">
        <f t="shared" ca="1" si="84"/>
        <v/>
      </c>
      <c r="AG98" s="92" t="str">
        <f t="shared" ca="1" si="85"/>
        <v/>
      </c>
      <c r="AH98" s="88" t="str">
        <f t="shared" ca="1" si="86"/>
        <v/>
      </c>
      <c r="AI98" s="92" t="str">
        <f t="shared" ca="1" si="87"/>
        <v/>
      </c>
      <c r="AJ98" s="88" t="str">
        <f t="shared" ca="1" si="88"/>
        <v/>
      </c>
      <c r="AK98" s="92" t="str">
        <f t="shared" ca="1" si="89"/>
        <v/>
      </c>
      <c r="AL98" s="77" t="str">
        <f t="shared" ca="1" si="90"/>
        <v/>
      </c>
      <c r="AM98" s="89" t="str">
        <f t="shared" ca="1" si="91"/>
        <v/>
      </c>
      <c r="AN98" s="88" t="str">
        <f t="shared" ca="1" si="92"/>
        <v/>
      </c>
      <c r="AO98" s="89" t="str">
        <f t="shared" ca="1" si="93"/>
        <v/>
      </c>
      <c r="AP98" s="77" t="str">
        <f t="shared" ca="1" si="94"/>
        <v/>
      </c>
      <c r="AQ98" s="94" t="str">
        <f t="shared" ca="1" si="95"/>
        <v/>
      </c>
      <c r="AR98" s="77" t="str">
        <f t="shared" ca="1" si="96"/>
        <v/>
      </c>
      <c r="AS98" s="94" t="str">
        <f t="shared" ca="1" si="97"/>
        <v/>
      </c>
      <c r="AT98" s="77" t="str">
        <f t="shared" ca="1" si="98"/>
        <v/>
      </c>
      <c r="AU98" s="93" t="str">
        <f t="shared" ca="1" si="99"/>
        <v/>
      </c>
      <c r="AV98" s="77" t="str">
        <f t="shared" ca="1" si="100"/>
        <v/>
      </c>
      <c r="AW98" s="93" t="str">
        <f t="shared" ca="1" si="101"/>
        <v/>
      </c>
      <c r="AX98" s="77" t="str">
        <f t="shared" ca="1" si="102"/>
        <v/>
      </c>
      <c r="AY98" s="93" t="str">
        <f t="shared" ca="1" si="103"/>
        <v/>
      </c>
      <c r="AZ98" s="77" t="str">
        <f t="shared" ca="1" si="104"/>
        <v/>
      </c>
      <c r="BA98" s="93" t="str">
        <f t="shared" ca="1" si="105"/>
        <v/>
      </c>
      <c r="BB98" s="77" t="str">
        <f t="shared" ca="1" si="106"/>
        <v/>
      </c>
      <c r="BC98" s="93" t="str">
        <f t="shared" ca="1" si="107"/>
        <v/>
      </c>
    </row>
    <row r="99" spans="1:55" ht="15.95" customHeight="1" x14ac:dyDescent="0.2">
      <c r="A99" s="41" t="str">
        <f>IF(Customization!B99="","",Customization!B99)</f>
        <v/>
      </c>
      <c r="B99" s="79" t="str">
        <f t="shared" ca="1" si="56"/>
        <v/>
      </c>
      <c r="C99" s="29" t="str">
        <f t="shared" ca="1" si="57"/>
        <v/>
      </c>
      <c r="D99" s="7" t="str">
        <f t="shared" ca="1" si="54"/>
        <v/>
      </c>
      <c r="E99" s="29" t="str">
        <f t="shared" ca="1" si="58"/>
        <v/>
      </c>
      <c r="F99" s="7" t="str">
        <f t="shared" ca="1" si="55"/>
        <v/>
      </c>
      <c r="G99" s="29" t="str">
        <f t="shared" ca="1" si="59"/>
        <v/>
      </c>
      <c r="H99" s="7" t="str">
        <f t="shared" ca="1" si="60"/>
        <v/>
      </c>
      <c r="I99" s="28" t="str">
        <f t="shared" ca="1" si="61"/>
        <v/>
      </c>
      <c r="J99" s="7" t="str">
        <f t="shared" ca="1" si="62"/>
        <v/>
      </c>
      <c r="K99" s="73" t="str">
        <f t="shared" ca="1" si="63"/>
        <v/>
      </c>
      <c r="L99" s="74" t="str">
        <f t="shared" ca="1" si="64"/>
        <v/>
      </c>
      <c r="M99" s="75" t="str">
        <f t="shared" ca="1" si="65"/>
        <v/>
      </c>
      <c r="N99" s="76" t="str">
        <f t="shared" ca="1" si="66"/>
        <v/>
      </c>
      <c r="O99" s="75" t="str">
        <f t="shared" ca="1" si="67"/>
        <v/>
      </c>
      <c r="P99" s="76" t="str">
        <f t="shared" ca="1" si="68"/>
        <v/>
      </c>
      <c r="Q99" s="75" t="str">
        <f t="shared" ca="1" si="69"/>
        <v/>
      </c>
      <c r="R99" s="77" t="str">
        <f t="shared" ca="1" si="70"/>
        <v/>
      </c>
      <c r="S99" s="89" t="str">
        <f t="shared" ca="1" si="71"/>
        <v/>
      </c>
      <c r="T99" s="88" t="str">
        <f t="shared" ca="1" si="72"/>
        <v/>
      </c>
      <c r="U99" s="92" t="str">
        <f t="shared" ca="1" si="73"/>
        <v/>
      </c>
      <c r="V99" s="88" t="str">
        <f t="shared" ca="1" si="74"/>
        <v/>
      </c>
      <c r="W99" s="92" t="str">
        <f t="shared" ca="1" si="75"/>
        <v/>
      </c>
      <c r="X99" s="88" t="str">
        <f t="shared" ca="1" si="76"/>
        <v/>
      </c>
      <c r="Y99" s="92" t="str">
        <f t="shared" ca="1" si="77"/>
        <v/>
      </c>
      <c r="Z99" s="88" t="str">
        <f t="shared" ca="1" si="78"/>
        <v/>
      </c>
      <c r="AA99" s="89" t="str">
        <f t="shared" ca="1" si="79"/>
        <v/>
      </c>
      <c r="AB99" s="88" t="str">
        <f t="shared" ca="1" si="80"/>
        <v/>
      </c>
      <c r="AC99" s="92" t="str">
        <f t="shared" ca="1" si="81"/>
        <v/>
      </c>
      <c r="AD99" s="88" t="str">
        <f t="shared" ca="1" si="82"/>
        <v/>
      </c>
      <c r="AE99" s="92" t="str">
        <f t="shared" ca="1" si="83"/>
        <v/>
      </c>
      <c r="AF99" s="88" t="str">
        <f t="shared" ca="1" si="84"/>
        <v/>
      </c>
      <c r="AG99" s="92" t="str">
        <f t="shared" ca="1" si="85"/>
        <v/>
      </c>
      <c r="AH99" s="88" t="str">
        <f t="shared" ca="1" si="86"/>
        <v/>
      </c>
      <c r="AI99" s="92" t="str">
        <f t="shared" ca="1" si="87"/>
        <v/>
      </c>
      <c r="AJ99" s="88" t="str">
        <f t="shared" ca="1" si="88"/>
        <v/>
      </c>
      <c r="AK99" s="92" t="str">
        <f t="shared" ca="1" si="89"/>
        <v/>
      </c>
      <c r="AL99" s="77" t="str">
        <f t="shared" ca="1" si="90"/>
        <v/>
      </c>
      <c r="AM99" s="89" t="str">
        <f t="shared" ca="1" si="91"/>
        <v/>
      </c>
      <c r="AN99" s="88" t="str">
        <f t="shared" ca="1" si="92"/>
        <v/>
      </c>
      <c r="AO99" s="89" t="str">
        <f t="shared" ca="1" si="93"/>
        <v/>
      </c>
      <c r="AP99" s="77" t="str">
        <f t="shared" ca="1" si="94"/>
        <v/>
      </c>
      <c r="AQ99" s="94" t="str">
        <f t="shared" ca="1" si="95"/>
        <v/>
      </c>
      <c r="AR99" s="77" t="str">
        <f t="shared" ca="1" si="96"/>
        <v/>
      </c>
      <c r="AS99" s="94" t="str">
        <f t="shared" ca="1" si="97"/>
        <v/>
      </c>
      <c r="AT99" s="77" t="str">
        <f t="shared" ca="1" si="98"/>
        <v/>
      </c>
      <c r="AU99" s="93" t="str">
        <f t="shared" ca="1" si="99"/>
        <v/>
      </c>
      <c r="AV99" s="77" t="str">
        <f t="shared" ca="1" si="100"/>
        <v/>
      </c>
      <c r="AW99" s="93" t="str">
        <f t="shared" ca="1" si="101"/>
        <v/>
      </c>
      <c r="AX99" s="77" t="str">
        <f t="shared" ca="1" si="102"/>
        <v/>
      </c>
      <c r="AY99" s="93" t="str">
        <f t="shared" ca="1" si="103"/>
        <v/>
      </c>
      <c r="AZ99" s="77" t="str">
        <f t="shared" ca="1" si="104"/>
        <v/>
      </c>
      <c r="BA99" s="93" t="str">
        <f t="shared" ca="1" si="105"/>
        <v/>
      </c>
      <c r="BB99" s="77" t="str">
        <f t="shared" ca="1" si="106"/>
        <v/>
      </c>
      <c r="BC99" s="93" t="str">
        <f t="shared" ca="1" si="107"/>
        <v/>
      </c>
    </row>
    <row r="100" spans="1:55" ht="15.95" customHeight="1" x14ac:dyDescent="0.2">
      <c r="A100" s="41" t="str">
        <f>IF(Customization!B100="","",Customization!B100)</f>
        <v/>
      </c>
      <c r="B100" s="79" t="str">
        <f t="shared" ca="1" si="56"/>
        <v/>
      </c>
      <c r="C100" s="29" t="str">
        <f t="shared" ca="1" si="57"/>
        <v/>
      </c>
      <c r="D100" s="7" t="str">
        <f t="shared" ca="1" si="54"/>
        <v/>
      </c>
      <c r="E100" s="29" t="str">
        <f t="shared" ca="1" si="58"/>
        <v/>
      </c>
      <c r="F100" s="7" t="str">
        <f t="shared" ca="1" si="55"/>
        <v/>
      </c>
      <c r="G100" s="29" t="str">
        <f t="shared" ca="1" si="59"/>
        <v/>
      </c>
      <c r="H100" s="7" t="str">
        <f t="shared" ca="1" si="60"/>
        <v/>
      </c>
      <c r="I100" s="28" t="str">
        <f t="shared" ca="1" si="61"/>
        <v/>
      </c>
      <c r="J100" s="7" t="str">
        <f t="shared" ca="1" si="62"/>
        <v/>
      </c>
      <c r="K100" s="73" t="str">
        <f t="shared" ca="1" si="63"/>
        <v/>
      </c>
      <c r="L100" s="74" t="str">
        <f t="shared" ca="1" si="64"/>
        <v/>
      </c>
      <c r="M100" s="75" t="str">
        <f t="shared" ca="1" si="65"/>
        <v/>
      </c>
      <c r="N100" s="76" t="str">
        <f t="shared" ca="1" si="66"/>
        <v/>
      </c>
      <c r="O100" s="75" t="str">
        <f t="shared" ca="1" si="67"/>
        <v/>
      </c>
      <c r="P100" s="76" t="str">
        <f t="shared" ca="1" si="68"/>
        <v/>
      </c>
      <c r="Q100" s="75" t="str">
        <f t="shared" ca="1" si="69"/>
        <v/>
      </c>
      <c r="R100" s="77" t="str">
        <f t="shared" ca="1" si="70"/>
        <v/>
      </c>
      <c r="S100" s="89" t="str">
        <f t="shared" ca="1" si="71"/>
        <v/>
      </c>
      <c r="T100" s="88" t="str">
        <f t="shared" ca="1" si="72"/>
        <v/>
      </c>
      <c r="U100" s="92" t="str">
        <f t="shared" ca="1" si="73"/>
        <v/>
      </c>
      <c r="V100" s="88" t="str">
        <f t="shared" ca="1" si="74"/>
        <v/>
      </c>
      <c r="W100" s="92" t="str">
        <f t="shared" ca="1" si="75"/>
        <v/>
      </c>
      <c r="X100" s="88" t="str">
        <f t="shared" ca="1" si="76"/>
        <v/>
      </c>
      <c r="Y100" s="92" t="str">
        <f t="shared" ca="1" si="77"/>
        <v/>
      </c>
      <c r="Z100" s="88" t="str">
        <f t="shared" ca="1" si="78"/>
        <v/>
      </c>
      <c r="AA100" s="89" t="str">
        <f t="shared" ca="1" si="79"/>
        <v/>
      </c>
      <c r="AB100" s="88" t="str">
        <f t="shared" ca="1" si="80"/>
        <v/>
      </c>
      <c r="AC100" s="92" t="str">
        <f t="shared" ca="1" si="81"/>
        <v/>
      </c>
      <c r="AD100" s="88" t="str">
        <f t="shared" ca="1" si="82"/>
        <v/>
      </c>
      <c r="AE100" s="92" t="str">
        <f t="shared" ca="1" si="83"/>
        <v/>
      </c>
      <c r="AF100" s="88" t="str">
        <f t="shared" ca="1" si="84"/>
        <v/>
      </c>
      <c r="AG100" s="92" t="str">
        <f t="shared" ca="1" si="85"/>
        <v/>
      </c>
      <c r="AH100" s="88" t="str">
        <f t="shared" ca="1" si="86"/>
        <v/>
      </c>
      <c r="AI100" s="92" t="str">
        <f t="shared" ca="1" si="87"/>
        <v/>
      </c>
      <c r="AJ100" s="88" t="str">
        <f t="shared" ca="1" si="88"/>
        <v/>
      </c>
      <c r="AK100" s="92" t="str">
        <f t="shared" ca="1" si="89"/>
        <v/>
      </c>
      <c r="AL100" s="77" t="str">
        <f t="shared" ca="1" si="90"/>
        <v/>
      </c>
      <c r="AM100" s="89" t="str">
        <f t="shared" ca="1" si="91"/>
        <v/>
      </c>
      <c r="AN100" s="88" t="str">
        <f t="shared" ca="1" si="92"/>
        <v/>
      </c>
      <c r="AO100" s="89" t="str">
        <f t="shared" ca="1" si="93"/>
        <v/>
      </c>
      <c r="AP100" s="77" t="str">
        <f t="shared" ca="1" si="94"/>
        <v/>
      </c>
      <c r="AQ100" s="94" t="str">
        <f t="shared" ca="1" si="95"/>
        <v/>
      </c>
      <c r="AR100" s="77" t="str">
        <f t="shared" ca="1" si="96"/>
        <v/>
      </c>
      <c r="AS100" s="94" t="str">
        <f t="shared" ca="1" si="97"/>
        <v/>
      </c>
      <c r="AT100" s="77" t="str">
        <f t="shared" ca="1" si="98"/>
        <v/>
      </c>
      <c r="AU100" s="93" t="str">
        <f t="shared" ca="1" si="99"/>
        <v/>
      </c>
      <c r="AV100" s="77" t="str">
        <f t="shared" ca="1" si="100"/>
        <v/>
      </c>
      <c r="AW100" s="93" t="str">
        <f t="shared" ca="1" si="101"/>
        <v/>
      </c>
      <c r="AX100" s="77" t="str">
        <f t="shared" ca="1" si="102"/>
        <v/>
      </c>
      <c r="AY100" s="93" t="str">
        <f t="shared" ca="1" si="103"/>
        <v/>
      </c>
      <c r="AZ100" s="77" t="str">
        <f t="shared" ca="1" si="104"/>
        <v/>
      </c>
      <c r="BA100" s="93" t="str">
        <f t="shared" ca="1" si="105"/>
        <v/>
      </c>
      <c r="BB100" s="77" t="str">
        <f t="shared" ca="1" si="106"/>
        <v/>
      </c>
      <c r="BC100" s="93" t="str">
        <f t="shared" ca="1" si="107"/>
        <v/>
      </c>
    </row>
    <row r="101" spans="1:55" ht="15.95" customHeight="1" x14ac:dyDescent="0.2">
      <c r="A101" s="41" t="str">
        <f>IF(Customization!B101="","",Customization!B101)</f>
        <v/>
      </c>
      <c r="B101" s="79" t="str">
        <f t="shared" ca="1" si="56"/>
        <v/>
      </c>
      <c r="C101" s="29" t="str">
        <f t="shared" ca="1" si="57"/>
        <v/>
      </c>
      <c r="D101" s="7" t="str">
        <f t="shared" ca="1" si="54"/>
        <v/>
      </c>
      <c r="E101" s="29" t="str">
        <f t="shared" ca="1" si="58"/>
        <v/>
      </c>
      <c r="F101" s="7" t="str">
        <f t="shared" ca="1" si="55"/>
        <v/>
      </c>
      <c r="G101" s="29" t="str">
        <f t="shared" ca="1" si="59"/>
        <v/>
      </c>
      <c r="H101" s="7" t="str">
        <f t="shared" ca="1" si="60"/>
        <v/>
      </c>
      <c r="I101" s="28" t="str">
        <f t="shared" ca="1" si="61"/>
        <v/>
      </c>
      <c r="J101" s="7" t="str">
        <f t="shared" ca="1" si="62"/>
        <v/>
      </c>
      <c r="K101" s="73" t="str">
        <f t="shared" ca="1" si="63"/>
        <v/>
      </c>
      <c r="L101" s="74" t="str">
        <f t="shared" ca="1" si="64"/>
        <v/>
      </c>
      <c r="M101" s="75" t="str">
        <f t="shared" ca="1" si="65"/>
        <v/>
      </c>
      <c r="N101" s="76" t="str">
        <f t="shared" ca="1" si="66"/>
        <v/>
      </c>
      <c r="O101" s="75" t="str">
        <f t="shared" ca="1" si="67"/>
        <v/>
      </c>
      <c r="P101" s="76" t="str">
        <f t="shared" ca="1" si="68"/>
        <v/>
      </c>
      <c r="Q101" s="75" t="str">
        <f t="shared" ca="1" si="69"/>
        <v/>
      </c>
      <c r="R101" s="77" t="str">
        <f t="shared" ca="1" si="70"/>
        <v/>
      </c>
      <c r="S101" s="89" t="str">
        <f t="shared" ca="1" si="71"/>
        <v/>
      </c>
      <c r="T101" s="88" t="str">
        <f t="shared" ca="1" si="72"/>
        <v/>
      </c>
      <c r="U101" s="92" t="str">
        <f t="shared" ca="1" si="73"/>
        <v/>
      </c>
      <c r="V101" s="88" t="str">
        <f t="shared" ca="1" si="74"/>
        <v/>
      </c>
      <c r="W101" s="92" t="str">
        <f t="shared" ca="1" si="75"/>
        <v/>
      </c>
      <c r="X101" s="88" t="str">
        <f t="shared" ca="1" si="76"/>
        <v/>
      </c>
      <c r="Y101" s="92" t="str">
        <f t="shared" ca="1" si="77"/>
        <v/>
      </c>
      <c r="Z101" s="88" t="str">
        <f t="shared" ca="1" si="78"/>
        <v/>
      </c>
      <c r="AA101" s="89" t="str">
        <f t="shared" ca="1" si="79"/>
        <v/>
      </c>
      <c r="AB101" s="88" t="str">
        <f t="shared" ca="1" si="80"/>
        <v/>
      </c>
      <c r="AC101" s="92" t="str">
        <f t="shared" ca="1" si="81"/>
        <v/>
      </c>
      <c r="AD101" s="88" t="str">
        <f t="shared" ca="1" si="82"/>
        <v/>
      </c>
      <c r="AE101" s="92" t="str">
        <f t="shared" ca="1" si="83"/>
        <v/>
      </c>
      <c r="AF101" s="88" t="str">
        <f t="shared" ca="1" si="84"/>
        <v/>
      </c>
      <c r="AG101" s="92" t="str">
        <f t="shared" ca="1" si="85"/>
        <v/>
      </c>
      <c r="AH101" s="88" t="str">
        <f t="shared" ca="1" si="86"/>
        <v/>
      </c>
      <c r="AI101" s="92" t="str">
        <f t="shared" ca="1" si="87"/>
        <v/>
      </c>
      <c r="AJ101" s="88" t="str">
        <f t="shared" ca="1" si="88"/>
        <v/>
      </c>
      <c r="AK101" s="92" t="str">
        <f t="shared" ca="1" si="89"/>
        <v/>
      </c>
      <c r="AL101" s="77" t="str">
        <f t="shared" ca="1" si="90"/>
        <v/>
      </c>
      <c r="AM101" s="89" t="str">
        <f t="shared" ca="1" si="91"/>
        <v/>
      </c>
      <c r="AN101" s="88" t="str">
        <f t="shared" ca="1" si="92"/>
        <v/>
      </c>
      <c r="AO101" s="89" t="str">
        <f t="shared" ca="1" si="93"/>
        <v/>
      </c>
      <c r="AP101" s="77" t="str">
        <f t="shared" ca="1" si="94"/>
        <v/>
      </c>
      <c r="AQ101" s="94" t="str">
        <f t="shared" ca="1" si="95"/>
        <v/>
      </c>
      <c r="AR101" s="77" t="str">
        <f t="shared" ca="1" si="96"/>
        <v/>
      </c>
      <c r="AS101" s="94" t="str">
        <f t="shared" ca="1" si="97"/>
        <v/>
      </c>
      <c r="AT101" s="77" t="str">
        <f t="shared" ca="1" si="98"/>
        <v/>
      </c>
      <c r="AU101" s="93" t="str">
        <f t="shared" ca="1" si="99"/>
        <v/>
      </c>
      <c r="AV101" s="77" t="str">
        <f t="shared" ca="1" si="100"/>
        <v/>
      </c>
      <c r="AW101" s="93" t="str">
        <f t="shared" ca="1" si="101"/>
        <v/>
      </c>
      <c r="AX101" s="77" t="str">
        <f t="shared" ca="1" si="102"/>
        <v/>
      </c>
      <c r="AY101" s="93" t="str">
        <f t="shared" ca="1" si="103"/>
        <v/>
      </c>
      <c r="AZ101" s="77" t="str">
        <f t="shared" ca="1" si="104"/>
        <v/>
      </c>
      <c r="BA101" s="93" t="str">
        <f t="shared" ca="1" si="105"/>
        <v/>
      </c>
      <c r="BB101" s="77" t="str">
        <f t="shared" ca="1" si="106"/>
        <v/>
      </c>
      <c r="BC101" s="93" t="str">
        <f t="shared" ca="1" si="107"/>
        <v/>
      </c>
    </row>
    <row r="102" spans="1:55" ht="15.95" customHeight="1" x14ac:dyDescent="0.2">
      <c r="A102" s="41" t="str">
        <f>IF(Customization!B102="","",Customization!B102)</f>
        <v/>
      </c>
      <c r="B102" s="79" t="str">
        <f t="shared" ca="1" si="56"/>
        <v/>
      </c>
      <c r="C102" s="29" t="str">
        <f t="shared" ca="1" si="57"/>
        <v/>
      </c>
      <c r="D102" s="7" t="str">
        <f t="shared" ca="1" si="54"/>
        <v/>
      </c>
      <c r="E102" s="29" t="str">
        <f t="shared" ca="1" si="58"/>
        <v/>
      </c>
      <c r="F102" s="7" t="str">
        <f t="shared" ca="1" si="55"/>
        <v/>
      </c>
      <c r="G102" s="29" t="str">
        <f t="shared" ca="1" si="59"/>
        <v/>
      </c>
      <c r="H102" s="7" t="str">
        <f t="shared" ca="1" si="60"/>
        <v/>
      </c>
      <c r="I102" s="28" t="str">
        <f t="shared" ca="1" si="61"/>
        <v/>
      </c>
      <c r="J102" s="7" t="str">
        <f t="shared" ca="1" si="62"/>
        <v/>
      </c>
      <c r="K102" s="73" t="str">
        <f t="shared" ca="1" si="63"/>
        <v/>
      </c>
      <c r="L102" s="74" t="str">
        <f t="shared" ca="1" si="64"/>
        <v/>
      </c>
      <c r="M102" s="75" t="str">
        <f t="shared" ca="1" si="65"/>
        <v/>
      </c>
      <c r="N102" s="76" t="str">
        <f t="shared" ca="1" si="66"/>
        <v/>
      </c>
      <c r="O102" s="75" t="str">
        <f t="shared" ca="1" si="67"/>
        <v/>
      </c>
      <c r="P102" s="76" t="str">
        <f t="shared" ca="1" si="68"/>
        <v/>
      </c>
      <c r="Q102" s="75" t="str">
        <f t="shared" ca="1" si="69"/>
        <v/>
      </c>
      <c r="R102" s="77" t="str">
        <f t="shared" ca="1" si="70"/>
        <v/>
      </c>
      <c r="S102" s="89" t="str">
        <f t="shared" ca="1" si="71"/>
        <v/>
      </c>
      <c r="T102" s="88" t="str">
        <f t="shared" ca="1" si="72"/>
        <v/>
      </c>
      <c r="U102" s="92" t="str">
        <f t="shared" ca="1" si="73"/>
        <v/>
      </c>
      <c r="V102" s="88" t="str">
        <f t="shared" ca="1" si="74"/>
        <v/>
      </c>
      <c r="W102" s="92" t="str">
        <f t="shared" ca="1" si="75"/>
        <v/>
      </c>
      <c r="X102" s="88" t="str">
        <f t="shared" ca="1" si="76"/>
        <v/>
      </c>
      <c r="Y102" s="92" t="str">
        <f t="shared" ca="1" si="77"/>
        <v/>
      </c>
      <c r="Z102" s="88" t="str">
        <f t="shared" ca="1" si="78"/>
        <v/>
      </c>
      <c r="AA102" s="89" t="str">
        <f t="shared" ca="1" si="79"/>
        <v/>
      </c>
      <c r="AB102" s="88" t="str">
        <f t="shared" ca="1" si="80"/>
        <v/>
      </c>
      <c r="AC102" s="92" t="str">
        <f t="shared" ca="1" si="81"/>
        <v/>
      </c>
      <c r="AD102" s="88" t="str">
        <f t="shared" ca="1" si="82"/>
        <v/>
      </c>
      <c r="AE102" s="92" t="str">
        <f t="shared" ca="1" si="83"/>
        <v/>
      </c>
      <c r="AF102" s="88" t="str">
        <f t="shared" ca="1" si="84"/>
        <v/>
      </c>
      <c r="AG102" s="92" t="str">
        <f t="shared" ca="1" si="85"/>
        <v/>
      </c>
      <c r="AH102" s="88" t="str">
        <f t="shared" ca="1" si="86"/>
        <v/>
      </c>
      <c r="AI102" s="92" t="str">
        <f t="shared" ca="1" si="87"/>
        <v/>
      </c>
      <c r="AJ102" s="88" t="str">
        <f t="shared" ca="1" si="88"/>
        <v/>
      </c>
      <c r="AK102" s="92" t="str">
        <f t="shared" ca="1" si="89"/>
        <v/>
      </c>
      <c r="AL102" s="77" t="str">
        <f t="shared" ca="1" si="90"/>
        <v/>
      </c>
      <c r="AM102" s="89" t="str">
        <f t="shared" ca="1" si="91"/>
        <v/>
      </c>
      <c r="AN102" s="88" t="str">
        <f t="shared" ca="1" si="92"/>
        <v/>
      </c>
      <c r="AO102" s="89" t="str">
        <f t="shared" ca="1" si="93"/>
        <v/>
      </c>
      <c r="AP102" s="77" t="str">
        <f t="shared" ca="1" si="94"/>
        <v/>
      </c>
      <c r="AQ102" s="94" t="str">
        <f t="shared" ca="1" si="95"/>
        <v/>
      </c>
      <c r="AR102" s="77" t="str">
        <f t="shared" ca="1" si="96"/>
        <v/>
      </c>
      <c r="AS102" s="94" t="str">
        <f t="shared" ca="1" si="97"/>
        <v/>
      </c>
      <c r="AT102" s="77" t="str">
        <f t="shared" ca="1" si="98"/>
        <v/>
      </c>
      <c r="AU102" s="93" t="str">
        <f t="shared" ca="1" si="99"/>
        <v/>
      </c>
      <c r="AV102" s="77" t="str">
        <f t="shared" ca="1" si="100"/>
        <v/>
      </c>
      <c r="AW102" s="93" t="str">
        <f t="shared" ca="1" si="101"/>
        <v/>
      </c>
      <c r="AX102" s="77" t="str">
        <f t="shared" ca="1" si="102"/>
        <v/>
      </c>
      <c r="AY102" s="93" t="str">
        <f t="shared" ca="1" si="103"/>
        <v/>
      </c>
      <c r="AZ102" s="77" t="str">
        <f t="shared" ca="1" si="104"/>
        <v/>
      </c>
      <c r="BA102" s="93" t="str">
        <f t="shared" ca="1" si="105"/>
        <v/>
      </c>
      <c r="BB102" s="77" t="str">
        <f t="shared" ca="1" si="106"/>
        <v/>
      </c>
      <c r="BC102" s="93" t="str">
        <f t="shared" ca="1" si="107"/>
        <v/>
      </c>
    </row>
    <row r="103" spans="1:55" ht="15.95" customHeight="1" x14ac:dyDescent="0.2">
      <c r="A103" s="41" t="str">
        <f>IF(Customization!B103="","",Customization!B103)</f>
        <v/>
      </c>
      <c r="B103" s="79" t="str">
        <f t="shared" ca="1" si="56"/>
        <v/>
      </c>
      <c r="C103" s="29" t="str">
        <f t="shared" ca="1" si="57"/>
        <v/>
      </c>
      <c r="D103" s="7" t="str">
        <f t="shared" ca="1" si="54"/>
        <v/>
      </c>
      <c r="E103" s="29" t="str">
        <f t="shared" ca="1" si="58"/>
        <v/>
      </c>
      <c r="F103" s="7" t="str">
        <f t="shared" ca="1" si="55"/>
        <v/>
      </c>
      <c r="G103" s="29" t="str">
        <f t="shared" ca="1" si="59"/>
        <v/>
      </c>
      <c r="H103" s="7" t="str">
        <f t="shared" ca="1" si="60"/>
        <v/>
      </c>
      <c r="I103" s="28" t="str">
        <f t="shared" ca="1" si="61"/>
        <v/>
      </c>
      <c r="J103" s="7" t="str">
        <f t="shared" ca="1" si="62"/>
        <v/>
      </c>
      <c r="K103" s="73" t="str">
        <f t="shared" ca="1" si="63"/>
        <v/>
      </c>
      <c r="L103" s="74" t="str">
        <f t="shared" ca="1" si="64"/>
        <v/>
      </c>
      <c r="M103" s="75" t="str">
        <f t="shared" ca="1" si="65"/>
        <v/>
      </c>
      <c r="N103" s="76" t="str">
        <f t="shared" ca="1" si="66"/>
        <v/>
      </c>
      <c r="O103" s="75" t="str">
        <f t="shared" ca="1" si="67"/>
        <v/>
      </c>
      <c r="P103" s="76" t="str">
        <f t="shared" ca="1" si="68"/>
        <v/>
      </c>
      <c r="Q103" s="75" t="str">
        <f t="shared" ca="1" si="69"/>
        <v/>
      </c>
      <c r="R103" s="77" t="str">
        <f t="shared" ca="1" si="70"/>
        <v/>
      </c>
      <c r="S103" s="89" t="str">
        <f t="shared" ca="1" si="71"/>
        <v/>
      </c>
      <c r="T103" s="88" t="str">
        <f t="shared" ca="1" si="72"/>
        <v/>
      </c>
      <c r="U103" s="92" t="str">
        <f t="shared" ca="1" si="73"/>
        <v/>
      </c>
      <c r="V103" s="88" t="str">
        <f t="shared" ca="1" si="74"/>
        <v/>
      </c>
      <c r="W103" s="92" t="str">
        <f t="shared" ca="1" si="75"/>
        <v/>
      </c>
      <c r="X103" s="88" t="str">
        <f t="shared" ca="1" si="76"/>
        <v/>
      </c>
      <c r="Y103" s="92" t="str">
        <f t="shared" ca="1" si="77"/>
        <v/>
      </c>
      <c r="Z103" s="88" t="str">
        <f t="shared" ca="1" si="78"/>
        <v/>
      </c>
      <c r="AA103" s="89" t="str">
        <f t="shared" ca="1" si="79"/>
        <v/>
      </c>
      <c r="AB103" s="88" t="str">
        <f t="shared" ca="1" si="80"/>
        <v/>
      </c>
      <c r="AC103" s="92" t="str">
        <f t="shared" ca="1" si="81"/>
        <v/>
      </c>
      <c r="AD103" s="88" t="str">
        <f t="shared" ca="1" si="82"/>
        <v/>
      </c>
      <c r="AE103" s="92" t="str">
        <f t="shared" ca="1" si="83"/>
        <v/>
      </c>
      <c r="AF103" s="88" t="str">
        <f t="shared" ca="1" si="84"/>
        <v/>
      </c>
      <c r="AG103" s="92" t="str">
        <f t="shared" ca="1" si="85"/>
        <v/>
      </c>
      <c r="AH103" s="88" t="str">
        <f t="shared" ca="1" si="86"/>
        <v/>
      </c>
      <c r="AI103" s="92" t="str">
        <f t="shared" ca="1" si="87"/>
        <v/>
      </c>
      <c r="AJ103" s="88" t="str">
        <f t="shared" ca="1" si="88"/>
        <v/>
      </c>
      <c r="AK103" s="92" t="str">
        <f t="shared" ca="1" si="89"/>
        <v/>
      </c>
      <c r="AL103" s="77" t="str">
        <f t="shared" ca="1" si="90"/>
        <v/>
      </c>
      <c r="AM103" s="89" t="str">
        <f t="shared" ca="1" si="91"/>
        <v/>
      </c>
      <c r="AN103" s="88" t="str">
        <f t="shared" ca="1" si="92"/>
        <v/>
      </c>
      <c r="AO103" s="89" t="str">
        <f t="shared" ca="1" si="93"/>
        <v/>
      </c>
      <c r="AP103" s="77" t="str">
        <f t="shared" ca="1" si="94"/>
        <v/>
      </c>
      <c r="AQ103" s="94" t="str">
        <f t="shared" ca="1" si="95"/>
        <v/>
      </c>
      <c r="AR103" s="77" t="str">
        <f t="shared" ca="1" si="96"/>
        <v/>
      </c>
      <c r="AS103" s="94" t="str">
        <f t="shared" ca="1" si="97"/>
        <v/>
      </c>
      <c r="AT103" s="77" t="str">
        <f t="shared" ca="1" si="98"/>
        <v/>
      </c>
      <c r="AU103" s="93" t="str">
        <f t="shared" ca="1" si="99"/>
        <v/>
      </c>
      <c r="AV103" s="77" t="str">
        <f t="shared" ca="1" si="100"/>
        <v/>
      </c>
      <c r="AW103" s="93" t="str">
        <f t="shared" ca="1" si="101"/>
        <v/>
      </c>
      <c r="AX103" s="77" t="str">
        <f t="shared" ca="1" si="102"/>
        <v/>
      </c>
      <c r="AY103" s="93" t="str">
        <f t="shared" ca="1" si="103"/>
        <v/>
      </c>
      <c r="AZ103" s="77" t="str">
        <f t="shared" ca="1" si="104"/>
        <v/>
      </c>
      <c r="BA103" s="93" t="str">
        <f t="shared" ca="1" si="105"/>
        <v/>
      </c>
      <c r="BB103" s="77" t="str">
        <f t="shared" ca="1" si="106"/>
        <v/>
      </c>
      <c r="BC103" s="93" t="str">
        <f t="shared" ca="1" si="107"/>
        <v/>
      </c>
    </row>
    <row r="104" spans="1:55" ht="15.95" customHeight="1" x14ac:dyDescent="0.2">
      <c r="A104" s="41" t="str">
        <f>IF(Customization!B104="","",Customization!B104)</f>
        <v/>
      </c>
      <c r="B104" s="79" t="str">
        <f t="shared" ca="1" si="56"/>
        <v/>
      </c>
      <c r="C104" s="29" t="str">
        <f t="shared" ca="1" si="57"/>
        <v/>
      </c>
      <c r="D104" s="7" t="str">
        <f t="shared" ca="1" si="54"/>
        <v/>
      </c>
      <c r="E104" s="29" t="str">
        <f t="shared" ca="1" si="58"/>
        <v/>
      </c>
      <c r="F104" s="7" t="str">
        <f t="shared" ca="1" si="55"/>
        <v/>
      </c>
      <c r="G104" s="29" t="str">
        <f t="shared" ca="1" si="59"/>
        <v/>
      </c>
      <c r="H104" s="7" t="str">
        <f t="shared" ca="1" si="60"/>
        <v/>
      </c>
      <c r="I104" s="28" t="str">
        <f t="shared" ca="1" si="61"/>
        <v/>
      </c>
      <c r="J104" s="7" t="str">
        <f t="shared" ca="1" si="62"/>
        <v/>
      </c>
      <c r="K104" s="73" t="str">
        <f t="shared" ca="1" si="63"/>
        <v/>
      </c>
      <c r="L104" s="74" t="str">
        <f t="shared" ca="1" si="64"/>
        <v/>
      </c>
      <c r="M104" s="75" t="str">
        <f t="shared" ca="1" si="65"/>
        <v/>
      </c>
      <c r="N104" s="76" t="str">
        <f t="shared" ca="1" si="66"/>
        <v/>
      </c>
      <c r="O104" s="75" t="str">
        <f t="shared" ca="1" si="67"/>
        <v/>
      </c>
      <c r="P104" s="76" t="str">
        <f t="shared" ca="1" si="68"/>
        <v/>
      </c>
      <c r="Q104" s="75" t="str">
        <f t="shared" ca="1" si="69"/>
        <v/>
      </c>
      <c r="R104" s="77" t="str">
        <f t="shared" ca="1" si="70"/>
        <v/>
      </c>
      <c r="S104" s="89" t="str">
        <f t="shared" ca="1" si="71"/>
        <v/>
      </c>
      <c r="T104" s="88" t="str">
        <f t="shared" ca="1" si="72"/>
        <v/>
      </c>
      <c r="U104" s="92" t="str">
        <f t="shared" ca="1" si="73"/>
        <v/>
      </c>
      <c r="V104" s="88" t="str">
        <f t="shared" ca="1" si="74"/>
        <v/>
      </c>
      <c r="W104" s="92" t="str">
        <f t="shared" ca="1" si="75"/>
        <v/>
      </c>
      <c r="X104" s="88" t="str">
        <f t="shared" ca="1" si="76"/>
        <v/>
      </c>
      <c r="Y104" s="92" t="str">
        <f t="shared" ca="1" si="77"/>
        <v/>
      </c>
      <c r="Z104" s="88" t="str">
        <f t="shared" ca="1" si="78"/>
        <v/>
      </c>
      <c r="AA104" s="89" t="str">
        <f t="shared" ca="1" si="79"/>
        <v/>
      </c>
      <c r="AB104" s="88" t="str">
        <f t="shared" ca="1" si="80"/>
        <v/>
      </c>
      <c r="AC104" s="92" t="str">
        <f t="shared" ca="1" si="81"/>
        <v/>
      </c>
      <c r="AD104" s="88" t="str">
        <f t="shared" ca="1" si="82"/>
        <v/>
      </c>
      <c r="AE104" s="92" t="str">
        <f t="shared" ca="1" si="83"/>
        <v/>
      </c>
      <c r="AF104" s="88" t="str">
        <f t="shared" ca="1" si="84"/>
        <v/>
      </c>
      <c r="AG104" s="92" t="str">
        <f t="shared" ca="1" si="85"/>
        <v/>
      </c>
      <c r="AH104" s="88" t="str">
        <f t="shared" ca="1" si="86"/>
        <v/>
      </c>
      <c r="AI104" s="92" t="str">
        <f t="shared" ca="1" si="87"/>
        <v/>
      </c>
      <c r="AJ104" s="88" t="str">
        <f t="shared" ca="1" si="88"/>
        <v/>
      </c>
      <c r="AK104" s="92" t="str">
        <f t="shared" ca="1" si="89"/>
        <v/>
      </c>
      <c r="AL104" s="77" t="str">
        <f t="shared" ca="1" si="90"/>
        <v/>
      </c>
      <c r="AM104" s="89" t="str">
        <f t="shared" ca="1" si="91"/>
        <v/>
      </c>
      <c r="AN104" s="88" t="str">
        <f t="shared" ca="1" si="92"/>
        <v/>
      </c>
      <c r="AO104" s="89" t="str">
        <f t="shared" ca="1" si="93"/>
        <v/>
      </c>
      <c r="AP104" s="77" t="str">
        <f t="shared" ca="1" si="94"/>
        <v/>
      </c>
      <c r="AQ104" s="94" t="str">
        <f t="shared" ca="1" si="95"/>
        <v/>
      </c>
      <c r="AR104" s="77" t="str">
        <f t="shared" ca="1" si="96"/>
        <v/>
      </c>
      <c r="AS104" s="94" t="str">
        <f t="shared" ca="1" si="97"/>
        <v/>
      </c>
      <c r="AT104" s="77" t="str">
        <f t="shared" ca="1" si="98"/>
        <v/>
      </c>
      <c r="AU104" s="93" t="str">
        <f t="shared" ca="1" si="99"/>
        <v/>
      </c>
      <c r="AV104" s="77" t="str">
        <f t="shared" ca="1" si="100"/>
        <v/>
      </c>
      <c r="AW104" s="93" t="str">
        <f t="shared" ca="1" si="101"/>
        <v/>
      </c>
      <c r="AX104" s="77" t="str">
        <f t="shared" ca="1" si="102"/>
        <v/>
      </c>
      <c r="AY104" s="93" t="str">
        <f t="shared" ca="1" si="103"/>
        <v/>
      </c>
      <c r="AZ104" s="77" t="str">
        <f t="shared" ca="1" si="104"/>
        <v/>
      </c>
      <c r="BA104" s="93" t="str">
        <f t="shared" ca="1" si="105"/>
        <v/>
      </c>
      <c r="BB104" s="77" t="str">
        <f t="shared" ca="1" si="106"/>
        <v/>
      </c>
      <c r="BC104" s="93" t="str">
        <f t="shared" ca="1" si="107"/>
        <v/>
      </c>
    </row>
    <row r="105" spans="1:55" ht="15.95" customHeight="1" x14ac:dyDescent="0.2">
      <c r="A105" s="41" t="str">
        <f>IF(Customization!B105="","",Customization!B105)</f>
        <v/>
      </c>
      <c r="B105" s="79" t="str">
        <f t="shared" ca="1" si="56"/>
        <v/>
      </c>
      <c r="C105" s="29" t="str">
        <f t="shared" ca="1" si="57"/>
        <v/>
      </c>
      <c r="D105" s="7" t="str">
        <f t="shared" ca="1" si="54"/>
        <v/>
      </c>
      <c r="E105" s="29" t="str">
        <f t="shared" ca="1" si="58"/>
        <v/>
      </c>
      <c r="F105" s="7" t="str">
        <f t="shared" ca="1" si="55"/>
        <v/>
      </c>
      <c r="G105" s="29" t="str">
        <f t="shared" ca="1" si="59"/>
        <v/>
      </c>
      <c r="H105" s="7" t="str">
        <f t="shared" ca="1" si="60"/>
        <v/>
      </c>
      <c r="I105" s="28" t="str">
        <f t="shared" ca="1" si="61"/>
        <v/>
      </c>
      <c r="J105" s="7" t="str">
        <f t="shared" ca="1" si="62"/>
        <v/>
      </c>
      <c r="K105" s="73" t="str">
        <f t="shared" ca="1" si="63"/>
        <v/>
      </c>
      <c r="L105" s="74" t="str">
        <f t="shared" ca="1" si="64"/>
        <v/>
      </c>
      <c r="M105" s="75" t="str">
        <f t="shared" ca="1" si="65"/>
        <v/>
      </c>
      <c r="N105" s="76" t="str">
        <f t="shared" ca="1" si="66"/>
        <v/>
      </c>
      <c r="O105" s="75" t="str">
        <f t="shared" ca="1" si="67"/>
        <v/>
      </c>
      <c r="P105" s="76" t="str">
        <f t="shared" ca="1" si="68"/>
        <v/>
      </c>
      <c r="Q105" s="75" t="str">
        <f t="shared" ca="1" si="69"/>
        <v/>
      </c>
      <c r="R105" s="77" t="str">
        <f t="shared" ca="1" si="70"/>
        <v/>
      </c>
      <c r="S105" s="89" t="str">
        <f t="shared" ca="1" si="71"/>
        <v/>
      </c>
      <c r="T105" s="88" t="str">
        <f t="shared" ca="1" si="72"/>
        <v/>
      </c>
      <c r="U105" s="92" t="str">
        <f t="shared" ca="1" si="73"/>
        <v/>
      </c>
      <c r="V105" s="88" t="str">
        <f t="shared" ca="1" si="74"/>
        <v/>
      </c>
      <c r="W105" s="92" t="str">
        <f t="shared" ca="1" si="75"/>
        <v/>
      </c>
      <c r="X105" s="88" t="str">
        <f t="shared" ca="1" si="76"/>
        <v/>
      </c>
      <c r="Y105" s="92" t="str">
        <f t="shared" ca="1" si="77"/>
        <v/>
      </c>
      <c r="Z105" s="88" t="str">
        <f t="shared" ca="1" si="78"/>
        <v/>
      </c>
      <c r="AA105" s="89" t="str">
        <f t="shared" ca="1" si="79"/>
        <v/>
      </c>
      <c r="AB105" s="88" t="str">
        <f t="shared" ca="1" si="80"/>
        <v/>
      </c>
      <c r="AC105" s="92" t="str">
        <f t="shared" ca="1" si="81"/>
        <v/>
      </c>
      <c r="AD105" s="88" t="str">
        <f t="shared" ca="1" si="82"/>
        <v/>
      </c>
      <c r="AE105" s="92" t="str">
        <f t="shared" ca="1" si="83"/>
        <v/>
      </c>
      <c r="AF105" s="88" t="str">
        <f t="shared" ca="1" si="84"/>
        <v/>
      </c>
      <c r="AG105" s="92" t="str">
        <f t="shared" ca="1" si="85"/>
        <v/>
      </c>
      <c r="AH105" s="88" t="str">
        <f t="shared" ca="1" si="86"/>
        <v/>
      </c>
      <c r="AI105" s="92" t="str">
        <f t="shared" ca="1" si="87"/>
        <v/>
      </c>
      <c r="AJ105" s="88" t="str">
        <f t="shared" ca="1" si="88"/>
        <v/>
      </c>
      <c r="AK105" s="92" t="str">
        <f t="shared" ca="1" si="89"/>
        <v/>
      </c>
      <c r="AL105" s="77" t="str">
        <f t="shared" ca="1" si="90"/>
        <v/>
      </c>
      <c r="AM105" s="89" t="str">
        <f t="shared" ca="1" si="91"/>
        <v/>
      </c>
      <c r="AN105" s="88" t="str">
        <f t="shared" ca="1" si="92"/>
        <v/>
      </c>
      <c r="AO105" s="89" t="str">
        <f t="shared" ca="1" si="93"/>
        <v/>
      </c>
      <c r="AP105" s="77" t="str">
        <f t="shared" ca="1" si="94"/>
        <v/>
      </c>
      <c r="AQ105" s="94" t="str">
        <f t="shared" ca="1" si="95"/>
        <v/>
      </c>
      <c r="AR105" s="77" t="str">
        <f t="shared" ca="1" si="96"/>
        <v/>
      </c>
      <c r="AS105" s="94" t="str">
        <f t="shared" ca="1" si="97"/>
        <v/>
      </c>
      <c r="AT105" s="77" t="str">
        <f t="shared" ca="1" si="98"/>
        <v/>
      </c>
      <c r="AU105" s="93" t="str">
        <f t="shared" ca="1" si="99"/>
        <v/>
      </c>
      <c r="AV105" s="77" t="str">
        <f t="shared" ca="1" si="100"/>
        <v/>
      </c>
      <c r="AW105" s="93" t="str">
        <f t="shared" ca="1" si="101"/>
        <v/>
      </c>
      <c r="AX105" s="77" t="str">
        <f t="shared" ca="1" si="102"/>
        <v/>
      </c>
      <c r="AY105" s="93" t="str">
        <f t="shared" ca="1" si="103"/>
        <v/>
      </c>
      <c r="AZ105" s="77" t="str">
        <f t="shared" ca="1" si="104"/>
        <v/>
      </c>
      <c r="BA105" s="93" t="str">
        <f t="shared" ca="1" si="105"/>
        <v/>
      </c>
      <c r="BB105" s="77" t="str">
        <f t="shared" ca="1" si="106"/>
        <v/>
      </c>
      <c r="BC105" s="93" t="str">
        <f t="shared" ca="1" si="107"/>
        <v/>
      </c>
    </row>
    <row r="106" spans="1:55" ht="15.95" customHeight="1" x14ac:dyDescent="0.2">
      <c r="A106" s="41" t="str">
        <f>IF(Customization!B106="","",Customization!B106)</f>
        <v/>
      </c>
      <c r="B106" s="79" t="str">
        <f t="shared" ca="1" si="56"/>
        <v/>
      </c>
      <c r="C106" s="29" t="str">
        <f t="shared" ca="1" si="57"/>
        <v/>
      </c>
      <c r="D106" s="7" t="str">
        <f t="shared" ca="1" si="54"/>
        <v/>
      </c>
      <c r="E106" s="29" t="str">
        <f t="shared" ca="1" si="58"/>
        <v/>
      </c>
      <c r="F106" s="7" t="str">
        <f t="shared" ca="1" si="55"/>
        <v/>
      </c>
      <c r="G106" s="29" t="str">
        <f t="shared" ca="1" si="59"/>
        <v/>
      </c>
      <c r="H106" s="7" t="str">
        <f t="shared" ca="1" si="60"/>
        <v/>
      </c>
      <c r="I106" s="28" t="str">
        <f t="shared" ca="1" si="61"/>
        <v/>
      </c>
      <c r="J106" s="7" t="str">
        <f t="shared" ca="1" si="62"/>
        <v/>
      </c>
      <c r="K106" s="73" t="str">
        <f t="shared" ca="1" si="63"/>
        <v/>
      </c>
      <c r="L106" s="74" t="str">
        <f t="shared" ca="1" si="64"/>
        <v/>
      </c>
      <c r="M106" s="75" t="str">
        <f t="shared" ca="1" si="65"/>
        <v/>
      </c>
      <c r="N106" s="76" t="str">
        <f t="shared" ca="1" si="66"/>
        <v/>
      </c>
      <c r="O106" s="75" t="str">
        <f t="shared" ca="1" si="67"/>
        <v/>
      </c>
      <c r="P106" s="76" t="str">
        <f t="shared" ca="1" si="68"/>
        <v/>
      </c>
      <c r="Q106" s="75" t="str">
        <f t="shared" ca="1" si="69"/>
        <v/>
      </c>
      <c r="R106" s="77" t="str">
        <f t="shared" ca="1" si="70"/>
        <v/>
      </c>
      <c r="S106" s="89" t="str">
        <f t="shared" ca="1" si="71"/>
        <v/>
      </c>
      <c r="T106" s="88" t="str">
        <f t="shared" ca="1" si="72"/>
        <v/>
      </c>
      <c r="U106" s="92" t="str">
        <f t="shared" ca="1" si="73"/>
        <v/>
      </c>
      <c r="V106" s="88" t="str">
        <f t="shared" ca="1" si="74"/>
        <v/>
      </c>
      <c r="W106" s="92" t="str">
        <f t="shared" ca="1" si="75"/>
        <v/>
      </c>
      <c r="X106" s="88" t="str">
        <f t="shared" ca="1" si="76"/>
        <v/>
      </c>
      <c r="Y106" s="92" t="str">
        <f t="shared" ca="1" si="77"/>
        <v/>
      </c>
      <c r="Z106" s="88" t="str">
        <f t="shared" ca="1" si="78"/>
        <v/>
      </c>
      <c r="AA106" s="89" t="str">
        <f t="shared" ca="1" si="79"/>
        <v/>
      </c>
      <c r="AB106" s="88" t="str">
        <f t="shared" ca="1" si="80"/>
        <v/>
      </c>
      <c r="AC106" s="92" t="str">
        <f t="shared" ca="1" si="81"/>
        <v/>
      </c>
      <c r="AD106" s="88" t="str">
        <f t="shared" ca="1" si="82"/>
        <v/>
      </c>
      <c r="AE106" s="92" t="str">
        <f t="shared" ca="1" si="83"/>
        <v/>
      </c>
      <c r="AF106" s="88" t="str">
        <f t="shared" ca="1" si="84"/>
        <v/>
      </c>
      <c r="AG106" s="92" t="str">
        <f t="shared" ca="1" si="85"/>
        <v/>
      </c>
      <c r="AH106" s="88" t="str">
        <f t="shared" ca="1" si="86"/>
        <v/>
      </c>
      <c r="AI106" s="92" t="str">
        <f t="shared" ca="1" si="87"/>
        <v/>
      </c>
      <c r="AJ106" s="88" t="str">
        <f t="shared" ca="1" si="88"/>
        <v/>
      </c>
      <c r="AK106" s="92" t="str">
        <f t="shared" ca="1" si="89"/>
        <v/>
      </c>
      <c r="AL106" s="77" t="str">
        <f t="shared" ca="1" si="90"/>
        <v/>
      </c>
      <c r="AM106" s="89" t="str">
        <f t="shared" ca="1" si="91"/>
        <v/>
      </c>
      <c r="AN106" s="88" t="str">
        <f t="shared" ca="1" si="92"/>
        <v/>
      </c>
      <c r="AO106" s="89" t="str">
        <f t="shared" ca="1" si="93"/>
        <v/>
      </c>
      <c r="AP106" s="77" t="str">
        <f t="shared" ca="1" si="94"/>
        <v/>
      </c>
      <c r="AQ106" s="94" t="str">
        <f t="shared" ca="1" si="95"/>
        <v/>
      </c>
      <c r="AR106" s="77" t="str">
        <f t="shared" ca="1" si="96"/>
        <v/>
      </c>
      <c r="AS106" s="94" t="str">
        <f t="shared" ca="1" si="97"/>
        <v/>
      </c>
      <c r="AT106" s="77" t="str">
        <f t="shared" ca="1" si="98"/>
        <v/>
      </c>
      <c r="AU106" s="93" t="str">
        <f t="shared" ca="1" si="99"/>
        <v/>
      </c>
      <c r="AV106" s="77" t="str">
        <f t="shared" ca="1" si="100"/>
        <v/>
      </c>
      <c r="AW106" s="93" t="str">
        <f t="shared" ca="1" si="101"/>
        <v/>
      </c>
      <c r="AX106" s="77" t="str">
        <f t="shared" ca="1" si="102"/>
        <v/>
      </c>
      <c r="AY106" s="93" t="str">
        <f t="shared" ca="1" si="103"/>
        <v/>
      </c>
      <c r="AZ106" s="77" t="str">
        <f t="shared" ca="1" si="104"/>
        <v/>
      </c>
      <c r="BA106" s="93" t="str">
        <f t="shared" ca="1" si="105"/>
        <v/>
      </c>
      <c r="BB106" s="77" t="str">
        <f t="shared" ca="1" si="106"/>
        <v/>
      </c>
      <c r="BC106" s="93" t="str">
        <f t="shared" ca="1" si="107"/>
        <v/>
      </c>
    </row>
    <row r="107" spans="1:55" ht="15.95" customHeight="1" x14ac:dyDescent="0.2">
      <c r="A107" s="41" t="str">
        <f>IF(Customization!B107="","",Customization!B107)</f>
        <v/>
      </c>
      <c r="B107" s="79" t="str">
        <f t="shared" ca="1" si="56"/>
        <v/>
      </c>
      <c r="C107" s="29" t="str">
        <f t="shared" ca="1" si="57"/>
        <v/>
      </c>
      <c r="D107" s="7" t="str">
        <f t="shared" ca="1" si="54"/>
        <v/>
      </c>
      <c r="E107" s="29" t="str">
        <f t="shared" ca="1" si="58"/>
        <v/>
      </c>
      <c r="F107" s="7" t="str">
        <f t="shared" ca="1" si="55"/>
        <v/>
      </c>
      <c r="G107" s="29" t="str">
        <f t="shared" ca="1" si="59"/>
        <v/>
      </c>
      <c r="H107" s="7" t="str">
        <f t="shared" ca="1" si="60"/>
        <v/>
      </c>
      <c r="I107" s="28" t="str">
        <f t="shared" ca="1" si="61"/>
        <v/>
      </c>
      <c r="J107" s="7" t="str">
        <f t="shared" ca="1" si="62"/>
        <v/>
      </c>
      <c r="K107" s="73" t="str">
        <f t="shared" ca="1" si="63"/>
        <v/>
      </c>
      <c r="L107" s="74" t="str">
        <f t="shared" ca="1" si="64"/>
        <v/>
      </c>
      <c r="M107" s="75" t="str">
        <f t="shared" ca="1" si="65"/>
        <v/>
      </c>
      <c r="N107" s="76" t="str">
        <f t="shared" ca="1" si="66"/>
        <v/>
      </c>
      <c r="O107" s="75" t="str">
        <f t="shared" ca="1" si="67"/>
        <v/>
      </c>
      <c r="P107" s="76" t="str">
        <f t="shared" ca="1" si="68"/>
        <v/>
      </c>
      <c r="Q107" s="75" t="str">
        <f t="shared" ca="1" si="69"/>
        <v/>
      </c>
      <c r="R107" s="77" t="str">
        <f t="shared" ca="1" si="70"/>
        <v/>
      </c>
      <c r="S107" s="89" t="str">
        <f t="shared" ca="1" si="71"/>
        <v/>
      </c>
      <c r="T107" s="88" t="str">
        <f t="shared" ca="1" si="72"/>
        <v/>
      </c>
      <c r="U107" s="92" t="str">
        <f t="shared" ca="1" si="73"/>
        <v/>
      </c>
      <c r="V107" s="88" t="str">
        <f t="shared" ca="1" si="74"/>
        <v/>
      </c>
      <c r="W107" s="92" t="str">
        <f t="shared" ca="1" si="75"/>
        <v/>
      </c>
      <c r="X107" s="88" t="str">
        <f t="shared" ca="1" si="76"/>
        <v/>
      </c>
      <c r="Y107" s="92" t="str">
        <f t="shared" ca="1" si="77"/>
        <v/>
      </c>
      <c r="Z107" s="88" t="str">
        <f t="shared" ca="1" si="78"/>
        <v/>
      </c>
      <c r="AA107" s="89" t="str">
        <f t="shared" ca="1" si="79"/>
        <v/>
      </c>
      <c r="AB107" s="88" t="str">
        <f t="shared" ca="1" si="80"/>
        <v/>
      </c>
      <c r="AC107" s="92" t="str">
        <f t="shared" ca="1" si="81"/>
        <v/>
      </c>
      <c r="AD107" s="88" t="str">
        <f t="shared" ca="1" si="82"/>
        <v/>
      </c>
      <c r="AE107" s="92" t="str">
        <f t="shared" ca="1" si="83"/>
        <v/>
      </c>
      <c r="AF107" s="88" t="str">
        <f t="shared" ca="1" si="84"/>
        <v/>
      </c>
      <c r="AG107" s="92" t="str">
        <f t="shared" ca="1" si="85"/>
        <v/>
      </c>
      <c r="AH107" s="88" t="str">
        <f t="shared" ca="1" si="86"/>
        <v/>
      </c>
      <c r="AI107" s="92" t="str">
        <f t="shared" ca="1" si="87"/>
        <v/>
      </c>
      <c r="AJ107" s="88" t="str">
        <f t="shared" ca="1" si="88"/>
        <v/>
      </c>
      <c r="AK107" s="92" t="str">
        <f t="shared" ca="1" si="89"/>
        <v/>
      </c>
      <c r="AL107" s="77" t="str">
        <f t="shared" ca="1" si="90"/>
        <v/>
      </c>
      <c r="AM107" s="89" t="str">
        <f t="shared" ca="1" si="91"/>
        <v/>
      </c>
      <c r="AN107" s="88" t="str">
        <f t="shared" ca="1" si="92"/>
        <v/>
      </c>
      <c r="AO107" s="89" t="str">
        <f t="shared" ca="1" si="93"/>
        <v/>
      </c>
      <c r="AP107" s="77" t="str">
        <f t="shared" ca="1" si="94"/>
        <v/>
      </c>
      <c r="AQ107" s="94" t="str">
        <f t="shared" ca="1" si="95"/>
        <v/>
      </c>
      <c r="AR107" s="77" t="str">
        <f t="shared" ca="1" si="96"/>
        <v/>
      </c>
      <c r="AS107" s="94" t="str">
        <f t="shared" ca="1" si="97"/>
        <v/>
      </c>
      <c r="AT107" s="77" t="str">
        <f t="shared" ca="1" si="98"/>
        <v/>
      </c>
      <c r="AU107" s="93" t="str">
        <f t="shared" ca="1" si="99"/>
        <v/>
      </c>
      <c r="AV107" s="77" t="str">
        <f t="shared" ca="1" si="100"/>
        <v/>
      </c>
      <c r="AW107" s="93" t="str">
        <f t="shared" ca="1" si="101"/>
        <v/>
      </c>
      <c r="AX107" s="77" t="str">
        <f t="shared" ca="1" si="102"/>
        <v/>
      </c>
      <c r="AY107" s="93" t="str">
        <f t="shared" ca="1" si="103"/>
        <v/>
      </c>
      <c r="AZ107" s="77" t="str">
        <f t="shared" ca="1" si="104"/>
        <v/>
      </c>
      <c r="BA107" s="93" t="str">
        <f t="shared" ca="1" si="105"/>
        <v/>
      </c>
      <c r="BB107" s="77" t="str">
        <f t="shared" ca="1" si="106"/>
        <v/>
      </c>
      <c r="BC107" s="93" t="str">
        <f t="shared" ca="1" si="107"/>
        <v/>
      </c>
    </row>
    <row r="108" spans="1:55" ht="15.95" customHeight="1" x14ac:dyDescent="0.2">
      <c r="A108" s="41" t="str">
        <f>IF(Customization!B108="","",Customization!B108)</f>
        <v/>
      </c>
      <c r="B108" s="79" t="str">
        <f t="shared" ca="1" si="56"/>
        <v/>
      </c>
      <c r="C108" s="29" t="str">
        <f t="shared" ca="1" si="57"/>
        <v/>
      </c>
      <c r="D108" s="7" t="str">
        <f t="shared" ca="1" si="54"/>
        <v/>
      </c>
      <c r="E108" s="29" t="str">
        <f t="shared" ca="1" si="58"/>
        <v/>
      </c>
      <c r="F108" s="7" t="str">
        <f t="shared" ca="1" si="55"/>
        <v/>
      </c>
      <c r="G108" s="29" t="str">
        <f t="shared" ca="1" si="59"/>
        <v/>
      </c>
      <c r="H108" s="7" t="str">
        <f t="shared" ca="1" si="60"/>
        <v/>
      </c>
      <c r="I108" s="28" t="str">
        <f t="shared" ca="1" si="61"/>
        <v/>
      </c>
      <c r="J108" s="7" t="str">
        <f t="shared" ca="1" si="62"/>
        <v/>
      </c>
      <c r="K108" s="73" t="str">
        <f t="shared" ca="1" si="63"/>
        <v/>
      </c>
      <c r="L108" s="74" t="str">
        <f t="shared" ca="1" si="64"/>
        <v/>
      </c>
      <c r="M108" s="75" t="str">
        <f t="shared" ca="1" si="65"/>
        <v/>
      </c>
      <c r="N108" s="76" t="str">
        <f t="shared" ca="1" si="66"/>
        <v/>
      </c>
      <c r="O108" s="75" t="str">
        <f t="shared" ca="1" si="67"/>
        <v/>
      </c>
      <c r="P108" s="76" t="str">
        <f t="shared" ca="1" si="68"/>
        <v/>
      </c>
      <c r="Q108" s="75" t="str">
        <f t="shared" ca="1" si="69"/>
        <v/>
      </c>
      <c r="R108" s="77" t="str">
        <f t="shared" ca="1" si="70"/>
        <v/>
      </c>
      <c r="S108" s="89" t="str">
        <f t="shared" ca="1" si="71"/>
        <v/>
      </c>
      <c r="T108" s="88" t="str">
        <f t="shared" ca="1" si="72"/>
        <v/>
      </c>
      <c r="U108" s="92" t="str">
        <f t="shared" ca="1" si="73"/>
        <v/>
      </c>
      <c r="V108" s="88" t="str">
        <f t="shared" ca="1" si="74"/>
        <v/>
      </c>
      <c r="W108" s="92" t="str">
        <f t="shared" ca="1" si="75"/>
        <v/>
      </c>
      <c r="X108" s="88" t="str">
        <f t="shared" ca="1" si="76"/>
        <v/>
      </c>
      <c r="Y108" s="92" t="str">
        <f t="shared" ca="1" si="77"/>
        <v/>
      </c>
      <c r="Z108" s="88" t="str">
        <f t="shared" ca="1" si="78"/>
        <v/>
      </c>
      <c r="AA108" s="89" t="str">
        <f t="shared" ca="1" si="79"/>
        <v/>
      </c>
      <c r="AB108" s="88" t="str">
        <f t="shared" ca="1" si="80"/>
        <v/>
      </c>
      <c r="AC108" s="92" t="str">
        <f t="shared" ca="1" si="81"/>
        <v/>
      </c>
      <c r="AD108" s="88" t="str">
        <f t="shared" ca="1" si="82"/>
        <v/>
      </c>
      <c r="AE108" s="92" t="str">
        <f t="shared" ca="1" si="83"/>
        <v/>
      </c>
      <c r="AF108" s="88" t="str">
        <f t="shared" ca="1" si="84"/>
        <v/>
      </c>
      <c r="AG108" s="92" t="str">
        <f t="shared" ca="1" si="85"/>
        <v/>
      </c>
      <c r="AH108" s="88" t="str">
        <f t="shared" ca="1" si="86"/>
        <v/>
      </c>
      <c r="AI108" s="92" t="str">
        <f t="shared" ca="1" si="87"/>
        <v/>
      </c>
      <c r="AJ108" s="88" t="str">
        <f t="shared" ca="1" si="88"/>
        <v/>
      </c>
      <c r="AK108" s="92" t="str">
        <f t="shared" ca="1" si="89"/>
        <v/>
      </c>
      <c r="AL108" s="77" t="str">
        <f t="shared" ca="1" si="90"/>
        <v/>
      </c>
      <c r="AM108" s="89" t="str">
        <f t="shared" ca="1" si="91"/>
        <v/>
      </c>
      <c r="AN108" s="88" t="str">
        <f t="shared" ca="1" si="92"/>
        <v/>
      </c>
      <c r="AO108" s="89" t="str">
        <f t="shared" ca="1" si="93"/>
        <v/>
      </c>
      <c r="AP108" s="77" t="str">
        <f t="shared" ca="1" si="94"/>
        <v/>
      </c>
      <c r="AQ108" s="94" t="str">
        <f t="shared" ca="1" si="95"/>
        <v/>
      </c>
      <c r="AR108" s="77" t="str">
        <f t="shared" ca="1" si="96"/>
        <v/>
      </c>
      <c r="AS108" s="94" t="str">
        <f t="shared" ca="1" si="97"/>
        <v/>
      </c>
      <c r="AT108" s="77" t="str">
        <f t="shared" ca="1" si="98"/>
        <v/>
      </c>
      <c r="AU108" s="93" t="str">
        <f t="shared" ca="1" si="99"/>
        <v/>
      </c>
      <c r="AV108" s="77" t="str">
        <f t="shared" ca="1" si="100"/>
        <v/>
      </c>
      <c r="AW108" s="93" t="str">
        <f t="shared" ca="1" si="101"/>
        <v/>
      </c>
      <c r="AX108" s="77" t="str">
        <f t="shared" ca="1" si="102"/>
        <v/>
      </c>
      <c r="AY108" s="93" t="str">
        <f t="shared" ca="1" si="103"/>
        <v/>
      </c>
      <c r="AZ108" s="77" t="str">
        <f t="shared" ca="1" si="104"/>
        <v/>
      </c>
      <c r="BA108" s="93" t="str">
        <f t="shared" ca="1" si="105"/>
        <v/>
      </c>
      <c r="BB108" s="77" t="str">
        <f t="shared" ca="1" si="106"/>
        <v/>
      </c>
      <c r="BC108" s="93" t="str">
        <f t="shared" ca="1" si="107"/>
        <v/>
      </c>
    </row>
    <row r="109" spans="1:55" ht="15.95" customHeight="1" x14ac:dyDescent="0.2">
      <c r="A109" s="41" t="str">
        <f>IF(Customization!B109="","",Customization!B109)</f>
        <v/>
      </c>
      <c r="B109" s="79" t="str">
        <f t="shared" ca="1" si="56"/>
        <v/>
      </c>
      <c r="C109" s="29" t="str">
        <f t="shared" ca="1" si="57"/>
        <v/>
      </c>
      <c r="D109" s="7" t="str">
        <f t="shared" ca="1" si="54"/>
        <v/>
      </c>
      <c r="E109" s="29" t="str">
        <f t="shared" ca="1" si="58"/>
        <v/>
      </c>
      <c r="F109" s="7" t="str">
        <f t="shared" ca="1" si="55"/>
        <v/>
      </c>
      <c r="G109" s="29" t="str">
        <f t="shared" ca="1" si="59"/>
        <v/>
      </c>
      <c r="H109" s="7" t="str">
        <f t="shared" ca="1" si="60"/>
        <v/>
      </c>
      <c r="I109" s="28" t="str">
        <f t="shared" ca="1" si="61"/>
        <v/>
      </c>
      <c r="J109" s="7" t="str">
        <f t="shared" ca="1" si="62"/>
        <v/>
      </c>
      <c r="K109" s="73" t="str">
        <f t="shared" ca="1" si="63"/>
        <v/>
      </c>
      <c r="L109" s="74" t="str">
        <f t="shared" ca="1" si="64"/>
        <v/>
      </c>
      <c r="M109" s="75" t="str">
        <f t="shared" ca="1" si="65"/>
        <v/>
      </c>
      <c r="N109" s="76" t="str">
        <f t="shared" ca="1" si="66"/>
        <v/>
      </c>
      <c r="O109" s="75" t="str">
        <f t="shared" ca="1" si="67"/>
        <v/>
      </c>
      <c r="P109" s="76" t="str">
        <f t="shared" ca="1" si="68"/>
        <v/>
      </c>
      <c r="Q109" s="75" t="str">
        <f t="shared" ca="1" si="69"/>
        <v/>
      </c>
      <c r="R109" s="77" t="str">
        <f t="shared" ca="1" si="70"/>
        <v/>
      </c>
      <c r="S109" s="89" t="str">
        <f t="shared" ca="1" si="71"/>
        <v/>
      </c>
      <c r="T109" s="88" t="str">
        <f t="shared" ca="1" si="72"/>
        <v/>
      </c>
      <c r="U109" s="92" t="str">
        <f t="shared" ca="1" si="73"/>
        <v/>
      </c>
      <c r="V109" s="88" t="str">
        <f t="shared" ca="1" si="74"/>
        <v/>
      </c>
      <c r="W109" s="92" t="str">
        <f t="shared" ca="1" si="75"/>
        <v/>
      </c>
      <c r="X109" s="88" t="str">
        <f t="shared" ca="1" si="76"/>
        <v/>
      </c>
      <c r="Y109" s="92" t="str">
        <f t="shared" ca="1" si="77"/>
        <v/>
      </c>
      <c r="Z109" s="88" t="str">
        <f t="shared" ca="1" si="78"/>
        <v/>
      </c>
      <c r="AA109" s="89" t="str">
        <f t="shared" ca="1" si="79"/>
        <v/>
      </c>
      <c r="AB109" s="88" t="str">
        <f t="shared" ca="1" si="80"/>
        <v/>
      </c>
      <c r="AC109" s="92" t="str">
        <f t="shared" ca="1" si="81"/>
        <v/>
      </c>
      <c r="AD109" s="88" t="str">
        <f t="shared" ca="1" si="82"/>
        <v/>
      </c>
      <c r="AE109" s="92" t="str">
        <f t="shared" ca="1" si="83"/>
        <v/>
      </c>
      <c r="AF109" s="88" t="str">
        <f t="shared" ca="1" si="84"/>
        <v/>
      </c>
      <c r="AG109" s="92" t="str">
        <f t="shared" ca="1" si="85"/>
        <v/>
      </c>
      <c r="AH109" s="88" t="str">
        <f t="shared" ca="1" si="86"/>
        <v/>
      </c>
      <c r="AI109" s="92" t="str">
        <f t="shared" ca="1" si="87"/>
        <v/>
      </c>
      <c r="AJ109" s="88" t="str">
        <f t="shared" ca="1" si="88"/>
        <v/>
      </c>
      <c r="AK109" s="92" t="str">
        <f t="shared" ca="1" si="89"/>
        <v/>
      </c>
      <c r="AL109" s="77" t="str">
        <f t="shared" ca="1" si="90"/>
        <v/>
      </c>
      <c r="AM109" s="89" t="str">
        <f t="shared" ca="1" si="91"/>
        <v/>
      </c>
      <c r="AN109" s="88" t="str">
        <f t="shared" ca="1" si="92"/>
        <v/>
      </c>
      <c r="AO109" s="89" t="str">
        <f t="shared" ca="1" si="93"/>
        <v/>
      </c>
      <c r="AP109" s="77" t="str">
        <f t="shared" ca="1" si="94"/>
        <v/>
      </c>
      <c r="AQ109" s="94" t="str">
        <f t="shared" ca="1" si="95"/>
        <v/>
      </c>
      <c r="AR109" s="77" t="str">
        <f t="shared" ca="1" si="96"/>
        <v/>
      </c>
      <c r="AS109" s="94" t="str">
        <f t="shared" ca="1" si="97"/>
        <v/>
      </c>
      <c r="AT109" s="77" t="str">
        <f t="shared" ca="1" si="98"/>
        <v/>
      </c>
      <c r="AU109" s="93" t="str">
        <f t="shared" ca="1" si="99"/>
        <v/>
      </c>
      <c r="AV109" s="77" t="str">
        <f t="shared" ca="1" si="100"/>
        <v/>
      </c>
      <c r="AW109" s="93" t="str">
        <f t="shared" ca="1" si="101"/>
        <v/>
      </c>
      <c r="AX109" s="77" t="str">
        <f t="shared" ca="1" si="102"/>
        <v/>
      </c>
      <c r="AY109" s="93" t="str">
        <f t="shared" ca="1" si="103"/>
        <v/>
      </c>
      <c r="AZ109" s="77" t="str">
        <f t="shared" ca="1" si="104"/>
        <v/>
      </c>
      <c r="BA109" s="93" t="str">
        <f t="shared" ca="1" si="105"/>
        <v/>
      </c>
      <c r="BB109" s="77" t="str">
        <f t="shared" ca="1" si="106"/>
        <v/>
      </c>
      <c r="BC109" s="93" t="str">
        <f t="shared" ca="1" si="107"/>
        <v/>
      </c>
    </row>
    <row r="110" spans="1:55" ht="15.95" customHeight="1" x14ac:dyDescent="0.2">
      <c r="A110" s="41" t="str">
        <f>IF(Customization!B110="","",Customization!B110)</f>
        <v/>
      </c>
      <c r="B110" s="79" t="str">
        <f t="shared" ca="1" si="56"/>
        <v/>
      </c>
      <c r="C110" s="29" t="str">
        <f t="shared" ca="1" si="57"/>
        <v/>
      </c>
      <c r="D110" s="7" t="str">
        <f t="shared" ca="1" si="54"/>
        <v/>
      </c>
      <c r="E110" s="29" t="str">
        <f t="shared" ca="1" si="58"/>
        <v/>
      </c>
      <c r="F110" s="7" t="str">
        <f t="shared" ca="1" si="55"/>
        <v/>
      </c>
      <c r="G110" s="29" t="str">
        <f t="shared" ca="1" si="59"/>
        <v/>
      </c>
      <c r="H110" s="7" t="str">
        <f t="shared" ca="1" si="60"/>
        <v/>
      </c>
      <c r="I110" s="28" t="str">
        <f t="shared" ca="1" si="61"/>
        <v/>
      </c>
      <c r="J110" s="7" t="str">
        <f t="shared" ca="1" si="62"/>
        <v/>
      </c>
      <c r="K110" s="73" t="str">
        <f t="shared" ca="1" si="63"/>
        <v/>
      </c>
      <c r="L110" s="74" t="str">
        <f t="shared" ca="1" si="64"/>
        <v/>
      </c>
      <c r="M110" s="75" t="str">
        <f t="shared" ca="1" si="65"/>
        <v/>
      </c>
      <c r="N110" s="76" t="str">
        <f t="shared" ca="1" si="66"/>
        <v/>
      </c>
      <c r="O110" s="75" t="str">
        <f t="shared" ca="1" si="67"/>
        <v/>
      </c>
      <c r="P110" s="76" t="str">
        <f t="shared" ca="1" si="68"/>
        <v/>
      </c>
      <c r="Q110" s="75" t="str">
        <f t="shared" ca="1" si="69"/>
        <v/>
      </c>
      <c r="R110" s="77" t="str">
        <f t="shared" ca="1" si="70"/>
        <v/>
      </c>
      <c r="S110" s="89" t="str">
        <f t="shared" ca="1" si="71"/>
        <v/>
      </c>
      <c r="T110" s="88" t="str">
        <f t="shared" ca="1" si="72"/>
        <v/>
      </c>
      <c r="U110" s="92" t="str">
        <f t="shared" ca="1" si="73"/>
        <v/>
      </c>
      <c r="V110" s="88" t="str">
        <f t="shared" ca="1" si="74"/>
        <v/>
      </c>
      <c r="W110" s="92" t="str">
        <f t="shared" ca="1" si="75"/>
        <v/>
      </c>
      <c r="X110" s="88" t="str">
        <f t="shared" ca="1" si="76"/>
        <v/>
      </c>
      <c r="Y110" s="92" t="str">
        <f t="shared" ca="1" si="77"/>
        <v/>
      </c>
      <c r="Z110" s="88" t="str">
        <f t="shared" ca="1" si="78"/>
        <v/>
      </c>
      <c r="AA110" s="89" t="str">
        <f t="shared" ca="1" si="79"/>
        <v/>
      </c>
      <c r="AB110" s="88" t="str">
        <f t="shared" ca="1" si="80"/>
        <v/>
      </c>
      <c r="AC110" s="92" t="str">
        <f t="shared" ca="1" si="81"/>
        <v/>
      </c>
      <c r="AD110" s="88" t="str">
        <f t="shared" ca="1" si="82"/>
        <v/>
      </c>
      <c r="AE110" s="92" t="str">
        <f t="shared" ca="1" si="83"/>
        <v/>
      </c>
      <c r="AF110" s="88" t="str">
        <f t="shared" ca="1" si="84"/>
        <v/>
      </c>
      <c r="AG110" s="92" t="str">
        <f t="shared" ca="1" si="85"/>
        <v/>
      </c>
      <c r="AH110" s="88" t="str">
        <f t="shared" ca="1" si="86"/>
        <v/>
      </c>
      <c r="AI110" s="92" t="str">
        <f t="shared" ca="1" si="87"/>
        <v/>
      </c>
      <c r="AJ110" s="88" t="str">
        <f t="shared" ca="1" si="88"/>
        <v/>
      </c>
      <c r="AK110" s="92" t="str">
        <f t="shared" ca="1" si="89"/>
        <v/>
      </c>
      <c r="AL110" s="77" t="str">
        <f t="shared" ca="1" si="90"/>
        <v/>
      </c>
      <c r="AM110" s="89" t="str">
        <f t="shared" ca="1" si="91"/>
        <v/>
      </c>
      <c r="AN110" s="88" t="str">
        <f t="shared" ca="1" si="92"/>
        <v/>
      </c>
      <c r="AO110" s="89" t="str">
        <f t="shared" ca="1" si="93"/>
        <v/>
      </c>
      <c r="AP110" s="77" t="str">
        <f t="shared" ca="1" si="94"/>
        <v/>
      </c>
      <c r="AQ110" s="94" t="str">
        <f t="shared" ca="1" si="95"/>
        <v/>
      </c>
      <c r="AR110" s="77" t="str">
        <f t="shared" ca="1" si="96"/>
        <v/>
      </c>
      <c r="AS110" s="94" t="str">
        <f t="shared" ca="1" si="97"/>
        <v/>
      </c>
      <c r="AT110" s="77" t="str">
        <f t="shared" ca="1" si="98"/>
        <v/>
      </c>
      <c r="AU110" s="93" t="str">
        <f t="shared" ca="1" si="99"/>
        <v/>
      </c>
      <c r="AV110" s="77" t="str">
        <f t="shared" ca="1" si="100"/>
        <v/>
      </c>
      <c r="AW110" s="93" t="str">
        <f t="shared" ca="1" si="101"/>
        <v/>
      </c>
      <c r="AX110" s="77" t="str">
        <f t="shared" ca="1" si="102"/>
        <v/>
      </c>
      <c r="AY110" s="93" t="str">
        <f t="shared" ca="1" si="103"/>
        <v/>
      </c>
      <c r="AZ110" s="77" t="str">
        <f t="shared" ca="1" si="104"/>
        <v/>
      </c>
      <c r="BA110" s="93" t="str">
        <f t="shared" ca="1" si="105"/>
        <v/>
      </c>
      <c r="BB110" s="77" t="str">
        <f t="shared" ca="1" si="106"/>
        <v/>
      </c>
      <c r="BC110" s="93" t="str">
        <f t="shared" ca="1" si="107"/>
        <v/>
      </c>
    </row>
    <row r="111" spans="1:55" ht="15.95" customHeight="1" x14ac:dyDescent="0.2">
      <c r="A111" s="41" t="str">
        <f>IF(Customization!B111="","",Customization!B111)</f>
        <v/>
      </c>
      <c r="B111" s="79" t="str">
        <f t="shared" ca="1" si="56"/>
        <v/>
      </c>
      <c r="C111" s="29" t="str">
        <f t="shared" ca="1" si="57"/>
        <v/>
      </c>
      <c r="D111" s="7" t="str">
        <f t="shared" ca="1" si="54"/>
        <v/>
      </c>
      <c r="E111" s="29" t="str">
        <f t="shared" ca="1" si="58"/>
        <v/>
      </c>
      <c r="F111" s="7" t="str">
        <f t="shared" ca="1" si="55"/>
        <v/>
      </c>
      <c r="G111" s="29" t="str">
        <f t="shared" ca="1" si="59"/>
        <v/>
      </c>
      <c r="H111" s="7" t="str">
        <f t="shared" ca="1" si="60"/>
        <v/>
      </c>
      <c r="I111" s="28" t="str">
        <f t="shared" ca="1" si="61"/>
        <v/>
      </c>
      <c r="J111" s="7" t="str">
        <f t="shared" ca="1" si="62"/>
        <v/>
      </c>
      <c r="K111" s="73" t="str">
        <f t="shared" ca="1" si="63"/>
        <v/>
      </c>
      <c r="L111" s="74" t="str">
        <f t="shared" ca="1" si="64"/>
        <v/>
      </c>
      <c r="M111" s="75" t="str">
        <f t="shared" ca="1" si="65"/>
        <v/>
      </c>
      <c r="N111" s="76" t="str">
        <f t="shared" ca="1" si="66"/>
        <v/>
      </c>
      <c r="O111" s="75" t="str">
        <f t="shared" ca="1" si="67"/>
        <v/>
      </c>
      <c r="P111" s="76" t="str">
        <f t="shared" ca="1" si="68"/>
        <v/>
      </c>
      <c r="Q111" s="75" t="str">
        <f t="shared" ca="1" si="69"/>
        <v/>
      </c>
      <c r="R111" s="77" t="str">
        <f t="shared" ca="1" si="70"/>
        <v/>
      </c>
      <c r="S111" s="89" t="str">
        <f t="shared" ca="1" si="71"/>
        <v/>
      </c>
      <c r="T111" s="88" t="str">
        <f t="shared" ca="1" si="72"/>
        <v/>
      </c>
      <c r="U111" s="92" t="str">
        <f t="shared" ca="1" si="73"/>
        <v/>
      </c>
      <c r="V111" s="88" t="str">
        <f t="shared" ca="1" si="74"/>
        <v/>
      </c>
      <c r="W111" s="92" t="str">
        <f t="shared" ca="1" si="75"/>
        <v/>
      </c>
      <c r="X111" s="88" t="str">
        <f t="shared" ca="1" si="76"/>
        <v/>
      </c>
      <c r="Y111" s="92" t="str">
        <f t="shared" ca="1" si="77"/>
        <v/>
      </c>
      <c r="Z111" s="88" t="str">
        <f t="shared" ca="1" si="78"/>
        <v/>
      </c>
      <c r="AA111" s="89" t="str">
        <f t="shared" ca="1" si="79"/>
        <v/>
      </c>
      <c r="AB111" s="88" t="str">
        <f t="shared" ca="1" si="80"/>
        <v/>
      </c>
      <c r="AC111" s="92" t="str">
        <f t="shared" ca="1" si="81"/>
        <v/>
      </c>
      <c r="AD111" s="88" t="str">
        <f t="shared" ca="1" si="82"/>
        <v/>
      </c>
      <c r="AE111" s="92" t="str">
        <f t="shared" ca="1" si="83"/>
        <v/>
      </c>
      <c r="AF111" s="88" t="str">
        <f t="shared" ca="1" si="84"/>
        <v/>
      </c>
      <c r="AG111" s="92" t="str">
        <f t="shared" ca="1" si="85"/>
        <v/>
      </c>
      <c r="AH111" s="88" t="str">
        <f t="shared" ca="1" si="86"/>
        <v/>
      </c>
      <c r="AI111" s="92" t="str">
        <f t="shared" ca="1" si="87"/>
        <v/>
      </c>
      <c r="AJ111" s="88" t="str">
        <f t="shared" ca="1" si="88"/>
        <v/>
      </c>
      <c r="AK111" s="92" t="str">
        <f t="shared" ca="1" si="89"/>
        <v/>
      </c>
      <c r="AL111" s="77" t="str">
        <f t="shared" ca="1" si="90"/>
        <v/>
      </c>
      <c r="AM111" s="89" t="str">
        <f t="shared" ca="1" si="91"/>
        <v/>
      </c>
      <c r="AN111" s="88" t="str">
        <f t="shared" ca="1" si="92"/>
        <v/>
      </c>
      <c r="AO111" s="89" t="str">
        <f t="shared" ca="1" si="93"/>
        <v/>
      </c>
      <c r="AP111" s="77" t="str">
        <f t="shared" ca="1" si="94"/>
        <v/>
      </c>
      <c r="AQ111" s="94" t="str">
        <f t="shared" ca="1" si="95"/>
        <v/>
      </c>
      <c r="AR111" s="77" t="str">
        <f t="shared" ca="1" si="96"/>
        <v/>
      </c>
      <c r="AS111" s="94" t="str">
        <f t="shared" ca="1" si="97"/>
        <v/>
      </c>
      <c r="AT111" s="77" t="str">
        <f t="shared" ca="1" si="98"/>
        <v/>
      </c>
      <c r="AU111" s="93" t="str">
        <f t="shared" ca="1" si="99"/>
        <v/>
      </c>
      <c r="AV111" s="77" t="str">
        <f t="shared" ca="1" si="100"/>
        <v/>
      </c>
      <c r="AW111" s="93" t="str">
        <f t="shared" ca="1" si="101"/>
        <v/>
      </c>
      <c r="AX111" s="77" t="str">
        <f t="shared" ca="1" si="102"/>
        <v/>
      </c>
      <c r="AY111" s="93" t="str">
        <f t="shared" ca="1" si="103"/>
        <v/>
      </c>
      <c r="AZ111" s="77" t="str">
        <f t="shared" ca="1" si="104"/>
        <v/>
      </c>
      <c r="BA111" s="93" t="str">
        <f t="shared" ca="1" si="105"/>
        <v/>
      </c>
      <c r="BB111" s="77" t="str">
        <f t="shared" ca="1" si="106"/>
        <v/>
      </c>
      <c r="BC111" s="93" t="str">
        <f t="shared" ca="1" si="107"/>
        <v/>
      </c>
    </row>
    <row r="112" spans="1:55" ht="15.95" customHeight="1" x14ac:dyDescent="0.2">
      <c r="A112" s="41" t="str">
        <f>IF(Customization!B112="","",Customization!B112)</f>
        <v/>
      </c>
      <c r="B112" s="79" t="str">
        <f t="shared" ca="1" si="56"/>
        <v/>
      </c>
      <c r="C112" s="29" t="str">
        <f t="shared" ca="1" si="57"/>
        <v/>
      </c>
      <c r="D112" s="7" t="str">
        <f t="shared" ca="1" si="54"/>
        <v/>
      </c>
      <c r="E112" s="29" t="str">
        <f t="shared" ca="1" si="58"/>
        <v/>
      </c>
      <c r="F112" s="7" t="str">
        <f t="shared" ca="1" si="55"/>
        <v/>
      </c>
      <c r="G112" s="29" t="str">
        <f t="shared" ca="1" si="59"/>
        <v/>
      </c>
      <c r="H112" s="7" t="str">
        <f t="shared" ca="1" si="60"/>
        <v/>
      </c>
      <c r="I112" s="28" t="str">
        <f t="shared" ca="1" si="61"/>
        <v/>
      </c>
      <c r="J112" s="7" t="str">
        <f t="shared" ca="1" si="62"/>
        <v/>
      </c>
      <c r="K112" s="73" t="str">
        <f t="shared" ca="1" si="63"/>
        <v/>
      </c>
      <c r="L112" s="74" t="str">
        <f t="shared" ca="1" si="64"/>
        <v/>
      </c>
      <c r="M112" s="75" t="str">
        <f t="shared" ca="1" si="65"/>
        <v/>
      </c>
      <c r="N112" s="76" t="str">
        <f t="shared" ca="1" si="66"/>
        <v/>
      </c>
      <c r="O112" s="75" t="str">
        <f t="shared" ca="1" si="67"/>
        <v/>
      </c>
      <c r="P112" s="76" t="str">
        <f t="shared" ca="1" si="68"/>
        <v/>
      </c>
      <c r="Q112" s="75" t="str">
        <f t="shared" ca="1" si="69"/>
        <v/>
      </c>
      <c r="R112" s="77" t="str">
        <f t="shared" ca="1" si="70"/>
        <v/>
      </c>
      <c r="S112" s="89" t="str">
        <f t="shared" ca="1" si="71"/>
        <v/>
      </c>
      <c r="T112" s="88" t="str">
        <f t="shared" ca="1" si="72"/>
        <v/>
      </c>
      <c r="U112" s="92" t="str">
        <f t="shared" ca="1" si="73"/>
        <v/>
      </c>
      <c r="V112" s="88" t="str">
        <f t="shared" ca="1" si="74"/>
        <v/>
      </c>
      <c r="W112" s="92" t="str">
        <f t="shared" ca="1" si="75"/>
        <v/>
      </c>
      <c r="X112" s="88" t="str">
        <f t="shared" ca="1" si="76"/>
        <v/>
      </c>
      <c r="Y112" s="92" t="str">
        <f t="shared" ca="1" si="77"/>
        <v/>
      </c>
      <c r="Z112" s="88" t="str">
        <f t="shared" ca="1" si="78"/>
        <v/>
      </c>
      <c r="AA112" s="89" t="str">
        <f t="shared" ca="1" si="79"/>
        <v/>
      </c>
      <c r="AB112" s="88" t="str">
        <f t="shared" ca="1" si="80"/>
        <v/>
      </c>
      <c r="AC112" s="92" t="str">
        <f t="shared" ca="1" si="81"/>
        <v/>
      </c>
      <c r="AD112" s="88" t="str">
        <f t="shared" ca="1" si="82"/>
        <v/>
      </c>
      <c r="AE112" s="92" t="str">
        <f t="shared" ca="1" si="83"/>
        <v/>
      </c>
      <c r="AF112" s="88" t="str">
        <f t="shared" ca="1" si="84"/>
        <v/>
      </c>
      <c r="AG112" s="92" t="str">
        <f t="shared" ca="1" si="85"/>
        <v/>
      </c>
      <c r="AH112" s="88" t="str">
        <f t="shared" ca="1" si="86"/>
        <v/>
      </c>
      <c r="AI112" s="92" t="str">
        <f t="shared" ca="1" si="87"/>
        <v/>
      </c>
      <c r="AJ112" s="88" t="str">
        <f t="shared" ca="1" si="88"/>
        <v/>
      </c>
      <c r="AK112" s="92" t="str">
        <f t="shared" ca="1" si="89"/>
        <v/>
      </c>
      <c r="AL112" s="77" t="str">
        <f t="shared" ca="1" si="90"/>
        <v/>
      </c>
      <c r="AM112" s="89" t="str">
        <f t="shared" ca="1" si="91"/>
        <v/>
      </c>
      <c r="AN112" s="88" t="str">
        <f t="shared" ca="1" si="92"/>
        <v/>
      </c>
      <c r="AO112" s="89" t="str">
        <f t="shared" ca="1" si="93"/>
        <v/>
      </c>
      <c r="AP112" s="77" t="str">
        <f t="shared" ca="1" si="94"/>
        <v/>
      </c>
      <c r="AQ112" s="94" t="str">
        <f t="shared" ca="1" si="95"/>
        <v/>
      </c>
      <c r="AR112" s="77" t="str">
        <f t="shared" ca="1" si="96"/>
        <v/>
      </c>
      <c r="AS112" s="94" t="str">
        <f t="shared" ca="1" si="97"/>
        <v/>
      </c>
      <c r="AT112" s="77" t="str">
        <f t="shared" ca="1" si="98"/>
        <v/>
      </c>
      <c r="AU112" s="93" t="str">
        <f t="shared" ca="1" si="99"/>
        <v/>
      </c>
      <c r="AV112" s="77" t="str">
        <f t="shared" ca="1" si="100"/>
        <v/>
      </c>
      <c r="AW112" s="93" t="str">
        <f t="shared" ca="1" si="101"/>
        <v/>
      </c>
      <c r="AX112" s="77" t="str">
        <f t="shared" ca="1" si="102"/>
        <v/>
      </c>
      <c r="AY112" s="93" t="str">
        <f t="shared" ca="1" si="103"/>
        <v/>
      </c>
      <c r="AZ112" s="77" t="str">
        <f t="shared" ca="1" si="104"/>
        <v/>
      </c>
      <c r="BA112" s="93" t="str">
        <f t="shared" ca="1" si="105"/>
        <v/>
      </c>
      <c r="BB112" s="77" t="str">
        <f t="shared" ca="1" si="106"/>
        <v/>
      </c>
      <c r="BC112" s="93" t="str">
        <f t="shared" ca="1" si="107"/>
        <v/>
      </c>
    </row>
    <row r="113" spans="1:55" ht="15.95" customHeight="1" x14ac:dyDescent="0.2">
      <c r="A113" s="41" t="str">
        <f>IF(Customization!B113="","",Customization!B113)</f>
        <v/>
      </c>
      <c r="B113" s="79" t="str">
        <f t="shared" ca="1" si="56"/>
        <v/>
      </c>
      <c r="C113" s="29" t="str">
        <f t="shared" ca="1" si="57"/>
        <v/>
      </c>
      <c r="D113" s="7" t="str">
        <f t="shared" ca="1" si="54"/>
        <v/>
      </c>
      <c r="E113" s="29" t="str">
        <f t="shared" ca="1" si="58"/>
        <v/>
      </c>
      <c r="F113" s="7" t="str">
        <f t="shared" ca="1" si="55"/>
        <v/>
      </c>
      <c r="G113" s="29" t="str">
        <f t="shared" ca="1" si="59"/>
        <v/>
      </c>
      <c r="H113" s="7" t="str">
        <f t="shared" ca="1" si="60"/>
        <v/>
      </c>
      <c r="I113" s="28" t="str">
        <f t="shared" ca="1" si="61"/>
        <v/>
      </c>
      <c r="J113" s="7" t="str">
        <f t="shared" ca="1" si="62"/>
        <v/>
      </c>
      <c r="K113" s="73" t="str">
        <f t="shared" ca="1" si="63"/>
        <v/>
      </c>
      <c r="L113" s="74" t="str">
        <f t="shared" ca="1" si="64"/>
        <v/>
      </c>
      <c r="M113" s="75" t="str">
        <f t="shared" ca="1" si="65"/>
        <v/>
      </c>
      <c r="N113" s="76" t="str">
        <f t="shared" ca="1" si="66"/>
        <v/>
      </c>
      <c r="O113" s="75" t="str">
        <f t="shared" ca="1" si="67"/>
        <v/>
      </c>
      <c r="P113" s="76" t="str">
        <f t="shared" ca="1" si="68"/>
        <v/>
      </c>
      <c r="Q113" s="75" t="str">
        <f t="shared" ca="1" si="69"/>
        <v/>
      </c>
      <c r="R113" s="77" t="str">
        <f t="shared" ca="1" si="70"/>
        <v/>
      </c>
      <c r="S113" s="89" t="str">
        <f t="shared" ca="1" si="71"/>
        <v/>
      </c>
      <c r="T113" s="88" t="str">
        <f t="shared" ca="1" si="72"/>
        <v/>
      </c>
      <c r="U113" s="92" t="str">
        <f t="shared" ca="1" si="73"/>
        <v/>
      </c>
      <c r="V113" s="88" t="str">
        <f t="shared" ca="1" si="74"/>
        <v/>
      </c>
      <c r="W113" s="92" t="str">
        <f t="shared" ca="1" si="75"/>
        <v/>
      </c>
      <c r="X113" s="88" t="str">
        <f t="shared" ca="1" si="76"/>
        <v/>
      </c>
      <c r="Y113" s="92" t="str">
        <f t="shared" ca="1" si="77"/>
        <v/>
      </c>
      <c r="Z113" s="88" t="str">
        <f t="shared" ca="1" si="78"/>
        <v/>
      </c>
      <c r="AA113" s="89" t="str">
        <f t="shared" ca="1" si="79"/>
        <v/>
      </c>
      <c r="AB113" s="88" t="str">
        <f t="shared" ca="1" si="80"/>
        <v/>
      </c>
      <c r="AC113" s="92" t="str">
        <f t="shared" ca="1" si="81"/>
        <v/>
      </c>
      <c r="AD113" s="88" t="str">
        <f t="shared" ca="1" si="82"/>
        <v/>
      </c>
      <c r="AE113" s="92" t="str">
        <f t="shared" ca="1" si="83"/>
        <v/>
      </c>
      <c r="AF113" s="88" t="str">
        <f t="shared" ca="1" si="84"/>
        <v/>
      </c>
      <c r="AG113" s="92" t="str">
        <f t="shared" ca="1" si="85"/>
        <v/>
      </c>
      <c r="AH113" s="88" t="str">
        <f t="shared" ca="1" si="86"/>
        <v/>
      </c>
      <c r="AI113" s="92" t="str">
        <f t="shared" ca="1" si="87"/>
        <v/>
      </c>
      <c r="AJ113" s="88" t="str">
        <f t="shared" ca="1" si="88"/>
        <v/>
      </c>
      <c r="AK113" s="92" t="str">
        <f t="shared" ca="1" si="89"/>
        <v/>
      </c>
      <c r="AL113" s="77" t="str">
        <f t="shared" ca="1" si="90"/>
        <v/>
      </c>
      <c r="AM113" s="89" t="str">
        <f t="shared" ca="1" si="91"/>
        <v/>
      </c>
      <c r="AN113" s="88" t="str">
        <f t="shared" ca="1" si="92"/>
        <v/>
      </c>
      <c r="AO113" s="89" t="str">
        <f t="shared" ca="1" si="93"/>
        <v/>
      </c>
      <c r="AP113" s="77" t="str">
        <f t="shared" ca="1" si="94"/>
        <v/>
      </c>
      <c r="AQ113" s="94" t="str">
        <f t="shared" ca="1" si="95"/>
        <v/>
      </c>
      <c r="AR113" s="77" t="str">
        <f t="shared" ca="1" si="96"/>
        <v/>
      </c>
      <c r="AS113" s="94" t="str">
        <f t="shared" ca="1" si="97"/>
        <v/>
      </c>
      <c r="AT113" s="77" t="str">
        <f t="shared" ca="1" si="98"/>
        <v/>
      </c>
      <c r="AU113" s="93" t="str">
        <f t="shared" ca="1" si="99"/>
        <v/>
      </c>
      <c r="AV113" s="77" t="str">
        <f t="shared" ca="1" si="100"/>
        <v/>
      </c>
      <c r="AW113" s="93" t="str">
        <f t="shared" ca="1" si="101"/>
        <v/>
      </c>
      <c r="AX113" s="77" t="str">
        <f t="shared" ca="1" si="102"/>
        <v/>
      </c>
      <c r="AY113" s="93" t="str">
        <f t="shared" ca="1" si="103"/>
        <v/>
      </c>
      <c r="AZ113" s="77" t="str">
        <f t="shared" ca="1" si="104"/>
        <v/>
      </c>
      <c r="BA113" s="93" t="str">
        <f t="shared" ca="1" si="105"/>
        <v/>
      </c>
      <c r="BB113" s="77" t="str">
        <f t="shared" ca="1" si="106"/>
        <v/>
      </c>
      <c r="BC113" s="93" t="str">
        <f t="shared" ca="1" si="107"/>
        <v/>
      </c>
    </row>
    <row r="114" spans="1:55" ht="15.95" customHeight="1" x14ac:dyDescent="0.2">
      <c r="A114" s="41" t="str">
        <f>IF(Customization!B114="","",Customization!B114)</f>
        <v/>
      </c>
      <c r="B114" s="79" t="str">
        <f t="shared" ca="1" si="56"/>
        <v/>
      </c>
      <c r="C114" s="29" t="str">
        <f t="shared" ca="1" si="57"/>
        <v/>
      </c>
      <c r="D114" s="7" t="str">
        <f t="shared" ca="1" si="54"/>
        <v/>
      </c>
      <c r="E114" s="29" t="str">
        <f t="shared" ca="1" si="58"/>
        <v/>
      </c>
      <c r="F114" s="7" t="str">
        <f t="shared" ca="1" si="55"/>
        <v/>
      </c>
      <c r="G114" s="29" t="str">
        <f t="shared" ca="1" si="59"/>
        <v/>
      </c>
      <c r="H114" s="7" t="str">
        <f t="shared" ca="1" si="60"/>
        <v/>
      </c>
      <c r="I114" s="28" t="str">
        <f t="shared" ca="1" si="61"/>
        <v/>
      </c>
      <c r="J114" s="7" t="str">
        <f t="shared" ca="1" si="62"/>
        <v/>
      </c>
      <c r="K114" s="73" t="str">
        <f t="shared" ca="1" si="63"/>
        <v/>
      </c>
      <c r="L114" s="74" t="str">
        <f t="shared" ca="1" si="64"/>
        <v/>
      </c>
      <c r="M114" s="75" t="str">
        <f t="shared" ca="1" si="65"/>
        <v/>
      </c>
      <c r="N114" s="76" t="str">
        <f t="shared" ca="1" si="66"/>
        <v/>
      </c>
      <c r="O114" s="75" t="str">
        <f t="shared" ca="1" si="67"/>
        <v/>
      </c>
      <c r="P114" s="76" t="str">
        <f t="shared" ca="1" si="68"/>
        <v/>
      </c>
      <c r="Q114" s="75" t="str">
        <f t="shared" ca="1" si="69"/>
        <v/>
      </c>
      <c r="R114" s="77" t="str">
        <f t="shared" ca="1" si="70"/>
        <v/>
      </c>
      <c r="S114" s="89" t="str">
        <f t="shared" ca="1" si="71"/>
        <v/>
      </c>
      <c r="T114" s="88" t="str">
        <f t="shared" ca="1" si="72"/>
        <v/>
      </c>
      <c r="U114" s="92" t="str">
        <f t="shared" ca="1" si="73"/>
        <v/>
      </c>
      <c r="V114" s="88" t="str">
        <f t="shared" ca="1" si="74"/>
        <v/>
      </c>
      <c r="W114" s="92" t="str">
        <f t="shared" ca="1" si="75"/>
        <v/>
      </c>
      <c r="X114" s="88" t="str">
        <f t="shared" ca="1" si="76"/>
        <v/>
      </c>
      <c r="Y114" s="92" t="str">
        <f t="shared" ca="1" si="77"/>
        <v/>
      </c>
      <c r="Z114" s="88" t="str">
        <f t="shared" ca="1" si="78"/>
        <v/>
      </c>
      <c r="AA114" s="89" t="str">
        <f t="shared" ca="1" si="79"/>
        <v/>
      </c>
      <c r="AB114" s="88" t="str">
        <f t="shared" ca="1" si="80"/>
        <v/>
      </c>
      <c r="AC114" s="92" t="str">
        <f t="shared" ca="1" si="81"/>
        <v/>
      </c>
      <c r="AD114" s="88" t="str">
        <f t="shared" ca="1" si="82"/>
        <v/>
      </c>
      <c r="AE114" s="92" t="str">
        <f t="shared" ca="1" si="83"/>
        <v/>
      </c>
      <c r="AF114" s="88" t="str">
        <f t="shared" ca="1" si="84"/>
        <v/>
      </c>
      <c r="AG114" s="92" t="str">
        <f t="shared" ca="1" si="85"/>
        <v/>
      </c>
      <c r="AH114" s="88" t="str">
        <f t="shared" ca="1" si="86"/>
        <v/>
      </c>
      <c r="AI114" s="92" t="str">
        <f t="shared" ca="1" si="87"/>
        <v/>
      </c>
      <c r="AJ114" s="88" t="str">
        <f t="shared" ca="1" si="88"/>
        <v/>
      </c>
      <c r="AK114" s="92" t="str">
        <f t="shared" ca="1" si="89"/>
        <v/>
      </c>
      <c r="AL114" s="77" t="str">
        <f t="shared" ca="1" si="90"/>
        <v/>
      </c>
      <c r="AM114" s="89" t="str">
        <f t="shared" ca="1" si="91"/>
        <v/>
      </c>
      <c r="AN114" s="88" t="str">
        <f t="shared" ca="1" si="92"/>
        <v/>
      </c>
      <c r="AO114" s="89" t="str">
        <f t="shared" ca="1" si="93"/>
        <v/>
      </c>
      <c r="AP114" s="77" t="str">
        <f t="shared" ca="1" si="94"/>
        <v/>
      </c>
      <c r="AQ114" s="94" t="str">
        <f t="shared" ca="1" si="95"/>
        <v/>
      </c>
      <c r="AR114" s="77" t="str">
        <f t="shared" ca="1" si="96"/>
        <v/>
      </c>
      <c r="AS114" s="94" t="str">
        <f t="shared" ca="1" si="97"/>
        <v/>
      </c>
      <c r="AT114" s="77" t="str">
        <f t="shared" ca="1" si="98"/>
        <v/>
      </c>
      <c r="AU114" s="93" t="str">
        <f t="shared" ca="1" si="99"/>
        <v/>
      </c>
      <c r="AV114" s="77" t="str">
        <f t="shared" ca="1" si="100"/>
        <v/>
      </c>
      <c r="AW114" s="93" t="str">
        <f t="shared" ca="1" si="101"/>
        <v/>
      </c>
      <c r="AX114" s="77" t="str">
        <f t="shared" ca="1" si="102"/>
        <v/>
      </c>
      <c r="AY114" s="93" t="str">
        <f t="shared" ca="1" si="103"/>
        <v/>
      </c>
      <c r="AZ114" s="77" t="str">
        <f t="shared" ca="1" si="104"/>
        <v/>
      </c>
      <c r="BA114" s="93" t="str">
        <f t="shared" ca="1" si="105"/>
        <v/>
      </c>
      <c r="BB114" s="77" t="str">
        <f t="shared" ca="1" si="106"/>
        <v/>
      </c>
      <c r="BC114" s="93" t="str">
        <f t="shared" ca="1" si="107"/>
        <v/>
      </c>
    </row>
    <row r="115" spans="1:55" ht="15.95" customHeight="1" x14ac:dyDescent="0.2">
      <c r="A115" s="41" t="str">
        <f>IF(Customization!B115="","",Customization!B115)</f>
        <v/>
      </c>
      <c r="B115" s="79" t="str">
        <f t="shared" ca="1" si="56"/>
        <v/>
      </c>
      <c r="C115" s="29" t="str">
        <f t="shared" ca="1" si="57"/>
        <v/>
      </c>
      <c r="D115" s="7" t="str">
        <f t="shared" ca="1" si="54"/>
        <v/>
      </c>
      <c r="E115" s="29" t="str">
        <f t="shared" ca="1" si="58"/>
        <v/>
      </c>
      <c r="F115" s="7" t="str">
        <f t="shared" ca="1" si="55"/>
        <v/>
      </c>
      <c r="G115" s="29" t="str">
        <f t="shared" ca="1" si="59"/>
        <v/>
      </c>
      <c r="H115" s="7" t="str">
        <f t="shared" ca="1" si="60"/>
        <v/>
      </c>
      <c r="I115" s="28" t="str">
        <f t="shared" ca="1" si="61"/>
        <v/>
      </c>
      <c r="J115" s="7" t="str">
        <f t="shared" ca="1" si="62"/>
        <v/>
      </c>
      <c r="K115" s="73" t="str">
        <f t="shared" ca="1" si="63"/>
        <v/>
      </c>
      <c r="L115" s="74" t="str">
        <f t="shared" ca="1" si="64"/>
        <v/>
      </c>
      <c r="M115" s="75" t="str">
        <f t="shared" ca="1" si="65"/>
        <v/>
      </c>
      <c r="N115" s="76" t="str">
        <f t="shared" ca="1" si="66"/>
        <v/>
      </c>
      <c r="O115" s="75" t="str">
        <f t="shared" ca="1" si="67"/>
        <v/>
      </c>
      <c r="P115" s="76" t="str">
        <f t="shared" ca="1" si="68"/>
        <v/>
      </c>
      <c r="Q115" s="75" t="str">
        <f t="shared" ca="1" si="69"/>
        <v/>
      </c>
      <c r="R115" s="77" t="str">
        <f t="shared" ca="1" si="70"/>
        <v/>
      </c>
      <c r="S115" s="89" t="str">
        <f t="shared" ca="1" si="71"/>
        <v/>
      </c>
      <c r="T115" s="88" t="str">
        <f t="shared" ca="1" si="72"/>
        <v/>
      </c>
      <c r="U115" s="92" t="str">
        <f t="shared" ca="1" si="73"/>
        <v/>
      </c>
      <c r="V115" s="88" t="str">
        <f t="shared" ca="1" si="74"/>
        <v/>
      </c>
      <c r="W115" s="92" t="str">
        <f t="shared" ca="1" si="75"/>
        <v/>
      </c>
      <c r="X115" s="88" t="str">
        <f t="shared" ca="1" si="76"/>
        <v/>
      </c>
      <c r="Y115" s="92" t="str">
        <f t="shared" ca="1" si="77"/>
        <v/>
      </c>
      <c r="Z115" s="88" t="str">
        <f t="shared" ca="1" si="78"/>
        <v/>
      </c>
      <c r="AA115" s="89" t="str">
        <f t="shared" ca="1" si="79"/>
        <v/>
      </c>
      <c r="AB115" s="88" t="str">
        <f t="shared" ca="1" si="80"/>
        <v/>
      </c>
      <c r="AC115" s="92" t="str">
        <f t="shared" ca="1" si="81"/>
        <v/>
      </c>
      <c r="AD115" s="88" t="str">
        <f t="shared" ca="1" si="82"/>
        <v/>
      </c>
      <c r="AE115" s="92" t="str">
        <f t="shared" ca="1" si="83"/>
        <v/>
      </c>
      <c r="AF115" s="88" t="str">
        <f t="shared" ca="1" si="84"/>
        <v/>
      </c>
      <c r="AG115" s="92" t="str">
        <f t="shared" ca="1" si="85"/>
        <v/>
      </c>
      <c r="AH115" s="88" t="str">
        <f t="shared" ca="1" si="86"/>
        <v/>
      </c>
      <c r="AI115" s="92" t="str">
        <f t="shared" ca="1" si="87"/>
        <v/>
      </c>
      <c r="AJ115" s="88" t="str">
        <f t="shared" ca="1" si="88"/>
        <v/>
      </c>
      <c r="AK115" s="92" t="str">
        <f t="shared" ca="1" si="89"/>
        <v/>
      </c>
      <c r="AL115" s="77" t="str">
        <f t="shared" ca="1" si="90"/>
        <v/>
      </c>
      <c r="AM115" s="89" t="str">
        <f t="shared" ca="1" si="91"/>
        <v/>
      </c>
      <c r="AN115" s="88" t="str">
        <f t="shared" ca="1" si="92"/>
        <v/>
      </c>
      <c r="AO115" s="89" t="str">
        <f t="shared" ca="1" si="93"/>
        <v/>
      </c>
      <c r="AP115" s="77" t="str">
        <f t="shared" ca="1" si="94"/>
        <v/>
      </c>
      <c r="AQ115" s="94" t="str">
        <f t="shared" ca="1" si="95"/>
        <v/>
      </c>
      <c r="AR115" s="77" t="str">
        <f t="shared" ca="1" si="96"/>
        <v/>
      </c>
      <c r="AS115" s="94" t="str">
        <f t="shared" ca="1" si="97"/>
        <v/>
      </c>
      <c r="AT115" s="77" t="str">
        <f t="shared" ca="1" si="98"/>
        <v/>
      </c>
      <c r="AU115" s="93" t="str">
        <f t="shared" ca="1" si="99"/>
        <v/>
      </c>
      <c r="AV115" s="77" t="str">
        <f t="shared" ca="1" si="100"/>
        <v/>
      </c>
      <c r="AW115" s="93" t="str">
        <f t="shared" ca="1" si="101"/>
        <v/>
      </c>
      <c r="AX115" s="77" t="str">
        <f t="shared" ca="1" si="102"/>
        <v/>
      </c>
      <c r="AY115" s="93" t="str">
        <f t="shared" ca="1" si="103"/>
        <v/>
      </c>
      <c r="AZ115" s="77" t="str">
        <f t="shared" ca="1" si="104"/>
        <v/>
      </c>
      <c r="BA115" s="93" t="str">
        <f t="shared" ca="1" si="105"/>
        <v/>
      </c>
      <c r="BB115" s="77" t="str">
        <f t="shared" ca="1" si="106"/>
        <v/>
      </c>
      <c r="BC115" s="93" t="str">
        <f t="shared" ca="1" si="107"/>
        <v/>
      </c>
    </row>
    <row r="116" spans="1:55" ht="15.95" customHeight="1" x14ac:dyDescent="0.2">
      <c r="A116" s="41" t="str">
        <f>IF(Customization!B116="","",Customization!B116)</f>
        <v/>
      </c>
      <c r="B116" s="79" t="str">
        <f t="shared" ca="1" si="56"/>
        <v/>
      </c>
      <c r="C116" s="29" t="str">
        <f t="shared" ca="1" si="57"/>
        <v/>
      </c>
      <c r="D116" s="7" t="str">
        <f t="shared" ca="1" si="54"/>
        <v/>
      </c>
      <c r="E116" s="29" t="str">
        <f t="shared" ca="1" si="58"/>
        <v/>
      </c>
      <c r="F116" s="7" t="str">
        <f t="shared" ca="1" si="55"/>
        <v/>
      </c>
      <c r="G116" s="29" t="str">
        <f t="shared" ca="1" si="59"/>
        <v/>
      </c>
      <c r="H116" s="7" t="str">
        <f t="shared" ca="1" si="60"/>
        <v/>
      </c>
      <c r="I116" s="28" t="str">
        <f t="shared" ca="1" si="61"/>
        <v/>
      </c>
      <c r="J116" s="7" t="str">
        <f t="shared" ca="1" si="62"/>
        <v/>
      </c>
      <c r="K116" s="73" t="str">
        <f t="shared" ca="1" si="63"/>
        <v/>
      </c>
      <c r="L116" s="74" t="str">
        <f t="shared" ca="1" si="64"/>
        <v/>
      </c>
      <c r="M116" s="75" t="str">
        <f t="shared" ca="1" si="65"/>
        <v/>
      </c>
      <c r="N116" s="76" t="str">
        <f t="shared" ca="1" si="66"/>
        <v/>
      </c>
      <c r="O116" s="75" t="str">
        <f t="shared" ca="1" si="67"/>
        <v/>
      </c>
      <c r="P116" s="76" t="str">
        <f t="shared" ca="1" si="68"/>
        <v/>
      </c>
      <c r="Q116" s="75" t="str">
        <f t="shared" ca="1" si="69"/>
        <v/>
      </c>
      <c r="R116" s="77" t="str">
        <f t="shared" ca="1" si="70"/>
        <v/>
      </c>
      <c r="S116" s="89" t="str">
        <f t="shared" ca="1" si="71"/>
        <v/>
      </c>
      <c r="T116" s="88" t="str">
        <f t="shared" ca="1" si="72"/>
        <v/>
      </c>
      <c r="U116" s="92" t="str">
        <f t="shared" ca="1" si="73"/>
        <v/>
      </c>
      <c r="V116" s="88" t="str">
        <f t="shared" ca="1" si="74"/>
        <v/>
      </c>
      <c r="W116" s="92" t="str">
        <f t="shared" ca="1" si="75"/>
        <v/>
      </c>
      <c r="X116" s="88" t="str">
        <f t="shared" ca="1" si="76"/>
        <v/>
      </c>
      <c r="Y116" s="92" t="str">
        <f t="shared" ca="1" si="77"/>
        <v/>
      </c>
      <c r="Z116" s="88" t="str">
        <f t="shared" ca="1" si="78"/>
        <v/>
      </c>
      <c r="AA116" s="89" t="str">
        <f t="shared" ca="1" si="79"/>
        <v/>
      </c>
      <c r="AB116" s="88" t="str">
        <f t="shared" ca="1" si="80"/>
        <v/>
      </c>
      <c r="AC116" s="92" t="str">
        <f t="shared" ca="1" si="81"/>
        <v/>
      </c>
      <c r="AD116" s="88" t="str">
        <f t="shared" ca="1" si="82"/>
        <v/>
      </c>
      <c r="AE116" s="92" t="str">
        <f t="shared" ca="1" si="83"/>
        <v/>
      </c>
      <c r="AF116" s="88" t="str">
        <f t="shared" ca="1" si="84"/>
        <v/>
      </c>
      <c r="AG116" s="92" t="str">
        <f t="shared" ca="1" si="85"/>
        <v/>
      </c>
      <c r="AH116" s="88" t="str">
        <f t="shared" ca="1" si="86"/>
        <v/>
      </c>
      <c r="AI116" s="92" t="str">
        <f t="shared" ca="1" si="87"/>
        <v/>
      </c>
      <c r="AJ116" s="88" t="str">
        <f t="shared" ca="1" si="88"/>
        <v/>
      </c>
      <c r="AK116" s="92" t="str">
        <f t="shared" ca="1" si="89"/>
        <v/>
      </c>
      <c r="AL116" s="77" t="str">
        <f t="shared" ca="1" si="90"/>
        <v/>
      </c>
      <c r="AM116" s="89" t="str">
        <f t="shared" ca="1" si="91"/>
        <v/>
      </c>
      <c r="AN116" s="88" t="str">
        <f t="shared" ca="1" si="92"/>
        <v/>
      </c>
      <c r="AO116" s="89" t="str">
        <f t="shared" ca="1" si="93"/>
        <v/>
      </c>
      <c r="AP116" s="77" t="str">
        <f t="shared" ca="1" si="94"/>
        <v/>
      </c>
      <c r="AQ116" s="94" t="str">
        <f t="shared" ca="1" si="95"/>
        <v/>
      </c>
      <c r="AR116" s="77" t="str">
        <f t="shared" ca="1" si="96"/>
        <v/>
      </c>
      <c r="AS116" s="94" t="str">
        <f t="shared" ca="1" si="97"/>
        <v/>
      </c>
      <c r="AT116" s="77" t="str">
        <f t="shared" ca="1" si="98"/>
        <v/>
      </c>
      <c r="AU116" s="93" t="str">
        <f t="shared" ca="1" si="99"/>
        <v/>
      </c>
      <c r="AV116" s="77" t="str">
        <f t="shared" ca="1" si="100"/>
        <v/>
      </c>
      <c r="AW116" s="93" t="str">
        <f t="shared" ca="1" si="101"/>
        <v/>
      </c>
      <c r="AX116" s="77" t="str">
        <f t="shared" ca="1" si="102"/>
        <v/>
      </c>
      <c r="AY116" s="93" t="str">
        <f t="shared" ca="1" si="103"/>
        <v/>
      </c>
      <c r="AZ116" s="77" t="str">
        <f t="shared" ca="1" si="104"/>
        <v/>
      </c>
      <c r="BA116" s="93" t="str">
        <f t="shared" ca="1" si="105"/>
        <v/>
      </c>
      <c r="BB116" s="77" t="str">
        <f t="shared" ca="1" si="106"/>
        <v/>
      </c>
      <c r="BC116" s="93" t="str">
        <f t="shared" ca="1" si="107"/>
        <v/>
      </c>
    </row>
    <row r="117" spans="1:55" ht="15.95" customHeight="1" x14ac:dyDescent="0.2">
      <c r="A117" s="41" t="str">
        <f>IF(Customization!B117="","",Customization!B117)</f>
        <v/>
      </c>
      <c r="B117" s="79" t="str">
        <f t="shared" ca="1" si="56"/>
        <v/>
      </c>
      <c r="C117" s="29" t="str">
        <f t="shared" ca="1" si="57"/>
        <v/>
      </c>
      <c r="D117" s="7" t="str">
        <f t="shared" ca="1" si="54"/>
        <v/>
      </c>
      <c r="E117" s="29" t="str">
        <f t="shared" ca="1" si="58"/>
        <v/>
      </c>
      <c r="F117" s="7" t="str">
        <f t="shared" ca="1" si="55"/>
        <v/>
      </c>
      <c r="G117" s="29" t="str">
        <f t="shared" ca="1" si="59"/>
        <v/>
      </c>
      <c r="H117" s="7" t="str">
        <f t="shared" ca="1" si="60"/>
        <v/>
      </c>
      <c r="I117" s="28" t="str">
        <f t="shared" ca="1" si="61"/>
        <v/>
      </c>
      <c r="J117" s="7" t="str">
        <f t="shared" ca="1" si="62"/>
        <v/>
      </c>
      <c r="K117" s="73" t="str">
        <f t="shared" ca="1" si="63"/>
        <v/>
      </c>
      <c r="L117" s="74" t="str">
        <f t="shared" ca="1" si="64"/>
        <v/>
      </c>
      <c r="M117" s="75" t="str">
        <f t="shared" ca="1" si="65"/>
        <v/>
      </c>
      <c r="N117" s="76" t="str">
        <f t="shared" ca="1" si="66"/>
        <v/>
      </c>
      <c r="O117" s="75" t="str">
        <f t="shared" ca="1" si="67"/>
        <v/>
      </c>
      <c r="P117" s="76" t="str">
        <f t="shared" ca="1" si="68"/>
        <v/>
      </c>
      <c r="Q117" s="75" t="str">
        <f t="shared" ca="1" si="69"/>
        <v/>
      </c>
      <c r="R117" s="77" t="str">
        <f t="shared" ca="1" si="70"/>
        <v/>
      </c>
      <c r="S117" s="89" t="str">
        <f t="shared" ca="1" si="71"/>
        <v/>
      </c>
      <c r="T117" s="88" t="str">
        <f t="shared" ca="1" si="72"/>
        <v/>
      </c>
      <c r="U117" s="92" t="str">
        <f t="shared" ca="1" si="73"/>
        <v/>
      </c>
      <c r="V117" s="88" t="str">
        <f t="shared" ca="1" si="74"/>
        <v/>
      </c>
      <c r="W117" s="92" t="str">
        <f t="shared" ca="1" si="75"/>
        <v/>
      </c>
      <c r="X117" s="88" t="str">
        <f t="shared" ca="1" si="76"/>
        <v/>
      </c>
      <c r="Y117" s="92" t="str">
        <f t="shared" ca="1" si="77"/>
        <v/>
      </c>
      <c r="Z117" s="88" t="str">
        <f t="shared" ca="1" si="78"/>
        <v/>
      </c>
      <c r="AA117" s="89" t="str">
        <f t="shared" ca="1" si="79"/>
        <v/>
      </c>
      <c r="AB117" s="88" t="str">
        <f t="shared" ca="1" si="80"/>
        <v/>
      </c>
      <c r="AC117" s="92" t="str">
        <f t="shared" ca="1" si="81"/>
        <v/>
      </c>
      <c r="AD117" s="88" t="str">
        <f t="shared" ca="1" si="82"/>
        <v/>
      </c>
      <c r="AE117" s="92" t="str">
        <f t="shared" ca="1" si="83"/>
        <v/>
      </c>
      <c r="AF117" s="88" t="str">
        <f t="shared" ca="1" si="84"/>
        <v/>
      </c>
      <c r="AG117" s="92" t="str">
        <f t="shared" ca="1" si="85"/>
        <v/>
      </c>
      <c r="AH117" s="88" t="str">
        <f t="shared" ca="1" si="86"/>
        <v/>
      </c>
      <c r="AI117" s="92" t="str">
        <f t="shared" ca="1" si="87"/>
        <v/>
      </c>
      <c r="AJ117" s="88" t="str">
        <f t="shared" ca="1" si="88"/>
        <v/>
      </c>
      <c r="AK117" s="92" t="str">
        <f t="shared" ca="1" si="89"/>
        <v/>
      </c>
      <c r="AL117" s="77" t="str">
        <f t="shared" ca="1" si="90"/>
        <v/>
      </c>
      <c r="AM117" s="89" t="str">
        <f t="shared" ca="1" si="91"/>
        <v/>
      </c>
      <c r="AN117" s="88" t="str">
        <f t="shared" ca="1" si="92"/>
        <v/>
      </c>
      <c r="AO117" s="89" t="str">
        <f t="shared" ca="1" si="93"/>
        <v/>
      </c>
      <c r="AP117" s="77" t="str">
        <f t="shared" ca="1" si="94"/>
        <v/>
      </c>
      <c r="AQ117" s="94" t="str">
        <f t="shared" ca="1" si="95"/>
        <v/>
      </c>
      <c r="AR117" s="77" t="str">
        <f t="shared" ca="1" si="96"/>
        <v/>
      </c>
      <c r="AS117" s="94" t="str">
        <f t="shared" ca="1" si="97"/>
        <v/>
      </c>
      <c r="AT117" s="77" t="str">
        <f t="shared" ca="1" si="98"/>
        <v/>
      </c>
      <c r="AU117" s="93" t="str">
        <f t="shared" ca="1" si="99"/>
        <v/>
      </c>
      <c r="AV117" s="77" t="str">
        <f t="shared" ca="1" si="100"/>
        <v/>
      </c>
      <c r="AW117" s="93" t="str">
        <f t="shared" ca="1" si="101"/>
        <v/>
      </c>
      <c r="AX117" s="77" t="str">
        <f t="shared" ca="1" si="102"/>
        <v/>
      </c>
      <c r="AY117" s="93" t="str">
        <f t="shared" ca="1" si="103"/>
        <v/>
      </c>
      <c r="AZ117" s="77" t="str">
        <f t="shared" ca="1" si="104"/>
        <v/>
      </c>
      <c r="BA117" s="93" t="str">
        <f t="shared" ca="1" si="105"/>
        <v/>
      </c>
      <c r="BB117" s="77" t="str">
        <f t="shared" ca="1" si="106"/>
        <v/>
      </c>
      <c r="BC117" s="93" t="str">
        <f t="shared" ca="1" si="107"/>
        <v/>
      </c>
    </row>
    <row r="118" spans="1:55" ht="15.95" customHeight="1" x14ac:dyDescent="0.2">
      <c r="A118" s="41" t="str">
        <f>IF(Customization!B118="","",Customization!B118)</f>
        <v/>
      </c>
      <c r="B118" s="79" t="str">
        <f t="shared" ca="1" si="56"/>
        <v/>
      </c>
      <c r="C118" s="29" t="str">
        <f t="shared" ca="1" si="57"/>
        <v/>
      </c>
      <c r="D118" s="7" t="str">
        <f t="shared" ca="1" si="54"/>
        <v/>
      </c>
      <c r="E118" s="29" t="str">
        <f t="shared" ca="1" si="58"/>
        <v/>
      </c>
      <c r="F118" s="7" t="str">
        <f t="shared" ca="1" si="55"/>
        <v/>
      </c>
      <c r="G118" s="29" t="str">
        <f t="shared" ca="1" si="59"/>
        <v/>
      </c>
      <c r="H118" s="7" t="str">
        <f t="shared" ca="1" si="60"/>
        <v/>
      </c>
      <c r="I118" s="28" t="str">
        <f t="shared" ca="1" si="61"/>
        <v/>
      </c>
      <c r="J118" s="7" t="str">
        <f t="shared" ca="1" si="62"/>
        <v/>
      </c>
      <c r="K118" s="73" t="str">
        <f t="shared" ca="1" si="63"/>
        <v/>
      </c>
      <c r="L118" s="74" t="str">
        <f t="shared" ca="1" si="64"/>
        <v/>
      </c>
      <c r="M118" s="75" t="str">
        <f t="shared" ca="1" si="65"/>
        <v/>
      </c>
      <c r="N118" s="76" t="str">
        <f t="shared" ca="1" si="66"/>
        <v/>
      </c>
      <c r="O118" s="75" t="str">
        <f t="shared" ca="1" si="67"/>
        <v/>
      </c>
      <c r="P118" s="76" t="str">
        <f t="shared" ca="1" si="68"/>
        <v/>
      </c>
      <c r="Q118" s="75" t="str">
        <f t="shared" ca="1" si="69"/>
        <v/>
      </c>
      <c r="R118" s="77" t="str">
        <f t="shared" ca="1" si="70"/>
        <v/>
      </c>
      <c r="S118" s="89" t="str">
        <f t="shared" ca="1" si="71"/>
        <v/>
      </c>
      <c r="T118" s="88" t="str">
        <f t="shared" ca="1" si="72"/>
        <v/>
      </c>
      <c r="U118" s="92" t="str">
        <f t="shared" ca="1" si="73"/>
        <v/>
      </c>
      <c r="V118" s="88" t="str">
        <f t="shared" ca="1" si="74"/>
        <v/>
      </c>
      <c r="W118" s="92" t="str">
        <f t="shared" ca="1" si="75"/>
        <v/>
      </c>
      <c r="X118" s="88" t="str">
        <f t="shared" ca="1" si="76"/>
        <v/>
      </c>
      <c r="Y118" s="92" t="str">
        <f t="shared" ca="1" si="77"/>
        <v/>
      </c>
      <c r="Z118" s="88" t="str">
        <f t="shared" ca="1" si="78"/>
        <v/>
      </c>
      <c r="AA118" s="89" t="str">
        <f t="shared" ca="1" si="79"/>
        <v/>
      </c>
      <c r="AB118" s="88" t="str">
        <f t="shared" ca="1" si="80"/>
        <v/>
      </c>
      <c r="AC118" s="92" t="str">
        <f t="shared" ca="1" si="81"/>
        <v/>
      </c>
      <c r="AD118" s="88" t="str">
        <f t="shared" ca="1" si="82"/>
        <v/>
      </c>
      <c r="AE118" s="92" t="str">
        <f t="shared" ca="1" si="83"/>
        <v/>
      </c>
      <c r="AF118" s="88" t="str">
        <f t="shared" ca="1" si="84"/>
        <v/>
      </c>
      <c r="AG118" s="92" t="str">
        <f t="shared" ca="1" si="85"/>
        <v/>
      </c>
      <c r="AH118" s="88" t="str">
        <f t="shared" ca="1" si="86"/>
        <v/>
      </c>
      <c r="AI118" s="92" t="str">
        <f t="shared" ca="1" si="87"/>
        <v/>
      </c>
      <c r="AJ118" s="88" t="str">
        <f t="shared" ca="1" si="88"/>
        <v/>
      </c>
      <c r="AK118" s="92" t="str">
        <f t="shared" ca="1" si="89"/>
        <v/>
      </c>
      <c r="AL118" s="77" t="str">
        <f t="shared" ca="1" si="90"/>
        <v/>
      </c>
      <c r="AM118" s="89" t="str">
        <f t="shared" ca="1" si="91"/>
        <v/>
      </c>
      <c r="AN118" s="88" t="str">
        <f t="shared" ca="1" si="92"/>
        <v/>
      </c>
      <c r="AO118" s="89" t="str">
        <f t="shared" ca="1" si="93"/>
        <v/>
      </c>
      <c r="AP118" s="77" t="str">
        <f t="shared" ca="1" si="94"/>
        <v/>
      </c>
      <c r="AQ118" s="94" t="str">
        <f t="shared" ca="1" si="95"/>
        <v/>
      </c>
      <c r="AR118" s="77" t="str">
        <f t="shared" ca="1" si="96"/>
        <v/>
      </c>
      <c r="AS118" s="94" t="str">
        <f t="shared" ca="1" si="97"/>
        <v/>
      </c>
      <c r="AT118" s="77" t="str">
        <f t="shared" ca="1" si="98"/>
        <v/>
      </c>
      <c r="AU118" s="93" t="str">
        <f t="shared" ca="1" si="99"/>
        <v/>
      </c>
      <c r="AV118" s="77" t="str">
        <f t="shared" ca="1" si="100"/>
        <v/>
      </c>
      <c r="AW118" s="93" t="str">
        <f t="shared" ca="1" si="101"/>
        <v/>
      </c>
      <c r="AX118" s="77" t="str">
        <f t="shared" ca="1" si="102"/>
        <v/>
      </c>
      <c r="AY118" s="93" t="str">
        <f t="shared" ca="1" si="103"/>
        <v/>
      </c>
      <c r="AZ118" s="77" t="str">
        <f t="shared" ca="1" si="104"/>
        <v/>
      </c>
      <c r="BA118" s="93" t="str">
        <f t="shared" ca="1" si="105"/>
        <v/>
      </c>
      <c r="BB118" s="77" t="str">
        <f t="shared" ca="1" si="106"/>
        <v/>
      </c>
      <c r="BC118" s="93" t="str">
        <f t="shared" ca="1" si="107"/>
        <v/>
      </c>
    </row>
    <row r="119" spans="1:55" ht="15.95" customHeight="1" x14ac:dyDescent="0.2">
      <c r="A119" s="41" t="str">
        <f>IF(Customization!B119="","",Customization!B119)</f>
        <v/>
      </c>
      <c r="B119" s="79" t="str">
        <f t="shared" ca="1" si="56"/>
        <v/>
      </c>
      <c r="C119" s="29" t="str">
        <f t="shared" ca="1" si="57"/>
        <v/>
      </c>
      <c r="D119" s="7" t="str">
        <f t="shared" ca="1" si="54"/>
        <v/>
      </c>
      <c r="E119" s="29" t="str">
        <f t="shared" ca="1" si="58"/>
        <v/>
      </c>
      <c r="F119" s="7" t="str">
        <f t="shared" ca="1" si="55"/>
        <v/>
      </c>
      <c r="G119" s="29" t="str">
        <f t="shared" ca="1" si="59"/>
        <v/>
      </c>
      <c r="H119" s="7" t="str">
        <f t="shared" ca="1" si="60"/>
        <v/>
      </c>
      <c r="I119" s="28" t="str">
        <f t="shared" ca="1" si="61"/>
        <v/>
      </c>
      <c r="J119" s="7" t="str">
        <f t="shared" ca="1" si="62"/>
        <v/>
      </c>
      <c r="K119" s="73" t="str">
        <f t="shared" ca="1" si="63"/>
        <v/>
      </c>
      <c r="L119" s="74" t="str">
        <f t="shared" ca="1" si="64"/>
        <v/>
      </c>
      <c r="M119" s="75" t="str">
        <f t="shared" ca="1" si="65"/>
        <v/>
      </c>
      <c r="N119" s="76" t="str">
        <f t="shared" ca="1" si="66"/>
        <v/>
      </c>
      <c r="O119" s="75" t="str">
        <f t="shared" ca="1" si="67"/>
        <v/>
      </c>
      <c r="P119" s="76" t="str">
        <f t="shared" ca="1" si="68"/>
        <v/>
      </c>
      <c r="Q119" s="75" t="str">
        <f t="shared" ca="1" si="69"/>
        <v/>
      </c>
      <c r="R119" s="77" t="str">
        <f t="shared" ca="1" si="70"/>
        <v/>
      </c>
      <c r="S119" s="89" t="str">
        <f t="shared" ca="1" si="71"/>
        <v/>
      </c>
      <c r="T119" s="88" t="str">
        <f t="shared" ca="1" si="72"/>
        <v/>
      </c>
      <c r="U119" s="92" t="str">
        <f t="shared" ca="1" si="73"/>
        <v/>
      </c>
      <c r="V119" s="88" t="str">
        <f t="shared" ca="1" si="74"/>
        <v/>
      </c>
      <c r="W119" s="92" t="str">
        <f t="shared" ca="1" si="75"/>
        <v/>
      </c>
      <c r="X119" s="88" t="str">
        <f t="shared" ca="1" si="76"/>
        <v/>
      </c>
      <c r="Y119" s="92" t="str">
        <f t="shared" ca="1" si="77"/>
        <v/>
      </c>
      <c r="Z119" s="88" t="str">
        <f t="shared" ca="1" si="78"/>
        <v/>
      </c>
      <c r="AA119" s="89" t="str">
        <f t="shared" ca="1" si="79"/>
        <v/>
      </c>
      <c r="AB119" s="88" t="str">
        <f t="shared" ca="1" si="80"/>
        <v/>
      </c>
      <c r="AC119" s="92" t="str">
        <f t="shared" ca="1" si="81"/>
        <v/>
      </c>
      <c r="AD119" s="88" t="str">
        <f t="shared" ca="1" si="82"/>
        <v/>
      </c>
      <c r="AE119" s="92" t="str">
        <f t="shared" ca="1" si="83"/>
        <v/>
      </c>
      <c r="AF119" s="88" t="str">
        <f t="shared" ca="1" si="84"/>
        <v/>
      </c>
      <c r="AG119" s="92" t="str">
        <f t="shared" ca="1" si="85"/>
        <v/>
      </c>
      <c r="AH119" s="88" t="str">
        <f t="shared" ca="1" si="86"/>
        <v/>
      </c>
      <c r="AI119" s="92" t="str">
        <f t="shared" ca="1" si="87"/>
        <v/>
      </c>
      <c r="AJ119" s="88" t="str">
        <f t="shared" ca="1" si="88"/>
        <v/>
      </c>
      <c r="AK119" s="92" t="str">
        <f t="shared" ca="1" si="89"/>
        <v/>
      </c>
      <c r="AL119" s="77" t="str">
        <f t="shared" ca="1" si="90"/>
        <v/>
      </c>
      <c r="AM119" s="89" t="str">
        <f t="shared" ca="1" si="91"/>
        <v/>
      </c>
      <c r="AN119" s="88" t="str">
        <f t="shared" ca="1" si="92"/>
        <v/>
      </c>
      <c r="AO119" s="89" t="str">
        <f t="shared" ca="1" si="93"/>
        <v/>
      </c>
      <c r="AP119" s="77" t="str">
        <f t="shared" ca="1" si="94"/>
        <v/>
      </c>
      <c r="AQ119" s="94" t="str">
        <f t="shared" ca="1" si="95"/>
        <v/>
      </c>
      <c r="AR119" s="77" t="str">
        <f t="shared" ca="1" si="96"/>
        <v/>
      </c>
      <c r="AS119" s="94" t="str">
        <f t="shared" ca="1" si="97"/>
        <v/>
      </c>
      <c r="AT119" s="77" t="str">
        <f t="shared" ca="1" si="98"/>
        <v/>
      </c>
      <c r="AU119" s="93" t="str">
        <f t="shared" ca="1" si="99"/>
        <v/>
      </c>
      <c r="AV119" s="77" t="str">
        <f t="shared" ca="1" si="100"/>
        <v/>
      </c>
      <c r="AW119" s="93" t="str">
        <f t="shared" ca="1" si="101"/>
        <v/>
      </c>
      <c r="AX119" s="77" t="str">
        <f t="shared" ca="1" si="102"/>
        <v/>
      </c>
      <c r="AY119" s="93" t="str">
        <f t="shared" ca="1" si="103"/>
        <v/>
      </c>
      <c r="AZ119" s="77" t="str">
        <f t="shared" ca="1" si="104"/>
        <v/>
      </c>
      <c r="BA119" s="93" t="str">
        <f t="shared" ca="1" si="105"/>
        <v/>
      </c>
      <c r="BB119" s="77" t="str">
        <f t="shared" ca="1" si="106"/>
        <v/>
      </c>
      <c r="BC119" s="93" t="str">
        <f t="shared" ca="1" si="107"/>
        <v/>
      </c>
    </row>
    <row r="120" spans="1:55" ht="15.95" customHeight="1" x14ac:dyDescent="0.2">
      <c r="A120" s="41" t="str">
        <f>IF(Customization!B120="","",Customization!B120)</f>
        <v/>
      </c>
      <c r="B120" s="79" t="str">
        <f t="shared" ca="1" si="56"/>
        <v/>
      </c>
      <c r="C120" s="29" t="str">
        <f t="shared" ca="1" si="57"/>
        <v/>
      </c>
      <c r="D120" s="7" t="str">
        <f t="shared" ca="1" si="54"/>
        <v/>
      </c>
      <c r="E120" s="29" t="str">
        <f t="shared" ca="1" si="58"/>
        <v/>
      </c>
      <c r="F120" s="7" t="str">
        <f t="shared" ca="1" si="55"/>
        <v/>
      </c>
      <c r="G120" s="29" t="str">
        <f t="shared" ca="1" si="59"/>
        <v/>
      </c>
      <c r="H120" s="7" t="str">
        <f t="shared" ca="1" si="60"/>
        <v/>
      </c>
      <c r="I120" s="28" t="str">
        <f t="shared" ca="1" si="61"/>
        <v/>
      </c>
      <c r="J120" s="7" t="str">
        <f t="shared" ca="1" si="62"/>
        <v/>
      </c>
      <c r="K120" s="73" t="str">
        <f t="shared" ca="1" si="63"/>
        <v/>
      </c>
      <c r="L120" s="74" t="str">
        <f t="shared" ca="1" si="64"/>
        <v/>
      </c>
      <c r="M120" s="75" t="str">
        <f t="shared" ca="1" si="65"/>
        <v/>
      </c>
      <c r="N120" s="76" t="str">
        <f t="shared" ca="1" si="66"/>
        <v/>
      </c>
      <c r="O120" s="75" t="str">
        <f t="shared" ca="1" si="67"/>
        <v/>
      </c>
      <c r="P120" s="76" t="str">
        <f t="shared" ca="1" si="68"/>
        <v/>
      </c>
      <c r="Q120" s="75" t="str">
        <f t="shared" ca="1" si="69"/>
        <v/>
      </c>
      <c r="R120" s="77" t="str">
        <f t="shared" ca="1" si="70"/>
        <v/>
      </c>
      <c r="S120" s="89" t="str">
        <f t="shared" ca="1" si="71"/>
        <v/>
      </c>
      <c r="T120" s="88" t="str">
        <f t="shared" ca="1" si="72"/>
        <v/>
      </c>
      <c r="U120" s="92" t="str">
        <f t="shared" ca="1" si="73"/>
        <v/>
      </c>
      <c r="V120" s="88" t="str">
        <f t="shared" ca="1" si="74"/>
        <v/>
      </c>
      <c r="W120" s="92" t="str">
        <f t="shared" ca="1" si="75"/>
        <v/>
      </c>
      <c r="X120" s="88" t="str">
        <f t="shared" ca="1" si="76"/>
        <v/>
      </c>
      <c r="Y120" s="92" t="str">
        <f t="shared" ca="1" si="77"/>
        <v/>
      </c>
      <c r="Z120" s="88" t="str">
        <f t="shared" ca="1" si="78"/>
        <v/>
      </c>
      <c r="AA120" s="89" t="str">
        <f t="shared" ca="1" si="79"/>
        <v/>
      </c>
      <c r="AB120" s="88" t="str">
        <f t="shared" ca="1" si="80"/>
        <v/>
      </c>
      <c r="AC120" s="92" t="str">
        <f t="shared" ca="1" si="81"/>
        <v/>
      </c>
      <c r="AD120" s="88" t="str">
        <f t="shared" ca="1" si="82"/>
        <v/>
      </c>
      <c r="AE120" s="92" t="str">
        <f t="shared" ca="1" si="83"/>
        <v/>
      </c>
      <c r="AF120" s="88" t="str">
        <f t="shared" ca="1" si="84"/>
        <v/>
      </c>
      <c r="AG120" s="92" t="str">
        <f t="shared" ca="1" si="85"/>
        <v/>
      </c>
      <c r="AH120" s="88" t="str">
        <f t="shared" ca="1" si="86"/>
        <v/>
      </c>
      <c r="AI120" s="92" t="str">
        <f t="shared" ca="1" si="87"/>
        <v/>
      </c>
      <c r="AJ120" s="88" t="str">
        <f t="shared" ca="1" si="88"/>
        <v/>
      </c>
      <c r="AK120" s="92" t="str">
        <f t="shared" ca="1" si="89"/>
        <v/>
      </c>
      <c r="AL120" s="77" t="str">
        <f t="shared" ca="1" si="90"/>
        <v/>
      </c>
      <c r="AM120" s="89" t="str">
        <f t="shared" ca="1" si="91"/>
        <v/>
      </c>
      <c r="AN120" s="88" t="str">
        <f t="shared" ca="1" si="92"/>
        <v/>
      </c>
      <c r="AO120" s="89" t="str">
        <f t="shared" ca="1" si="93"/>
        <v/>
      </c>
      <c r="AP120" s="77" t="str">
        <f t="shared" ca="1" si="94"/>
        <v/>
      </c>
      <c r="AQ120" s="94" t="str">
        <f t="shared" ca="1" si="95"/>
        <v/>
      </c>
      <c r="AR120" s="77" t="str">
        <f t="shared" ca="1" si="96"/>
        <v/>
      </c>
      <c r="AS120" s="94" t="str">
        <f t="shared" ca="1" si="97"/>
        <v/>
      </c>
      <c r="AT120" s="77" t="str">
        <f t="shared" ca="1" si="98"/>
        <v/>
      </c>
      <c r="AU120" s="93" t="str">
        <f t="shared" ca="1" si="99"/>
        <v/>
      </c>
      <c r="AV120" s="77" t="str">
        <f t="shared" ca="1" si="100"/>
        <v/>
      </c>
      <c r="AW120" s="93" t="str">
        <f t="shared" ca="1" si="101"/>
        <v/>
      </c>
      <c r="AX120" s="77" t="str">
        <f t="shared" ca="1" si="102"/>
        <v/>
      </c>
      <c r="AY120" s="93" t="str">
        <f t="shared" ca="1" si="103"/>
        <v/>
      </c>
      <c r="AZ120" s="77" t="str">
        <f t="shared" ca="1" si="104"/>
        <v/>
      </c>
      <c r="BA120" s="93" t="str">
        <f t="shared" ca="1" si="105"/>
        <v/>
      </c>
      <c r="BB120" s="77" t="str">
        <f t="shared" ca="1" si="106"/>
        <v/>
      </c>
      <c r="BC120" s="93" t="str">
        <f t="shared" ca="1" si="107"/>
        <v/>
      </c>
    </row>
    <row r="121" spans="1:55" ht="15.95" customHeight="1" x14ac:dyDescent="0.2">
      <c r="A121" s="41" t="str">
        <f>IF(Customization!B121="","",Customization!B121)</f>
        <v/>
      </c>
      <c r="B121" s="79" t="str">
        <f t="shared" ca="1" si="56"/>
        <v/>
      </c>
      <c r="C121" s="29" t="str">
        <f t="shared" ca="1" si="57"/>
        <v/>
      </c>
      <c r="D121" s="7" t="str">
        <f t="shared" ca="1" si="54"/>
        <v/>
      </c>
      <c r="E121" s="29" t="str">
        <f t="shared" ca="1" si="58"/>
        <v/>
      </c>
      <c r="F121" s="7" t="str">
        <f t="shared" ca="1" si="55"/>
        <v/>
      </c>
      <c r="G121" s="29" t="str">
        <f t="shared" ca="1" si="59"/>
        <v/>
      </c>
      <c r="H121" s="7" t="str">
        <f t="shared" ca="1" si="60"/>
        <v/>
      </c>
      <c r="I121" s="28" t="str">
        <f t="shared" ca="1" si="61"/>
        <v/>
      </c>
      <c r="J121" s="7" t="str">
        <f t="shared" ca="1" si="62"/>
        <v/>
      </c>
      <c r="K121" s="73" t="str">
        <f t="shared" ca="1" si="63"/>
        <v/>
      </c>
      <c r="L121" s="74" t="str">
        <f t="shared" ca="1" si="64"/>
        <v/>
      </c>
      <c r="M121" s="75" t="str">
        <f t="shared" ca="1" si="65"/>
        <v/>
      </c>
      <c r="N121" s="76" t="str">
        <f t="shared" ca="1" si="66"/>
        <v/>
      </c>
      <c r="O121" s="75" t="str">
        <f t="shared" ca="1" si="67"/>
        <v/>
      </c>
      <c r="P121" s="76" t="str">
        <f t="shared" ca="1" si="68"/>
        <v/>
      </c>
      <c r="Q121" s="75" t="str">
        <f t="shared" ca="1" si="69"/>
        <v/>
      </c>
      <c r="R121" s="77" t="str">
        <f t="shared" ca="1" si="70"/>
        <v/>
      </c>
      <c r="S121" s="89" t="str">
        <f t="shared" ca="1" si="71"/>
        <v/>
      </c>
      <c r="T121" s="88" t="str">
        <f t="shared" ca="1" si="72"/>
        <v/>
      </c>
      <c r="U121" s="92" t="str">
        <f t="shared" ca="1" si="73"/>
        <v/>
      </c>
      <c r="V121" s="88" t="str">
        <f t="shared" ca="1" si="74"/>
        <v/>
      </c>
      <c r="W121" s="92" t="str">
        <f t="shared" ca="1" si="75"/>
        <v/>
      </c>
      <c r="X121" s="88" t="str">
        <f t="shared" ca="1" si="76"/>
        <v/>
      </c>
      <c r="Y121" s="92" t="str">
        <f t="shared" ca="1" si="77"/>
        <v/>
      </c>
      <c r="Z121" s="88" t="str">
        <f t="shared" ca="1" si="78"/>
        <v/>
      </c>
      <c r="AA121" s="89" t="str">
        <f t="shared" ca="1" si="79"/>
        <v/>
      </c>
      <c r="AB121" s="88" t="str">
        <f t="shared" ca="1" si="80"/>
        <v/>
      </c>
      <c r="AC121" s="92" t="str">
        <f t="shared" ca="1" si="81"/>
        <v/>
      </c>
      <c r="AD121" s="88" t="str">
        <f t="shared" ca="1" si="82"/>
        <v/>
      </c>
      <c r="AE121" s="92" t="str">
        <f t="shared" ca="1" si="83"/>
        <v/>
      </c>
      <c r="AF121" s="88" t="str">
        <f t="shared" ca="1" si="84"/>
        <v/>
      </c>
      <c r="AG121" s="92" t="str">
        <f t="shared" ca="1" si="85"/>
        <v/>
      </c>
      <c r="AH121" s="88" t="str">
        <f t="shared" ca="1" si="86"/>
        <v/>
      </c>
      <c r="AI121" s="92" t="str">
        <f t="shared" ca="1" si="87"/>
        <v/>
      </c>
      <c r="AJ121" s="88" t="str">
        <f t="shared" ca="1" si="88"/>
        <v/>
      </c>
      <c r="AK121" s="92" t="str">
        <f t="shared" ca="1" si="89"/>
        <v/>
      </c>
      <c r="AL121" s="77" t="str">
        <f t="shared" ca="1" si="90"/>
        <v/>
      </c>
      <c r="AM121" s="89" t="str">
        <f t="shared" ca="1" si="91"/>
        <v/>
      </c>
      <c r="AN121" s="88" t="str">
        <f t="shared" ca="1" si="92"/>
        <v/>
      </c>
      <c r="AO121" s="89" t="str">
        <f t="shared" ca="1" si="93"/>
        <v/>
      </c>
      <c r="AP121" s="77" t="str">
        <f t="shared" ca="1" si="94"/>
        <v/>
      </c>
      <c r="AQ121" s="94" t="str">
        <f t="shared" ca="1" si="95"/>
        <v/>
      </c>
      <c r="AR121" s="77" t="str">
        <f t="shared" ca="1" si="96"/>
        <v/>
      </c>
      <c r="AS121" s="94" t="str">
        <f t="shared" ca="1" si="97"/>
        <v/>
      </c>
      <c r="AT121" s="77" t="str">
        <f t="shared" ca="1" si="98"/>
        <v/>
      </c>
      <c r="AU121" s="93" t="str">
        <f t="shared" ca="1" si="99"/>
        <v/>
      </c>
      <c r="AV121" s="77" t="str">
        <f t="shared" ca="1" si="100"/>
        <v/>
      </c>
      <c r="AW121" s="93" t="str">
        <f t="shared" ca="1" si="101"/>
        <v/>
      </c>
      <c r="AX121" s="77" t="str">
        <f t="shared" ca="1" si="102"/>
        <v/>
      </c>
      <c r="AY121" s="93" t="str">
        <f t="shared" ca="1" si="103"/>
        <v/>
      </c>
      <c r="AZ121" s="77" t="str">
        <f t="shared" ca="1" si="104"/>
        <v/>
      </c>
      <c r="BA121" s="93" t="str">
        <f t="shared" ca="1" si="105"/>
        <v/>
      </c>
      <c r="BB121" s="77" t="str">
        <f t="shared" ca="1" si="106"/>
        <v/>
      </c>
      <c r="BC121" s="93" t="str">
        <f t="shared" ca="1" si="107"/>
        <v/>
      </c>
    </row>
    <row r="122" spans="1:55" ht="15.95" customHeight="1" x14ac:dyDescent="0.2">
      <c r="A122" s="41" t="str">
        <f>IF(Customization!B122="","",Customization!B122)</f>
        <v/>
      </c>
      <c r="B122" s="79" t="str">
        <f t="shared" ca="1" si="56"/>
        <v/>
      </c>
      <c r="C122" s="29" t="str">
        <f t="shared" ca="1" si="57"/>
        <v/>
      </c>
      <c r="D122" s="7" t="str">
        <f t="shared" ca="1" si="54"/>
        <v/>
      </c>
      <c r="E122" s="29" t="str">
        <f t="shared" ca="1" si="58"/>
        <v/>
      </c>
      <c r="F122" s="7" t="str">
        <f t="shared" ca="1" si="55"/>
        <v/>
      </c>
      <c r="G122" s="29" t="str">
        <f t="shared" ca="1" si="59"/>
        <v/>
      </c>
      <c r="H122" s="7" t="str">
        <f t="shared" ca="1" si="60"/>
        <v/>
      </c>
      <c r="I122" s="28" t="str">
        <f t="shared" ca="1" si="61"/>
        <v/>
      </c>
      <c r="J122" s="7" t="str">
        <f t="shared" ca="1" si="62"/>
        <v/>
      </c>
      <c r="K122" s="73" t="str">
        <f t="shared" ca="1" si="63"/>
        <v/>
      </c>
      <c r="L122" s="74" t="str">
        <f t="shared" ca="1" si="64"/>
        <v/>
      </c>
      <c r="M122" s="75" t="str">
        <f t="shared" ca="1" si="65"/>
        <v/>
      </c>
      <c r="N122" s="76" t="str">
        <f t="shared" ca="1" si="66"/>
        <v/>
      </c>
      <c r="O122" s="75" t="str">
        <f t="shared" ca="1" si="67"/>
        <v/>
      </c>
      <c r="P122" s="76" t="str">
        <f t="shared" ca="1" si="68"/>
        <v/>
      </c>
      <c r="Q122" s="75" t="str">
        <f t="shared" ca="1" si="69"/>
        <v/>
      </c>
      <c r="R122" s="77" t="str">
        <f t="shared" ca="1" si="70"/>
        <v/>
      </c>
      <c r="S122" s="89" t="str">
        <f t="shared" ca="1" si="71"/>
        <v/>
      </c>
      <c r="T122" s="88" t="str">
        <f t="shared" ca="1" si="72"/>
        <v/>
      </c>
      <c r="U122" s="92" t="str">
        <f t="shared" ca="1" si="73"/>
        <v/>
      </c>
      <c r="V122" s="88" t="str">
        <f t="shared" ca="1" si="74"/>
        <v/>
      </c>
      <c r="W122" s="92" t="str">
        <f t="shared" ca="1" si="75"/>
        <v/>
      </c>
      <c r="X122" s="88" t="str">
        <f t="shared" ca="1" si="76"/>
        <v/>
      </c>
      <c r="Y122" s="92" t="str">
        <f t="shared" ca="1" si="77"/>
        <v/>
      </c>
      <c r="Z122" s="88" t="str">
        <f t="shared" ca="1" si="78"/>
        <v/>
      </c>
      <c r="AA122" s="89" t="str">
        <f t="shared" ca="1" si="79"/>
        <v/>
      </c>
      <c r="AB122" s="88" t="str">
        <f t="shared" ca="1" si="80"/>
        <v/>
      </c>
      <c r="AC122" s="92" t="str">
        <f t="shared" ca="1" si="81"/>
        <v/>
      </c>
      <c r="AD122" s="88" t="str">
        <f t="shared" ca="1" si="82"/>
        <v/>
      </c>
      <c r="AE122" s="92" t="str">
        <f t="shared" ca="1" si="83"/>
        <v/>
      </c>
      <c r="AF122" s="88" t="str">
        <f t="shared" ca="1" si="84"/>
        <v/>
      </c>
      <c r="AG122" s="92" t="str">
        <f t="shared" ca="1" si="85"/>
        <v/>
      </c>
      <c r="AH122" s="88" t="str">
        <f t="shared" ca="1" si="86"/>
        <v/>
      </c>
      <c r="AI122" s="92" t="str">
        <f t="shared" ca="1" si="87"/>
        <v/>
      </c>
      <c r="AJ122" s="88" t="str">
        <f t="shared" ca="1" si="88"/>
        <v/>
      </c>
      <c r="AK122" s="92" t="str">
        <f t="shared" ca="1" si="89"/>
        <v/>
      </c>
      <c r="AL122" s="77" t="str">
        <f t="shared" ca="1" si="90"/>
        <v/>
      </c>
      <c r="AM122" s="89" t="str">
        <f t="shared" ca="1" si="91"/>
        <v/>
      </c>
      <c r="AN122" s="88" t="str">
        <f t="shared" ca="1" si="92"/>
        <v/>
      </c>
      <c r="AO122" s="89" t="str">
        <f t="shared" ca="1" si="93"/>
        <v/>
      </c>
      <c r="AP122" s="77" t="str">
        <f t="shared" ca="1" si="94"/>
        <v/>
      </c>
      <c r="AQ122" s="94" t="str">
        <f t="shared" ca="1" si="95"/>
        <v/>
      </c>
      <c r="AR122" s="77" t="str">
        <f t="shared" ca="1" si="96"/>
        <v/>
      </c>
      <c r="AS122" s="94" t="str">
        <f t="shared" ca="1" si="97"/>
        <v/>
      </c>
      <c r="AT122" s="77" t="str">
        <f t="shared" ca="1" si="98"/>
        <v/>
      </c>
      <c r="AU122" s="93" t="str">
        <f t="shared" ca="1" si="99"/>
        <v/>
      </c>
      <c r="AV122" s="77" t="str">
        <f t="shared" ca="1" si="100"/>
        <v/>
      </c>
      <c r="AW122" s="93" t="str">
        <f t="shared" ca="1" si="101"/>
        <v/>
      </c>
      <c r="AX122" s="77" t="str">
        <f t="shared" ca="1" si="102"/>
        <v/>
      </c>
      <c r="AY122" s="93" t="str">
        <f t="shared" ca="1" si="103"/>
        <v/>
      </c>
      <c r="AZ122" s="77" t="str">
        <f t="shared" ca="1" si="104"/>
        <v/>
      </c>
      <c r="BA122" s="93" t="str">
        <f t="shared" ca="1" si="105"/>
        <v/>
      </c>
      <c r="BB122" s="77" t="str">
        <f t="shared" ca="1" si="106"/>
        <v/>
      </c>
      <c r="BC122" s="93" t="str">
        <f t="shared" ca="1" si="107"/>
        <v/>
      </c>
    </row>
    <row r="123" spans="1:55" ht="15.95" customHeight="1" x14ac:dyDescent="0.2">
      <c r="A123" s="41" t="str">
        <f>IF(Customization!B123="","",Customization!B123)</f>
        <v/>
      </c>
      <c r="B123" s="79" t="str">
        <f t="shared" ca="1" si="56"/>
        <v/>
      </c>
      <c r="C123" s="29" t="str">
        <f t="shared" ca="1" si="57"/>
        <v/>
      </c>
      <c r="D123" s="7" t="str">
        <f t="shared" ca="1" si="54"/>
        <v/>
      </c>
      <c r="E123" s="29" t="str">
        <f t="shared" ca="1" si="58"/>
        <v/>
      </c>
      <c r="F123" s="7" t="str">
        <f t="shared" ca="1" si="55"/>
        <v/>
      </c>
      <c r="G123" s="29" t="str">
        <f t="shared" ca="1" si="59"/>
        <v/>
      </c>
      <c r="H123" s="7" t="str">
        <f t="shared" ca="1" si="60"/>
        <v/>
      </c>
      <c r="I123" s="28" t="str">
        <f t="shared" ca="1" si="61"/>
        <v/>
      </c>
      <c r="J123" s="7" t="str">
        <f t="shared" ca="1" si="62"/>
        <v/>
      </c>
      <c r="K123" s="73" t="str">
        <f t="shared" ca="1" si="63"/>
        <v/>
      </c>
      <c r="L123" s="74" t="str">
        <f t="shared" ca="1" si="64"/>
        <v/>
      </c>
      <c r="M123" s="75" t="str">
        <f t="shared" ca="1" si="65"/>
        <v/>
      </c>
      <c r="N123" s="76" t="str">
        <f t="shared" ca="1" si="66"/>
        <v/>
      </c>
      <c r="O123" s="75" t="str">
        <f t="shared" ca="1" si="67"/>
        <v/>
      </c>
      <c r="P123" s="76" t="str">
        <f t="shared" ca="1" si="68"/>
        <v/>
      </c>
      <c r="Q123" s="75" t="str">
        <f t="shared" ca="1" si="69"/>
        <v/>
      </c>
      <c r="R123" s="77" t="str">
        <f t="shared" ca="1" si="70"/>
        <v/>
      </c>
      <c r="S123" s="89" t="str">
        <f t="shared" ca="1" si="71"/>
        <v/>
      </c>
      <c r="T123" s="88" t="str">
        <f t="shared" ca="1" si="72"/>
        <v/>
      </c>
      <c r="U123" s="92" t="str">
        <f t="shared" ca="1" si="73"/>
        <v/>
      </c>
      <c r="V123" s="88" t="str">
        <f t="shared" ca="1" si="74"/>
        <v/>
      </c>
      <c r="W123" s="92" t="str">
        <f t="shared" ca="1" si="75"/>
        <v/>
      </c>
      <c r="X123" s="88" t="str">
        <f t="shared" ca="1" si="76"/>
        <v/>
      </c>
      <c r="Y123" s="92" t="str">
        <f t="shared" ca="1" si="77"/>
        <v/>
      </c>
      <c r="Z123" s="88" t="str">
        <f t="shared" ca="1" si="78"/>
        <v/>
      </c>
      <c r="AA123" s="89" t="str">
        <f t="shared" ca="1" si="79"/>
        <v/>
      </c>
      <c r="AB123" s="88" t="str">
        <f t="shared" ca="1" si="80"/>
        <v/>
      </c>
      <c r="AC123" s="92" t="str">
        <f t="shared" ca="1" si="81"/>
        <v/>
      </c>
      <c r="AD123" s="88" t="str">
        <f t="shared" ca="1" si="82"/>
        <v/>
      </c>
      <c r="AE123" s="92" t="str">
        <f t="shared" ca="1" si="83"/>
        <v/>
      </c>
      <c r="AF123" s="88" t="str">
        <f t="shared" ca="1" si="84"/>
        <v/>
      </c>
      <c r="AG123" s="92" t="str">
        <f t="shared" ca="1" si="85"/>
        <v/>
      </c>
      <c r="AH123" s="88" t="str">
        <f t="shared" ca="1" si="86"/>
        <v/>
      </c>
      <c r="AI123" s="92" t="str">
        <f t="shared" ca="1" si="87"/>
        <v/>
      </c>
      <c r="AJ123" s="88" t="str">
        <f t="shared" ca="1" si="88"/>
        <v/>
      </c>
      <c r="AK123" s="92" t="str">
        <f t="shared" ca="1" si="89"/>
        <v/>
      </c>
      <c r="AL123" s="77" t="str">
        <f t="shared" ca="1" si="90"/>
        <v/>
      </c>
      <c r="AM123" s="89" t="str">
        <f t="shared" ca="1" si="91"/>
        <v/>
      </c>
      <c r="AN123" s="88" t="str">
        <f t="shared" ca="1" si="92"/>
        <v/>
      </c>
      <c r="AO123" s="89" t="str">
        <f t="shared" ca="1" si="93"/>
        <v/>
      </c>
      <c r="AP123" s="77" t="str">
        <f t="shared" ca="1" si="94"/>
        <v/>
      </c>
      <c r="AQ123" s="94" t="str">
        <f t="shared" ca="1" si="95"/>
        <v/>
      </c>
      <c r="AR123" s="77" t="str">
        <f t="shared" ca="1" si="96"/>
        <v/>
      </c>
      <c r="AS123" s="94" t="str">
        <f t="shared" ca="1" si="97"/>
        <v/>
      </c>
      <c r="AT123" s="77" t="str">
        <f t="shared" ca="1" si="98"/>
        <v/>
      </c>
      <c r="AU123" s="93" t="str">
        <f t="shared" ca="1" si="99"/>
        <v/>
      </c>
      <c r="AV123" s="77" t="str">
        <f t="shared" ca="1" si="100"/>
        <v/>
      </c>
      <c r="AW123" s="93" t="str">
        <f t="shared" ca="1" si="101"/>
        <v/>
      </c>
      <c r="AX123" s="77" t="str">
        <f t="shared" ca="1" si="102"/>
        <v/>
      </c>
      <c r="AY123" s="93" t="str">
        <f t="shared" ca="1" si="103"/>
        <v/>
      </c>
      <c r="AZ123" s="77" t="str">
        <f t="shared" ca="1" si="104"/>
        <v/>
      </c>
      <c r="BA123" s="93" t="str">
        <f t="shared" ca="1" si="105"/>
        <v/>
      </c>
      <c r="BB123" s="77" t="str">
        <f t="shared" ca="1" si="106"/>
        <v/>
      </c>
      <c r="BC123" s="93" t="str">
        <f t="shared" ca="1" si="107"/>
        <v/>
      </c>
    </row>
    <row r="124" spans="1:55" ht="15.95" customHeight="1" x14ac:dyDescent="0.2">
      <c r="A124" s="41" t="str">
        <f>IF(Customization!B124="","",Customization!B124)</f>
        <v/>
      </c>
      <c r="B124" s="79" t="str">
        <f t="shared" ca="1" si="56"/>
        <v/>
      </c>
      <c r="C124" s="29" t="str">
        <f t="shared" ca="1" si="57"/>
        <v/>
      </c>
      <c r="D124" s="7" t="str">
        <f t="shared" ca="1" si="54"/>
        <v/>
      </c>
      <c r="E124" s="29" t="str">
        <f t="shared" ca="1" si="58"/>
        <v/>
      </c>
      <c r="F124" s="7" t="str">
        <f t="shared" ca="1" si="55"/>
        <v/>
      </c>
      <c r="G124" s="29" t="str">
        <f t="shared" ca="1" si="59"/>
        <v/>
      </c>
      <c r="H124" s="7" t="str">
        <f t="shared" ca="1" si="60"/>
        <v/>
      </c>
      <c r="I124" s="28" t="str">
        <f t="shared" ca="1" si="61"/>
        <v/>
      </c>
      <c r="J124" s="7" t="str">
        <f t="shared" ca="1" si="62"/>
        <v/>
      </c>
      <c r="K124" s="73" t="str">
        <f t="shared" ca="1" si="63"/>
        <v/>
      </c>
      <c r="L124" s="74" t="str">
        <f t="shared" ca="1" si="64"/>
        <v/>
      </c>
      <c r="M124" s="75" t="str">
        <f t="shared" ca="1" si="65"/>
        <v/>
      </c>
      <c r="N124" s="76" t="str">
        <f t="shared" ca="1" si="66"/>
        <v/>
      </c>
      <c r="O124" s="75" t="str">
        <f t="shared" ca="1" si="67"/>
        <v/>
      </c>
      <c r="P124" s="76" t="str">
        <f t="shared" ca="1" si="68"/>
        <v/>
      </c>
      <c r="Q124" s="75" t="str">
        <f t="shared" ca="1" si="69"/>
        <v/>
      </c>
      <c r="R124" s="77" t="str">
        <f t="shared" ca="1" si="70"/>
        <v/>
      </c>
      <c r="S124" s="89" t="str">
        <f t="shared" ca="1" si="71"/>
        <v/>
      </c>
      <c r="T124" s="88" t="str">
        <f t="shared" ca="1" si="72"/>
        <v/>
      </c>
      <c r="U124" s="92" t="str">
        <f t="shared" ca="1" si="73"/>
        <v/>
      </c>
      <c r="V124" s="88" t="str">
        <f t="shared" ca="1" si="74"/>
        <v/>
      </c>
      <c r="W124" s="92" t="str">
        <f t="shared" ca="1" si="75"/>
        <v/>
      </c>
      <c r="X124" s="88" t="str">
        <f t="shared" ca="1" si="76"/>
        <v/>
      </c>
      <c r="Y124" s="92" t="str">
        <f t="shared" ca="1" si="77"/>
        <v/>
      </c>
      <c r="Z124" s="88" t="str">
        <f t="shared" ca="1" si="78"/>
        <v/>
      </c>
      <c r="AA124" s="89" t="str">
        <f t="shared" ca="1" si="79"/>
        <v/>
      </c>
      <c r="AB124" s="88" t="str">
        <f t="shared" ca="1" si="80"/>
        <v/>
      </c>
      <c r="AC124" s="92" t="str">
        <f t="shared" ca="1" si="81"/>
        <v/>
      </c>
      <c r="AD124" s="88" t="str">
        <f t="shared" ca="1" si="82"/>
        <v/>
      </c>
      <c r="AE124" s="92" t="str">
        <f t="shared" ca="1" si="83"/>
        <v/>
      </c>
      <c r="AF124" s="88" t="str">
        <f t="shared" ca="1" si="84"/>
        <v/>
      </c>
      <c r="AG124" s="92" t="str">
        <f t="shared" ca="1" si="85"/>
        <v/>
      </c>
      <c r="AH124" s="88" t="str">
        <f t="shared" ca="1" si="86"/>
        <v/>
      </c>
      <c r="AI124" s="92" t="str">
        <f t="shared" ca="1" si="87"/>
        <v/>
      </c>
      <c r="AJ124" s="88" t="str">
        <f t="shared" ca="1" si="88"/>
        <v/>
      </c>
      <c r="AK124" s="92" t="str">
        <f t="shared" ca="1" si="89"/>
        <v/>
      </c>
      <c r="AL124" s="77" t="str">
        <f t="shared" ca="1" si="90"/>
        <v/>
      </c>
      <c r="AM124" s="89" t="str">
        <f t="shared" ca="1" si="91"/>
        <v/>
      </c>
      <c r="AN124" s="88" t="str">
        <f t="shared" ca="1" si="92"/>
        <v/>
      </c>
      <c r="AO124" s="89" t="str">
        <f t="shared" ca="1" si="93"/>
        <v/>
      </c>
      <c r="AP124" s="77" t="str">
        <f t="shared" ca="1" si="94"/>
        <v/>
      </c>
      <c r="AQ124" s="94" t="str">
        <f t="shared" ca="1" si="95"/>
        <v/>
      </c>
      <c r="AR124" s="77" t="str">
        <f t="shared" ca="1" si="96"/>
        <v/>
      </c>
      <c r="AS124" s="94" t="str">
        <f t="shared" ca="1" si="97"/>
        <v/>
      </c>
      <c r="AT124" s="77" t="str">
        <f t="shared" ca="1" si="98"/>
        <v/>
      </c>
      <c r="AU124" s="93" t="str">
        <f t="shared" ca="1" si="99"/>
        <v/>
      </c>
      <c r="AV124" s="77" t="str">
        <f t="shared" ca="1" si="100"/>
        <v/>
      </c>
      <c r="AW124" s="93" t="str">
        <f t="shared" ca="1" si="101"/>
        <v/>
      </c>
      <c r="AX124" s="77" t="str">
        <f t="shared" ca="1" si="102"/>
        <v/>
      </c>
      <c r="AY124" s="93" t="str">
        <f t="shared" ca="1" si="103"/>
        <v/>
      </c>
      <c r="AZ124" s="77" t="str">
        <f t="shared" ca="1" si="104"/>
        <v/>
      </c>
      <c r="BA124" s="93" t="str">
        <f t="shared" ca="1" si="105"/>
        <v/>
      </c>
      <c r="BB124" s="77" t="str">
        <f t="shared" ca="1" si="106"/>
        <v/>
      </c>
      <c r="BC124" s="93" t="str">
        <f t="shared" ca="1" si="107"/>
        <v/>
      </c>
    </row>
    <row r="125" spans="1:55" ht="15.95" customHeight="1" x14ac:dyDescent="0.2">
      <c r="A125" s="41" t="str">
        <f>IF(Customization!B125="","",Customization!B125)</f>
        <v/>
      </c>
      <c r="B125" s="79" t="str">
        <f t="shared" ca="1" si="56"/>
        <v/>
      </c>
      <c r="C125" s="29" t="str">
        <f t="shared" ca="1" si="57"/>
        <v/>
      </c>
      <c r="D125" s="7" t="str">
        <f t="shared" ca="1" si="54"/>
        <v/>
      </c>
      <c r="E125" s="29" t="str">
        <f t="shared" ca="1" si="58"/>
        <v/>
      </c>
      <c r="F125" s="7" t="str">
        <f t="shared" ca="1" si="55"/>
        <v/>
      </c>
      <c r="G125" s="29" t="str">
        <f t="shared" ca="1" si="59"/>
        <v/>
      </c>
      <c r="H125" s="7" t="str">
        <f t="shared" ca="1" si="60"/>
        <v/>
      </c>
      <c r="I125" s="28" t="str">
        <f t="shared" ca="1" si="61"/>
        <v/>
      </c>
      <c r="J125" s="7" t="str">
        <f t="shared" ca="1" si="62"/>
        <v/>
      </c>
      <c r="K125" s="73" t="str">
        <f t="shared" ca="1" si="63"/>
        <v/>
      </c>
      <c r="L125" s="74" t="str">
        <f t="shared" ca="1" si="64"/>
        <v/>
      </c>
      <c r="M125" s="75" t="str">
        <f t="shared" ca="1" si="65"/>
        <v/>
      </c>
      <c r="N125" s="76" t="str">
        <f t="shared" ca="1" si="66"/>
        <v/>
      </c>
      <c r="O125" s="75" t="str">
        <f t="shared" ca="1" si="67"/>
        <v/>
      </c>
      <c r="P125" s="76" t="str">
        <f t="shared" ca="1" si="68"/>
        <v/>
      </c>
      <c r="Q125" s="75" t="str">
        <f t="shared" ca="1" si="69"/>
        <v/>
      </c>
      <c r="R125" s="77" t="str">
        <f t="shared" ca="1" si="70"/>
        <v/>
      </c>
      <c r="S125" s="89" t="str">
        <f t="shared" ca="1" si="71"/>
        <v/>
      </c>
      <c r="T125" s="88" t="str">
        <f t="shared" ca="1" si="72"/>
        <v/>
      </c>
      <c r="U125" s="92" t="str">
        <f t="shared" ca="1" si="73"/>
        <v/>
      </c>
      <c r="V125" s="88" t="str">
        <f t="shared" ca="1" si="74"/>
        <v/>
      </c>
      <c r="W125" s="92" t="str">
        <f t="shared" ca="1" si="75"/>
        <v/>
      </c>
      <c r="X125" s="88" t="str">
        <f t="shared" ca="1" si="76"/>
        <v/>
      </c>
      <c r="Y125" s="92" t="str">
        <f t="shared" ca="1" si="77"/>
        <v/>
      </c>
      <c r="Z125" s="88" t="str">
        <f t="shared" ca="1" si="78"/>
        <v/>
      </c>
      <c r="AA125" s="89" t="str">
        <f t="shared" ca="1" si="79"/>
        <v/>
      </c>
      <c r="AB125" s="88" t="str">
        <f t="shared" ca="1" si="80"/>
        <v/>
      </c>
      <c r="AC125" s="92" t="str">
        <f t="shared" ca="1" si="81"/>
        <v/>
      </c>
      <c r="AD125" s="88" t="str">
        <f t="shared" ca="1" si="82"/>
        <v/>
      </c>
      <c r="AE125" s="92" t="str">
        <f t="shared" ca="1" si="83"/>
        <v/>
      </c>
      <c r="AF125" s="88" t="str">
        <f t="shared" ca="1" si="84"/>
        <v/>
      </c>
      <c r="AG125" s="92" t="str">
        <f t="shared" ca="1" si="85"/>
        <v/>
      </c>
      <c r="AH125" s="88" t="str">
        <f t="shared" ca="1" si="86"/>
        <v/>
      </c>
      <c r="AI125" s="92" t="str">
        <f t="shared" ca="1" si="87"/>
        <v/>
      </c>
      <c r="AJ125" s="88" t="str">
        <f t="shared" ca="1" si="88"/>
        <v/>
      </c>
      <c r="AK125" s="92" t="str">
        <f t="shared" ca="1" si="89"/>
        <v/>
      </c>
      <c r="AL125" s="77" t="str">
        <f t="shared" ca="1" si="90"/>
        <v/>
      </c>
      <c r="AM125" s="89" t="str">
        <f t="shared" ca="1" si="91"/>
        <v/>
      </c>
      <c r="AN125" s="88" t="str">
        <f t="shared" ca="1" si="92"/>
        <v/>
      </c>
      <c r="AO125" s="89" t="str">
        <f t="shared" ca="1" si="93"/>
        <v/>
      </c>
      <c r="AP125" s="77" t="str">
        <f t="shared" ca="1" si="94"/>
        <v/>
      </c>
      <c r="AQ125" s="94" t="str">
        <f t="shared" ca="1" si="95"/>
        <v/>
      </c>
      <c r="AR125" s="77" t="str">
        <f t="shared" ca="1" si="96"/>
        <v/>
      </c>
      <c r="AS125" s="94" t="str">
        <f t="shared" ca="1" si="97"/>
        <v/>
      </c>
      <c r="AT125" s="77" t="str">
        <f t="shared" ca="1" si="98"/>
        <v/>
      </c>
      <c r="AU125" s="93" t="str">
        <f t="shared" ca="1" si="99"/>
        <v/>
      </c>
      <c r="AV125" s="77" t="str">
        <f t="shared" ca="1" si="100"/>
        <v/>
      </c>
      <c r="AW125" s="93" t="str">
        <f t="shared" ca="1" si="101"/>
        <v/>
      </c>
      <c r="AX125" s="77" t="str">
        <f t="shared" ca="1" si="102"/>
        <v/>
      </c>
      <c r="AY125" s="93" t="str">
        <f t="shared" ca="1" si="103"/>
        <v/>
      </c>
      <c r="AZ125" s="77" t="str">
        <f t="shared" ca="1" si="104"/>
        <v/>
      </c>
      <c r="BA125" s="93" t="str">
        <f t="shared" ca="1" si="105"/>
        <v/>
      </c>
      <c r="BB125" s="77" t="str">
        <f t="shared" ca="1" si="106"/>
        <v/>
      </c>
      <c r="BC125" s="93" t="str">
        <f t="shared" ca="1" si="107"/>
        <v/>
      </c>
    </row>
    <row r="126" spans="1:55" ht="15.95" customHeight="1" x14ac:dyDescent="0.2">
      <c r="A126" s="41" t="str">
        <f>IF(Customization!B126="","",Customization!B126)</f>
        <v/>
      </c>
      <c r="B126" s="79" t="str">
        <f t="shared" ca="1" si="56"/>
        <v/>
      </c>
      <c r="C126" s="29" t="str">
        <f t="shared" ca="1" si="57"/>
        <v/>
      </c>
      <c r="D126" s="7" t="str">
        <f t="shared" ca="1" si="54"/>
        <v/>
      </c>
      <c r="E126" s="29" t="str">
        <f t="shared" ca="1" si="58"/>
        <v/>
      </c>
      <c r="F126" s="7" t="str">
        <f t="shared" ca="1" si="55"/>
        <v/>
      </c>
      <c r="G126" s="29" t="str">
        <f t="shared" ca="1" si="59"/>
        <v/>
      </c>
      <c r="H126" s="7" t="str">
        <f t="shared" ca="1" si="60"/>
        <v/>
      </c>
      <c r="I126" s="28" t="str">
        <f t="shared" ca="1" si="61"/>
        <v/>
      </c>
      <c r="J126" s="7" t="str">
        <f t="shared" ca="1" si="62"/>
        <v/>
      </c>
      <c r="K126" s="73" t="str">
        <f t="shared" ca="1" si="63"/>
        <v/>
      </c>
      <c r="L126" s="74" t="str">
        <f t="shared" ca="1" si="64"/>
        <v/>
      </c>
      <c r="M126" s="75" t="str">
        <f t="shared" ca="1" si="65"/>
        <v/>
      </c>
      <c r="N126" s="76" t="str">
        <f t="shared" ca="1" si="66"/>
        <v/>
      </c>
      <c r="O126" s="75" t="str">
        <f t="shared" ca="1" si="67"/>
        <v/>
      </c>
      <c r="P126" s="76" t="str">
        <f t="shared" ca="1" si="68"/>
        <v/>
      </c>
      <c r="Q126" s="75" t="str">
        <f t="shared" ca="1" si="69"/>
        <v/>
      </c>
      <c r="R126" s="77" t="str">
        <f t="shared" ca="1" si="70"/>
        <v/>
      </c>
      <c r="S126" s="89" t="str">
        <f t="shared" ca="1" si="71"/>
        <v/>
      </c>
      <c r="T126" s="88" t="str">
        <f t="shared" ca="1" si="72"/>
        <v/>
      </c>
      <c r="U126" s="92" t="str">
        <f t="shared" ca="1" si="73"/>
        <v/>
      </c>
      <c r="V126" s="88" t="str">
        <f t="shared" ca="1" si="74"/>
        <v/>
      </c>
      <c r="W126" s="92" t="str">
        <f t="shared" ca="1" si="75"/>
        <v/>
      </c>
      <c r="X126" s="88" t="str">
        <f t="shared" ca="1" si="76"/>
        <v/>
      </c>
      <c r="Y126" s="92" t="str">
        <f t="shared" ca="1" si="77"/>
        <v/>
      </c>
      <c r="Z126" s="88" t="str">
        <f t="shared" ca="1" si="78"/>
        <v/>
      </c>
      <c r="AA126" s="89" t="str">
        <f t="shared" ca="1" si="79"/>
        <v/>
      </c>
      <c r="AB126" s="88" t="str">
        <f t="shared" ca="1" si="80"/>
        <v/>
      </c>
      <c r="AC126" s="92" t="str">
        <f t="shared" ca="1" si="81"/>
        <v/>
      </c>
      <c r="AD126" s="88" t="str">
        <f t="shared" ca="1" si="82"/>
        <v/>
      </c>
      <c r="AE126" s="92" t="str">
        <f t="shared" ca="1" si="83"/>
        <v/>
      </c>
      <c r="AF126" s="88" t="str">
        <f t="shared" ca="1" si="84"/>
        <v/>
      </c>
      <c r="AG126" s="92" t="str">
        <f t="shared" ca="1" si="85"/>
        <v/>
      </c>
      <c r="AH126" s="88" t="str">
        <f t="shared" ca="1" si="86"/>
        <v/>
      </c>
      <c r="AI126" s="92" t="str">
        <f t="shared" ca="1" si="87"/>
        <v/>
      </c>
      <c r="AJ126" s="88" t="str">
        <f t="shared" ca="1" si="88"/>
        <v/>
      </c>
      <c r="AK126" s="92" t="str">
        <f t="shared" ca="1" si="89"/>
        <v/>
      </c>
      <c r="AL126" s="77" t="str">
        <f t="shared" ca="1" si="90"/>
        <v/>
      </c>
      <c r="AM126" s="89" t="str">
        <f t="shared" ca="1" si="91"/>
        <v/>
      </c>
      <c r="AN126" s="88" t="str">
        <f t="shared" ca="1" si="92"/>
        <v/>
      </c>
      <c r="AO126" s="89" t="str">
        <f t="shared" ca="1" si="93"/>
        <v/>
      </c>
      <c r="AP126" s="77" t="str">
        <f t="shared" ca="1" si="94"/>
        <v/>
      </c>
      <c r="AQ126" s="94" t="str">
        <f t="shared" ca="1" si="95"/>
        <v/>
      </c>
      <c r="AR126" s="77" t="str">
        <f t="shared" ca="1" si="96"/>
        <v/>
      </c>
      <c r="AS126" s="94" t="str">
        <f t="shared" ca="1" si="97"/>
        <v/>
      </c>
      <c r="AT126" s="77" t="str">
        <f t="shared" ca="1" si="98"/>
        <v/>
      </c>
      <c r="AU126" s="93" t="str">
        <f t="shared" ca="1" si="99"/>
        <v/>
      </c>
      <c r="AV126" s="77" t="str">
        <f t="shared" ca="1" si="100"/>
        <v/>
      </c>
      <c r="AW126" s="93" t="str">
        <f t="shared" ca="1" si="101"/>
        <v/>
      </c>
      <c r="AX126" s="77" t="str">
        <f t="shared" ca="1" si="102"/>
        <v/>
      </c>
      <c r="AY126" s="93" t="str">
        <f t="shared" ca="1" si="103"/>
        <v/>
      </c>
      <c r="AZ126" s="77" t="str">
        <f t="shared" ca="1" si="104"/>
        <v/>
      </c>
      <c r="BA126" s="93" t="str">
        <f t="shared" ca="1" si="105"/>
        <v/>
      </c>
      <c r="BB126" s="77" t="str">
        <f t="shared" ca="1" si="106"/>
        <v/>
      </c>
      <c r="BC126" s="93" t="str">
        <f t="shared" ca="1" si="107"/>
        <v/>
      </c>
    </row>
    <row r="127" spans="1:55" ht="15.95" customHeight="1" x14ac:dyDescent="0.2">
      <c r="A127" s="41" t="str">
        <f>IF(Customization!B127="","",Customization!B127)</f>
        <v/>
      </c>
      <c r="B127" s="79" t="str">
        <f t="shared" ca="1" si="56"/>
        <v/>
      </c>
      <c r="C127" s="29" t="str">
        <f t="shared" ca="1" si="57"/>
        <v/>
      </c>
      <c r="D127" s="7" t="str">
        <f t="shared" ca="1" si="54"/>
        <v/>
      </c>
      <c r="E127" s="29" t="str">
        <f t="shared" ca="1" si="58"/>
        <v/>
      </c>
      <c r="F127" s="7" t="str">
        <f t="shared" ca="1" si="55"/>
        <v/>
      </c>
      <c r="G127" s="29" t="str">
        <f t="shared" ca="1" si="59"/>
        <v/>
      </c>
      <c r="H127" s="7" t="str">
        <f t="shared" ca="1" si="60"/>
        <v/>
      </c>
      <c r="I127" s="28" t="str">
        <f t="shared" ca="1" si="61"/>
        <v/>
      </c>
      <c r="J127" s="7" t="str">
        <f t="shared" ca="1" si="62"/>
        <v/>
      </c>
      <c r="K127" s="73" t="str">
        <f t="shared" ca="1" si="63"/>
        <v/>
      </c>
      <c r="L127" s="74" t="str">
        <f t="shared" ca="1" si="64"/>
        <v/>
      </c>
      <c r="M127" s="75" t="str">
        <f t="shared" ca="1" si="65"/>
        <v/>
      </c>
      <c r="N127" s="76" t="str">
        <f t="shared" ca="1" si="66"/>
        <v/>
      </c>
      <c r="O127" s="75" t="str">
        <f t="shared" ca="1" si="67"/>
        <v/>
      </c>
      <c r="P127" s="76" t="str">
        <f t="shared" ca="1" si="68"/>
        <v/>
      </c>
      <c r="Q127" s="75" t="str">
        <f t="shared" ca="1" si="69"/>
        <v/>
      </c>
      <c r="R127" s="77" t="str">
        <f t="shared" ca="1" si="70"/>
        <v/>
      </c>
      <c r="S127" s="89" t="str">
        <f t="shared" ca="1" si="71"/>
        <v/>
      </c>
      <c r="T127" s="88" t="str">
        <f t="shared" ca="1" si="72"/>
        <v/>
      </c>
      <c r="U127" s="92" t="str">
        <f t="shared" ca="1" si="73"/>
        <v/>
      </c>
      <c r="V127" s="88" t="str">
        <f t="shared" ca="1" si="74"/>
        <v/>
      </c>
      <c r="W127" s="92" t="str">
        <f t="shared" ca="1" si="75"/>
        <v/>
      </c>
      <c r="X127" s="88" t="str">
        <f t="shared" ca="1" si="76"/>
        <v/>
      </c>
      <c r="Y127" s="92" t="str">
        <f t="shared" ca="1" si="77"/>
        <v/>
      </c>
      <c r="Z127" s="88" t="str">
        <f t="shared" ca="1" si="78"/>
        <v/>
      </c>
      <c r="AA127" s="89" t="str">
        <f t="shared" ca="1" si="79"/>
        <v/>
      </c>
      <c r="AB127" s="88" t="str">
        <f t="shared" ca="1" si="80"/>
        <v/>
      </c>
      <c r="AC127" s="92" t="str">
        <f t="shared" ca="1" si="81"/>
        <v/>
      </c>
      <c r="AD127" s="88" t="str">
        <f t="shared" ca="1" si="82"/>
        <v/>
      </c>
      <c r="AE127" s="92" t="str">
        <f t="shared" ca="1" si="83"/>
        <v/>
      </c>
      <c r="AF127" s="88" t="str">
        <f t="shared" ca="1" si="84"/>
        <v/>
      </c>
      <c r="AG127" s="92" t="str">
        <f t="shared" ca="1" si="85"/>
        <v/>
      </c>
      <c r="AH127" s="88" t="str">
        <f t="shared" ca="1" si="86"/>
        <v/>
      </c>
      <c r="AI127" s="92" t="str">
        <f t="shared" ca="1" si="87"/>
        <v/>
      </c>
      <c r="AJ127" s="88" t="str">
        <f t="shared" ca="1" si="88"/>
        <v/>
      </c>
      <c r="AK127" s="92" t="str">
        <f t="shared" ca="1" si="89"/>
        <v/>
      </c>
      <c r="AL127" s="77" t="str">
        <f t="shared" ca="1" si="90"/>
        <v/>
      </c>
      <c r="AM127" s="89" t="str">
        <f t="shared" ca="1" si="91"/>
        <v/>
      </c>
      <c r="AN127" s="88" t="str">
        <f t="shared" ca="1" si="92"/>
        <v/>
      </c>
      <c r="AO127" s="89" t="str">
        <f t="shared" ca="1" si="93"/>
        <v/>
      </c>
      <c r="AP127" s="77" t="str">
        <f t="shared" ca="1" si="94"/>
        <v/>
      </c>
      <c r="AQ127" s="94" t="str">
        <f t="shared" ca="1" si="95"/>
        <v/>
      </c>
      <c r="AR127" s="77" t="str">
        <f t="shared" ca="1" si="96"/>
        <v/>
      </c>
      <c r="AS127" s="94" t="str">
        <f t="shared" ca="1" si="97"/>
        <v/>
      </c>
      <c r="AT127" s="77" t="str">
        <f t="shared" ca="1" si="98"/>
        <v/>
      </c>
      <c r="AU127" s="93" t="str">
        <f t="shared" ca="1" si="99"/>
        <v/>
      </c>
      <c r="AV127" s="77" t="str">
        <f t="shared" ca="1" si="100"/>
        <v/>
      </c>
      <c r="AW127" s="93" t="str">
        <f t="shared" ca="1" si="101"/>
        <v/>
      </c>
      <c r="AX127" s="77" t="str">
        <f t="shared" ca="1" si="102"/>
        <v/>
      </c>
      <c r="AY127" s="93" t="str">
        <f t="shared" ca="1" si="103"/>
        <v/>
      </c>
      <c r="AZ127" s="77" t="str">
        <f t="shared" ca="1" si="104"/>
        <v/>
      </c>
      <c r="BA127" s="93" t="str">
        <f t="shared" ca="1" si="105"/>
        <v/>
      </c>
      <c r="BB127" s="77" t="str">
        <f t="shared" ca="1" si="106"/>
        <v/>
      </c>
      <c r="BC127" s="93" t="str">
        <f t="shared" ca="1" si="107"/>
        <v/>
      </c>
    </row>
    <row r="128" spans="1:55" ht="15.95" customHeight="1" x14ac:dyDescent="0.2">
      <c r="A128" s="41" t="str">
        <f>IF(Customization!B128="","",Customization!B128)</f>
        <v/>
      </c>
      <c r="B128" s="79" t="str">
        <f t="shared" ca="1" si="56"/>
        <v/>
      </c>
      <c r="C128" s="29" t="str">
        <f t="shared" ca="1" si="57"/>
        <v/>
      </c>
      <c r="D128" s="7" t="str">
        <f t="shared" ca="1" si="54"/>
        <v/>
      </c>
      <c r="E128" s="29" t="str">
        <f t="shared" ca="1" si="58"/>
        <v/>
      </c>
      <c r="F128" s="7" t="str">
        <f t="shared" ca="1" si="55"/>
        <v/>
      </c>
      <c r="G128" s="29" t="str">
        <f t="shared" ca="1" si="59"/>
        <v/>
      </c>
      <c r="H128" s="7" t="str">
        <f t="shared" ca="1" si="60"/>
        <v/>
      </c>
      <c r="I128" s="28" t="str">
        <f t="shared" ca="1" si="61"/>
        <v/>
      </c>
      <c r="J128" s="7" t="str">
        <f t="shared" ca="1" si="62"/>
        <v/>
      </c>
      <c r="K128" s="73" t="str">
        <f t="shared" ca="1" si="63"/>
        <v/>
      </c>
      <c r="L128" s="74" t="str">
        <f t="shared" ca="1" si="64"/>
        <v/>
      </c>
      <c r="M128" s="75" t="str">
        <f t="shared" ca="1" si="65"/>
        <v/>
      </c>
      <c r="N128" s="76" t="str">
        <f t="shared" ca="1" si="66"/>
        <v/>
      </c>
      <c r="O128" s="75" t="str">
        <f t="shared" ca="1" si="67"/>
        <v/>
      </c>
      <c r="P128" s="76" t="str">
        <f t="shared" ca="1" si="68"/>
        <v/>
      </c>
      <c r="Q128" s="75" t="str">
        <f t="shared" ca="1" si="69"/>
        <v/>
      </c>
      <c r="R128" s="77" t="str">
        <f t="shared" ca="1" si="70"/>
        <v/>
      </c>
      <c r="S128" s="89" t="str">
        <f t="shared" ca="1" si="71"/>
        <v/>
      </c>
      <c r="T128" s="88" t="str">
        <f t="shared" ca="1" si="72"/>
        <v/>
      </c>
      <c r="U128" s="92" t="str">
        <f t="shared" ca="1" si="73"/>
        <v/>
      </c>
      <c r="V128" s="88" t="str">
        <f t="shared" ca="1" si="74"/>
        <v/>
      </c>
      <c r="W128" s="92" t="str">
        <f t="shared" ca="1" si="75"/>
        <v/>
      </c>
      <c r="X128" s="88" t="str">
        <f t="shared" ca="1" si="76"/>
        <v/>
      </c>
      <c r="Y128" s="92" t="str">
        <f t="shared" ca="1" si="77"/>
        <v/>
      </c>
      <c r="Z128" s="88" t="str">
        <f t="shared" ca="1" si="78"/>
        <v/>
      </c>
      <c r="AA128" s="89" t="str">
        <f t="shared" ca="1" si="79"/>
        <v/>
      </c>
      <c r="AB128" s="88" t="str">
        <f t="shared" ca="1" si="80"/>
        <v/>
      </c>
      <c r="AC128" s="92" t="str">
        <f t="shared" ca="1" si="81"/>
        <v/>
      </c>
      <c r="AD128" s="88" t="str">
        <f t="shared" ca="1" si="82"/>
        <v/>
      </c>
      <c r="AE128" s="92" t="str">
        <f t="shared" ca="1" si="83"/>
        <v/>
      </c>
      <c r="AF128" s="88" t="str">
        <f t="shared" ca="1" si="84"/>
        <v/>
      </c>
      <c r="AG128" s="92" t="str">
        <f t="shared" ca="1" si="85"/>
        <v/>
      </c>
      <c r="AH128" s="88" t="str">
        <f t="shared" ca="1" si="86"/>
        <v/>
      </c>
      <c r="AI128" s="92" t="str">
        <f t="shared" ca="1" si="87"/>
        <v/>
      </c>
      <c r="AJ128" s="88" t="str">
        <f t="shared" ca="1" si="88"/>
        <v/>
      </c>
      <c r="AK128" s="92" t="str">
        <f t="shared" ca="1" si="89"/>
        <v/>
      </c>
      <c r="AL128" s="77" t="str">
        <f t="shared" ca="1" si="90"/>
        <v/>
      </c>
      <c r="AM128" s="89" t="str">
        <f t="shared" ca="1" si="91"/>
        <v/>
      </c>
      <c r="AN128" s="88" t="str">
        <f t="shared" ca="1" si="92"/>
        <v/>
      </c>
      <c r="AO128" s="89" t="str">
        <f t="shared" ca="1" si="93"/>
        <v/>
      </c>
      <c r="AP128" s="77" t="str">
        <f t="shared" ca="1" si="94"/>
        <v/>
      </c>
      <c r="AQ128" s="94" t="str">
        <f t="shared" ca="1" si="95"/>
        <v/>
      </c>
      <c r="AR128" s="77" t="str">
        <f t="shared" ca="1" si="96"/>
        <v/>
      </c>
      <c r="AS128" s="94" t="str">
        <f t="shared" ca="1" si="97"/>
        <v/>
      </c>
      <c r="AT128" s="77" t="str">
        <f t="shared" ca="1" si="98"/>
        <v/>
      </c>
      <c r="AU128" s="93" t="str">
        <f t="shared" ca="1" si="99"/>
        <v/>
      </c>
      <c r="AV128" s="77" t="str">
        <f t="shared" ca="1" si="100"/>
        <v/>
      </c>
      <c r="AW128" s="93" t="str">
        <f t="shared" ca="1" si="101"/>
        <v/>
      </c>
      <c r="AX128" s="77" t="str">
        <f t="shared" ca="1" si="102"/>
        <v/>
      </c>
      <c r="AY128" s="93" t="str">
        <f t="shared" ca="1" si="103"/>
        <v/>
      </c>
      <c r="AZ128" s="77" t="str">
        <f t="shared" ca="1" si="104"/>
        <v/>
      </c>
      <c r="BA128" s="93" t="str">
        <f t="shared" ca="1" si="105"/>
        <v/>
      </c>
      <c r="BB128" s="77" t="str">
        <f t="shared" ca="1" si="106"/>
        <v/>
      </c>
      <c r="BC128" s="93" t="str">
        <f t="shared" ca="1" si="107"/>
        <v/>
      </c>
    </row>
    <row r="129" spans="1:55" ht="15.95" customHeight="1" x14ac:dyDescent="0.2">
      <c r="A129" s="41" t="str">
        <f>IF(Customization!B129="","",Customization!B129)</f>
        <v/>
      </c>
      <c r="B129" s="79" t="str">
        <f t="shared" ca="1" si="56"/>
        <v/>
      </c>
      <c r="C129" s="29" t="str">
        <f t="shared" ca="1" si="57"/>
        <v/>
      </c>
      <c r="D129" s="7" t="str">
        <f t="shared" ca="1" si="54"/>
        <v/>
      </c>
      <c r="E129" s="29" t="str">
        <f t="shared" ca="1" si="58"/>
        <v/>
      </c>
      <c r="F129" s="7" t="str">
        <f t="shared" ca="1" si="55"/>
        <v/>
      </c>
      <c r="G129" s="29" t="str">
        <f t="shared" ca="1" si="59"/>
        <v/>
      </c>
      <c r="H129" s="7" t="str">
        <f t="shared" ca="1" si="60"/>
        <v/>
      </c>
      <c r="I129" s="28" t="str">
        <f t="shared" ca="1" si="61"/>
        <v/>
      </c>
      <c r="J129" s="7" t="str">
        <f t="shared" ca="1" si="62"/>
        <v/>
      </c>
      <c r="K129" s="73" t="str">
        <f t="shared" ca="1" si="63"/>
        <v/>
      </c>
      <c r="L129" s="74" t="str">
        <f t="shared" ca="1" si="64"/>
        <v/>
      </c>
      <c r="M129" s="75" t="str">
        <f t="shared" ca="1" si="65"/>
        <v/>
      </c>
      <c r="N129" s="76" t="str">
        <f t="shared" ca="1" si="66"/>
        <v/>
      </c>
      <c r="O129" s="75" t="str">
        <f t="shared" ca="1" si="67"/>
        <v/>
      </c>
      <c r="P129" s="76" t="str">
        <f t="shared" ca="1" si="68"/>
        <v/>
      </c>
      <c r="Q129" s="75" t="str">
        <f t="shared" ca="1" si="69"/>
        <v/>
      </c>
      <c r="R129" s="77" t="str">
        <f t="shared" ca="1" si="70"/>
        <v/>
      </c>
      <c r="S129" s="89" t="str">
        <f t="shared" ca="1" si="71"/>
        <v/>
      </c>
      <c r="T129" s="88" t="str">
        <f t="shared" ca="1" si="72"/>
        <v/>
      </c>
      <c r="U129" s="92" t="str">
        <f t="shared" ca="1" si="73"/>
        <v/>
      </c>
      <c r="V129" s="88" t="str">
        <f t="shared" ca="1" si="74"/>
        <v/>
      </c>
      <c r="W129" s="92" t="str">
        <f t="shared" ca="1" si="75"/>
        <v/>
      </c>
      <c r="X129" s="88" t="str">
        <f t="shared" ca="1" si="76"/>
        <v/>
      </c>
      <c r="Y129" s="92" t="str">
        <f t="shared" ca="1" si="77"/>
        <v/>
      </c>
      <c r="Z129" s="88" t="str">
        <f t="shared" ca="1" si="78"/>
        <v/>
      </c>
      <c r="AA129" s="89" t="str">
        <f t="shared" ca="1" si="79"/>
        <v/>
      </c>
      <c r="AB129" s="88" t="str">
        <f t="shared" ca="1" si="80"/>
        <v/>
      </c>
      <c r="AC129" s="92" t="str">
        <f t="shared" ca="1" si="81"/>
        <v/>
      </c>
      <c r="AD129" s="88" t="str">
        <f t="shared" ca="1" si="82"/>
        <v/>
      </c>
      <c r="AE129" s="92" t="str">
        <f t="shared" ca="1" si="83"/>
        <v/>
      </c>
      <c r="AF129" s="88" t="str">
        <f t="shared" ca="1" si="84"/>
        <v/>
      </c>
      <c r="AG129" s="92" t="str">
        <f t="shared" ca="1" si="85"/>
        <v/>
      </c>
      <c r="AH129" s="88" t="str">
        <f t="shared" ca="1" si="86"/>
        <v/>
      </c>
      <c r="AI129" s="92" t="str">
        <f t="shared" ca="1" si="87"/>
        <v/>
      </c>
      <c r="AJ129" s="88" t="str">
        <f t="shared" ca="1" si="88"/>
        <v/>
      </c>
      <c r="AK129" s="92" t="str">
        <f t="shared" ca="1" si="89"/>
        <v/>
      </c>
      <c r="AL129" s="77" t="str">
        <f t="shared" ca="1" si="90"/>
        <v/>
      </c>
      <c r="AM129" s="89" t="str">
        <f t="shared" ca="1" si="91"/>
        <v/>
      </c>
      <c r="AN129" s="88" t="str">
        <f t="shared" ca="1" si="92"/>
        <v/>
      </c>
      <c r="AO129" s="89" t="str">
        <f t="shared" ca="1" si="93"/>
        <v/>
      </c>
      <c r="AP129" s="77" t="str">
        <f t="shared" ca="1" si="94"/>
        <v/>
      </c>
      <c r="AQ129" s="94" t="str">
        <f t="shared" ca="1" si="95"/>
        <v/>
      </c>
      <c r="AR129" s="77" t="str">
        <f t="shared" ca="1" si="96"/>
        <v/>
      </c>
      <c r="AS129" s="94" t="str">
        <f t="shared" ca="1" si="97"/>
        <v/>
      </c>
      <c r="AT129" s="77" t="str">
        <f t="shared" ca="1" si="98"/>
        <v/>
      </c>
      <c r="AU129" s="93" t="str">
        <f t="shared" ca="1" si="99"/>
        <v/>
      </c>
      <c r="AV129" s="77" t="str">
        <f t="shared" ca="1" si="100"/>
        <v/>
      </c>
      <c r="AW129" s="93" t="str">
        <f t="shared" ca="1" si="101"/>
        <v/>
      </c>
      <c r="AX129" s="77" t="str">
        <f t="shared" ca="1" si="102"/>
        <v/>
      </c>
      <c r="AY129" s="93" t="str">
        <f t="shared" ca="1" si="103"/>
        <v/>
      </c>
      <c r="AZ129" s="77" t="str">
        <f t="shared" ca="1" si="104"/>
        <v/>
      </c>
      <c r="BA129" s="93" t="str">
        <f t="shared" ca="1" si="105"/>
        <v/>
      </c>
      <c r="BB129" s="77" t="str">
        <f t="shared" ca="1" si="106"/>
        <v/>
      </c>
      <c r="BC129" s="93" t="str">
        <f t="shared" ca="1" si="107"/>
        <v/>
      </c>
    </row>
    <row r="130" spans="1:55" ht="15.95" customHeight="1" x14ac:dyDescent="0.2">
      <c r="A130" s="41" t="str">
        <f>IF(Customization!B130="","",Customization!B130)</f>
        <v/>
      </c>
      <c r="B130" s="79" t="str">
        <f t="shared" ca="1" si="56"/>
        <v/>
      </c>
      <c r="C130" s="29" t="str">
        <f t="shared" ca="1" si="57"/>
        <v/>
      </c>
      <c r="D130" s="7" t="str">
        <f t="shared" ca="1" si="54"/>
        <v/>
      </c>
      <c r="E130" s="29" t="str">
        <f t="shared" ca="1" si="58"/>
        <v/>
      </c>
      <c r="F130" s="7" t="str">
        <f t="shared" ca="1" si="55"/>
        <v/>
      </c>
      <c r="G130" s="29" t="str">
        <f t="shared" ca="1" si="59"/>
        <v/>
      </c>
      <c r="H130" s="7" t="str">
        <f t="shared" ca="1" si="60"/>
        <v/>
      </c>
      <c r="I130" s="28" t="str">
        <f t="shared" ca="1" si="61"/>
        <v/>
      </c>
      <c r="J130" s="7" t="str">
        <f t="shared" ca="1" si="62"/>
        <v/>
      </c>
      <c r="K130" s="73" t="str">
        <f t="shared" ca="1" si="63"/>
        <v/>
      </c>
      <c r="L130" s="74" t="str">
        <f t="shared" ca="1" si="64"/>
        <v/>
      </c>
      <c r="M130" s="75" t="str">
        <f t="shared" ca="1" si="65"/>
        <v/>
      </c>
      <c r="N130" s="76" t="str">
        <f t="shared" ca="1" si="66"/>
        <v/>
      </c>
      <c r="O130" s="75" t="str">
        <f t="shared" ca="1" si="67"/>
        <v/>
      </c>
      <c r="P130" s="76" t="str">
        <f t="shared" ca="1" si="68"/>
        <v/>
      </c>
      <c r="Q130" s="75" t="str">
        <f t="shared" ca="1" si="69"/>
        <v/>
      </c>
      <c r="R130" s="77" t="str">
        <f t="shared" ca="1" si="70"/>
        <v/>
      </c>
      <c r="S130" s="89" t="str">
        <f t="shared" ca="1" si="71"/>
        <v/>
      </c>
      <c r="T130" s="88" t="str">
        <f t="shared" ca="1" si="72"/>
        <v/>
      </c>
      <c r="U130" s="92" t="str">
        <f t="shared" ca="1" si="73"/>
        <v/>
      </c>
      <c r="V130" s="88" t="str">
        <f t="shared" ca="1" si="74"/>
        <v/>
      </c>
      <c r="W130" s="92" t="str">
        <f t="shared" ca="1" si="75"/>
        <v/>
      </c>
      <c r="X130" s="88" t="str">
        <f t="shared" ca="1" si="76"/>
        <v/>
      </c>
      <c r="Y130" s="92" t="str">
        <f t="shared" ca="1" si="77"/>
        <v/>
      </c>
      <c r="Z130" s="88" t="str">
        <f t="shared" ca="1" si="78"/>
        <v/>
      </c>
      <c r="AA130" s="89" t="str">
        <f t="shared" ca="1" si="79"/>
        <v/>
      </c>
      <c r="AB130" s="88" t="str">
        <f t="shared" ca="1" si="80"/>
        <v/>
      </c>
      <c r="AC130" s="92" t="str">
        <f t="shared" ca="1" si="81"/>
        <v/>
      </c>
      <c r="AD130" s="88" t="str">
        <f t="shared" ca="1" si="82"/>
        <v/>
      </c>
      <c r="AE130" s="92" t="str">
        <f t="shared" ca="1" si="83"/>
        <v/>
      </c>
      <c r="AF130" s="88" t="str">
        <f t="shared" ca="1" si="84"/>
        <v/>
      </c>
      <c r="AG130" s="92" t="str">
        <f t="shared" ca="1" si="85"/>
        <v/>
      </c>
      <c r="AH130" s="88" t="str">
        <f t="shared" ca="1" si="86"/>
        <v/>
      </c>
      <c r="AI130" s="92" t="str">
        <f t="shared" ca="1" si="87"/>
        <v/>
      </c>
      <c r="AJ130" s="88" t="str">
        <f t="shared" ca="1" si="88"/>
        <v/>
      </c>
      <c r="AK130" s="92" t="str">
        <f t="shared" ca="1" si="89"/>
        <v/>
      </c>
      <c r="AL130" s="77" t="str">
        <f t="shared" ca="1" si="90"/>
        <v/>
      </c>
      <c r="AM130" s="89" t="str">
        <f t="shared" ca="1" si="91"/>
        <v/>
      </c>
      <c r="AN130" s="88" t="str">
        <f t="shared" ca="1" si="92"/>
        <v/>
      </c>
      <c r="AO130" s="89" t="str">
        <f t="shared" ca="1" si="93"/>
        <v/>
      </c>
      <c r="AP130" s="77" t="str">
        <f t="shared" ca="1" si="94"/>
        <v/>
      </c>
      <c r="AQ130" s="94" t="str">
        <f t="shared" ca="1" si="95"/>
        <v/>
      </c>
      <c r="AR130" s="77" t="str">
        <f t="shared" ca="1" si="96"/>
        <v/>
      </c>
      <c r="AS130" s="94" t="str">
        <f t="shared" ca="1" si="97"/>
        <v/>
      </c>
      <c r="AT130" s="77" t="str">
        <f t="shared" ca="1" si="98"/>
        <v/>
      </c>
      <c r="AU130" s="93" t="str">
        <f t="shared" ca="1" si="99"/>
        <v/>
      </c>
      <c r="AV130" s="77" t="str">
        <f t="shared" ca="1" si="100"/>
        <v/>
      </c>
      <c r="AW130" s="93" t="str">
        <f t="shared" ca="1" si="101"/>
        <v/>
      </c>
      <c r="AX130" s="77" t="str">
        <f t="shared" ca="1" si="102"/>
        <v/>
      </c>
      <c r="AY130" s="93" t="str">
        <f t="shared" ca="1" si="103"/>
        <v/>
      </c>
      <c r="AZ130" s="77" t="str">
        <f t="shared" ca="1" si="104"/>
        <v/>
      </c>
      <c r="BA130" s="93" t="str">
        <f t="shared" ca="1" si="105"/>
        <v/>
      </c>
      <c r="BB130" s="77" t="str">
        <f t="shared" ca="1" si="106"/>
        <v/>
      </c>
      <c r="BC130" s="93" t="str">
        <f t="shared" ca="1" si="107"/>
        <v/>
      </c>
    </row>
    <row r="131" spans="1:55" ht="15.95" customHeight="1" x14ac:dyDescent="0.2">
      <c r="A131" s="41" t="str">
        <f>IF(Customization!B131="","",Customization!B131)</f>
        <v/>
      </c>
      <c r="B131" s="79" t="str">
        <f t="shared" ca="1" si="56"/>
        <v/>
      </c>
      <c r="C131" s="29" t="str">
        <f t="shared" ca="1" si="57"/>
        <v/>
      </c>
      <c r="D131" s="7" t="str">
        <f t="shared" ref="D131:D194" ca="1" si="108">IFERROR(INDIRECT("'"&amp;$A131&amp;"'!Q5"),"")</f>
        <v/>
      </c>
      <c r="E131" s="29" t="str">
        <f t="shared" ca="1" si="58"/>
        <v/>
      </c>
      <c r="F131" s="7" t="str">
        <f t="shared" ref="F131:F194" ca="1" si="109">IFERROR(INDIRECT("'"&amp;$A131&amp;"'!S5"),"")</f>
        <v/>
      </c>
      <c r="G131" s="29" t="str">
        <f t="shared" ca="1" si="59"/>
        <v/>
      </c>
      <c r="H131" s="7" t="str">
        <f t="shared" ca="1" si="60"/>
        <v/>
      </c>
      <c r="I131" s="28" t="str">
        <f t="shared" ca="1" si="61"/>
        <v/>
      </c>
      <c r="J131" s="7" t="str">
        <f t="shared" ca="1" si="62"/>
        <v/>
      </c>
      <c r="K131" s="73" t="str">
        <f t="shared" ca="1" si="63"/>
        <v/>
      </c>
      <c r="L131" s="74" t="str">
        <f t="shared" ca="1" si="64"/>
        <v/>
      </c>
      <c r="M131" s="75" t="str">
        <f t="shared" ca="1" si="65"/>
        <v/>
      </c>
      <c r="N131" s="76" t="str">
        <f t="shared" ca="1" si="66"/>
        <v/>
      </c>
      <c r="O131" s="75" t="str">
        <f t="shared" ca="1" si="67"/>
        <v/>
      </c>
      <c r="P131" s="76" t="str">
        <f t="shared" ca="1" si="68"/>
        <v/>
      </c>
      <c r="Q131" s="75" t="str">
        <f t="shared" ca="1" si="69"/>
        <v/>
      </c>
      <c r="R131" s="77" t="str">
        <f t="shared" ca="1" si="70"/>
        <v/>
      </c>
      <c r="S131" s="89" t="str">
        <f t="shared" ca="1" si="71"/>
        <v/>
      </c>
      <c r="T131" s="88" t="str">
        <f t="shared" ca="1" si="72"/>
        <v/>
      </c>
      <c r="U131" s="92" t="str">
        <f t="shared" ca="1" si="73"/>
        <v/>
      </c>
      <c r="V131" s="88" t="str">
        <f t="shared" ca="1" si="74"/>
        <v/>
      </c>
      <c r="W131" s="92" t="str">
        <f t="shared" ca="1" si="75"/>
        <v/>
      </c>
      <c r="X131" s="88" t="str">
        <f t="shared" ca="1" si="76"/>
        <v/>
      </c>
      <c r="Y131" s="92" t="str">
        <f t="shared" ca="1" si="77"/>
        <v/>
      </c>
      <c r="Z131" s="88" t="str">
        <f t="shared" ca="1" si="78"/>
        <v/>
      </c>
      <c r="AA131" s="89" t="str">
        <f t="shared" ca="1" si="79"/>
        <v/>
      </c>
      <c r="AB131" s="88" t="str">
        <f t="shared" ca="1" si="80"/>
        <v/>
      </c>
      <c r="AC131" s="92" t="str">
        <f t="shared" ca="1" si="81"/>
        <v/>
      </c>
      <c r="AD131" s="88" t="str">
        <f t="shared" ca="1" si="82"/>
        <v/>
      </c>
      <c r="AE131" s="92" t="str">
        <f t="shared" ca="1" si="83"/>
        <v/>
      </c>
      <c r="AF131" s="88" t="str">
        <f t="shared" ca="1" si="84"/>
        <v/>
      </c>
      <c r="AG131" s="92" t="str">
        <f t="shared" ca="1" si="85"/>
        <v/>
      </c>
      <c r="AH131" s="88" t="str">
        <f t="shared" ca="1" si="86"/>
        <v/>
      </c>
      <c r="AI131" s="92" t="str">
        <f t="shared" ca="1" si="87"/>
        <v/>
      </c>
      <c r="AJ131" s="88" t="str">
        <f t="shared" ca="1" si="88"/>
        <v/>
      </c>
      <c r="AK131" s="92" t="str">
        <f t="shared" ca="1" si="89"/>
        <v/>
      </c>
      <c r="AL131" s="77" t="str">
        <f t="shared" ca="1" si="90"/>
        <v/>
      </c>
      <c r="AM131" s="89" t="str">
        <f t="shared" ca="1" si="91"/>
        <v/>
      </c>
      <c r="AN131" s="88" t="str">
        <f t="shared" ca="1" si="92"/>
        <v/>
      </c>
      <c r="AO131" s="89" t="str">
        <f t="shared" ca="1" si="93"/>
        <v/>
      </c>
      <c r="AP131" s="77" t="str">
        <f t="shared" ca="1" si="94"/>
        <v/>
      </c>
      <c r="AQ131" s="94" t="str">
        <f t="shared" ca="1" si="95"/>
        <v/>
      </c>
      <c r="AR131" s="77" t="str">
        <f t="shared" ca="1" si="96"/>
        <v/>
      </c>
      <c r="AS131" s="94" t="str">
        <f t="shared" ca="1" si="97"/>
        <v/>
      </c>
      <c r="AT131" s="77" t="str">
        <f t="shared" ca="1" si="98"/>
        <v/>
      </c>
      <c r="AU131" s="93" t="str">
        <f t="shared" ca="1" si="99"/>
        <v/>
      </c>
      <c r="AV131" s="77" t="str">
        <f t="shared" ca="1" si="100"/>
        <v/>
      </c>
      <c r="AW131" s="93" t="str">
        <f t="shared" ca="1" si="101"/>
        <v/>
      </c>
      <c r="AX131" s="77" t="str">
        <f t="shared" ca="1" si="102"/>
        <v/>
      </c>
      <c r="AY131" s="93" t="str">
        <f t="shared" ca="1" si="103"/>
        <v/>
      </c>
      <c r="AZ131" s="77" t="str">
        <f t="shared" ca="1" si="104"/>
        <v/>
      </c>
      <c r="BA131" s="93" t="str">
        <f t="shared" ca="1" si="105"/>
        <v/>
      </c>
      <c r="BB131" s="77" t="str">
        <f t="shared" ca="1" si="106"/>
        <v/>
      </c>
      <c r="BC131" s="93" t="str">
        <f t="shared" ca="1" si="107"/>
        <v/>
      </c>
    </row>
    <row r="132" spans="1:55" ht="15.95" customHeight="1" x14ac:dyDescent="0.2">
      <c r="A132" s="41" t="str">
        <f>IF(Customization!B132="","",Customization!B132)</f>
        <v/>
      </c>
      <c r="B132" s="79" t="str">
        <f t="shared" ref="B132:B195" ca="1" si="110">IFERROR(INDIRECT("'"&amp;$A132&amp;"'!O5"),"")</f>
        <v/>
      </c>
      <c r="C132" s="29" t="str">
        <f t="shared" ref="C132:C195" ca="1" si="111">IFERROR(INDIRECT("'"&amp;$A132&amp;"'!P5"),"")</f>
        <v/>
      </c>
      <c r="D132" s="7" t="str">
        <f t="shared" ca="1" si="108"/>
        <v/>
      </c>
      <c r="E132" s="29" t="str">
        <f t="shared" ref="E132:E195" ca="1" si="112">IFERROR(INDIRECT("'"&amp;$A132&amp;"'!R5"),"")</f>
        <v/>
      </c>
      <c r="F132" s="7" t="str">
        <f t="shared" ca="1" si="109"/>
        <v/>
      </c>
      <c r="G132" s="29" t="str">
        <f t="shared" ref="G132:G195" ca="1" si="113">IFERROR(INDIRECT("'"&amp;$A132&amp;"'!T5"),"")</f>
        <v/>
      </c>
      <c r="H132" s="7" t="str">
        <f t="shared" ref="H132:H195" ca="1" si="114">IFERROR(INDIRECT("'"&amp;$A132&amp;"'!U5"),"")</f>
        <v/>
      </c>
      <c r="I132" s="28" t="str">
        <f t="shared" ref="I132:I195" ca="1" si="115">IFERROR(INDIRECT("'"&amp;$A132&amp;"'!V5"),"")</f>
        <v/>
      </c>
      <c r="J132" s="7" t="str">
        <f t="shared" ref="J132:J195" ca="1" si="116">IFERROR(INDIRECT("'"&amp;$A132&amp;"'!W5"),"")</f>
        <v/>
      </c>
      <c r="K132" s="73" t="str">
        <f t="shared" ref="K132:K195" ca="1" si="117">IFERROR(INDIRECT("'"&amp;A132&amp;"'!O11"),"")</f>
        <v/>
      </c>
      <c r="L132" s="74" t="str">
        <f t="shared" ref="L132:L195" ca="1" si="118">IFERROR(INDIRECT("'"&amp;A132&amp;"'!P11"),"")</f>
        <v/>
      </c>
      <c r="M132" s="75" t="str">
        <f t="shared" ref="M132:M195" ca="1" si="119">IFERROR(INDIRECT("'"&amp;A132&amp;"'!Q11"),"")</f>
        <v/>
      </c>
      <c r="N132" s="76" t="str">
        <f t="shared" ref="N132:N195" ca="1" si="120">IFERROR(INDIRECT("'"&amp;A132&amp;"'!R11"),"")</f>
        <v/>
      </c>
      <c r="O132" s="75" t="str">
        <f t="shared" ref="O132:O195" ca="1" si="121">IFERROR(INDIRECT("'"&amp;A132&amp;"'!S11"),"")</f>
        <v/>
      </c>
      <c r="P132" s="76" t="str">
        <f t="shared" ref="P132:P195" ca="1" si="122">IFERROR(INDIRECT("'"&amp;A132&amp;"'!T11"),"")</f>
        <v/>
      </c>
      <c r="Q132" s="75" t="str">
        <f t="shared" ref="Q132:Q195" ca="1" si="123">IFERROR(INDIRECT("'"&amp;A132&amp;"'!U11"),"")</f>
        <v/>
      </c>
      <c r="R132" s="77" t="str">
        <f t="shared" ref="R132:R195" ca="1" si="124">IFERROR(INDIRECT("'"&amp;A132&amp;"'!V11"),"")</f>
        <v/>
      </c>
      <c r="S132" s="89" t="str">
        <f t="shared" ref="S132:S195" ca="1" si="125">IFERROR(INDIRECT("'"&amp;A132&amp;"'!W11"),"")</f>
        <v/>
      </c>
      <c r="T132" s="88" t="str">
        <f t="shared" ref="T132:T195" ca="1" si="126">IFERROR(INDIRECT("'"&amp;A132&amp;"'!O17"),"")</f>
        <v/>
      </c>
      <c r="U132" s="92" t="str">
        <f t="shared" ref="U132:U195" ca="1" si="127">IFERROR(INDIRECT("'"&amp;A132&amp;"'!P17"),"")</f>
        <v/>
      </c>
      <c r="V132" s="88" t="str">
        <f t="shared" ref="V132:V195" ca="1" si="128">IFERROR(INDIRECT("'"&amp;A132&amp;"'!Q17"),"")</f>
        <v/>
      </c>
      <c r="W132" s="92" t="str">
        <f t="shared" ref="W132:W195" ca="1" si="129">IFERROR(INDIRECT("'"&amp;A132&amp;"'!R17"),"")</f>
        <v/>
      </c>
      <c r="X132" s="88" t="str">
        <f t="shared" ref="X132:X195" ca="1" si="130">IFERROR(INDIRECT("'"&amp;A132&amp;"'!S17"),"")</f>
        <v/>
      </c>
      <c r="Y132" s="92" t="str">
        <f t="shared" ref="Y132:Y195" ca="1" si="131">IFERROR(INDIRECT("'"&amp;A132&amp;"'!T17"),"")</f>
        <v/>
      </c>
      <c r="Z132" s="88" t="str">
        <f t="shared" ref="Z132:Z195" ca="1" si="132">IFERROR(INDIRECT("'"&amp;A132&amp;"'!U17"),"")</f>
        <v/>
      </c>
      <c r="AA132" s="89" t="str">
        <f t="shared" ref="AA132:AA195" ca="1" si="133">IFERROR(INDIRECT("'"&amp;A132&amp;"'!V17"),"")</f>
        <v/>
      </c>
      <c r="AB132" s="88" t="str">
        <f t="shared" ref="AB132:AB195" ca="1" si="134">IFERROR(INDIRECT("'"&amp;A132&amp;"'!W17"),"")</f>
        <v/>
      </c>
      <c r="AC132" s="92" t="str">
        <f t="shared" ref="AC132:AC195" ca="1" si="135">IFERROR(INDIRECT("'"&amp;A132&amp;"'!X5"),"")</f>
        <v/>
      </c>
      <c r="AD132" s="88" t="str">
        <f t="shared" ref="AD132:AD195" ca="1" si="136">IFERROR(INDIRECT("'"&amp;A132&amp;"'!Y5"),"")</f>
        <v/>
      </c>
      <c r="AE132" s="92" t="str">
        <f t="shared" ref="AE132:AE195" ca="1" si="137">IFERROR(INDIRECT("'"&amp;A132&amp;"'!Z5"),"")</f>
        <v/>
      </c>
      <c r="AF132" s="88" t="str">
        <f t="shared" ref="AF132:AF195" ca="1" si="138">IFERROR(INDIRECT("'"&amp;A132&amp;"'!AA5"),"")</f>
        <v/>
      </c>
      <c r="AG132" s="92" t="str">
        <f t="shared" ref="AG132:AG195" ca="1" si="139">IFERROR(INDIRECT("'"&amp;A132&amp;"'!AB5"),"")</f>
        <v/>
      </c>
      <c r="AH132" s="88" t="str">
        <f t="shared" ref="AH132:AH195" ca="1" si="140">IFERROR(INDIRECT("'"&amp;A132&amp;"'!AC5"),"")</f>
        <v/>
      </c>
      <c r="AI132" s="92" t="str">
        <f t="shared" ref="AI132:AI195" ca="1" si="141">IFERROR(INDIRECT("'"&amp;A132&amp;"'!AD5"),"")</f>
        <v/>
      </c>
      <c r="AJ132" s="88" t="str">
        <f t="shared" ref="AJ132:AJ195" ca="1" si="142">IFERROR(INDIRECT("'"&amp;A132&amp;"'!AE5"),"")</f>
        <v/>
      </c>
      <c r="AK132" s="92" t="str">
        <f t="shared" ref="AK132:AK195" ca="1" si="143">IFERROR(INDIRECT("'"&amp;A132&amp;"'!AF5"),"")</f>
        <v/>
      </c>
      <c r="AL132" s="77" t="str">
        <f t="shared" ref="AL132:AL195" ca="1" si="144">IFERROR(INDIRECT("'"&amp;A132&amp;"'!X11"),"")</f>
        <v/>
      </c>
      <c r="AM132" s="89" t="str">
        <f t="shared" ref="AM132:AM195" ca="1" si="145">IFERROR(INDIRECT("'"&amp;A132&amp;"'!Y11"),"")</f>
        <v/>
      </c>
      <c r="AN132" s="88" t="str">
        <f t="shared" ref="AN132:AN195" ca="1" si="146">IFERROR(INDIRECT("'"&amp;A132&amp;"'!Z11"),"")</f>
        <v/>
      </c>
      <c r="AO132" s="89" t="str">
        <f t="shared" ref="AO132:AO195" ca="1" si="147">IFERROR(INDIRECT("'"&amp;A132&amp;"'!AA11"),"")</f>
        <v/>
      </c>
      <c r="AP132" s="77" t="str">
        <f t="shared" ref="AP132:AP195" ca="1" si="148">IFERROR(INDIRECT("'"&amp;A132&amp;"'!AB11"),"")</f>
        <v/>
      </c>
      <c r="AQ132" s="94" t="str">
        <f t="shared" ref="AQ132:AQ195" ca="1" si="149">IFERROR(INDIRECT("'"&amp;A132&amp;"'!AC11"),"")</f>
        <v/>
      </c>
      <c r="AR132" s="77" t="str">
        <f t="shared" ref="AR132:AR195" ca="1" si="150">IFERROR(INDIRECT("'"&amp;A132&amp;"'!AD11"),"")</f>
        <v/>
      </c>
      <c r="AS132" s="94" t="str">
        <f t="shared" ref="AS132:AS195" ca="1" si="151">IFERROR(INDIRECT("'"&amp;A132&amp;"'!AE11"),"")</f>
        <v/>
      </c>
      <c r="AT132" s="77" t="str">
        <f t="shared" ref="AT132:AT195" ca="1" si="152">IFERROR(INDIRECT("'"&amp;A132&amp;"'!AF11"),"")</f>
        <v/>
      </c>
      <c r="AU132" s="93" t="str">
        <f t="shared" ref="AU132:AU195" ca="1" si="153">IFERROR(INDIRECT("'"&amp;A132&amp;"'!X17"),"")</f>
        <v/>
      </c>
      <c r="AV132" s="77" t="str">
        <f t="shared" ref="AV132:AV195" ca="1" si="154">IFERROR(INDIRECT("'"&amp;A132&amp;"'!Y17"),"")</f>
        <v/>
      </c>
      <c r="AW132" s="93" t="str">
        <f t="shared" ref="AW132:AW195" ca="1" si="155">IFERROR(INDIRECT("'"&amp;A132&amp;"'!Z17"),"")</f>
        <v/>
      </c>
      <c r="AX132" s="77" t="str">
        <f t="shared" ref="AX132:AX195" ca="1" si="156">IFERROR(INDIRECT("'"&amp;A132&amp;"'!AA17"),"")</f>
        <v/>
      </c>
      <c r="AY132" s="93" t="str">
        <f t="shared" ref="AY132:AY195" ca="1" si="157">IFERROR(INDIRECT("'"&amp;A132&amp;"'!AB17"),"")</f>
        <v/>
      </c>
      <c r="AZ132" s="77" t="str">
        <f t="shared" ref="AZ132:AZ195" ca="1" si="158">IFERROR(INDIRECT("'"&amp;$A132&amp;"'!AC17"),"")</f>
        <v/>
      </c>
      <c r="BA132" s="93" t="str">
        <f t="shared" ref="BA132:BA195" ca="1" si="159">IFERROR(INDIRECT("'"&amp;$A132&amp;"'!AD17"),"")</f>
        <v/>
      </c>
      <c r="BB132" s="77" t="str">
        <f t="shared" ref="BB132:BB195" ca="1" si="160">IFERROR(INDIRECT("'"&amp;$A132&amp;"'!AE17"),"")</f>
        <v/>
      </c>
      <c r="BC132" s="93" t="str">
        <f t="shared" ref="BC132:BC195" ca="1" si="161">IFERROR(INDIRECT("'"&amp;$A132&amp;"'!AF17"),"")</f>
        <v/>
      </c>
    </row>
    <row r="133" spans="1:55" ht="15.95" customHeight="1" x14ac:dyDescent="0.2">
      <c r="A133" s="41" t="str">
        <f>IF(Customization!B133="","",Customization!B133)</f>
        <v/>
      </c>
      <c r="B133" s="79" t="str">
        <f t="shared" ca="1" si="110"/>
        <v/>
      </c>
      <c r="C133" s="29" t="str">
        <f t="shared" ca="1" si="111"/>
        <v/>
      </c>
      <c r="D133" s="7" t="str">
        <f t="shared" ca="1" si="108"/>
        <v/>
      </c>
      <c r="E133" s="29" t="str">
        <f t="shared" ca="1" si="112"/>
        <v/>
      </c>
      <c r="F133" s="7" t="str">
        <f t="shared" ca="1" si="109"/>
        <v/>
      </c>
      <c r="G133" s="29" t="str">
        <f t="shared" ca="1" si="113"/>
        <v/>
      </c>
      <c r="H133" s="7" t="str">
        <f t="shared" ca="1" si="114"/>
        <v/>
      </c>
      <c r="I133" s="28" t="str">
        <f t="shared" ca="1" si="115"/>
        <v/>
      </c>
      <c r="J133" s="7" t="str">
        <f t="shared" ca="1" si="116"/>
        <v/>
      </c>
      <c r="K133" s="73" t="str">
        <f t="shared" ca="1" si="117"/>
        <v/>
      </c>
      <c r="L133" s="74" t="str">
        <f t="shared" ca="1" si="118"/>
        <v/>
      </c>
      <c r="M133" s="75" t="str">
        <f t="shared" ca="1" si="119"/>
        <v/>
      </c>
      <c r="N133" s="76" t="str">
        <f t="shared" ca="1" si="120"/>
        <v/>
      </c>
      <c r="O133" s="75" t="str">
        <f t="shared" ca="1" si="121"/>
        <v/>
      </c>
      <c r="P133" s="76" t="str">
        <f t="shared" ca="1" si="122"/>
        <v/>
      </c>
      <c r="Q133" s="75" t="str">
        <f t="shared" ca="1" si="123"/>
        <v/>
      </c>
      <c r="R133" s="77" t="str">
        <f t="shared" ca="1" si="124"/>
        <v/>
      </c>
      <c r="S133" s="89" t="str">
        <f t="shared" ca="1" si="125"/>
        <v/>
      </c>
      <c r="T133" s="88" t="str">
        <f t="shared" ca="1" si="126"/>
        <v/>
      </c>
      <c r="U133" s="92" t="str">
        <f t="shared" ca="1" si="127"/>
        <v/>
      </c>
      <c r="V133" s="88" t="str">
        <f t="shared" ca="1" si="128"/>
        <v/>
      </c>
      <c r="W133" s="92" t="str">
        <f t="shared" ca="1" si="129"/>
        <v/>
      </c>
      <c r="X133" s="88" t="str">
        <f t="shared" ca="1" si="130"/>
        <v/>
      </c>
      <c r="Y133" s="92" t="str">
        <f t="shared" ca="1" si="131"/>
        <v/>
      </c>
      <c r="Z133" s="88" t="str">
        <f t="shared" ca="1" si="132"/>
        <v/>
      </c>
      <c r="AA133" s="89" t="str">
        <f t="shared" ca="1" si="133"/>
        <v/>
      </c>
      <c r="AB133" s="88" t="str">
        <f t="shared" ca="1" si="134"/>
        <v/>
      </c>
      <c r="AC133" s="92" t="str">
        <f t="shared" ca="1" si="135"/>
        <v/>
      </c>
      <c r="AD133" s="88" t="str">
        <f t="shared" ca="1" si="136"/>
        <v/>
      </c>
      <c r="AE133" s="92" t="str">
        <f t="shared" ca="1" si="137"/>
        <v/>
      </c>
      <c r="AF133" s="88" t="str">
        <f t="shared" ca="1" si="138"/>
        <v/>
      </c>
      <c r="AG133" s="92" t="str">
        <f t="shared" ca="1" si="139"/>
        <v/>
      </c>
      <c r="AH133" s="88" t="str">
        <f t="shared" ca="1" si="140"/>
        <v/>
      </c>
      <c r="AI133" s="92" t="str">
        <f t="shared" ca="1" si="141"/>
        <v/>
      </c>
      <c r="AJ133" s="88" t="str">
        <f t="shared" ca="1" si="142"/>
        <v/>
      </c>
      <c r="AK133" s="92" t="str">
        <f t="shared" ca="1" si="143"/>
        <v/>
      </c>
      <c r="AL133" s="77" t="str">
        <f t="shared" ca="1" si="144"/>
        <v/>
      </c>
      <c r="AM133" s="89" t="str">
        <f t="shared" ca="1" si="145"/>
        <v/>
      </c>
      <c r="AN133" s="88" t="str">
        <f t="shared" ca="1" si="146"/>
        <v/>
      </c>
      <c r="AO133" s="89" t="str">
        <f t="shared" ca="1" si="147"/>
        <v/>
      </c>
      <c r="AP133" s="77" t="str">
        <f t="shared" ca="1" si="148"/>
        <v/>
      </c>
      <c r="AQ133" s="94" t="str">
        <f t="shared" ca="1" si="149"/>
        <v/>
      </c>
      <c r="AR133" s="77" t="str">
        <f t="shared" ca="1" si="150"/>
        <v/>
      </c>
      <c r="AS133" s="94" t="str">
        <f t="shared" ca="1" si="151"/>
        <v/>
      </c>
      <c r="AT133" s="77" t="str">
        <f t="shared" ca="1" si="152"/>
        <v/>
      </c>
      <c r="AU133" s="93" t="str">
        <f t="shared" ca="1" si="153"/>
        <v/>
      </c>
      <c r="AV133" s="77" t="str">
        <f t="shared" ca="1" si="154"/>
        <v/>
      </c>
      <c r="AW133" s="93" t="str">
        <f t="shared" ca="1" si="155"/>
        <v/>
      </c>
      <c r="AX133" s="77" t="str">
        <f t="shared" ca="1" si="156"/>
        <v/>
      </c>
      <c r="AY133" s="93" t="str">
        <f t="shared" ca="1" si="157"/>
        <v/>
      </c>
      <c r="AZ133" s="77" t="str">
        <f t="shared" ca="1" si="158"/>
        <v/>
      </c>
      <c r="BA133" s="93" t="str">
        <f t="shared" ca="1" si="159"/>
        <v/>
      </c>
      <c r="BB133" s="77" t="str">
        <f t="shared" ca="1" si="160"/>
        <v/>
      </c>
      <c r="BC133" s="93" t="str">
        <f t="shared" ca="1" si="161"/>
        <v/>
      </c>
    </row>
    <row r="134" spans="1:55" ht="15.95" customHeight="1" x14ac:dyDescent="0.2">
      <c r="A134" s="41" t="str">
        <f>IF(Customization!B134="","",Customization!B134)</f>
        <v/>
      </c>
      <c r="B134" s="79" t="str">
        <f t="shared" ca="1" si="110"/>
        <v/>
      </c>
      <c r="C134" s="29" t="str">
        <f t="shared" ca="1" si="111"/>
        <v/>
      </c>
      <c r="D134" s="7" t="str">
        <f t="shared" ca="1" si="108"/>
        <v/>
      </c>
      <c r="E134" s="29" t="str">
        <f t="shared" ca="1" si="112"/>
        <v/>
      </c>
      <c r="F134" s="7" t="str">
        <f t="shared" ca="1" si="109"/>
        <v/>
      </c>
      <c r="G134" s="29" t="str">
        <f t="shared" ca="1" si="113"/>
        <v/>
      </c>
      <c r="H134" s="7" t="str">
        <f t="shared" ca="1" si="114"/>
        <v/>
      </c>
      <c r="I134" s="28" t="str">
        <f t="shared" ca="1" si="115"/>
        <v/>
      </c>
      <c r="J134" s="7" t="str">
        <f t="shared" ca="1" si="116"/>
        <v/>
      </c>
      <c r="K134" s="73" t="str">
        <f t="shared" ca="1" si="117"/>
        <v/>
      </c>
      <c r="L134" s="74" t="str">
        <f t="shared" ca="1" si="118"/>
        <v/>
      </c>
      <c r="M134" s="75" t="str">
        <f t="shared" ca="1" si="119"/>
        <v/>
      </c>
      <c r="N134" s="76" t="str">
        <f t="shared" ca="1" si="120"/>
        <v/>
      </c>
      <c r="O134" s="75" t="str">
        <f t="shared" ca="1" si="121"/>
        <v/>
      </c>
      <c r="P134" s="76" t="str">
        <f t="shared" ca="1" si="122"/>
        <v/>
      </c>
      <c r="Q134" s="75" t="str">
        <f t="shared" ca="1" si="123"/>
        <v/>
      </c>
      <c r="R134" s="77" t="str">
        <f t="shared" ca="1" si="124"/>
        <v/>
      </c>
      <c r="S134" s="89" t="str">
        <f t="shared" ca="1" si="125"/>
        <v/>
      </c>
      <c r="T134" s="88" t="str">
        <f t="shared" ca="1" si="126"/>
        <v/>
      </c>
      <c r="U134" s="92" t="str">
        <f t="shared" ca="1" si="127"/>
        <v/>
      </c>
      <c r="V134" s="88" t="str">
        <f t="shared" ca="1" si="128"/>
        <v/>
      </c>
      <c r="W134" s="92" t="str">
        <f t="shared" ca="1" si="129"/>
        <v/>
      </c>
      <c r="X134" s="88" t="str">
        <f t="shared" ca="1" si="130"/>
        <v/>
      </c>
      <c r="Y134" s="92" t="str">
        <f t="shared" ca="1" si="131"/>
        <v/>
      </c>
      <c r="Z134" s="88" t="str">
        <f t="shared" ca="1" si="132"/>
        <v/>
      </c>
      <c r="AA134" s="89" t="str">
        <f t="shared" ca="1" si="133"/>
        <v/>
      </c>
      <c r="AB134" s="88" t="str">
        <f t="shared" ca="1" si="134"/>
        <v/>
      </c>
      <c r="AC134" s="92" t="str">
        <f t="shared" ca="1" si="135"/>
        <v/>
      </c>
      <c r="AD134" s="88" t="str">
        <f t="shared" ca="1" si="136"/>
        <v/>
      </c>
      <c r="AE134" s="92" t="str">
        <f t="shared" ca="1" si="137"/>
        <v/>
      </c>
      <c r="AF134" s="88" t="str">
        <f t="shared" ca="1" si="138"/>
        <v/>
      </c>
      <c r="AG134" s="92" t="str">
        <f t="shared" ca="1" si="139"/>
        <v/>
      </c>
      <c r="AH134" s="88" t="str">
        <f t="shared" ca="1" si="140"/>
        <v/>
      </c>
      <c r="AI134" s="92" t="str">
        <f t="shared" ca="1" si="141"/>
        <v/>
      </c>
      <c r="AJ134" s="88" t="str">
        <f t="shared" ca="1" si="142"/>
        <v/>
      </c>
      <c r="AK134" s="92" t="str">
        <f t="shared" ca="1" si="143"/>
        <v/>
      </c>
      <c r="AL134" s="77" t="str">
        <f t="shared" ca="1" si="144"/>
        <v/>
      </c>
      <c r="AM134" s="89" t="str">
        <f t="shared" ca="1" si="145"/>
        <v/>
      </c>
      <c r="AN134" s="88" t="str">
        <f t="shared" ca="1" si="146"/>
        <v/>
      </c>
      <c r="AO134" s="89" t="str">
        <f t="shared" ca="1" si="147"/>
        <v/>
      </c>
      <c r="AP134" s="77" t="str">
        <f t="shared" ca="1" si="148"/>
        <v/>
      </c>
      <c r="AQ134" s="94" t="str">
        <f t="shared" ca="1" si="149"/>
        <v/>
      </c>
      <c r="AR134" s="77" t="str">
        <f t="shared" ca="1" si="150"/>
        <v/>
      </c>
      <c r="AS134" s="94" t="str">
        <f t="shared" ca="1" si="151"/>
        <v/>
      </c>
      <c r="AT134" s="77" t="str">
        <f t="shared" ca="1" si="152"/>
        <v/>
      </c>
      <c r="AU134" s="93" t="str">
        <f t="shared" ca="1" si="153"/>
        <v/>
      </c>
      <c r="AV134" s="77" t="str">
        <f t="shared" ca="1" si="154"/>
        <v/>
      </c>
      <c r="AW134" s="93" t="str">
        <f t="shared" ca="1" si="155"/>
        <v/>
      </c>
      <c r="AX134" s="77" t="str">
        <f t="shared" ca="1" si="156"/>
        <v/>
      </c>
      <c r="AY134" s="93" t="str">
        <f t="shared" ca="1" si="157"/>
        <v/>
      </c>
      <c r="AZ134" s="77" t="str">
        <f t="shared" ca="1" si="158"/>
        <v/>
      </c>
      <c r="BA134" s="93" t="str">
        <f t="shared" ca="1" si="159"/>
        <v/>
      </c>
      <c r="BB134" s="77" t="str">
        <f t="shared" ca="1" si="160"/>
        <v/>
      </c>
      <c r="BC134" s="93" t="str">
        <f t="shared" ca="1" si="161"/>
        <v/>
      </c>
    </row>
    <row r="135" spans="1:55" ht="15.95" customHeight="1" x14ac:dyDescent="0.2">
      <c r="A135" s="41" t="str">
        <f>IF(Customization!B135="","",Customization!B135)</f>
        <v/>
      </c>
      <c r="B135" s="79" t="str">
        <f t="shared" ca="1" si="110"/>
        <v/>
      </c>
      <c r="C135" s="29" t="str">
        <f t="shared" ca="1" si="111"/>
        <v/>
      </c>
      <c r="D135" s="7" t="str">
        <f t="shared" ca="1" si="108"/>
        <v/>
      </c>
      <c r="E135" s="29" t="str">
        <f t="shared" ca="1" si="112"/>
        <v/>
      </c>
      <c r="F135" s="7" t="str">
        <f t="shared" ca="1" si="109"/>
        <v/>
      </c>
      <c r="G135" s="29" t="str">
        <f t="shared" ca="1" si="113"/>
        <v/>
      </c>
      <c r="H135" s="7" t="str">
        <f t="shared" ca="1" si="114"/>
        <v/>
      </c>
      <c r="I135" s="28" t="str">
        <f t="shared" ca="1" si="115"/>
        <v/>
      </c>
      <c r="J135" s="7" t="str">
        <f t="shared" ca="1" si="116"/>
        <v/>
      </c>
      <c r="K135" s="73" t="str">
        <f t="shared" ca="1" si="117"/>
        <v/>
      </c>
      <c r="L135" s="74" t="str">
        <f t="shared" ca="1" si="118"/>
        <v/>
      </c>
      <c r="M135" s="75" t="str">
        <f t="shared" ca="1" si="119"/>
        <v/>
      </c>
      <c r="N135" s="76" t="str">
        <f t="shared" ca="1" si="120"/>
        <v/>
      </c>
      <c r="O135" s="75" t="str">
        <f t="shared" ca="1" si="121"/>
        <v/>
      </c>
      <c r="P135" s="76" t="str">
        <f t="shared" ca="1" si="122"/>
        <v/>
      </c>
      <c r="Q135" s="75" t="str">
        <f t="shared" ca="1" si="123"/>
        <v/>
      </c>
      <c r="R135" s="77" t="str">
        <f t="shared" ca="1" si="124"/>
        <v/>
      </c>
      <c r="S135" s="89" t="str">
        <f t="shared" ca="1" si="125"/>
        <v/>
      </c>
      <c r="T135" s="88" t="str">
        <f t="shared" ca="1" si="126"/>
        <v/>
      </c>
      <c r="U135" s="92" t="str">
        <f t="shared" ca="1" si="127"/>
        <v/>
      </c>
      <c r="V135" s="88" t="str">
        <f t="shared" ca="1" si="128"/>
        <v/>
      </c>
      <c r="W135" s="92" t="str">
        <f t="shared" ca="1" si="129"/>
        <v/>
      </c>
      <c r="X135" s="88" t="str">
        <f t="shared" ca="1" si="130"/>
        <v/>
      </c>
      <c r="Y135" s="92" t="str">
        <f t="shared" ca="1" si="131"/>
        <v/>
      </c>
      <c r="Z135" s="88" t="str">
        <f t="shared" ca="1" si="132"/>
        <v/>
      </c>
      <c r="AA135" s="89" t="str">
        <f t="shared" ca="1" si="133"/>
        <v/>
      </c>
      <c r="AB135" s="88" t="str">
        <f t="shared" ca="1" si="134"/>
        <v/>
      </c>
      <c r="AC135" s="92" t="str">
        <f t="shared" ca="1" si="135"/>
        <v/>
      </c>
      <c r="AD135" s="88" t="str">
        <f t="shared" ca="1" si="136"/>
        <v/>
      </c>
      <c r="AE135" s="92" t="str">
        <f t="shared" ca="1" si="137"/>
        <v/>
      </c>
      <c r="AF135" s="88" t="str">
        <f t="shared" ca="1" si="138"/>
        <v/>
      </c>
      <c r="AG135" s="92" t="str">
        <f t="shared" ca="1" si="139"/>
        <v/>
      </c>
      <c r="AH135" s="88" t="str">
        <f t="shared" ca="1" si="140"/>
        <v/>
      </c>
      <c r="AI135" s="92" t="str">
        <f t="shared" ca="1" si="141"/>
        <v/>
      </c>
      <c r="AJ135" s="88" t="str">
        <f t="shared" ca="1" si="142"/>
        <v/>
      </c>
      <c r="AK135" s="92" t="str">
        <f t="shared" ca="1" si="143"/>
        <v/>
      </c>
      <c r="AL135" s="77" t="str">
        <f t="shared" ca="1" si="144"/>
        <v/>
      </c>
      <c r="AM135" s="89" t="str">
        <f t="shared" ca="1" si="145"/>
        <v/>
      </c>
      <c r="AN135" s="88" t="str">
        <f t="shared" ca="1" si="146"/>
        <v/>
      </c>
      <c r="AO135" s="89" t="str">
        <f t="shared" ca="1" si="147"/>
        <v/>
      </c>
      <c r="AP135" s="77" t="str">
        <f t="shared" ca="1" si="148"/>
        <v/>
      </c>
      <c r="AQ135" s="94" t="str">
        <f t="shared" ca="1" si="149"/>
        <v/>
      </c>
      <c r="AR135" s="77" t="str">
        <f t="shared" ca="1" si="150"/>
        <v/>
      </c>
      <c r="AS135" s="94" t="str">
        <f t="shared" ca="1" si="151"/>
        <v/>
      </c>
      <c r="AT135" s="77" t="str">
        <f t="shared" ca="1" si="152"/>
        <v/>
      </c>
      <c r="AU135" s="93" t="str">
        <f t="shared" ca="1" si="153"/>
        <v/>
      </c>
      <c r="AV135" s="77" t="str">
        <f t="shared" ca="1" si="154"/>
        <v/>
      </c>
      <c r="AW135" s="93" t="str">
        <f t="shared" ca="1" si="155"/>
        <v/>
      </c>
      <c r="AX135" s="77" t="str">
        <f t="shared" ca="1" si="156"/>
        <v/>
      </c>
      <c r="AY135" s="93" t="str">
        <f t="shared" ca="1" si="157"/>
        <v/>
      </c>
      <c r="AZ135" s="77" t="str">
        <f t="shared" ca="1" si="158"/>
        <v/>
      </c>
      <c r="BA135" s="93" t="str">
        <f t="shared" ca="1" si="159"/>
        <v/>
      </c>
      <c r="BB135" s="77" t="str">
        <f t="shared" ca="1" si="160"/>
        <v/>
      </c>
      <c r="BC135" s="93" t="str">
        <f t="shared" ca="1" si="161"/>
        <v/>
      </c>
    </row>
    <row r="136" spans="1:55" ht="15.95" customHeight="1" x14ac:dyDescent="0.2">
      <c r="A136" s="41" t="str">
        <f>IF(Customization!B136="","",Customization!B136)</f>
        <v/>
      </c>
      <c r="B136" s="79" t="str">
        <f t="shared" ca="1" si="110"/>
        <v/>
      </c>
      <c r="C136" s="29" t="str">
        <f t="shared" ca="1" si="111"/>
        <v/>
      </c>
      <c r="D136" s="7" t="str">
        <f t="shared" ca="1" si="108"/>
        <v/>
      </c>
      <c r="E136" s="29" t="str">
        <f t="shared" ca="1" si="112"/>
        <v/>
      </c>
      <c r="F136" s="7" t="str">
        <f t="shared" ca="1" si="109"/>
        <v/>
      </c>
      <c r="G136" s="29" t="str">
        <f t="shared" ca="1" si="113"/>
        <v/>
      </c>
      <c r="H136" s="7" t="str">
        <f t="shared" ca="1" si="114"/>
        <v/>
      </c>
      <c r="I136" s="28" t="str">
        <f t="shared" ca="1" si="115"/>
        <v/>
      </c>
      <c r="J136" s="7" t="str">
        <f t="shared" ca="1" si="116"/>
        <v/>
      </c>
      <c r="K136" s="73" t="str">
        <f t="shared" ca="1" si="117"/>
        <v/>
      </c>
      <c r="L136" s="74" t="str">
        <f t="shared" ca="1" si="118"/>
        <v/>
      </c>
      <c r="M136" s="75" t="str">
        <f t="shared" ca="1" si="119"/>
        <v/>
      </c>
      <c r="N136" s="76" t="str">
        <f t="shared" ca="1" si="120"/>
        <v/>
      </c>
      <c r="O136" s="75" t="str">
        <f t="shared" ca="1" si="121"/>
        <v/>
      </c>
      <c r="P136" s="76" t="str">
        <f t="shared" ca="1" si="122"/>
        <v/>
      </c>
      <c r="Q136" s="75" t="str">
        <f t="shared" ca="1" si="123"/>
        <v/>
      </c>
      <c r="R136" s="77" t="str">
        <f t="shared" ca="1" si="124"/>
        <v/>
      </c>
      <c r="S136" s="89" t="str">
        <f t="shared" ca="1" si="125"/>
        <v/>
      </c>
      <c r="T136" s="88" t="str">
        <f t="shared" ca="1" si="126"/>
        <v/>
      </c>
      <c r="U136" s="92" t="str">
        <f t="shared" ca="1" si="127"/>
        <v/>
      </c>
      <c r="V136" s="88" t="str">
        <f t="shared" ca="1" si="128"/>
        <v/>
      </c>
      <c r="W136" s="92" t="str">
        <f t="shared" ca="1" si="129"/>
        <v/>
      </c>
      <c r="X136" s="88" t="str">
        <f t="shared" ca="1" si="130"/>
        <v/>
      </c>
      <c r="Y136" s="92" t="str">
        <f t="shared" ca="1" si="131"/>
        <v/>
      </c>
      <c r="Z136" s="88" t="str">
        <f t="shared" ca="1" si="132"/>
        <v/>
      </c>
      <c r="AA136" s="89" t="str">
        <f t="shared" ca="1" si="133"/>
        <v/>
      </c>
      <c r="AB136" s="88" t="str">
        <f t="shared" ca="1" si="134"/>
        <v/>
      </c>
      <c r="AC136" s="92" t="str">
        <f t="shared" ca="1" si="135"/>
        <v/>
      </c>
      <c r="AD136" s="88" t="str">
        <f t="shared" ca="1" si="136"/>
        <v/>
      </c>
      <c r="AE136" s="92" t="str">
        <f t="shared" ca="1" si="137"/>
        <v/>
      </c>
      <c r="AF136" s="88" t="str">
        <f t="shared" ca="1" si="138"/>
        <v/>
      </c>
      <c r="AG136" s="92" t="str">
        <f t="shared" ca="1" si="139"/>
        <v/>
      </c>
      <c r="AH136" s="88" t="str">
        <f t="shared" ca="1" si="140"/>
        <v/>
      </c>
      <c r="AI136" s="92" t="str">
        <f t="shared" ca="1" si="141"/>
        <v/>
      </c>
      <c r="AJ136" s="88" t="str">
        <f t="shared" ca="1" si="142"/>
        <v/>
      </c>
      <c r="AK136" s="92" t="str">
        <f t="shared" ca="1" si="143"/>
        <v/>
      </c>
      <c r="AL136" s="77" t="str">
        <f t="shared" ca="1" si="144"/>
        <v/>
      </c>
      <c r="AM136" s="89" t="str">
        <f t="shared" ca="1" si="145"/>
        <v/>
      </c>
      <c r="AN136" s="88" t="str">
        <f t="shared" ca="1" si="146"/>
        <v/>
      </c>
      <c r="AO136" s="89" t="str">
        <f t="shared" ca="1" si="147"/>
        <v/>
      </c>
      <c r="AP136" s="77" t="str">
        <f t="shared" ca="1" si="148"/>
        <v/>
      </c>
      <c r="AQ136" s="94" t="str">
        <f t="shared" ca="1" si="149"/>
        <v/>
      </c>
      <c r="AR136" s="77" t="str">
        <f t="shared" ca="1" si="150"/>
        <v/>
      </c>
      <c r="AS136" s="94" t="str">
        <f t="shared" ca="1" si="151"/>
        <v/>
      </c>
      <c r="AT136" s="77" t="str">
        <f t="shared" ca="1" si="152"/>
        <v/>
      </c>
      <c r="AU136" s="93" t="str">
        <f t="shared" ca="1" si="153"/>
        <v/>
      </c>
      <c r="AV136" s="77" t="str">
        <f t="shared" ca="1" si="154"/>
        <v/>
      </c>
      <c r="AW136" s="93" t="str">
        <f t="shared" ca="1" si="155"/>
        <v/>
      </c>
      <c r="AX136" s="77" t="str">
        <f t="shared" ca="1" si="156"/>
        <v/>
      </c>
      <c r="AY136" s="93" t="str">
        <f t="shared" ca="1" si="157"/>
        <v/>
      </c>
      <c r="AZ136" s="77" t="str">
        <f t="shared" ca="1" si="158"/>
        <v/>
      </c>
      <c r="BA136" s="93" t="str">
        <f t="shared" ca="1" si="159"/>
        <v/>
      </c>
      <c r="BB136" s="77" t="str">
        <f t="shared" ca="1" si="160"/>
        <v/>
      </c>
      <c r="BC136" s="93" t="str">
        <f t="shared" ca="1" si="161"/>
        <v/>
      </c>
    </row>
    <row r="137" spans="1:55" ht="15.95" customHeight="1" x14ac:dyDescent="0.2">
      <c r="A137" s="41" t="str">
        <f>IF(Customization!B137="","",Customization!B137)</f>
        <v/>
      </c>
      <c r="B137" s="79" t="str">
        <f t="shared" ca="1" si="110"/>
        <v/>
      </c>
      <c r="C137" s="29" t="str">
        <f t="shared" ca="1" si="111"/>
        <v/>
      </c>
      <c r="D137" s="7" t="str">
        <f t="shared" ca="1" si="108"/>
        <v/>
      </c>
      <c r="E137" s="29" t="str">
        <f t="shared" ca="1" si="112"/>
        <v/>
      </c>
      <c r="F137" s="7" t="str">
        <f t="shared" ca="1" si="109"/>
        <v/>
      </c>
      <c r="G137" s="29" t="str">
        <f t="shared" ca="1" si="113"/>
        <v/>
      </c>
      <c r="H137" s="7" t="str">
        <f t="shared" ca="1" si="114"/>
        <v/>
      </c>
      <c r="I137" s="28" t="str">
        <f t="shared" ca="1" si="115"/>
        <v/>
      </c>
      <c r="J137" s="7" t="str">
        <f t="shared" ca="1" si="116"/>
        <v/>
      </c>
      <c r="K137" s="73" t="str">
        <f t="shared" ca="1" si="117"/>
        <v/>
      </c>
      <c r="L137" s="74" t="str">
        <f t="shared" ca="1" si="118"/>
        <v/>
      </c>
      <c r="M137" s="75" t="str">
        <f t="shared" ca="1" si="119"/>
        <v/>
      </c>
      <c r="N137" s="76" t="str">
        <f t="shared" ca="1" si="120"/>
        <v/>
      </c>
      <c r="O137" s="75" t="str">
        <f t="shared" ca="1" si="121"/>
        <v/>
      </c>
      <c r="P137" s="76" t="str">
        <f t="shared" ca="1" si="122"/>
        <v/>
      </c>
      <c r="Q137" s="75" t="str">
        <f t="shared" ca="1" si="123"/>
        <v/>
      </c>
      <c r="R137" s="77" t="str">
        <f t="shared" ca="1" si="124"/>
        <v/>
      </c>
      <c r="S137" s="89" t="str">
        <f t="shared" ca="1" si="125"/>
        <v/>
      </c>
      <c r="T137" s="88" t="str">
        <f t="shared" ca="1" si="126"/>
        <v/>
      </c>
      <c r="U137" s="92" t="str">
        <f t="shared" ca="1" si="127"/>
        <v/>
      </c>
      <c r="V137" s="88" t="str">
        <f t="shared" ca="1" si="128"/>
        <v/>
      </c>
      <c r="W137" s="92" t="str">
        <f t="shared" ca="1" si="129"/>
        <v/>
      </c>
      <c r="X137" s="88" t="str">
        <f t="shared" ca="1" si="130"/>
        <v/>
      </c>
      <c r="Y137" s="92" t="str">
        <f t="shared" ca="1" si="131"/>
        <v/>
      </c>
      <c r="Z137" s="88" t="str">
        <f t="shared" ca="1" si="132"/>
        <v/>
      </c>
      <c r="AA137" s="89" t="str">
        <f t="shared" ca="1" si="133"/>
        <v/>
      </c>
      <c r="AB137" s="88" t="str">
        <f t="shared" ca="1" si="134"/>
        <v/>
      </c>
      <c r="AC137" s="92" t="str">
        <f t="shared" ca="1" si="135"/>
        <v/>
      </c>
      <c r="AD137" s="88" t="str">
        <f t="shared" ca="1" si="136"/>
        <v/>
      </c>
      <c r="AE137" s="92" t="str">
        <f t="shared" ca="1" si="137"/>
        <v/>
      </c>
      <c r="AF137" s="88" t="str">
        <f t="shared" ca="1" si="138"/>
        <v/>
      </c>
      <c r="AG137" s="92" t="str">
        <f t="shared" ca="1" si="139"/>
        <v/>
      </c>
      <c r="AH137" s="88" t="str">
        <f t="shared" ca="1" si="140"/>
        <v/>
      </c>
      <c r="AI137" s="92" t="str">
        <f t="shared" ca="1" si="141"/>
        <v/>
      </c>
      <c r="AJ137" s="88" t="str">
        <f t="shared" ca="1" si="142"/>
        <v/>
      </c>
      <c r="AK137" s="92" t="str">
        <f t="shared" ca="1" si="143"/>
        <v/>
      </c>
      <c r="AL137" s="77" t="str">
        <f t="shared" ca="1" si="144"/>
        <v/>
      </c>
      <c r="AM137" s="89" t="str">
        <f t="shared" ca="1" si="145"/>
        <v/>
      </c>
      <c r="AN137" s="88" t="str">
        <f t="shared" ca="1" si="146"/>
        <v/>
      </c>
      <c r="AO137" s="89" t="str">
        <f t="shared" ca="1" si="147"/>
        <v/>
      </c>
      <c r="AP137" s="77" t="str">
        <f t="shared" ca="1" si="148"/>
        <v/>
      </c>
      <c r="AQ137" s="94" t="str">
        <f t="shared" ca="1" si="149"/>
        <v/>
      </c>
      <c r="AR137" s="77" t="str">
        <f t="shared" ca="1" si="150"/>
        <v/>
      </c>
      <c r="AS137" s="94" t="str">
        <f t="shared" ca="1" si="151"/>
        <v/>
      </c>
      <c r="AT137" s="77" t="str">
        <f t="shared" ca="1" si="152"/>
        <v/>
      </c>
      <c r="AU137" s="93" t="str">
        <f t="shared" ca="1" si="153"/>
        <v/>
      </c>
      <c r="AV137" s="77" t="str">
        <f t="shared" ca="1" si="154"/>
        <v/>
      </c>
      <c r="AW137" s="93" t="str">
        <f t="shared" ca="1" si="155"/>
        <v/>
      </c>
      <c r="AX137" s="77" t="str">
        <f t="shared" ca="1" si="156"/>
        <v/>
      </c>
      <c r="AY137" s="93" t="str">
        <f t="shared" ca="1" si="157"/>
        <v/>
      </c>
      <c r="AZ137" s="77" t="str">
        <f t="shared" ca="1" si="158"/>
        <v/>
      </c>
      <c r="BA137" s="93" t="str">
        <f t="shared" ca="1" si="159"/>
        <v/>
      </c>
      <c r="BB137" s="77" t="str">
        <f t="shared" ca="1" si="160"/>
        <v/>
      </c>
      <c r="BC137" s="93" t="str">
        <f t="shared" ca="1" si="161"/>
        <v/>
      </c>
    </row>
    <row r="138" spans="1:55" ht="15.95" customHeight="1" x14ac:dyDescent="0.2">
      <c r="A138" s="41" t="str">
        <f>IF(Customization!B138="","",Customization!B138)</f>
        <v/>
      </c>
      <c r="B138" s="79" t="str">
        <f t="shared" ca="1" si="110"/>
        <v/>
      </c>
      <c r="C138" s="29" t="str">
        <f t="shared" ca="1" si="111"/>
        <v/>
      </c>
      <c r="D138" s="7" t="str">
        <f t="shared" ca="1" si="108"/>
        <v/>
      </c>
      <c r="E138" s="29" t="str">
        <f t="shared" ca="1" si="112"/>
        <v/>
      </c>
      <c r="F138" s="7" t="str">
        <f t="shared" ca="1" si="109"/>
        <v/>
      </c>
      <c r="G138" s="29" t="str">
        <f t="shared" ca="1" si="113"/>
        <v/>
      </c>
      <c r="H138" s="7" t="str">
        <f t="shared" ca="1" si="114"/>
        <v/>
      </c>
      <c r="I138" s="28" t="str">
        <f t="shared" ca="1" si="115"/>
        <v/>
      </c>
      <c r="J138" s="7" t="str">
        <f t="shared" ca="1" si="116"/>
        <v/>
      </c>
      <c r="K138" s="73" t="str">
        <f t="shared" ca="1" si="117"/>
        <v/>
      </c>
      <c r="L138" s="74" t="str">
        <f t="shared" ca="1" si="118"/>
        <v/>
      </c>
      <c r="M138" s="75" t="str">
        <f t="shared" ca="1" si="119"/>
        <v/>
      </c>
      <c r="N138" s="76" t="str">
        <f t="shared" ca="1" si="120"/>
        <v/>
      </c>
      <c r="O138" s="75" t="str">
        <f t="shared" ca="1" si="121"/>
        <v/>
      </c>
      <c r="P138" s="76" t="str">
        <f t="shared" ca="1" si="122"/>
        <v/>
      </c>
      <c r="Q138" s="75" t="str">
        <f t="shared" ca="1" si="123"/>
        <v/>
      </c>
      <c r="R138" s="77" t="str">
        <f t="shared" ca="1" si="124"/>
        <v/>
      </c>
      <c r="S138" s="89" t="str">
        <f t="shared" ca="1" si="125"/>
        <v/>
      </c>
      <c r="T138" s="88" t="str">
        <f t="shared" ca="1" si="126"/>
        <v/>
      </c>
      <c r="U138" s="92" t="str">
        <f t="shared" ca="1" si="127"/>
        <v/>
      </c>
      <c r="V138" s="88" t="str">
        <f t="shared" ca="1" si="128"/>
        <v/>
      </c>
      <c r="W138" s="92" t="str">
        <f t="shared" ca="1" si="129"/>
        <v/>
      </c>
      <c r="X138" s="88" t="str">
        <f t="shared" ca="1" si="130"/>
        <v/>
      </c>
      <c r="Y138" s="92" t="str">
        <f t="shared" ca="1" si="131"/>
        <v/>
      </c>
      <c r="Z138" s="88" t="str">
        <f t="shared" ca="1" si="132"/>
        <v/>
      </c>
      <c r="AA138" s="89" t="str">
        <f t="shared" ca="1" si="133"/>
        <v/>
      </c>
      <c r="AB138" s="88" t="str">
        <f t="shared" ca="1" si="134"/>
        <v/>
      </c>
      <c r="AC138" s="92" t="str">
        <f t="shared" ca="1" si="135"/>
        <v/>
      </c>
      <c r="AD138" s="88" t="str">
        <f t="shared" ca="1" si="136"/>
        <v/>
      </c>
      <c r="AE138" s="92" t="str">
        <f t="shared" ca="1" si="137"/>
        <v/>
      </c>
      <c r="AF138" s="88" t="str">
        <f t="shared" ca="1" si="138"/>
        <v/>
      </c>
      <c r="AG138" s="92" t="str">
        <f t="shared" ca="1" si="139"/>
        <v/>
      </c>
      <c r="AH138" s="88" t="str">
        <f t="shared" ca="1" si="140"/>
        <v/>
      </c>
      <c r="AI138" s="92" t="str">
        <f t="shared" ca="1" si="141"/>
        <v/>
      </c>
      <c r="AJ138" s="88" t="str">
        <f t="shared" ca="1" si="142"/>
        <v/>
      </c>
      <c r="AK138" s="92" t="str">
        <f t="shared" ca="1" si="143"/>
        <v/>
      </c>
      <c r="AL138" s="77" t="str">
        <f t="shared" ca="1" si="144"/>
        <v/>
      </c>
      <c r="AM138" s="89" t="str">
        <f t="shared" ca="1" si="145"/>
        <v/>
      </c>
      <c r="AN138" s="88" t="str">
        <f t="shared" ca="1" si="146"/>
        <v/>
      </c>
      <c r="AO138" s="89" t="str">
        <f t="shared" ca="1" si="147"/>
        <v/>
      </c>
      <c r="AP138" s="77" t="str">
        <f t="shared" ca="1" si="148"/>
        <v/>
      </c>
      <c r="AQ138" s="94" t="str">
        <f t="shared" ca="1" si="149"/>
        <v/>
      </c>
      <c r="AR138" s="77" t="str">
        <f t="shared" ca="1" si="150"/>
        <v/>
      </c>
      <c r="AS138" s="94" t="str">
        <f t="shared" ca="1" si="151"/>
        <v/>
      </c>
      <c r="AT138" s="77" t="str">
        <f t="shared" ca="1" si="152"/>
        <v/>
      </c>
      <c r="AU138" s="93" t="str">
        <f t="shared" ca="1" si="153"/>
        <v/>
      </c>
      <c r="AV138" s="77" t="str">
        <f t="shared" ca="1" si="154"/>
        <v/>
      </c>
      <c r="AW138" s="93" t="str">
        <f t="shared" ca="1" si="155"/>
        <v/>
      </c>
      <c r="AX138" s="77" t="str">
        <f t="shared" ca="1" si="156"/>
        <v/>
      </c>
      <c r="AY138" s="93" t="str">
        <f t="shared" ca="1" si="157"/>
        <v/>
      </c>
      <c r="AZ138" s="77" t="str">
        <f t="shared" ca="1" si="158"/>
        <v/>
      </c>
      <c r="BA138" s="93" t="str">
        <f t="shared" ca="1" si="159"/>
        <v/>
      </c>
      <c r="BB138" s="77" t="str">
        <f t="shared" ca="1" si="160"/>
        <v/>
      </c>
      <c r="BC138" s="93" t="str">
        <f t="shared" ca="1" si="161"/>
        <v/>
      </c>
    </row>
    <row r="139" spans="1:55" ht="15.95" customHeight="1" x14ac:dyDescent="0.2">
      <c r="A139" s="41" t="str">
        <f>IF(Customization!B139="","",Customization!B139)</f>
        <v/>
      </c>
      <c r="B139" s="79" t="str">
        <f t="shared" ca="1" si="110"/>
        <v/>
      </c>
      <c r="C139" s="29" t="str">
        <f t="shared" ca="1" si="111"/>
        <v/>
      </c>
      <c r="D139" s="7" t="str">
        <f t="shared" ca="1" si="108"/>
        <v/>
      </c>
      <c r="E139" s="29" t="str">
        <f t="shared" ca="1" si="112"/>
        <v/>
      </c>
      <c r="F139" s="7" t="str">
        <f t="shared" ca="1" si="109"/>
        <v/>
      </c>
      <c r="G139" s="29" t="str">
        <f t="shared" ca="1" si="113"/>
        <v/>
      </c>
      <c r="H139" s="7" t="str">
        <f t="shared" ca="1" si="114"/>
        <v/>
      </c>
      <c r="I139" s="28" t="str">
        <f t="shared" ca="1" si="115"/>
        <v/>
      </c>
      <c r="J139" s="7" t="str">
        <f t="shared" ca="1" si="116"/>
        <v/>
      </c>
      <c r="K139" s="73" t="str">
        <f t="shared" ca="1" si="117"/>
        <v/>
      </c>
      <c r="L139" s="74" t="str">
        <f t="shared" ca="1" si="118"/>
        <v/>
      </c>
      <c r="M139" s="75" t="str">
        <f t="shared" ca="1" si="119"/>
        <v/>
      </c>
      <c r="N139" s="76" t="str">
        <f t="shared" ca="1" si="120"/>
        <v/>
      </c>
      <c r="O139" s="75" t="str">
        <f t="shared" ca="1" si="121"/>
        <v/>
      </c>
      <c r="P139" s="76" t="str">
        <f t="shared" ca="1" si="122"/>
        <v/>
      </c>
      <c r="Q139" s="75" t="str">
        <f t="shared" ca="1" si="123"/>
        <v/>
      </c>
      <c r="R139" s="77" t="str">
        <f t="shared" ca="1" si="124"/>
        <v/>
      </c>
      <c r="S139" s="89" t="str">
        <f t="shared" ca="1" si="125"/>
        <v/>
      </c>
      <c r="T139" s="88" t="str">
        <f t="shared" ca="1" si="126"/>
        <v/>
      </c>
      <c r="U139" s="92" t="str">
        <f t="shared" ca="1" si="127"/>
        <v/>
      </c>
      <c r="V139" s="88" t="str">
        <f t="shared" ca="1" si="128"/>
        <v/>
      </c>
      <c r="W139" s="92" t="str">
        <f t="shared" ca="1" si="129"/>
        <v/>
      </c>
      <c r="X139" s="88" t="str">
        <f t="shared" ca="1" si="130"/>
        <v/>
      </c>
      <c r="Y139" s="92" t="str">
        <f t="shared" ca="1" si="131"/>
        <v/>
      </c>
      <c r="Z139" s="88" t="str">
        <f t="shared" ca="1" si="132"/>
        <v/>
      </c>
      <c r="AA139" s="89" t="str">
        <f t="shared" ca="1" si="133"/>
        <v/>
      </c>
      <c r="AB139" s="88" t="str">
        <f t="shared" ca="1" si="134"/>
        <v/>
      </c>
      <c r="AC139" s="92" t="str">
        <f t="shared" ca="1" si="135"/>
        <v/>
      </c>
      <c r="AD139" s="88" t="str">
        <f t="shared" ca="1" si="136"/>
        <v/>
      </c>
      <c r="AE139" s="92" t="str">
        <f t="shared" ca="1" si="137"/>
        <v/>
      </c>
      <c r="AF139" s="88" t="str">
        <f t="shared" ca="1" si="138"/>
        <v/>
      </c>
      <c r="AG139" s="92" t="str">
        <f t="shared" ca="1" si="139"/>
        <v/>
      </c>
      <c r="AH139" s="88" t="str">
        <f t="shared" ca="1" si="140"/>
        <v/>
      </c>
      <c r="AI139" s="92" t="str">
        <f t="shared" ca="1" si="141"/>
        <v/>
      </c>
      <c r="AJ139" s="88" t="str">
        <f t="shared" ca="1" si="142"/>
        <v/>
      </c>
      <c r="AK139" s="92" t="str">
        <f t="shared" ca="1" si="143"/>
        <v/>
      </c>
      <c r="AL139" s="77" t="str">
        <f t="shared" ca="1" si="144"/>
        <v/>
      </c>
      <c r="AM139" s="89" t="str">
        <f t="shared" ca="1" si="145"/>
        <v/>
      </c>
      <c r="AN139" s="88" t="str">
        <f t="shared" ca="1" si="146"/>
        <v/>
      </c>
      <c r="AO139" s="89" t="str">
        <f t="shared" ca="1" si="147"/>
        <v/>
      </c>
      <c r="AP139" s="77" t="str">
        <f t="shared" ca="1" si="148"/>
        <v/>
      </c>
      <c r="AQ139" s="94" t="str">
        <f t="shared" ca="1" si="149"/>
        <v/>
      </c>
      <c r="AR139" s="77" t="str">
        <f t="shared" ca="1" si="150"/>
        <v/>
      </c>
      <c r="AS139" s="94" t="str">
        <f t="shared" ca="1" si="151"/>
        <v/>
      </c>
      <c r="AT139" s="77" t="str">
        <f t="shared" ca="1" si="152"/>
        <v/>
      </c>
      <c r="AU139" s="93" t="str">
        <f t="shared" ca="1" si="153"/>
        <v/>
      </c>
      <c r="AV139" s="77" t="str">
        <f t="shared" ca="1" si="154"/>
        <v/>
      </c>
      <c r="AW139" s="93" t="str">
        <f t="shared" ca="1" si="155"/>
        <v/>
      </c>
      <c r="AX139" s="77" t="str">
        <f t="shared" ca="1" si="156"/>
        <v/>
      </c>
      <c r="AY139" s="93" t="str">
        <f t="shared" ca="1" si="157"/>
        <v/>
      </c>
      <c r="AZ139" s="77" t="str">
        <f t="shared" ca="1" si="158"/>
        <v/>
      </c>
      <c r="BA139" s="93" t="str">
        <f t="shared" ca="1" si="159"/>
        <v/>
      </c>
      <c r="BB139" s="77" t="str">
        <f t="shared" ca="1" si="160"/>
        <v/>
      </c>
      <c r="BC139" s="93" t="str">
        <f t="shared" ca="1" si="161"/>
        <v/>
      </c>
    </row>
    <row r="140" spans="1:55" ht="15.95" customHeight="1" x14ac:dyDescent="0.2">
      <c r="A140" s="41" t="str">
        <f>IF(Customization!B140="","",Customization!B140)</f>
        <v/>
      </c>
      <c r="B140" s="79" t="str">
        <f t="shared" ca="1" si="110"/>
        <v/>
      </c>
      <c r="C140" s="29" t="str">
        <f t="shared" ca="1" si="111"/>
        <v/>
      </c>
      <c r="D140" s="7" t="str">
        <f t="shared" ca="1" si="108"/>
        <v/>
      </c>
      <c r="E140" s="29" t="str">
        <f t="shared" ca="1" si="112"/>
        <v/>
      </c>
      <c r="F140" s="7" t="str">
        <f t="shared" ca="1" si="109"/>
        <v/>
      </c>
      <c r="G140" s="29" t="str">
        <f t="shared" ca="1" si="113"/>
        <v/>
      </c>
      <c r="H140" s="7" t="str">
        <f t="shared" ca="1" si="114"/>
        <v/>
      </c>
      <c r="I140" s="28" t="str">
        <f t="shared" ca="1" si="115"/>
        <v/>
      </c>
      <c r="J140" s="7" t="str">
        <f t="shared" ca="1" si="116"/>
        <v/>
      </c>
      <c r="K140" s="73" t="str">
        <f t="shared" ca="1" si="117"/>
        <v/>
      </c>
      <c r="L140" s="74" t="str">
        <f t="shared" ca="1" si="118"/>
        <v/>
      </c>
      <c r="M140" s="75" t="str">
        <f t="shared" ca="1" si="119"/>
        <v/>
      </c>
      <c r="N140" s="76" t="str">
        <f t="shared" ca="1" si="120"/>
        <v/>
      </c>
      <c r="O140" s="75" t="str">
        <f t="shared" ca="1" si="121"/>
        <v/>
      </c>
      <c r="P140" s="76" t="str">
        <f t="shared" ca="1" si="122"/>
        <v/>
      </c>
      <c r="Q140" s="75" t="str">
        <f t="shared" ca="1" si="123"/>
        <v/>
      </c>
      <c r="R140" s="77" t="str">
        <f t="shared" ca="1" si="124"/>
        <v/>
      </c>
      <c r="S140" s="89" t="str">
        <f t="shared" ca="1" si="125"/>
        <v/>
      </c>
      <c r="T140" s="88" t="str">
        <f t="shared" ca="1" si="126"/>
        <v/>
      </c>
      <c r="U140" s="92" t="str">
        <f t="shared" ca="1" si="127"/>
        <v/>
      </c>
      <c r="V140" s="88" t="str">
        <f t="shared" ca="1" si="128"/>
        <v/>
      </c>
      <c r="W140" s="92" t="str">
        <f t="shared" ca="1" si="129"/>
        <v/>
      </c>
      <c r="X140" s="88" t="str">
        <f t="shared" ca="1" si="130"/>
        <v/>
      </c>
      <c r="Y140" s="92" t="str">
        <f t="shared" ca="1" si="131"/>
        <v/>
      </c>
      <c r="Z140" s="88" t="str">
        <f t="shared" ca="1" si="132"/>
        <v/>
      </c>
      <c r="AA140" s="89" t="str">
        <f t="shared" ca="1" si="133"/>
        <v/>
      </c>
      <c r="AB140" s="88" t="str">
        <f t="shared" ca="1" si="134"/>
        <v/>
      </c>
      <c r="AC140" s="92" t="str">
        <f t="shared" ca="1" si="135"/>
        <v/>
      </c>
      <c r="AD140" s="88" t="str">
        <f t="shared" ca="1" si="136"/>
        <v/>
      </c>
      <c r="AE140" s="92" t="str">
        <f t="shared" ca="1" si="137"/>
        <v/>
      </c>
      <c r="AF140" s="88" t="str">
        <f t="shared" ca="1" si="138"/>
        <v/>
      </c>
      <c r="AG140" s="92" t="str">
        <f t="shared" ca="1" si="139"/>
        <v/>
      </c>
      <c r="AH140" s="88" t="str">
        <f t="shared" ca="1" si="140"/>
        <v/>
      </c>
      <c r="AI140" s="92" t="str">
        <f t="shared" ca="1" si="141"/>
        <v/>
      </c>
      <c r="AJ140" s="88" t="str">
        <f t="shared" ca="1" si="142"/>
        <v/>
      </c>
      <c r="AK140" s="92" t="str">
        <f t="shared" ca="1" si="143"/>
        <v/>
      </c>
      <c r="AL140" s="77" t="str">
        <f t="shared" ca="1" si="144"/>
        <v/>
      </c>
      <c r="AM140" s="89" t="str">
        <f t="shared" ca="1" si="145"/>
        <v/>
      </c>
      <c r="AN140" s="88" t="str">
        <f t="shared" ca="1" si="146"/>
        <v/>
      </c>
      <c r="AO140" s="89" t="str">
        <f t="shared" ca="1" si="147"/>
        <v/>
      </c>
      <c r="AP140" s="77" t="str">
        <f t="shared" ca="1" si="148"/>
        <v/>
      </c>
      <c r="AQ140" s="94" t="str">
        <f t="shared" ca="1" si="149"/>
        <v/>
      </c>
      <c r="AR140" s="77" t="str">
        <f t="shared" ca="1" si="150"/>
        <v/>
      </c>
      <c r="AS140" s="94" t="str">
        <f t="shared" ca="1" si="151"/>
        <v/>
      </c>
      <c r="AT140" s="77" t="str">
        <f t="shared" ca="1" si="152"/>
        <v/>
      </c>
      <c r="AU140" s="93" t="str">
        <f t="shared" ca="1" si="153"/>
        <v/>
      </c>
      <c r="AV140" s="77" t="str">
        <f t="shared" ca="1" si="154"/>
        <v/>
      </c>
      <c r="AW140" s="93" t="str">
        <f t="shared" ca="1" si="155"/>
        <v/>
      </c>
      <c r="AX140" s="77" t="str">
        <f t="shared" ca="1" si="156"/>
        <v/>
      </c>
      <c r="AY140" s="93" t="str">
        <f t="shared" ca="1" si="157"/>
        <v/>
      </c>
      <c r="AZ140" s="77" t="str">
        <f t="shared" ca="1" si="158"/>
        <v/>
      </c>
      <c r="BA140" s="93" t="str">
        <f t="shared" ca="1" si="159"/>
        <v/>
      </c>
      <c r="BB140" s="77" t="str">
        <f t="shared" ca="1" si="160"/>
        <v/>
      </c>
      <c r="BC140" s="93" t="str">
        <f t="shared" ca="1" si="161"/>
        <v/>
      </c>
    </row>
    <row r="141" spans="1:55" ht="15.95" customHeight="1" x14ac:dyDescent="0.2">
      <c r="A141" s="41" t="str">
        <f>IF(Customization!B141="","",Customization!B141)</f>
        <v/>
      </c>
      <c r="B141" s="79" t="str">
        <f t="shared" ca="1" si="110"/>
        <v/>
      </c>
      <c r="C141" s="29" t="str">
        <f t="shared" ca="1" si="111"/>
        <v/>
      </c>
      <c r="D141" s="7" t="str">
        <f t="shared" ca="1" si="108"/>
        <v/>
      </c>
      <c r="E141" s="29" t="str">
        <f t="shared" ca="1" si="112"/>
        <v/>
      </c>
      <c r="F141" s="7" t="str">
        <f t="shared" ca="1" si="109"/>
        <v/>
      </c>
      <c r="G141" s="29" t="str">
        <f t="shared" ca="1" si="113"/>
        <v/>
      </c>
      <c r="H141" s="7" t="str">
        <f t="shared" ca="1" si="114"/>
        <v/>
      </c>
      <c r="I141" s="28" t="str">
        <f t="shared" ca="1" si="115"/>
        <v/>
      </c>
      <c r="J141" s="7" t="str">
        <f t="shared" ca="1" si="116"/>
        <v/>
      </c>
      <c r="K141" s="73" t="str">
        <f t="shared" ca="1" si="117"/>
        <v/>
      </c>
      <c r="L141" s="74" t="str">
        <f t="shared" ca="1" si="118"/>
        <v/>
      </c>
      <c r="M141" s="75" t="str">
        <f t="shared" ca="1" si="119"/>
        <v/>
      </c>
      <c r="N141" s="76" t="str">
        <f t="shared" ca="1" si="120"/>
        <v/>
      </c>
      <c r="O141" s="75" t="str">
        <f t="shared" ca="1" si="121"/>
        <v/>
      </c>
      <c r="P141" s="76" t="str">
        <f t="shared" ca="1" si="122"/>
        <v/>
      </c>
      <c r="Q141" s="75" t="str">
        <f t="shared" ca="1" si="123"/>
        <v/>
      </c>
      <c r="R141" s="77" t="str">
        <f t="shared" ca="1" si="124"/>
        <v/>
      </c>
      <c r="S141" s="89" t="str">
        <f t="shared" ca="1" si="125"/>
        <v/>
      </c>
      <c r="T141" s="88" t="str">
        <f t="shared" ca="1" si="126"/>
        <v/>
      </c>
      <c r="U141" s="92" t="str">
        <f t="shared" ca="1" si="127"/>
        <v/>
      </c>
      <c r="V141" s="88" t="str">
        <f t="shared" ca="1" si="128"/>
        <v/>
      </c>
      <c r="W141" s="92" t="str">
        <f t="shared" ca="1" si="129"/>
        <v/>
      </c>
      <c r="X141" s="88" t="str">
        <f t="shared" ca="1" si="130"/>
        <v/>
      </c>
      <c r="Y141" s="92" t="str">
        <f t="shared" ca="1" si="131"/>
        <v/>
      </c>
      <c r="Z141" s="88" t="str">
        <f t="shared" ca="1" si="132"/>
        <v/>
      </c>
      <c r="AA141" s="89" t="str">
        <f t="shared" ca="1" si="133"/>
        <v/>
      </c>
      <c r="AB141" s="88" t="str">
        <f t="shared" ca="1" si="134"/>
        <v/>
      </c>
      <c r="AC141" s="92" t="str">
        <f t="shared" ca="1" si="135"/>
        <v/>
      </c>
      <c r="AD141" s="88" t="str">
        <f t="shared" ca="1" si="136"/>
        <v/>
      </c>
      <c r="AE141" s="92" t="str">
        <f t="shared" ca="1" si="137"/>
        <v/>
      </c>
      <c r="AF141" s="88" t="str">
        <f t="shared" ca="1" si="138"/>
        <v/>
      </c>
      <c r="AG141" s="92" t="str">
        <f t="shared" ca="1" si="139"/>
        <v/>
      </c>
      <c r="AH141" s="88" t="str">
        <f t="shared" ca="1" si="140"/>
        <v/>
      </c>
      <c r="AI141" s="92" t="str">
        <f t="shared" ca="1" si="141"/>
        <v/>
      </c>
      <c r="AJ141" s="88" t="str">
        <f t="shared" ca="1" si="142"/>
        <v/>
      </c>
      <c r="AK141" s="92" t="str">
        <f t="shared" ca="1" si="143"/>
        <v/>
      </c>
      <c r="AL141" s="77" t="str">
        <f t="shared" ca="1" si="144"/>
        <v/>
      </c>
      <c r="AM141" s="89" t="str">
        <f t="shared" ca="1" si="145"/>
        <v/>
      </c>
      <c r="AN141" s="88" t="str">
        <f t="shared" ca="1" si="146"/>
        <v/>
      </c>
      <c r="AO141" s="89" t="str">
        <f t="shared" ca="1" si="147"/>
        <v/>
      </c>
      <c r="AP141" s="77" t="str">
        <f t="shared" ca="1" si="148"/>
        <v/>
      </c>
      <c r="AQ141" s="94" t="str">
        <f t="shared" ca="1" si="149"/>
        <v/>
      </c>
      <c r="AR141" s="77" t="str">
        <f t="shared" ca="1" si="150"/>
        <v/>
      </c>
      <c r="AS141" s="94" t="str">
        <f t="shared" ca="1" si="151"/>
        <v/>
      </c>
      <c r="AT141" s="77" t="str">
        <f t="shared" ca="1" si="152"/>
        <v/>
      </c>
      <c r="AU141" s="93" t="str">
        <f t="shared" ca="1" si="153"/>
        <v/>
      </c>
      <c r="AV141" s="77" t="str">
        <f t="shared" ca="1" si="154"/>
        <v/>
      </c>
      <c r="AW141" s="93" t="str">
        <f t="shared" ca="1" si="155"/>
        <v/>
      </c>
      <c r="AX141" s="77" t="str">
        <f t="shared" ca="1" si="156"/>
        <v/>
      </c>
      <c r="AY141" s="93" t="str">
        <f t="shared" ca="1" si="157"/>
        <v/>
      </c>
      <c r="AZ141" s="77" t="str">
        <f t="shared" ca="1" si="158"/>
        <v/>
      </c>
      <c r="BA141" s="93" t="str">
        <f t="shared" ca="1" si="159"/>
        <v/>
      </c>
      <c r="BB141" s="77" t="str">
        <f t="shared" ca="1" si="160"/>
        <v/>
      </c>
      <c r="BC141" s="93" t="str">
        <f t="shared" ca="1" si="161"/>
        <v/>
      </c>
    </row>
    <row r="142" spans="1:55" ht="15.95" customHeight="1" x14ac:dyDescent="0.2">
      <c r="A142" s="41" t="str">
        <f>IF(Customization!B142="","",Customization!B142)</f>
        <v/>
      </c>
      <c r="B142" s="79" t="str">
        <f t="shared" ca="1" si="110"/>
        <v/>
      </c>
      <c r="C142" s="29" t="str">
        <f t="shared" ca="1" si="111"/>
        <v/>
      </c>
      <c r="D142" s="7" t="str">
        <f t="shared" ca="1" si="108"/>
        <v/>
      </c>
      <c r="E142" s="29" t="str">
        <f t="shared" ca="1" si="112"/>
        <v/>
      </c>
      <c r="F142" s="7" t="str">
        <f t="shared" ca="1" si="109"/>
        <v/>
      </c>
      <c r="G142" s="29" t="str">
        <f t="shared" ca="1" si="113"/>
        <v/>
      </c>
      <c r="H142" s="7" t="str">
        <f t="shared" ca="1" si="114"/>
        <v/>
      </c>
      <c r="I142" s="28" t="str">
        <f t="shared" ca="1" si="115"/>
        <v/>
      </c>
      <c r="J142" s="7" t="str">
        <f t="shared" ca="1" si="116"/>
        <v/>
      </c>
      <c r="K142" s="73" t="str">
        <f t="shared" ca="1" si="117"/>
        <v/>
      </c>
      <c r="L142" s="74" t="str">
        <f t="shared" ca="1" si="118"/>
        <v/>
      </c>
      <c r="M142" s="75" t="str">
        <f t="shared" ca="1" si="119"/>
        <v/>
      </c>
      <c r="N142" s="76" t="str">
        <f t="shared" ca="1" si="120"/>
        <v/>
      </c>
      <c r="O142" s="75" t="str">
        <f t="shared" ca="1" si="121"/>
        <v/>
      </c>
      <c r="P142" s="76" t="str">
        <f t="shared" ca="1" si="122"/>
        <v/>
      </c>
      <c r="Q142" s="75" t="str">
        <f t="shared" ca="1" si="123"/>
        <v/>
      </c>
      <c r="R142" s="77" t="str">
        <f t="shared" ca="1" si="124"/>
        <v/>
      </c>
      <c r="S142" s="89" t="str">
        <f t="shared" ca="1" si="125"/>
        <v/>
      </c>
      <c r="T142" s="88" t="str">
        <f t="shared" ca="1" si="126"/>
        <v/>
      </c>
      <c r="U142" s="92" t="str">
        <f t="shared" ca="1" si="127"/>
        <v/>
      </c>
      <c r="V142" s="88" t="str">
        <f t="shared" ca="1" si="128"/>
        <v/>
      </c>
      <c r="W142" s="92" t="str">
        <f t="shared" ca="1" si="129"/>
        <v/>
      </c>
      <c r="X142" s="88" t="str">
        <f t="shared" ca="1" si="130"/>
        <v/>
      </c>
      <c r="Y142" s="92" t="str">
        <f t="shared" ca="1" si="131"/>
        <v/>
      </c>
      <c r="Z142" s="88" t="str">
        <f t="shared" ca="1" si="132"/>
        <v/>
      </c>
      <c r="AA142" s="89" t="str">
        <f t="shared" ca="1" si="133"/>
        <v/>
      </c>
      <c r="AB142" s="88" t="str">
        <f t="shared" ca="1" si="134"/>
        <v/>
      </c>
      <c r="AC142" s="92" t="str">
        <f t="shared" ca="1" si="135"/>
        <v/>
      </c>
      <c r="AD142" s="88" t="str">
        <f t="shared" ca="1" si="136"/>
        <v/>
      </c>
      <c r="AE142" s="92" t="str">
        <f t="shared" ca="1" si="137"/>
        <v/>
      </c>
      <c r="AF142" s="88" t="str">
        <f t="shared" ca="1" si="138"/>
        <v/>
      </c>
      <c r="AG142" s="92" t="str">
        <f t="shared" ca="1" si="139"/>
        <v/>
      </c>
      <c r="AH142" s="88" t="str">
        <f t="shared" ca="1" si="140"/>
        <v/>
      </c>
      <c r="AI142" s="92" t="str">
        <f t="shared" ca="1" si="141"/>
        <v/>
      </c>
      <c r="AJ142" s="88" t="str">
        <f t="shared" ca="1" si="142"/>
        <v/>
      </c>
      <c r="AK142" s="92" t="str">
        <f t="shared" ca="1" si="143"/>
        <v/>
      </c>
      <c r="AL142" s="77" t="str">
        <f t="shared" ca="1" si="144"/>
        <v/>
      </c>
      <c r="AM142" s="89" t="str">
        <f t="shared" ca="1" si="145"/>
        <v/>
      </c>
      <c r="AN142" s="88" t="str">
        <f t="shared" ca="1" si="146"/>
        <v/>
      </c>
      <c r="AO142" s="89" t="str">
        <f t="shared" ca="1" si="147"/>
        <v/>
      </c>
      <c r="AP142" s="77" t="str">
        <f t="shared" ca="1" si="148"/>
        <v/>
      </c>
      <c r="AQ142" s="94" t="str">
        <f t="shared" ca="1" si="149"/>
        <v/>
      </c>
      <c r="AR142" s="77" t="str">
        <f t="shared" ca="1" si="150"/>
        <v/>
      </c>
      <c r="AS142" s="94" t="str">
        <f t="shared" ca="1" si="151"/>
        <v/>
      </c>
      <c r="AT142" s="77" t="str">
        <f t="shared" ca="1" si="152"/>
        <v/>
      </c>
      <c r="AU142" s="93" t="str">
        <f t="shared" ca="1" si="153"/>
        <v/>
      </c>
      <c r="AV142" s="77" t="str">
        <f t="shared" ca="1" si="154"/>
        <v/>
      </c>
      <c r="AW142" s="93" t="str">
        <f t="shared" ca="1" si="155"/>
        <v/>
      </c>
      <c r="AX142" s="77" t="str">
        <f t="shared" ca="1" si="156"/>
        <v/>
      </c>
      <c r="AY142" s="93" t="str">
        <f t="shared" ca="1" si="157"/>
        <v/>
      </c>
      <c r="AZ142" s="77" t="str">
        <f t="shared" ca="1" si="158"/>
        <v/>
      </c>
      <c r="BA142" s="93" t="str">
        <f t="shared" ca="1" si="159"/>
        <v/>
      </c>
      <c r="BB142" s="77" t="str">
        <f t="shared" ca="1" si="160"/>
        <v/>
      </c>
      <c r="BC142" s="93" t="str">
        <f t="shared" ca="1" si="161"/>
        <v/>
      </c>
    </row>
    <row r="143" spans="1:55" ht="15.95" customHeight="1" x14ac:dyDescent="0.2">
      <c r="A143" s="41" t="str">
        <f>IF(Customization!B143="","",Customization!B143)</f>
        <v/>
      </c>
      <c r="B143" s="79" t="str">
        <f t="shared" ca="1" si="110"/>
        <v/>
      </c>
      <c r="C143" s="29" t="str">
        <f t="shared" ca="1" si="111"/>
        <v/>
      </c>
      <c r="D143" s="7" t="str">
        <f t="shared" ca="1" si="108"/>
        <v/>
      </c>
      <c r="E143" s="29" t="str">
        <f t="shared" ca="1" si="112"/>
        <v/>
      </c>
      <c r="F143" s="7" t="str">
        <f t="shared" ca="1" si="109"/>
        <v/>
      </c>
      <c r="G143" s="29" t="str">
        <f t="shared" ca="1" si="113"/>
        <v/>
      </c>
      <c r="H143" s="7" t="str">
        <f t="shared" ca="1" si="114"/>
        <v/>
      </c>
      <c r="I143" s="28" t="str">
        <f t="shared" ca="1" si="115"/>
        <v/>
      </c>
      <c r="J143" s="7" t="str">
        <f t="shared" ca="1" si="116"/>
        <v/>
      </c>
      <c r="K143" s="73" t="str">
        <f t="shared" ca="1" si="117"/>
        <v/>
      </c>
      <c r="L143" s="74" t="str">
        <f t="shared" ca="1" si="118"/>
        <v/>
      </c>
      <c r="M143" s="75" t="str">
        <f t="shared" ca="1" si="119"/>
        <v/>
      </c>
      <c r="N143" s="76" t="str">
        <f t="shared" ca="1" si="120"/>
        <v/>
      </c>
      <c r="O143" s="75" t="str">
        <f t="shared" ca="1" si="121"/>
        <v/>
      </c>
      <c r="P143" s="76" t="str">
        <f t="shared" ca="1" si="122"/>
        <v/>
      </c>
      <c r="Q143" s="75" t="str">
        <f t="shared" ca="1" si="123"/>
        <v/>
      </c>
      <c r="R143" s="77" t="str">
        <f t="shared" ca="1" si="124"/>
        <v/>
      </c>
      <c r="S143" s="89" t="str">
        <f t="shared" ca="1" si="125"/>
        <v/>
      </c>
      <c r="T143" s="88" t="str">
        <f t="shared" ca="1" si="126"/>
        <v/>
      </c>
      <c r="U143" s="92" t="str">
        <f t="shared" ca="1" si="127"/>
        <v/>
      </c>
      <c r="V143" s="88" t="str">
        <f t="shared" ca="1" si="128"/>
        <v/>
      </c>
      <c r="W143" s="92" t="str">
        <f t="shared" ca="1" si="129"/>
        <v/>
      </c>
      <c r="X143" s="88" t="str">
        <f t="shared" ca="1" si="130"/>
        <v/>
      </c>
      <c r="Y143" s="92" t="str">
        <f t="shared" ca="1" si="131"/>
        <v/>
      </c>
      <c r="Z143" s="88" t="str">
        <f t="shared" ca="1" si="132"/>
        <v/>
      </c>
      <c r="AA143" s="89" t="str">
        <f t="shared" ca="1" si="133"/>
        <v/>
      </c>
      <c r="AB143" s="88" t="str">
        <f t="shared" ca="1" si="134"/>
        <v/>
      </c>
      <c r="AC143" s="92" t="str">
        <f t="shared" ca="1" si="135"/>
        <v/>
      </c>
      <c r="AD143" s="88" t="str">
        <f t="shared" ca="1" si="136"/>
        <v/>
      </c>
      <c r="AE143" s="92" t="str">
        <f t="shared" ca="1" si="137"/>
        <v/>
      </c>
      <c r="AF143" s="88" t="str">
        <f t="shared" ca="1" si="138"/>
        <v/>
      </c>
      <c r="AG143" s="92" t="str">
        <f t="shared" ca="1" si="139"/>
        <v/>
      </c>
      <c r="AH143" s="88" t="str">
        <f t="shared" ca="1" si="140"/>
        <v/>
      </c>
      <c r="AI143" s="92" t="str">
        <f t="shared" ca="1" si="141"/>
        <v/>
      </c>
      <c r="AJ143" s="88" t="str">
        <f t="shared" ca="1" si="142"/>
        <v/>
      </c>
      <c r="AK143" s="92" t="str">
        <f t="shared" ca="1" si="143"/>
        <v/>
      </c>
      <c r="AL143" s="77" t="str">
        <f t="shared" ca="1" si="144"/>
        <v/>
      </c>
      <c r="AM143" s="89" t="str">
        <f t="shared" ca="1" si="145"/>
        <v/>
      </c>
      <c r="AN143" s="88" t="str">
        <f t="shared" ca="1" si="146"/>
        <v/>
      </c>
      <c r="AO143" s="89" t="str">
        <f t="shared" ca="1" si="147"/>
        <v/>
      </c>
      <c r="AP143" s="77" t="str">
        <f t="shared" ca="1" si="148"/>
        <v/>
      </c>
      <c r="AQ143" s="94" t="str">
        <f t="shared" ca="1" si="149"/>
        <v/>
      </c>
      <c r="AR143" s="77" t="str">
        <f t="shared" ca="1" si="150"/>
        <v/>
      </c>
      <c r="AS143" s="94" t="str">
        <f t="shared" ca="1" si="151"/>
        <v/>
      </c>
      <c r="AT143" s="77" t="str">
        <f t="shared" ca="1" si="152"/>
        <v/>
      </c>
      <c r="AU143" s="93" t="str">
        <f t="shared" ca="1" si="153"/>
        <v/>
      </c>
      <c r="AV143" s="77" t="str">
        <f t="shared" ca="1" si="154"/>
        <v/>
      </c>
      <c r="AW143" s="93" t="str">
        <f t="shared" ca="1" si="155"/>
        <v/>
      </c>
      <c r="AX143" s="77" t="str">
        <f t="shared" ca="1" si="156"/>
        <v/>
      </c>
      <c r="AY143" s="93" t="str">
        <f t="shared" ca="1" si="157"/>
        <v/>
      </c>
      <c r="AZ143" s="77" t="str">
        <f t="shared" ca="1" si="158"/>
        <v/>
      </c>
      <c r="BA143" s="93" t="str">
        <f t="shared" ca="1" si="159"/>
        <v/>
      </c>
      <c r="BB143" s="77" t="str">
        <f t="shared" ca="1" si="160"/>
        <v/>
      </c>
      <c r="BC143" s="93" t="str">
        <f t="shared" ca="1" si="161"/>
        <v/>
      </c>
    </row>
    <row r="144" spans="1:55" ht="15.95" customHeight="1" x14ac:dyDescent="0.2">
      <c r="A144" s="41" t="str">
        <f>IF(Customization!B144="","",Customization!B144)</f>
        <v/>
      </c>
      <c r="B144" s="79" t="str">
        <f t="shared" ca="1" si="110"/>
        <v/>
      </c>
      <c r="C144" s="29" t="str">
        <f t="shared" ca="1" si="111"/>
        <v/>
      </c>
      <c r="D144" s="7" t="str">
        <f t="shared" ca="1" si="108"/>
        <v/>
      </c>
      <c r="E144" s="29" t="str">
        <f t="shared" ca="1" si="112"/>
        <v/>
      </c>
      <c r="F144" s="7" t="str">
        <f t="shared" ca="1" si="109"/>
        <v/>
      </c>
      <c r="G144" s="29" t="str">
        <f t="shared" ca="1" si="113"/>
        <v/>
      </c>
      <c r="H144" s="7" t="str">
        <f t="shared" ca="1" si="114"/>
        <v/>
      </c>
      <c r="I144" s="28" t="str">
        <f t="shared" ca="1" si="115"/>
        <v/>
      </c>
      <c r="J144" s="7" t="str">
        <f t="shared" ca="1" si="116"/>
        <v/>
      </c>
      <c r="K144" s="73" t="str">
        <f t="shared" ca="1" si="117"/>
        <v/>
      </c>
      <c r="L144" s="74" t="str">
        <f t="shared" ca="1" si="118"/>
        <v/>
      </c>
      <c r="M144" s="75" t="str">
        <f t="shared" ca="1" si="119"/>
        <v/>
      </c>
      <c r="N144" s="76" t="str">
        <f t="shared" ca="1" si="120"/>
        <v/>
      </c>
      <c r="O144" s="75" t="str">
        <f t="shared" ca="1" si="121"/>
        <v/>
      </c>
      <c r="P144" s="76" t="str">
        <f t="shared" ca="1" si="122"/>
        <v/>
      </c>
      <c r="Q144" s="75" t="str">
        <f t="shared" ca="1" si="123"/>
        <v/>
      </c>
      <c r="R144" s="77" t="str">
        <f t="shared" ca="1" si="124"/>
        <v/>
      </c>
      <c r="S144" s="89" t="str">
        <f t="shared" ca="1" si="125"/>
        <v/>
      </c>
      <c r="T144" s="88" t="str">
        <f t="shared" ca="1" si="126"/>
        <v/>
      </c>
      <c r="U144" s="92" t="str">
        <f t="shared" ca="1" si="127"/>
        <v/>
      </c>
      <c r="V144" s="88" t="str">
        <f t="shared" ca="1" si="128"/>
        <v/>
      </c>
      <c r="W144" s="92" t="str">
        <f t="shared" ca="1" si="129"/>
        <v/>
      </c>
      <c r="X144" s="88" t="str">
        <f t="shared" ca="1" si="130"/>
        <v/>
      </c>
      <c r="Y144" s="92" t="str">
        <f t="shared" ca="1" si="131"/>
        <v/>
      </c>
      <c r="Z144" s="88" t="str">
        <f t="shared" ca="1" si="132"/>
        <v/>
      </c>
      <c r="AA144" s="89" t="str">
        <f t="shared" ca="1" si="133"/>
        <v/>
      </c>
      <c r="AB144" s="88" t="str">
        <f t="shared" ca="1" si="134"/>
        <v/>
      </c>
      <c r="AC144" s="92" t="str">
        <f t="shared" ca="1" si="135"/>
        <v/>
      </c>
      <c r="AD144" s="88" t="str">
        <f t="shared" ca="1" si="136"/>
        <v/>
      </c>
      <c r="AE144" s="92" t="str">
        <f t="shared" ca="1" si="137"/>
        <v/>
      </c>
      <c r="AF144" s="88" t="str">
        <f t="shared" ca="1" si="138"/>
        <v/>
      </c>
      <c r="AG144" s="92" t="str">
        <f t="shared" ca="1" si="139"/>
        <v/>
      </c>
      <c r="AH144" s="88" t="str">
        <f t="shared" ca="1" si="140"/>
        <v/>
      </c>
      <c r="AI144" s="92" t="str">
        <f t="shared" ca="1" si="141"/>
        <v/>
      </c>
      <c r="AJ144" s="88" t="str">
        <f t="shared" ca="1" si="142"/>
        <v/>
      </c>
      <c r="AK144" s="92" t="str">
        <f t="shared" ca="1" si="143"/>
        <v/>
      </c>
      <c r="AL144" s="77" t="str">
        <f t="shared" ca="1" si="144"/>
        <v/>
      </c>
      <c r="AM144" s="89" t="str">
        <f t="shared" ca="1" si="145"/>
        <v/>
      </c>
      <c r="AN144" s="88" t="str">
        <f t="shared" ca="1" si="146"/>
        <v/>
      </c>
      <c r="AO144" s="89" t="str">
        <f t="shared" ca="1" si="147"/>
        <v/>
      </c>
      <c r="AP144" s="77" t="str">
        <f t="shared" ca="1" si="148"/>
        <v/>
      </c>
      <c r="AQ144" s="94" t="str">
        <f t="shared" ca="1" si="149"/>
        <v/>
      </c>
      <c r="AR144" s="77" t="str">
        <f t="shared" ca="1" si="150"/>
        <v/>
      </c>
      <c r="AS144" s="94" t="str">
        <f t="shared" ca="1" si="151"/>
        <v/>
      </c>
      <c r="AT144" s="77" t="str">
        <f t="shared" ca="1" si="152"/>
        <v/>
      </c>
      <c r="AU144" s="93" t="str">
        <f t="shared" ca="1" si="153"/>
        <v/>
      </c>
      <c r="AV144" s="77" t="str">
        <f t="shared" ca="1" si="154"/>
        <v/>
      </c>
      <c r="AW144" s="93" t="str">
        <f t="shared" ca="1" si="155"/>
        <v/>
      </c>
      <c r="AX144" s="77" t="str">
        <f t="shared" ca="1" si="156"/>
        <v/>
      </c>
      <c r="AY144" s="93" t="str">
        <f t="shared" ca="1" si="157"/>
        <v/>
      </c>
      <c r="AZ144" s="77" t="str">
        <f t="shared" ca="1" si="158"/>
        <v/>
      </c>
      <c r="BA144" s="93" t="str">
        <f t="shared" ca="1" si="159"/>
        <v/>
      </c>
      <c r="BB144" s="77" t="str">
        <f t="shared" ca="1" si="160"/>
        <v/>
      </c>
      <c r="BC144" s="93" t="str">
        <f t="shared" ca="1" si="161"/>
        <v/>
      </c>
    </row>
    <row r="145" spans="1:55" ht="15.95" customHeight="1" x14ac:dyDescent="0.2">
      <c r="A145" s="41" t="str">
        <f>IF(Customization!B145="","",Customization!B145)</f>
        <v/>
      </c>
      <c r="B145" s="79" t="str">
        <f t="shared" ca="1" si="110"/>
        <v/>
      </c>
      <c r="C145" s="29" t="str">
        <f t="shared" ca="1" si="111"/>
        <v/>
      </c>
      <c r="D145" s="7" t="str">
        <f t="shared" ca="1" si="108"/>
        <v/>
      </c>
      <c r="E145" s="29" t="str">
        <f t="shared" ca="1" si="112"/>
        <v/>
      </c>
      <c r="F145" s="7" t="str">
        <f t="shared" ca="1" si="109"/>
        <v/>
      </c>
      <c r="G145" s="29" t="str">
        <f t="shared" ca="1" si="113"/>
        <v/>
      </c>
      <c r="H145" s="7" t="str">
        <f t="shared" ca="1" si="114"/>
        <v/>
      </c>
      <c r="I145" s="28" t="str">
        <f t="shared" ca="1" si="115"/>
        <v/>
      </c>
      <c r="J145" s="7" t="str">
        <f t="shared" ca="1" si="116"/>
        <v/>
      </c>
      <c r="K145" s="73" t="str">
        <f t="shared" ca="1" si="117"/>
        <v/>
      </c>
      <c r="L145" s="74" t="str">
        <f t="shared" ca="1" si="118"/>
        <v/>
      </c>
      <c r="M145" s="75" t="str">
        <f t="shared" ca="1" si="119"/>
        <v/>
      </c>
      <c r="N145" s="76" t="str">
        <f t="shared" ca="1" si="120"/>
        <v/>
      </c>
      <c r="O145" s="75" t="str">
        <f t="shared" ca="1" si="121"/>
        <v/>
      </c>
      <c r="P145" s="76" t="str">
        <f t="shared" ca="1" si="122"/>
        <v/>
      </c>
      <c r="Q145" s="75" t="str">
        <f t="shared" ca="1" si="123"/>
        <v/>
      </c>
      <c r="R145" s="77" t="str">
        <f t="shared" ca="1" si="124"/>
        <v/>
      </c>
      <c r="S145" s="89" t="str">
        <f t="shared" ca="1" si="125"/>
        <v/>
      </c>
      <c r="T145" s="88" t="str">
        <f t="shared" ca="1" si="126"/>
        <v/>
      </c>
      <c r="U145" s="92" t="str">
        <f t="shared" ca="1" si="127"/>
        <v/>
      </c>
      <c r="V145" s="88" t="str">
        <f t="shared" ca="1" si="128"/>
        <v/>
      </c>
      <c r="W145" s="92" t="str">
        <f t="shared" ca="1" si="129"/>
        <v/>
      </c>
      <c r="X145" s="88" t="str">
        <f t="shared" ca="1" si="130"/>
        <v/>
      </c>
      <c r="Y145" s="92" t="str">
        <f t="shared" ca="1" si="131"/>
        <v/>
      </c>
      <c r="Z145" s="88" t="str">
        <f t="shared" ca="1" si="132"/>
        <v/>
      </c>
      <c r="AA145" s="89" t="str">
        <f t="shared" ca="1" si="133"/>
        <v/>
      </c>
      <c r="AB145" s="88" t="str">
        <f t="shared" ca="1" si="134"/>
        <v/>
      </c>
      <c r="AC145" s="92" t="str">
        <f t="shared" ca="1" si="135"/>
        <v/>
      </c>
      <c r="AD145" s="88" t="str">
        <f t="shared" ca="1" si="136"/>
        <v/>
      </c>
      <c r="AE145" s="92" t="str">
        <f t="shared" ca="1" si="137"/>
        <v/>
      </c>
      <c r="AF145" s="88" t="str">
        <f t="shared" ca="1" si="138"/>
        <v/>
      </c>
      <c r="AG145" s="92" t="str">
        <f t="shared" ca="1" si="139"/>
        <v/>
      </c>
      <c r="AH145" s="88" t="str">
        <f t="shared" ca="1" si="140"/>
        <v/>
      </c>
      <c r="AI145" s="92" t="str">
        <f t="shared" ca="1" si="141"/>
        <v/>
      </c>
      <c r="AJ145" s="88" t="str">
        <f t="shared" ca="1" si="142"/>
        <v/>
      </c>
      <c r="AK145" s="92" t="str">
        <f t="shared" ca="1" si="143"/>
        <v/>
      </c>
      <c r="AL145" s="77" t="str">
        <f t="shared" ca="1" si="144"/>
        <v/>
      </c>
      <c r="AM145" s="89" t="str">
        <f t="shared" ca="1" si="145"/>
        <v/>
      </c>
      <c r="AN145" s="88" t="str">
        <f t="shared" ca="1" si="146"/>
        <v/>
      </c>
      <c r="AO145" s="89" t="str">
        <f t="shared" ca="1" si="147"/>
        <v/>
      </c>
      <c r="AP145" s="77" t="str">
        <f t="shared" ca="1" si="148"/>
        <v/>
      </c>
      <c r="AQ145" s="94" t="str">
        <f t="shared" ca="1" si="149"/>
        <v/>
      </c>
      <c r="AR145" s="77" t="str">
        <f t="shared" ca="1" si="150"/>
        <v/>
      </c>
      <c r="AS145" s="94" t="str">
        <f t="shared" ca="1" si="151"/>
        <v/>
      </c>
      <c r="AT145" s="77" t="str">
        <f t="shared" ca="1" si="152"/>
        <v/>
      </c>
      <c r="AU145" s="93" t="str">
        <f t="shared" ca="1" si="153"/>
        <v/>
      </c>
      <c r="AV145" s="77" t="str">
        <f t="shared" ca="1" si="154"/>
        <v/>
      </c>
      <c r="AW145" s="93" t="str">
        <f t="shared" ca="1" si="155"/>
        <v/>
      </c>
      <c r="AX145" s="77" t="str">
        <f t="shared" ca="1" si="156"/>
        <v/>
      </c>
      <c r="AY145" s="93" t="str">
        <f t="shared" ca="1" si="157"/>
        <v/>
      </c>
      <c r="AZ145" s="77" t="str">
        <f t="shared" ca="1" si="158"/>
        <v/>
      </c>
      <c r="BA145" s="93" t="str">
        <f t="shared" ca="1" si="159"/>
        <v/>
      </c>
      <c r="BB145" s="77" t="str">
        <f t="shared" ca="1" si="160"/>
        <v/>
      </c>
      <c r="BC145" s="93" t="str">
        <f t="shared" ca="1" si="161"/>
        <v/>
      </c>
    </row>
    <row r="146" spans="1:55" ht="15.95" customHeight="1" x14ac:dyDescent="0.2">
      <c r="A146" s="41" t="str">
        <f>IF(Customization!B146="","",Customization!B146)</f>
        <v/>
      </c>
      <c r="B146" s="79" t="str">
        <f t="shared" ca="1" si="110"/>
        <v/>
      </c>
      <c r="C146" s="29" t="str">
        <f t="shared" ca="1" si="111"/>
        <v/>
      </c>
      <c r="D146" s="7" t="str">
        <f t="shared" ca="1" si="108"/>
        <v/>
      </c>
      <c r="E146" s="29" t="str">
        <f t="shared" ca="1" si="112"/>
        <v/>
      </c>
      <c r="F146" s="7" t="str">
        <f t="shared" ca="1" si="109"/>
        <v/>
      </c>
      <c r="G146" s="29" t="str">
        <f t="shared" ca="1" si="113"/>
        <v/>
      </c>
      <c r="H146" s="7" t="str">
        <f t="shared" ca="1" si="114"/>
        <v/>
      </c>
      <c r="I146" s="28" t="str">
        <f t="shared" ca="1" si="115"/>
        <v/>
      </c>
      <c r="J146" s="7" t="str">
        <f t="shared" ca="1" si="116"/>
        <v/>
      </c>
      <c r="K146" s="73" t="str">
        <f t="shared" ca="1" si="117"/>
        <v/>
      </c>
      <c r="L146" s="74" t="str">
        <f t="shared" ca="1" si="118"/>
        <v/>
      </c>
      <c r="M146" s="75" t="str">
        <f t="shared" ca="1" si="119"/>
        <v/>
      </c>
      <c r="N146" s="76" t="str">
        <f t="shared" ca="1" si="120"/>
        <v/>
      </c>
      <c r="O146" s="75" t="str">
        <f t="shared" ca="1" si="121"/>
        <v/>
      </c>
      <c r="P146" s="76" t="str">
        <f t="shared" ca="1" si="122"/>
        <v/>
      </c>
      <c r="Q146" s="75" t="str">
        <f t="shared" ca="1" si="123"/>
        <v/>
      </c>
      <c r="R146" s="77" t="str">
        <f t="shared" ca="1" si="124"/>
        <v/>
      </c>
      <c r="S146" s="89" t="str">
        <f t="shared" ca="1" si="125"/>
        <v/>
      </c>
      <c r="T146" s="88" t="str">
        <f t="shared" ca="1" si="126"/>
        <v/>
      </c>
      <c r="U146" s="92" t="str">
        <f t="shared" ca="1" si="127"/>
        <v/>
      </c>
      <c r="V146" s="88" t="str">
        <f t="shared" ca="1" si="128"/>
        <v/>
      </c>
      <c r="W146" s="92" t="str">
        <f t="shared" ca="1" si="129"/>
        <v/>
      </c>
      <c r="X146" s="88" t="str">
        <f t="shared" ca="1" si="130"/>
        <v/>
      </c>
      <c r="Y146" s="92" t="str">
        <f t="shared" ca="1" si="131"/>
        <v/>
      </c>
      <c r="Z146" s="88" t="str">
        <f t="shared" ca="1" si="132"/>
        <v/>
      </c>
      <c r="AA146" s="89" t="str">
        <f t="shared" ca="1" si="133"/>
        <v/>
      </c>
      <c r="AB146" s="88" t="str">
        <f t="shared" ca="1" si="134"/>
        <v/>
      </c>
      <c r="AC146" s="92" t="str">
        <f t="shared" ca="1" si="135"/>
        <v/>
      </c>
      <c r="AD146" s="88" t="str">
        <f t="shared" ca="1" si="136"/>
        <v/>
      </c>
      <c r="AE146" s="92" t="str">
        <f t="shared" ca="1" si="137"/>
        <v/>
      </c>
      <c r="AF146" s="88" t="str">
        <f t="shared" ca="1" si="138"/>
        <v/>
      </c>
      <c r="AG146" s="92" t="str">
        <f t="shared" ca="1" si="139"/>
        <v/>
      </c>
      <c r="AH146" s="88" t="str">
        <f t="shared" ca="1" si="140"/>
        <v/>
      </c>
      <c r="AI146" s="92" t="str">
        <f t="shared" ca="1" si="141"/>
        <v/>
      </c>
      <c r="AJ146" s="88" t="str">
        <f t="shared" ca="1" si="142"/>
        <v/>
      </c>
      <c r="AK146" s="92" t="str">
        <f t="shared" ca="1" si="143"/>
        <v/>
      </c>
      <c r="AL146" s="77" t="str">
        <f t="shared" ca="1" si="144"/>
        <v/>
      </c>
      <c r="AM146" s="89" t="str">
        <f t="shared" ca="1" si="145"/>
        <v/>
      </c>
      <c r="AN146" s="88" t="str">
        <f t="shared" ca="1" si="146"/>
        <v/>
      </c>
      <c r="AO146" s="89" t="str">
        <f t="shared" ca="1" si="147"/>
        <v/>
      </c>
      <c r="AP146" s="77" t="str">
        <f t="shared" ca="1" si="148"/>
        <v/>
      </c>
      <c r="AQ146" s="94" t="str">
        <f t="shared" ca="1" si="149"/>
        <v/>
      </c>
      <c r="AR146" s="77" t="str">
        <f t="shared" ca="1" si="150"/>
        <v/>
      </c>
      <c r="AS146" s="94" t="str">
        <f t="shared" ca="1" si="151"/>
        <v/>
      </c>
      <c r="AT146" s="77" t="str">
        <f t="shared" ca="1" si="152"/>
        <v/>
      </c>
      <c r="AU146" s="93" t="str">
        <f t="shared" ca="1" si="153"/>
        <v/>
      </c>
      <c r="AV146" s="77" t="str">
        <f t="shared" ca="1" si="154"/>
        <v/>
      </c>
      <c r="AW146" s="93" t="str">
        <f t="shared" ca="1" si="155"/>
        <v/>
      </c>
      <c r="AX146" s="77" t="str">
        <f t="shared" ca="1" si="156"/>
        <v/>
      </c>
      <c r="AY146" s="93" t="str">
        <f t="shared" ca="1" si="157"/>
        <v/>
      </c>
      <c r="AZ146" s="77" t="str">
        <f t="shared" ca="1" si="158"/>
        <v/>
      </c>
      <c r="BA146" s="93" t="str">
        <f t="shared" ca="1" si="159"/>
        <v/>
      </c>
      <c r="BB146" s="77" t="str">
        <f t="shared" ca="1" si="160"/>
        <v/>
      </c>
      <c r="BC146" s="93" t="str">
        <f t="shared" ca="1" si="161"/>
        <v/>
      </c>
    </row>
    <row r="147" spans="1:55" ht="15.95" customHeight="1" x14ac:dyDescent="0.2">
      <c r="A147" s="41" t="str">
        <f>IF(Customization!B147="","",Customization!B147)</f>
        <v/>
      </c>
      <c r="B147" s="79" t="str">
        <f t="shared" ca="1" si="110"/>
        <v/>
      </c>
      <c r="C147" s="29" t="str">
        <f t="shared" ca="1" si="111"/>
        <v/>
      </c>
      <c r="D147" s="7" t="str">
        <f t="shared" ca="1" si="108"/>
        <v/>
      </c>
      <c r="E147" s="29" t="str">
        <f t="shared" ca="1" si="112"/>
        <v/>
      </c>
      <c r="F147" s="7" t="str">
        <f t="shared" ca="1" si="109"/>
        <v/>
      </c>
      <c r="G147" s="29" t="str">
        <f t="shared" ca="1" si="113"/>
        <v/>
      </c>
      <c r="H147" s="7" t="str">
        <f t="shared" ca="1" si="114"/>
        <v/>
      </c>
      <c r="I147" s="28" t="str">
        <f t="shared" ca="1" si="115"/>
        <v/>
      </c>
      <c r="J147" s="7" t="str">
        <f t="shared" ca="1" si="116"/>
        <v/>
      </c>
      <c r="K147" s="73" t="str">
        <f t="shared" ca="1" si="117"/>
        <v/>
      </c>
      <c r="L147" s="74" t="str">
        <f t="shared" ca="1" si="118"/>
        <v/>
      </c>
      <c r="M147" s="75" t="str">
        <f t="shared" ca="1" si="119"/>
        <v/>
      </c>
      <c r="N147" s="76" t="str">
        <f t="shared" ca="1" si="120"/>
        <v/>
      </c>
      <c r="O147" s="75" t="str">
        <f t="shared" ca="1" si="121"/>
        <v/>
      </c>
      <c r="P147" s="76" t="str">
        <f t="shared" ca="1" si="122"/>
        <v/>
      </c>
      <c r="Q147" s="75" t="str">
        <f t="shared" ca="1" si="123"/>
        <v/>
      </c>
      <c r="R147" s="77" t="str">
        <f t="shared" ca="1" si="124"/>
        <v/>
      </c>
      <c r="S147" s="89" t="str">
        <f t="shared" ca="1" si="125"/>
        <v/>
      </c>
      <c r="T147" s="88" t="str">
        <f t="shared" ca="1" si="126"/>
        <v/>
      </c>
      <c r="U147" s="92" t="str">
        <f t="shared" ca="1" si="127"/>
        <v/>
      </c>
      <c r="V147" s="88" t="str">
        <f t="shared" ca="1" si="128"/>
        <v/>
      </c>
      <c r="W147" s="92" t="str">
        <f t="shared" ca="1" si="129"/>
        <v/>
      </c>
      <c r="X147" s="88" t="str">
        <f t="shared" ca="1" si="130"/>
        <v/>
      </c>
      <c r="Y147" s="92" t="str">
        <f t="shared" ca="1" si="131"/>
        <v/>
      </c>
      <c r="Z147" s="88" t="str">
        <f t="shared" ca="1" si="132"/>
        <v/>
      </c>
      <c r="AA147" s="89" t="str">
        <f t="shared" ca="1" si="133"/>
        <v/>
      </c>
      <c r="AB147" s="88" t="str">
        <f t="shared" ca="1" si="134"/>
        <v/>
      </c>
      <c r="AC147" s="92" t="str">
        <f t="shared" ca="1" si="135"/>
        <v/>
      </c>
      <c r="AD147" s="88" t="str">
        <f t="shared" ca="1" si="136"/>
        <v/>
      </c>
      <c r="AE147" s="92" t="str">
        <f t="shared" ca="1" si="137"/>
        <v/>
      </c>
      <c r="AF147" s="88" t="str">
        <f t="shared" ca="1" si="138"/>
        <v/>
      </c>
      <c r="AG147" s="92" t="str">
        <f t="shared" ca="1" si="139"/>
        <v/>
      </c>
      <c r="AH147" s="88" t="str">
        <f t="shared" ca="1" si="140"/>
        <v/>
      </c>
      <c r="AI147" s="92" t="str">
        <f t="shared" ca="1" si="141"/>
        <v/>
      </c>
      <c r="AJ147" s="88" t="str">
        <f t="shared" ca="1" si="142"/>
        <v/>
      </c>
      <c r="AK147" s="92" t="str">
        <f t="shared" ca="1" si="143"/>
        <v/>
      </c>
      <c r="AL147" s="77" t="str">
        <f t="shared" ca="1" si="144"/>
        <v/>
      </c>
      <c r="AM147" s="89" t="str">
        <f t="shared" ca="1" si="145"/>
        <v/>
      </c>
      <c r="AN147" s="88" t="str">
        <f t="shared" ca="1" si="146"/>
        <v/>
      </c>
      <c r="AO147" s="89" t="str">
        <f t="shared" ca="1" si="147"/>
        <v/>
      </c>
      <c r="AP147" s="77" t="str">
        <f t="shared" ca="1" si="148"/>
        <v/>
      </c>
      <c r="AQ147" s="94" t="str">
        <f t="shared" ca="1" si="149"/>
        <v/>
      </c>
      <c r="AR147" s="77" t="str">
        <f t="shared" ca="1" si="150"/>
        <v/>
      </c>
      <c r="AS147" s="94" t="str">
        <f t="shared" ca="1" si="151"/>
        <v/>
      </c>
      <c r="AT147" s="77" t="str">
        <f t="shared" ca="1" si="152"/>
        <v/>
      </c>
      <c r="AU147" s="93" t="str">
        <f t="shared" ca="1" si="153"/>
        <v/>
      </c>
      <c r="AV147" s="77" t="str">
        <f t="shared" ca="1" si="154"/>
        <v/>
      </c>
      <c r="AW147" s="93" t="str">
        <f t="shared" ca="1" si="155"/>
        <v/>
      </c>
      <c r="AX147" s="77" t="str">
        <f t="shared" ca="1" si="156"/>
        <v/>
      </c>
      <c r="AY147" s="93" t="str">
        <f t="shared" ca="1" si="157"/>
        <v/>
      </c>
      <c r="AZ147" s="77" t="str">
        <f t="shared" ca="1" si="158"/>
        <v/>
      </c>
      <c r="BA147" s="93" t="str">
        <f t="shared" ca="1" si="159"/>
        <v/>
      </c>
      <c r="BB147" s="77" t="str">
        <f t="shared" ca="1" si="160"/>
        <v/>
      </c>
      <c r="BC147" s="93" t="str">
        <f t="shared" ca="1" si="161"/>
        <v/>
      </c>
    </row>
    <row r="148" spans="1:55" ht="15.95" customHeight="1" x14ac:dyDescent="0.2">
      <c r="A148" s="41" t="str">
        <f>IF(Customization!B148="","",Customization!B148)</f>
        <v/>
      </c>
      <c r="B148" s="79" t="str">
        <f t="shared" ca="1" si="110"/>
        <v/>
      </c>
      <c r="C148" s="29" t="str">
        <f t="shared" ca="1" si="111"/>
        <v/>
      </c>
      <c r="D148" s="7" t="str">
        <f t="shared" ca="1" si="108"/>
        <v/>
      </c>
      <c r="E148" s="29" t="str">
        <f t="shared" ca="1" si="112"/>
        <v/>
      </c>
      <c r="F148" s="7" t="str">
        <f t="shared" ca="1" si="109"/>
        <v/>
      </c>
      <c r="G148" s="29" t="str">
        <f t="shared" ca="1" si="113"/>
        <v/>
      </c>
      <c r="H148" s="7" t="str">
        <f t="shared" ca="1" si="114"/>
        <v/>
      </c>
      <c r="I148" s="28" t="str">
        <f t="shared" ca="1" si="115"/>
        <v/>
      </c>
      <c r="J148" s="7" t="str">
        <f t="shared" ca="1" si="116"/>
        <v/>
      </c>
      <c r="K148" s="73" t="str">
        <f t="shared" ca="1" si="117"/>
        <v/>
      </c>
      <c r="L148" s="74" t="str">
        <f t="shared" ca="1" si="118"/>
        <v/>
      </c>
      <c r="M148" s="75" t="str">
        <f t="shared" ca="1" si="119"/>
        <v/>
      </c>
      <c r="N148" s="76" t="str">
        <f t="shared" ca="1" si="120"/>
        <v/>
      </c>
      <c r="O148" s="75" t="str">
        <f t="shared" ca="1" si="121"/>
        <v/>
      </c>
      <c r="P148" s="76" t="str">
        <f t="shared" ca="1" si="122"/>
        <v/>
      </c>
      <c r="Q148" s="75" t="str">
        <f t="shared" ca="1" si="123"/>
        <v/>
      </c>
      <c r="R148" s="77" t="str">
        <f t="shared" ca="1" si="124"/>
        <v/>
      </c>
      <c r="S148" s="89" t="str">
        <f t="shared" ca="1" si="125"/>
        <v/>
      </c>
      <c r="T148" s="88" t="str">
        <f t="shared" ca="1" si="126"/>
        <v/>
      </c>
      <c r="U148" s="92" t="str">
        <f t="shared" ca="1" si="127"/>
        <v/>
      </c>
      <c r="V148" s="88" t="str">
        <f t="shared" ca="1" si="128"/>
        <v/>
      </c>
      <c r="W148" s="92" t="str">
        <f t="shared" ca="1" si="129"/>
        <v/>
      </c>
      <c r="X148" s="88" t="str">
        <f t="shared" ca="1" si="130"/>
        <v/>
      </c>
      <c r="Y148" s="92" t="str">
        <f t="shared" ca="1" si="131"/>
        <v/>
      </c>
      <c r="Z148" s="88" t="str">
        <f t="shared" ca="1" si="132"/>
        <v/>
      </c>
      <c r="AA148" s="89" t="str">
        <f t="shared" ca="1" si="133"/>
        <v/>
      </c>
      <c r="AB148" s="88" t="str">
        <f t="shared" ca="1" si="134"/>
        <v/>
      </c>
      <c r="AC148" s="92" t="str">
        <f t="shared" ca="1" si="135"/>
        <v/>
      </c>
      <c r="AD148" s="88" t="str">
        <f t="shared" ca="1" si="136"/>
        <v/>
      </c>
      <c r="AE148" s="92" t="str">
        <f t="shared" ca="1" si="137"/>
        <v/>
      </c>
      <c r="AF148" s="88" t="str">
        <f t="shared" ca="1" si="138"/>
        <v/>
      </c>
      <c r="AG148" s="92" t="str">
        <f t="shared" ca="1" si="139"/>
        <v/>
      </c>
      <c r="AH148" s="88" t="str">
        <f t="shared" ca="1" si="140"/>
        <v/>
      </c>
      <c r="AI148" s="92" t="str">
        <f t="shared" ca="1" si="141"/>
        <v/>
      </c>
      <c r="AJ148" s="88" t="str">
        <f t="shared" ca="1" si="142"/>
        <v/>
      </c>
      <c r="AK148" s="92" t="str">
        <f t="shared" ca="1" si="143"/>
        <v/>
      </c>
      <c r="AL148" s="77" t="str">
        <f t="shared" ca="1" si="144"/>
        <v/>
      </c>
      <c r="AM148" s="89" t="str">
        <f t="shared" ca="1" si="145"/>
        <v/>
      </c>
      <c r="AN148" s="88" t="str">
        <f t="shared" ca="1" si="146"/>
        <v/>
      </c>
      <c r="AO148" s="89" t="str">
        <f t="shared" ca="1" si="147"/>
        <v/>
      </c>
      <c r="AP148" s="77" t="str">
        <f t="shared" ca="1" si="148"/>
        <v/>
      </c>
      <c r="AQ148" s="94" t="str">
        <f t="shared" ca="1" si="149"/>
        <v/>
      </c>
      <c r="AR148" s="77" t="str">
        <f t="shared" ca="1" si="150"/>
        <v/>
      </c>
      <c r="AS148" s="94" t="str">
        <f t="shared" ca="1" si="151"/>
        <v/>
      </c>
      <c r="AT148" s="77" t="str">
        <f t="shared" ca="1" si="152"/>
        <v/>
      </c>
      <c r="AU148" s="93" t="str">
        <f t="shared" ca="1" si="153"/>
        <v/>
      </c>
      <c r="AV148" s="77" t="str">
        <f t="shared" ca="1" si="154"/>
        <v/>
      </c>
      <c r="AW148" s="93" t="str">
        <f t="shared" ca="1" si="155"/>
        <v/>
      </c>
      <c r="AX148" s="77" t="str">
        <f t="shared" ca="1" si="156"/>
        <v/>
      </c>
      <c r="AY148" s="93" t="str">
        <f t="shared" ca="1" si="157"/>
        <v/>
      </c>
      <c r="AZ148" s="77" t="str">
        <f t="shared" ca="1" si="158"/>
        <v/>
      </c>
      <c r="BA148" s="93" t="str">
        <f t="shared" ca="1" si="159"/>
        <v/>
      </c>
      <c r="BB148" s="77" t="str">
        <f t="shared" ca="1" si="160"/>
        <v/>
      </c>
      <c r="BC148" s="93" t="str">
        <f t="shared" ca="1" si="161"/>
        <v/>
      </c>
    </row>
    <row r="149" spans="1:55" ht="15.95" customHeight="1" x14ac:dyDescent="0.2">
      <c r="A149" s="41" t="str">
        <f>IF(Customization!B149="","",Customization!B149)</f>
        <v/>
      </c>
      <c r="B149" s="79" t="str">
        <f t="shared" ca="1" si="110"/>
        <v/>
      </c>
      <c r="C149" s="29" t="str">
        <f t="shared" ca="1" si="111"/>
        <v/>
      </c>
      <c r="D149" s="7" t="str">
        <f t="shared" ca="1" si="108"/>
        <v/>
      </c>
      <c r="E149" s="29" t="str">
        <f t="shared" ca="1" si="112"/>
        <v/>
      </c>
      <c r="F149" s="7" t="str">
        <f t="shared" ca="1" si="109"/>
        <v/>
      </c>
      <c r="G149" s="29" t="str">
        <f t="shared" ca="1" si="113"/>
        <v/>
      </c>
      <c r="H149" s="7" t="str">
        <f t="shared" ca="1" si="114"/>
        <v/>
      </c>
      <c r="I149" s="28" t="str">
        <f t="shared" ca="1" si="115"/>
        <v/>
      </c>
      <c r="J149" s="7" t="str">
        <f t="shared" ca="1" si="116"/>
        <v/>
      </c>
      <c r="K149" s="73" t="str">
        <f t="shared" ca="1" si="117"/>
        <v/>
      </c>
      <c r="L149" s="74" t="str">
        <f t="shared" ca="1" si="118"/>
        <v/>
      </c>
      <c r="M149" s="75" t="str">
        <f t="shared" ca="1" si="119"/>
        <v/>
      </c>
      <c r="N149" s="76" t="str">
        <f t="shared" ca="1" si="120"/>
        <v/>
      </c>
      <c r="O149" s="75" t="str">
        <f t="shared" ca="1" si="121"/>
        <v/>
      </c>
      <c r="P149" s="76" t="str">
        <f t="shared" ca="1" si="122"/>
        <v/>
      </c>
      <c r="Q149" s="75" t="str">
        <f t="shared" ca="1" si="123"/>
        <v/>
      </c>
      <c r="R149" s="77" t="str">
        <f t="shared" ca="1" si="124"/>
        <v/>
      </c>
      <c r="S149" s="89" t="str">
        <f t="shared" ca="1" si="125"/>
        <v/>
      </c>
      <c r="T149" s="88" t="str">
        <f t="shared" ca="1" si="126"/>
        <v/>
      </c>
      <c r="U149" s="92" t="str">
        <f t="shared" ca="1" si="127"/>
        <v/>
      </c>
      <c r="V149" s="88" t="str">
        <f t="shared" ca="1" si="128"/>
        <v/>
      </c>
      <c r="W149" s="92" t="str">
        <f t="shared" ca="1" si="129"/>
        <v/>
      </c>
      <c r="X149" s="88" t="str">
        <f t="shared" ca="1" si="130"/>
        <v/>
      </c>
      <c r="Y149" s="92" t="str">
        <f t="shared" ca="1" si="131"/>
        <v/>
      </c>
      <c r="Z149" s="88" t="str">
        <f t="shared" ca="1" si="132"/>
        <v/>
      </c>
      <c r="AA149" s="89" t="str">
        <f t="shared" ca="1" si="133"/>
        <v/>
      </c>
      <c r="AB149" s="88" t="str">
        <f t="shared" ca="1" si="134"/>
        <v/>
      </c>
      <c r="AC149" s="92" t="str">
        <f t="shared" ca="1" si="135"/>
        <v/>
      </c>
      <c r="AD149" s="88" t="str">
        <f t="shared" ca="1" si="136"/>
        <v/>
      </c>
      <c r="AE149" s="92" t="str">
        <f t="shared" ca="1" si="137"/>
        <v/>
      </c>
      <c r="AF149" s="88" t="str">
        <f t="shared" ca="1" si="138"/>
        <v/>
      </c>
      <c r="AG149" s="92" t="str">
        <f t="shared" ca="1" si="139"/>
        <v/>
      </c>
      <c r="AH149" s="88" t="str">
        <f t="shared" ca="1" si="140"/>
        <v/>
      </c>
      <c r="AI149" s="92" t="str">
        <f t="shared" ca="1" si="141"/>
        <v/>
      </c>
      <c r="AJ149" s="88" t="str">
        <f t="shared" ca="1" si="142"/>
        <v/>
      </c>
      <c r="AK149" s="92" t="str">
        <f t="shared" ca="1" si="143"/>
        <v/>
      </c>
      <c r="AL149" s="77" t="str">
        <f t="shared" ca="1" si="144"/>
        <v/>
      </c>
      <c r="AM149" s="89" t="str">
        <f t="shared" ca="1" si="145"/>
        <v/>
      </c>
      <c r="AN149" s="88" t="str">
        <f t="shared" ca="1" si="146"/>
        <v/>
      </c>
      <c r="AO149" s="89" t="str">
        <f t="shared" ca="1" si="147"/>
        <v/>
      </c>
      <c r="AP149" s="77" t="str">
        <f t="shared" ca="1" si="148"/>
        <v/>
      </c>
      <c r="AQ149" s="94" t="str">
        <f t="shared" ca="1" si="149"/>
        <v/>
      </c>
      <c r="AR149" s="77" t="str">
        <f t="shared" ca="1" si="150"/>
        <v/>
      </c>
      <c r="AS149" s="94" t="str">
        <f t="shared" ca="1" si="151"/>
        <v/>
      </c>
      <c r="AT149" s="77" t="str">
        <f t="shared" ca="1" si="152"/>
        <v/>
      </c>
      <c r="AU149" s="93" t="str">
        <f t="shared" ca="1" si="153"/>
        <v/>
      </c>
      <c r="AV149" s="77" t="str">
        <f t="shared" ca="1" si="154"/>
        <v/>
      </c>
      <c r="AW149" s="93" t="str">
        <f t="shared" ca="1" si="155"/>
        <v/>
      </c>
      <c r="AX149" s="77" t="str">
        <f t="shared" ca="1" si="156"/>
        <v/>
      </c>
      <c r="AY149" s="93" t="str">
        <f t="shared" ca="1" si="157"/>
        <v/>
      </c>
      <c r="AZ149" s="77" t="str">
        <f t="shared" ca="1" si="158"/>
        <v/>
      </c>
      <c r="BA149" s="93" t="str">
        <f t="shared" ca="1" si="159"/>
        <v/>
      </c>
      <c r="BB149" s="77" t="str">
        <f t="shared" ca="1" si="160"/>
        <v/>
      </c>
      <c r="BC149" s="93" t="str">
        <f t="shared" ca="1" si="161"/>
        <v/>
      </c>
    </row>
    <row r="150" spans="1:55" ht="15.95" customHeight="1" x14ac:dyDescent="0.2">
      <c r="A150" s="41" t="str">
        <f>IF(Customization!B150="","",Customization!B150)</f>
        <v/>
      </c>
      <c r="B150" s="79" t="str">
        <f t="shared" ca="1" si="110"/>
        <v/>
      </c>
      <c r="C150" s="29" t="str">
        <f t="shared" ca="1" si="111"/>
        <v/>
      </c>
      <c r="D150" s="7" t="str">
        <f t="shared" ca="1" si="108"/>
        <v/>
      </c>
      <c r="E150" s="29" t="str">
        <f t="shared" ca="1" si="112"/>
        <v/>
      </c>
      <c r="F150" s="7" t="str">
        <f t="shared" ca="1" si="109"/>
        <v/>
      </c>
      <c r="G150" s="29" t="str">
        <f t="shared" ca="1" si="113"/>
        <v/>
      </c>
      <c r="H150" s="7" t="str">
        <f t="shared" ca="1" si="114"/>
        <v/>
      </c>
      <c r="I150" s="28" t="str">
        <f t="shared" ca="1" si="115"/>
        <v/>
      </c>
      <c r="J150" s="7" t="str">
        <f t="shared" ca="1" si="116"/>
        <v/>
      </c>
      <c r="K150" s="73" t="str">
        <f t="shared" ca="1" si="117"/>
        <v/>
      </c>
      <c r="L150" s="74" t="str">
        <f t="shared" ca="1" si="118"/>
        <v/>
      </c>
      <c r="M150" s="75" t="str">
        <f t="shared" ca="1" si="119"/>
        <v/>
      </c>
      <c r="N150" s="76" t="str">
        <f t="shared" ca="1" si="120"/>
        <v/>
      </c>
      <c r="O150" s="75" t="str">
        <f t="shared" ca="1" si="121"/>
        <v/>
      </c>
      <c r="P150" s="76" t="str">
        <f t="shared" ca="1" si="122"/>
        <v/>
      </c>
      <c r="Q150" s="75" t="str">
        <f t="shared" ca="1" si="123"/>
        <v/>
      </c>
      <c r="R150" s="77" t="str">
        <f t="shared" ca="1" si="124"/>
        <v/>
      </c>
      <c r="S150" s="89" t="str">
        <f t="shared" ca="1" si="125"/>
        <v/>
      </c>
      <c r="T150" s="88" t="str">
        <f t="shared" ca="1" si="126"/>
        <v/>
      </c>
      <c r="U150" s="92" t="str">
        <f t="shared" ca="1" si="127"/>
        <v/>
      </c>
      <c r="V150" s="88" t="str">
        <f t="shared" ca="1" si="128"/>
        <v/>
      </c>
      <c r="W150" s="92" t="str">
        <f t="shared" ca="1" si="129"/>
        <v/>
      </c>
      <c r="X150" s="88" t="str">
        <f t="shared" ca="1" si="130"/>
        <v/>
      </c>
      <c r="Y150" s="92" t="str">
        <f t="shared" ca="1" si="131"/>
        <v/>
      </c>
      <c r="Z150" s="88" t="str">
        <f t="shared" ca="1" si="132"/>
        <v/>
      </c>
      <c r="AA150" s="89" t="str">
        <f t="shared" ca="1" si="133"/>
        <v/>
      </c>
      <c r="AB150" s="88" t="str">
        <f t="shared" ca="1" si="134"/>
        <v/>
      </c>
      <c r="AC150" s="92" t="str">
        <f t="shared" ca="1" si="135"/>
        <v/>
      </c>
      <c r="AD150" s="88" t="str">
        <f t="shared" ca="1" si="136"/>
        <v/>
      </c>
      <c r="AE150" s="92" t="str">
        <f t="shared" ca="1" si="137"/>
        <v/>
      </c>
      <c r="AF150" s="88" t="str">
        <f t="shared" ca="1" si="138"/>
        <v/>
      </c>
      <c r="AG150" s="92" t="str">
        <f t="shared" ca="1" si="139"/>
        <v/>
      </c>
      <c r="AH150" s="88" t="str">
        <f t="shared" ca="1" si="140"/>
        <v/>
      </c>
      <c r="AI150" s="92" t="str">
        <f t="shared" ca="1" si="141"/>
        <v/>
      </c>
      <c r="AJ150" s="88" t="str">
        <f t="shared" ca="1" si="142"/>
        <v/>
      </c>
      <c r="AK150" s="92" t="str">
        <f t="shared" ca="1" si="143"/>
        <v/>
      </c>
      <c r="AL150" s="77" t="str">
        <f t="shared" ca="1" si="144"/>
        <v/>
      </c>
      <c r="AM150" s="89" t="str">
        <f t="shared" ca="1" si="145"/>
        <v/>
      </c>
      <c r="AN150" s="88" t="str">
        <f t="shared" ca="1" si="146"/>
        <v/>
      </c>
      <c r="AO150" s="89" t="str">
        <f t="shared" ca="1" si="147"/>
        <v/>
      </c>
      <c r="AP150" s="77" t="str">
        <f t="shared" ca="1" si="148"/>
        <v/>
      </c>
      <c r="AQ150" s="94" t="str">
        <f t="shared" ca="1" si="149"/>
        <v/>
      </c>
      <c r="AR150" s="77" t="str">
        <f t="shared" ca="1" si="150"/>
        <v/>
      </c>
      <c r="AS150" s="94" t="str">
        <f t="shared" ca="1" si="151"/>
        <v/>
      </c>
      <c r="AT150" s="77" t="str">
        <f t="shared" ca="1" si="152"/>
        <v/>
      </c>
      <c r="AU150" s="93" t="str">
        <f t="shared" ca="1" si="153"/>
        <v/>
      </c>
      <c r="AV150" s="77" t="str">
        <f t="shared" ca="1" si="154"/>
        <v/>
      </c>
      <c r="AW150" s="93" t="str">
        <f t="shared" ca="1" si="155"/>
        <v/>
      </c>
      <c r="AX150" s="77" t="str">
        <f t="shared" ca="1" si="156"/>
        <v/>
      </c>
      <c r="AY150" s="93" t="str">
        <f t="shared" ca="1" si="157"/>
        <v/>
      </c>
      <c r="AZ150" s="77" t="str">
        <f t="shared" ca="1" si="158"/>
        <v/>
      </c>
      <c r="BA150" s="93" t="str">
        <f t="shared" ca="1" si="159"/>
        <v/>
      </c>
      <c r="BB150" s="77" t="str">
        <f t="shared" ca="1" si="160"/>
        <v/>
      </c>
      <c r="BC150" s="93" t="str">
        <f t="shared" ca="1" si="161"/>
        <v/>
      </c>
    </row>
    <row r="151" spans="1:55" ht="15.95" customHeight="1" x14ac:dyDescent="0.2">
      <c r="A151" s="41" t="str">
        <f>IF(Customization!B151="","",Customization!B151)</f>
        <v/>
      </c>
      <c r="B151" s="79" t="str">
        <f t="shared" ca="1" si="110"/>
        <v/>
      </c>
      <c r="C151" s="29" t="str">
        <f t="shared" ca="1" si="111"/>
        <v/>
      </c>
      <c r="D151" s="7" t="str">
        <f t="shared" ca="1" si="108"/>
        <v/>
      </c>
      <c r="E151" s="29" t="str">
        <f t="shared" ca="1" si="112"/>
        <v/>
      </c>
      <c r="F151" s="7" t="str">
        <f t="shared" ca="1" si="109"/>
        <v/>
      </c>
      <c r="G151" s="29" t="str">
        <f t="shared" ca="1" si="113"/>
        <v/>
      </c>
      <c r="H151" s="7" t="str">
        <f t="shared" ca="1" si="114"/>
        <v/>
      </c>
      <c r="I151" s="28" t="str">
        <f t="shared" ca="1" si="115"/>
        <v/>
      </c>
      <c r="J151" s="7" t="str">
        <f t="shared" ca="1" si="116"/>
        <v/>
      </c>
      <c r="K151" s="73" t="str">
        <f t="shared" ca="1" si="117"/>
        <v/>
      </c>
      <c r="L151" s="74" t="str">
        <f t="shared" ca="1" si="118"/>
        <v/>
      </c>
      <c r="M151" s="75" t="str">
        <f t="shared" ca="1" si="119"/>
        <v/>
      </c>
      <c r="N151" s="76" t="str">
        <f t="shared" ca="1" si="120"/>
        <v/>
      </c>
      <c r="O151" s="75" t="str">
        <f t="shared" ca="1" si="121"/>
        <v/>
      </c>
      <c r="P151" s="76" t="str">
        <f t="shared" ca="1" si="122"/>
        <v/>
      </c>
      <c r="Q151" s="75" t="str">
        <f t="shared" ca="1" si="123"/>
        <v/>
      </c>
      <c r="R151" s="77" t="str">
        <f t="shared" ca="1" si="124"/>
        <v/>
      </c>
      <c r="S151" s="89" t="str">
        <f t="shared" ca="1" si="125"/>
        <v/>
      </c>
      <c r="T151" s="88" t="str">
        <f t="shared" ca="1" si="126"/>
        <v/>
      </c>
      <c r="U151" s="92" t="str">
        <f t="shared" ca="1" si="127"/>
        <v/>
      </c>
      <c r="V151" s="88" t="str">
        <f t="shared" ca="1" si="128"/>
        <v/>
      </c>
      <c r="W151" s="92" t="str">
        <f t="shared" ca="1" si="129"/>
        <v/>
      </c>
      <c r="X151" s="88" t="str">
        <f t="shared" ca="1" si="130"/>
        <v/>
      </c>
      <c r="Y151" s="92" t="str">
        <f t="shared" ca="1" si="131"/>
        <v/>
      </c>
      <c r="Z151" s="88" t="str">
        <f t="shared" ca="1" si="132"/>
        <v/>
      </c>
      <c r="AA151" s="89" t="str">
        <f t="shared" ca="1" si="133"/>
        <v/>
      </c>
      <c r="AB151" s="88" t="str">
        <f t="shared" ca="1" si="134"/>
        <v/>
      </c>
      <c r="AC151" s="92" t="str">
        <f t="shared" ca="1" si="135"/>
        <v/>
      </c>
      <c r="AD151" s="88" t="str">
        <f t="shared" ca="1" si="136"/>
        <v/>
      </c>
      <c r="AE151" s="92" t="str">
        <f t="shared" ca="1" si="137"/>
        <v/>
      </c>
      <c r="AF151" s="88" t="str">
        <f t="shared" ca="1" si="138"/>
        <v/>
      </c>
      <c r="AG151" s="92" t="str">
        <f t="shared" ca="1" si="139"/>
        <v/>
      </c>
      <c r="AH151" s="88" t="str">
        <f t="shared" ca="1" si="140"/>
        <v/>
      </c>
      <c r="AI151" s="92" t="str">
        <f t="shared" ca="1" si="141"/>
        <v/>
      </c>
      <c r="AJ151" s="88" t="str">
        <f t="shared" ca="1" si="142"/>
        <v/>
      </c>
      <c r="AK151" s="92" t="str">
        <f t="shared" ca="1" si="143"/>
        <v/>
      </c>
      <c r="AL151" s="77" t="str">
        <f t="shared" ca="1" si="144"/>
        <v/>
      </c>
      <c r="AM151" s="89" t="str">
        <f t="shared" ca="1" si="145"/>
        <v/>
      </c>
      <c r="AN151" s="88" t="str">
        <f t="shared" ca="1" si="146"/>
        <v/>
      </c>
      <c r="AO151" s="89" t="str">
        <f t="shared" ca="1" si="147"/>
        <v/>
      </c>
      <c r="AP151" s="77" t="str">
        <f t="shared" ca="1" si="148"/>
        <v/>
      </c>
      <c r="AQ151" s="94" t="str">
        <f t="shared" ca="1" si="149"/>
        <v/>
      </c>
      <c r="AR151" s="77" t="str">
        <f t="shared" ca="1" si="150"/>
        <v/>
      </c>
      <c r="AS151" s="94" t="str">
        <f t="shared" ca="1" si="151"/>
        <v/>
      </c>
      <c r="AT151" s="77" t="str">
        <f t="shared" ca="1" si="152"/>
        <v/>
      </c>
      <c r="AU151" s="93" t="str">
        <f t="shared" ca="1" si="153"/>
        <v/>
      </c>
      <c r="AV151" s="77" t="str">
        <f t="shared" ca="1" si="154"/>
        <v/>
      </c>
      <c r="AW151" s="93" t="str">
        <f t="shared" ca="1" si="155"/>
        <v/>
      </c>
      <c r="AX151" s="77" t="str">
        <f t="shared" ca="1" si="156"/>
        <v/>
      </c>
      <c r="AY151" s="93" t="str">
        <f t="shared" ca="1" si="157"/>
        <v/>
      </c>
      <c r="AZ151" s="77" t="str">
        <f t="shared" ca="1" si="158"/>
        <v/>
      </c>
      <c r="BA151" s="93" t="str">
        <f t="shared" ca="1" si="159"/>
        <v/>
      </c>
      <c r="BB151" s="77" t="str">
        <f t="shared" ca="1" si="160"/>
        <v/>
      </c>
      <c r="BC151" s="93" t="str">
        <f t="shared" ca="1" si="161"/>
        <v/>
      </c>
    </row>
    <row r="152" spans="1:55" ht="15.95" customHeight="1" x14ac:dyDescent="0.2">
      <c r="A152" s="41" t="str">
        <f>IF(Customization!B152="","",Customization!B152)</f>
        <v/>
      </c>
      <c r="B152" s="79" t="str">
        <f t="shared" ca="1" si="110"/>
        <v/>
      </c>
      <c r="C152" s="29" t="str">
        <f t="shared" ca="1" si="111"/>
        <v/>
      </c>
      <c r="D152" s="7" t="str">
        <f t="shared" ca="1" si="108"/>
        <v/>
      </c>
      <c r="E152" s="29" t="str">
        <f t="shared" ca="1" si="112"/>
        <v/>
      </c>
      <c r="F152" s="7" t="str">
        <f t="shared" ca="1" si="109"/>
        <v/>
      </c>
      <c r="G152" s="29" t="str">
        <f t="shared" ca="1" si="113"/>
        <v/>
      </c>
      <c r="H152" s="7" t="str">
        <f t="shared" ca="1" si="114"/>
        <v/>
      </c>
      <c r="I152" s="28" t="str">
        <f t="shared" ca="1" si="115"/>
        <v/>
      </c>
      <c r="J152" s="7" t="str">
        <f t="shared" ca="1" si="116"/>
        <v/>
      </c>
      <c r="K152" s="73" t="str">
        <f t="shared" ca="1" si="117"/>
        <v/>
      </c>
      <c r="L152" s="74" t="str">
        <f t="shared" ca="1" si="118"/>
        <v/>
      </c>
      <c r="M152" s="75" t="str">
        <f t="shared" ca="1" si="119"/>
        <v/>
      </c>
      <c r="N152" s="76" t="str">
        <f t="shared" ca="1" si="120"/>
        <v/>
      </c>
      <c r="O152" s="75" t="str">
        <f t="shared" ca="1" si="121"/>
        <v/>
      </c>
      <c r="P152" s="76" t="str">
        <f t="shared" ca="1" si="122"/>
        <v/>
      </c>
      <c r="Q152" s="75" t="str">
        <f t="shared" ca="1" si="123"/>
        <v/>
      </c>
      <c r="R152" s="77" t="str">
        <f t="shared" ca="1" si="124"/>
        <v/>
      </c>
      <c r="S152" s="89" t="str">
        <f t="shared" ca="1" si="125"/>
        <v/>
      </c>
      <c r="T152" s="88" t="str">
        <f t="shared" ca="1" si="126"/>
        <v/>
      </c>
      <c r="U152" s="92" t="str">
        <f t="shared" ca="1" si="127"/>
        <v/>
      </c>
      <c r="V152" s="88" t="str">
        <f t="shared" ca="1" si="128"/>
        <v/>
      </c>
      <c r="W152" s="92" t="str">
        <f t="shared" ca="1" si="129"/>
        <v/>
      </c>
      <c r="X152" s="88" t="str">
        <f t="shared" ca="1" si="130"/>
        <v/>
      </c>
      <c r="Y152" s="92" t="str">
        <f t="shared" ca="1" si="131"/>
        <v/>
      </c>
      <c r="Z152" s="88" t="str">
        <f t="shared" ca="1" si="132"/>
        <v/>
      </c>
      <c r="AA152" s="89" t="str">
        <f t="shared" ca="1" si="133"/>
        <v/>
      </c>
      <c r="AB152" s="88" t="str">
        <f t="shared" ca="1" si="134"/>
        <v/>
      </c>
      <c r="AC152" s="92" t="str">
        <f t="shared" ca="1" si="135"/>
        <v/>
      </c>
      <c r="AD152" s="88" t="str">
        <f t="shared" ca="1" si="136"/>
        <v/>
      </c>
      <c r="AE152" s="92" t="str">
        <f t="shared" ca="1" si="137"/>
        <v/>
      </c>
      <c r="AF152" s="88" t="str">
        <f t="shared" ca="1" si="138"/>
        <v/>
      </c>
      <c r="AG152" s="92" t="str">
        <f t="shared" ca="1" si="139"/>
        <v/>
      </c>
      <c r="AH152" s="88" t="str">
        <f t="shared" ca="1" si="140"/>
        <v/>
      </c>
      <c r="AI152" s="92" t="str">
        <f t="shared" ca="1" si="141"/>
        <v/>
      </c>
      <c r="AJ152" s="88" t="str">
        <f t="shared" ca="1" si="142"/>
        <v/>
      </c>
      <c r="AK152" s="92" t="str">
        <f t="shared" ca="1" si="143"/>
        <v/>
      </c>
      <c r="AL152" s="77" t="str">
        <f t="shared" ca="1" si="144"/>
        <v/>
      </c>
      <c r="AM152" s="89" t="str">
        <f t="shared" ca="1" si="145"/>
        <v/>
      </c>
      <c r="AN152" s="88" t="str">
        <f t="shared" ca="1" si="146"/>
        <v/>
      </c>
      <c r="AO152" s="89" t="str">
        <f t="shared" ca="1" si="147"/>
        <v/>
      </c>
      <c r="AP152" s="77" t="str">
        <f t="shared" ca="1" si="148"/>
        <v/>
      </c>
      <c r="AQ152" s="94" t="str">
        <f t="shared" ca="1" si="149"/>
        <v/>
      </c>
      <c r="AR152" s="77" t="str">
        <f t="shared" ca="1" si="150"/>
        <v/>
      </c>
      <c r="AS152" s="94" t="str">
        <f t="shared" ca="1" si="151"/>
        <v/>
      </c>
      <c r="AT152" s="77" t="str">
        <f t="shared" ca="1" si="152"/>
        <v/>
      </c>
      <c r="AU152" s="93" t="str">
        <f t="shared" ca="1" si="153"/>
        <v/>
      </c>
      <c r="AV152" s="77" t="str">
        <f t="shared" ca="1" si="154"/>
        <v/>
      </c>
      <c r="AW152" s="93" t="str">
        <f t="shared" ca="1" si="155"/>
        <v/>
      </c>
      <c r="AX152" s="77" t="str">
        <f t="shared" ca="1" si="156"/>
        <v/>
      </c>
      <c r="AY152" s="93" t="str">
        <f t="shared" ca="1" si="157"/>
        <v/>
      </c>
      <c r="AZ152" s="77" t="str">
        <f t="shared" ca="1" si="158"/>
        <v/>
      </c>
      <c r="BA152" s="93" t="str">
        <f t="shared" ca="1" si="159"/>
        <v/>
      </c>
      <c r="BB152" s="77" t="str">
        <f t="shared" ca="1" si="160"/>
        <v/>
      </c>
      <c r="BC152" s="93" t="str">
        <f t="shared" ca="1" si="161"/>
        <v/>
      </c>
    </row>
    <row r="153" spans="1:55" ht="15.95" customHeight="1" x14ac:dyDescent="0.2">
      <c r="A153" s="41" t="str">
        <f>IF(Customization!B153="","",Customization!B153)</f>
        <v/>
      </c>
      <c r="B153" s="79" t="str">
        <f t="shared" ca="1" si="110"/>
        <v/>
      </c>
      <c r="C153" s="29" t="str">
        <f t="shared" ca="1" si="111"/>
        <v/>
      </c>
      <c r="D153" s="7" t="str">
        <f t="shared" ca="1" si="108"/>
        <v/>
      </c>
      <c r="E153" s="29" t="str">
        <f t="shared" ca="1" si="112"/>
        <v/>
      </c>
      <c r="F153" s="7" t="str">
        <f t="shared" ca="1" si="109"/>
        <v/>
      </c>
      <c r="G153" s="29" t="str">
        <f t="shared" ca="1" si="113"/>
        <v/>
      </c>
      <c r="H153" s="7" t="str">
        <f t="shared" ca="1" si="114"/>
        <v/>
      </c>
      <c r="I153" s="28" t="str">
        <f t="shared" ca="1" si="115"/>
        <v/>
      </c>
      <c r="J153" s="7" t="str">
        <f t="shared" ca="1" si="116"/>
        <v/>
      </c>
      <c r="K153" s="73" t="str">
        <f t="shared" ca="1" si="117"/>
        <v/>
      </c>
      <c r="L153" s="74" t="str">
        <f t="shared" ca="1" si="118"/>
        <v/>
      </c>
      <c r="M153" s="75" t="str">
        <f t="shared" ca="1" si="119"/>
        <v/>
      </c>
      <c r="N153" s="76" t="str">
        <f t="shared" ca="1" si="120"/>
        <v/>
      </c>
      <c r="O153" s="75" t="str">
        <f t="shared" ca="1" si="121"/>
        <v/>
      </c>
      <c r="P153" s="76" t="str">
        <f t="shared" ca="1" si="122"/>
        <v/>
      </c>
      <c r="Q153" s="75" t="str">
        <f t="shared" ca="1" si="123"/>
        <v/>
      </c>
      <c r="R153" s="77" t="str">
        <f t="shared" ca="1" si="124"/>
        <v/>
      </c>
      <c r="S153" s="89" t="str">
        <f t="shared" ca="1" si="125"/>
        <v/>
      </c>
      <c r="T153" s="88" t="str">
        <f t="shared" ca="1" si="126"/>
        <v/>
      </c>
      <c r="U153" s="92" t="str">
        <f t="shared" ca="1" si="127"/>
        <v/>
      </c>
      <c r="V153" s="88" t="str">
        <f t="shared" ca="1" si="128"/>
        <v/>
      </c>
      <c r="W153" s="92" t="str">
        <f t="shared" ca="1" si="129"/>
        <v/>
      </c>
      <c r="X153" s="88" t="str">
        <f t="shared" ca="1" si="130"/>
        <v/>
      </c>
      <c r="Y153" s="92" t="str">
        <f t="shared" ca="1" si="131"/>
        <v/>
      </c>
      <c r="Z153" s="88" t="str">
        <f t="shared" ca="1" si="132"/>
        <v/>
      </c>
      <c r="AA153" s="89" t="str">
        <f t="shared" ca="1" si="133"/>
        <v/>
      </c>
      <c r="AB153" s="88" t="str">
        <f t="shared" ca="1" si="134"/>
        <v/>
      </c>
      <c r="AC153" s="92" t="str">
        <f t="shared" ca="1" si="135"/>
        <v/>
      </c>
      <c r="AD153" s="88" t="str">
        <f t="shared" ca="1" si="136"/>
        <v/>
      </c>
      <c r="AE153" s="92" t="str">
        <f t="shared" ca="1" si="137"/>
        <v/>
      </c>
      <c r="AF153" s="88" t="str">
        <f t="shared" ca="1" si="138"/>
        <v/>
      </c>
      <c r="AG153" s="92" t="str">
        <f t="shared" ca="1" si="139"/>
        <v/>
      </c>
      <c r="AH153" s="88" t="str">
        <f t="shared" ca="1" si="140"/>
        <v/>
      </c>
      <c r="AI153" s="92" t="str">
        <f t="shared" ca="1" si="141"/>
        <v/>
      </c>
      <c r="AJ153" s="88" t="str">
        <f t="shared" ca="1" si="142"/>
        <v/>
      </c>
      <c r="AK153" s="92" t="str">
        <f t="shared" ca="1" si="143"/>
        <v/>
      </c>
      <c r="AL153" s="77" t="str">
        <f t="shared" ca="1" si="144"/>
        <v/>
      </c>
      <c r="AM153" s="89" t="str">
        <f t="shared" ca="1" si="145"/>
        <v/>
      </c>
      <c r="AN153" s="88" t="str">
        <f t="shared" ca="1" si="146"/>
        <v/>
      </c>
      <c r="AO153" s="89" t="str">
        <f t="shared" ca="1" si="147"/>
        <v/>
      </c>
      <c r="AP153" s="77" t="str">
        <f t="shared" ca="1" si="148"/>
        <v/>
      </c>
      <c r="AQ153" s="94" t="str">
        <f t="shared" ca="1" si="149"/>
        <v/>
      </c>
      <c r="AR153" s="77" t="str">
        <f t="shared" ca="1" si="150"/>
        <v/>
      </c>
      <c r="AS153" s="94" t="str">
        <f t="shared" ca="1" si="151"/>
        <v/>
      </c>
      <c r="AT153" s="77" t="str">
        <f t="shared" ca="1" si="152"/>
        <v/>
      </c>
      <c r="AU153" s="93" t="str">
        <f t="shared" ca="1" si="153"/>
        <v/>
      </c>
      <c r="AV153" s="77" t="str">
        <f t="shared" ca="1" si="154"/>
        <v/>
      </c>
      <c r="AW153" s="93" t="str">
        <f t="shared" ca="1" si="155"/>
        <v/>
      </c>
      <c r="AX153" s="77" t="str">
        <f t="shared" ca="1" si="156"/>
        <v/>
      </c>
      <c r="AY153" s="93" t="str">
        <f t="shared" ca="1" si="157"/>
        <v/>
      </c>
      <c r="AZ153" s="77" t="str">
        <f t="shared" ca="1" si="158"/>
        <v/>
      </c>
      <c r="BA153" s="93" t="str">
        <f t="shared" ca="1" si="159"/>
        <v/>
      </c>
      <c r="BB153" s="77" t="str">
        <f t="shared" ca="1" si="160"/>
        <v/>
      </c>
      <c r="BC153" s="93" t="str">
        <f t="shared" ca="1" si="161"/>
        <v/>
      </c>
    </row>
    <row r="154" spans="1:55" ht="15.95" customHeight="1" x14ac:dyDescent="0.2">
      <c r="A154" s="41" t="str">
        <f>IF(Customization!B154="","",Customization!B154)</f>
        <v/>
      </c>
      <c r="B154" s="79" t="str">
        <f t="shared" ca="1" si="110"/>
        <v/>
      </c>
      <c r="C154" s="29" t="str">
        <f t="shared" ca="1" si="111"/>
        <v/>
      </c>
      <c r="D154" s="7" t="str">
        <f t="shared" ca="1" si="108"/>
        <v/>
      </c>
      <c r="E154" s="29" t="str">
        <f t="shared" ca="1" si="112"/>
        <v/>
      </c>
      <c r="F154" s="7" t="str">
        <f t="shared" ca="1" si="109"/>
        <v/>
      </c>
      <c r="G154" s="29" t="str">
        <f t="shared" ca="1" si="113"/>
        <v/>
      </c>
      <c r="H154" s="7" t="str">
        <f t="shared" ca="1" si="114"/>
        <v/>
      </c>
      <c r="I154" s="28" t="str">
        <f t="shared" ca="1" si="115"/>
        <v/>
      </c>
      <c r="J154" s="7" t="str">
        <f t="shared" ca="1" si="116"/>
        <v/>
      </c>
      <c r="K154" s="73" t="str">
        <f t="shared" ca="1" si="117"/>
        <v/>
      </c>
      <c r="L154" s="74" t="str">
        <f t="shared" ca="1" si="118"/>
        <v/>
      </c>
      <c r="M154" s="75" t="str">
        <f t="shared" ca="1" si="119"/>
        <v/>
      </c>
      <c r="N154" s="76" t="str">
        <f t="shared" ca="1" si="120"/>
        <v/>
      </c>
      <c r="O154" s="75" t="str">
        <f t="shared" ca="1" si="121"/>
        <v/>
      </c>
      <c r="P154" s="76" t="str">
        <f t="shared" ca="1" si="122"/>
        <v/>
      </c>
      <c r="Q154" s="75" t="str">
        <f t="shared" ca="1" si="123"/>
        <v/>
      </c>
      <c r="R154" s="77" t="str">
        <f t="shared" ca="1" si="124"/>
        <v/>
      </c>
      <c r="S154" s="89" t="str">
        <f t="shared" ca="1" si="125"/>
        <v/>
      </c>
      <c r="T154" s="88" t="str">
        <f t="shared" ca="1" si="126"/>
        <v/>
      </c>
      <c r="U154" s="92" t="str">
        <f t="shared" ca="1" si="127"/>
        <v/>
      </c>
      <c r="V154" s="88" t="str">
        <f t="shared" ca="1" si="128"/>
        <v/>
      </c>
      <c r="W154" s="92" t="str">
        <f t="shared" ca="1" si="129"/>
        <v/>
      </c>
      <c r="X154" s="88" t="str">
        <f t="shared" ca="1" si="130"/>
        <v/>
      </c>
      <c r="Y154" s="92" t="str">
        <f t="shared" ca="1" si="131"/>
        <v/>
      </c>
      <c r="Z154" s="88" t="str">
        <f t="shared" ca="1" si="132"/>
        <v/>
      </c>
      <c r="AA154" s="89" t="str">
        <f t="shared" ca="1" si="133"/>
        <v/>
      </c>
      <c r="AB154" s="88" t="str">
        <f t="shared" ca="1" si="134"/>
        <v/>
      </c>
      <c r="AC154" s="92" t="str">
        <f t="shared" ca="1" si="135"/>
        <v/>
      </c>
      <c r="AD154" s="88" t="str">
        <f t="shared" ca="1" si="136"/>
        <v/>
      </c>
      <c r="AE154" s="92" t="str">
        <f t="shared" ca="1" si="137"/>
        <v/>
      </c>
      <c r="AF154" s="88" t="str">
        <f t="shared" ca="1" si="138"/>
        <v/>
      </c>
      <c r="AG154" s="92" t="str">
        <f t="shared" ca="1" si="139"/>
        <v/>
      </c>
      <c r="AH154" s="88" t="str">
        <f t="shared" ca="1" si="140"/>
        <v/>
      </c>
      <c r="AI154" s="92" t="str">
        <f t="shared" ca="1" si="141"/>
        <v/>
      </c>
      <c r="AJ154" s="88" t="str">
        <f t="shared" ca="1" si="142"/>
        <v/>
      </c>
      <c r="AK154" s="92" t="str">
        <f t="shared" ca="1" si="143"/>
        <v/>
      </c>
      <c r="AL154" s="77" t="str">
        <f t="shared" ca="1" si="144"/>
        <v/>
      </c>
      <c r="AM154" s="89" t="str">
        <f t="shared" ca="1" si="145"/>
        <v/>
      </c>
      <c r="AN154" s="88" t="str">
        <f t="shared" ca="1" si="146"/>
        <v/>
      </c>
      <c r="AO154" s="89" t="str">
        <f t="shared" ca="1" si="147"/>
        <v/>
      </c>
      <c r="AP154" s="77" t="str">
        <f t="shared" ca="1" si="148"/>
        <v/>
      </c>
      <c r="AQ154" s="94" t="str">
        <f t="shared" ca="1" si="149"/>
        <v/>
      </c>
      <c r="AR154" s="77" t="str">
        <f t="shared" ca="1" si="150"/>
        <v/>
      </c>
      <c r="AS154" s="94" t="str">
        <f t="shared" ca="1" si="151"/>
        <v/>
      </c>
      <c r="AT154" s="77" t="str">
        <f t="shared" ca="1" si="152"/>
        <v/>
      </c>
      <c r="AU154" s="93" t="str">
        <f t="shared" ca="1" si="153"/>
        <v/>
      </c>
      <c r="AV154" s="77" t="str">
        <f t="shared" ca="1" si="154"/>
        <v/>
      </c>
      <c r="AW154" s="93" t="str">
        <f t="shared" ca="1" si="155"/>
        <v/>
      </c>
      <c r="AX154" s="77" t="str">
        <f t="shared" ca="1" si="156"/>
        <v/>
      </c>
      <c r="AY154" s="93" t="str">
        <f t="shared" ca="1" si="157"/>
        <v/>
      </c>
      <c r="AZ154" s="77" t="str">
        <f t="shared" ca="1" si="158"/>
        <v/>
      </c>
      <c r="BA154" s="93" t="str">
        <f t="shared" ca="1" si="159"/>
        <v/>
      </c>
      <c r="BB154" s="77" t="str">
        <f t="shared" ca="1" si="160"/>
        <v/>
      </c>
      <c r="BC154" s="93" t="str">
        <f t="shared" ca="1" si="161"/>
        <v/>
      </c>
    </row>
    <row r="155" spans="1:55" ht="15.95" customHeight="1" x14ac:dyDescent="0.2">
      <c r="A155" s="41" t="str">
        <f>IF(Customization!B155="","",Customization!B155)</f>
        <v/>
      </c>
      <c r="B155" s="79" t="str">
        <f t="shared" ca="1" si="110"/>
        <v/>
      </c>
      <c r="C155" s="29" t="str">
        <f t="shared" ca="1" si="111"/>
        <v/>
      </c>
      <c r="D155" s="7" t="str">
        <f t="shared" ca="1" si="108"/>
        <v/>
      </c>
      <c r="E155" s="29" t="str">
        <f t="shared" ca="1" si="112"/>
        <v/>
      </c>
      <c r="F155" s="7" t="str">
        <f t="shared" ca="1" si="109"/>
        <v/>
      </c>
      <c r="G155" s="29" t="str">
        <f t="shared" ca="1" si="113"/>
        <v/>
      </c>
      <c r="H155" s="7" t="str">
        <f t="shared" ca="1" si="114"/>
        <v/>
      </c>
      <c r="I155" s="28" t="str">
        <f t="shared" ca="1" si="115"/>
        <v/>
      </c>
      <c r="J155" s="7" t="str">
        <f t="shared" ca="1" si="116"/>
        <v/>
      </c>
      <c r="K155" s="73" t="str">
        <f t="shared" ca="1" si="117"/>
        <v/>
      </c>
      <c r="L155" s="74" t="str">
        <f t="shared" ca="1" si="118"/>
        <v/>
      </c>
      <c r="M155" s="75" t="str">
        <f t="shared" ca="1" si="119"/>
        <v/>
      </c>
      <c r="N155" s="76" t="str">
        <f t="shared" ca="1" si="120"/>
        <v/>
      </c>
      <c r="O155" s="75" t="str">
        <f t="shared" ca="1" si="121"/>
        <v/>
      </c>
      <c r="P155" s="76" t="str">
        <f t="shared" ca="1" si="122"/>
        <v/>
      </c>
      <c r="Q155" s="75" t="str">
        <f t="shared" ca="1" si="123"/>
        <v/>
      </c>
      <c r="R155" s="77" t="str">
        <f t="shared" ca="1" si="124"/>
        <v/>
      </c>
      <c r="S155" s="89" t="str">
        <f t="shared" ca="1" si="125"/>
        <v/>
      </c>
      <c r="T155" s="88" t="str">
        <f t="shared" ca="1" si="126"/>
        <v/>
      </c>
      <c r="U155" s="92" t="str">
        <f t="shared" ca="1" si="127"/>
        <v/>
      </c>
      <c r="V155" s="88" t="str">
        <f t="shared" ca="1" si="128"/>
        <v/>
      </c>
      <c r="W155" s="92" t="str">
        <f t="shared" ca="1" si="129"/>
        <v/>
      </c>
      <c r="X155" s="88" t="str">
        <f t="shared" ca="1" si="130"/>
        <v/>
      </c>
      <c r="Y155" s="92" t="str">
        <f t="shared" ca="1" si="131"/>
        <v/>
      </c>
      <c r="Z155" s="88" t="str">
        <f t="shared" ca="1" si="132"/>
        <v/>
      </c>
      <c r="AA155" s="89" t="str">
        <f t="shared" ca="1" si="133"/>
        <v/>
      </c>
      <c r="AB155" s="88" t="str">
        <f t="shared" ca="1" si="134"/>
        <v/>
      </c>
      <c r="AC155" s="92" t="str">
        <f t="shared" ca="1" si="135"/>
        <v/>
      </c>
      <c r="AD155" s="88" t="str">
        <f t="shared" ca="1" si="136"/>
        <v/>
      </c>
      <c r="AE155" s="92" t="str">
        <f t="shared" ca="1" si="137"/>
        <v/>
      </c>
      <c r="AF155" s="88" t="str">
        <f t="shared" ca="1" si="138"/>
        <v/>
      </c>
      <c r="AG155" s="92" t="str">
        <f t="shared" ca="1" si="139"/>
        <v/>
      </c>
      <c r="AH155" s="88" t="str">
        <f t="shared" ca="1" si="140"/>
        <v/>
      </c>
      <c r="AI155" s="92" t="str">
        <f t="shared" ca="1" si="141"/>
        <v/>
      </c>
      <c r="AJ155" s="88" t="str">
        <f t="shared" ca="1" si="142"/>
        <v/>
      </c>
      <c r="AK155" s="92" t="str">
        <f t="shared" ca="1" si="143"/>
        <v/>
      </c>
      <c r="AL155" s="77" t="str">
        <f t="shared" ca="1" si="144"/>
        <v/>
      </c>
      <c r="AM155" s="89" t="str">
        <f t="shared" ca="1" si="145"/>
        <v/>
      </c>
      <c r="AN155" s="88" t="str">
        <f t="shared" ca="1" si="146"/>
        <v/>
      </c>
      <c r="AO155" s="89" t="str">
        <f t="shared" ca="1" si="147"/>
        <v/>
      </c>
      <c r="AP155" s="77" t="str">
        <f t="shared" ca="1" si="148"/>
        <v/>
      </c>
      <c r="AQ155" s="94" t="str">
        <f t="shared" ca="1" si="149"/>
        <v/>
      </c>
      <c r="AR155" s="77" t="str">
        <f t="shared" ca="1" si="150"/>
        <v/>
      </c>
      <c r="AS155" s="94" t="str">
        <f t="shared" ca="1" si="151"/>
        <v/>
      </c>
      <c r="AT155" s="77" t="str">
        <f t="shared" ca="1" si="152"/>
        <v/>
      </c>
      <c r="AU155" s="93" t="str">
        <f t="shared" ca="1" si="153"/>
        <v/>
      </c>
      <c r="AV155" s="77" t="str">
        <f t="shared" ca="1" si="154"/>
        <v/>
      </c>
      <c r="AW155" s="93" t="str">
        <f t="shared" ca="1" si="155"/>
        <v/>
      </c>
      <c r="AX155" s="77" t="str">
        <f t="shared" ca="1" si="156"/>
        <v/>
      </c>
      <c r="AY155" s="93" t="str">
        <f t="shared" ca="1" si="157"/>
        <v/>
      </c>
      <c r="AZ155" s="77" t="str">
        <f t="shared" ca="1" si="158"/>
        <v/>
      </c>
      <c r="BA155" s="93" t="str">
        <f t="shared" ca="1" si="159"/>
        <v/>
      </c>
      <c r="BB155" s="77" t="str">
        <f t="shared" ca="1" si="160"/>
        <v/>
      </c>
      <c r="BC155" s="93" t="str">
        <f t="shared" ca="1" si="161"/>
        <v/>
      </c>
    </row>
    <row r="156" spans="1:55" ht="15.95" customHeight="1" x14ac:dyDescent="0.2">
      <c r="A156" s="41" t="str">
        <f>IF(Customization!B156="","",Customization!B156)</f>
        <v/>
      </c>
      <c r="B156" s="79" t="str">
        <f t="shared" ca="1" si="110"/>
        <v/>
      </c>
      <c r="C156" s="29" t="str">
        <f t="shared" ca="1" si="111"/>
        <v/>
      </c>
      <c r="D156" s="7" t="str">
        <f t="shared" ca="1" si="108"/>
        <v/>
      </c>
      <c r="E156" s="29" t="str">
        <f t="shared" ca="1" si="112"/>
        <v/>
      </c>
      <c r="F156" s="7" t="str">
        <f t="shared" ca="1" si="109"/>
        <v/>
      </c>
      <c r="G156" s="29" t="str">
        <f t="shared" ca="1" si="113"/>
        <v/>
      </c>
      <c r="H156" s="7" t="str">
        <f t="shared" ca="1" si="114"/>
        <v/>
      </c>
      <c r="I156" s="28" t="str">
        <f t="shared" ca="1" si="115"/>
        <v/>
      </c>
      <c r="J156" s="7" t="str">
        <f t="shared" ca="1" si="116"/>
        <v/>
      </c>
      <c r="K156" s="73" t="str">
        <f t="shared" ca="1" si="117"/>
        <v/>
      </c>
      <c r="L156" s="74" t="str">
        <f t="shared" ca="1" si="118"/>
        <v/>
      </c>
      <c r="M156" s="75" t="str">
        <f t="shared" ca="1" si="119"/>
        <v/>
      </c>
      <c r="N156" s="76" t="str">
        <f t="shared" ca="1" si="120"/>
        <v/>
      </c>
      <c r="O156" s="75" t="str">
        <f t="shared" ca="1" si="121"/>
        <v/>
      </c>
      <c r="P156" s="76" t="str">
        <f t="shared" ca="1" si="122"/>
        <v/>
      </c>
      <c r="Q156" s="75" t="str">
        <f t="shared" ca="1" si="123"/>
        <v/>
      </c>
      <c r="R156" s="77" t="str">
        <f t="shared" ca="1" si="124"/>
        <v/>
      </c>
      <c r="S156" s="89" t="str">
        <f t="shared" ca="1" si="125"/>
        <v/>
      </c>
      <c r="T156" s="88" t="str">
        <f t="shared" ca="1" si="126"/>
        <v/>
      </c>
      <c r="U156" s="92" t="str">
        <f t="shared" ca="1" si="127"/>
        <v/>
      </c>
      <c r="V156" s="88" t="str">
        <f t="shared" ca="1" si="128"/>
        <v/>
      </c>
      <c r="W156" s="92" t="str">
        <f t="shared" ca="1" si="129"/>
        <v/>
      </c>
      <c r="X156" s="88" t="str">
        <f t="shared" ca="1" si="130"/>
        <v/>
      </c>
      <c r="Y156" s="92" t="str">
        <f t="shared" ca="1" si="131"/>
        <v/>
      </c>
      <c r="Z156" s="88" t="str">
        <f t="shared" ca="1" si="132"/>
        <v/>
      </c>
      <c r="AA156" s="89" t="str">
        <f t="shared" ca="1" si="133"/>
        <v/>
      </c>
      <c r="AB156" s="88" t="str">
        <f t="shared" ca="1" si="134"/>
        <v/>
      </c>
      <c r="AC156" s="92" t="str">
        <f t="shared" ca="1" si="135"/>
        <v/>
      </c>
      <c r="AD156" s="88" t="str">
        <f t="shared" ca="1" si="136"/>
        <v/>
      </c>
      <c r="AE156" s="92" t="str">
        <f t="shared" ca="1" si="137"/>
        <v/>
      </c>
      <c r="AF156" s="88" t="str">
        <f t="shared" ca="1" si="138"/>
        <v/>
      </c>
      <c r="AG156" s="92" t="str">
        <f t="shared" ca="1" si="139"/>
        <v/>
      </c>
      <c r="AH156" s="88" t="str">
        <f t="shared" ca="1" si="140"/>
        <v/>
      </c>
      <c r="AI156" s="92" t="str">
        <f t="shared" ca="1" si="141"/>
        <v/>
      </c>
      <c r="AJ156" s="88" t="str">
        <f t="shared" ca="1" si="142"/>
        <v/>
      </c>
      <c r="AK156" s="92" t="str">
        <f t="shared" ca="1" si="143"/>
        <v/>
      </c>
      <c r="AL156" s="77" t="str">
        <f t="shared" ca="1" si="144"/>
        <v/>
      </c>
      <c r="AM156" s="89" t="str">
        <f t="shared" ca="1" si="145"/>
        <v/>
      </c>
      <c r="AN156" s="88" t="str">
        <f t="shared" ca="1" si="146"/>
        <v/>
      </c>
      <c r="AO156" s="89" t="str">
        <f t="shared" ca="1" si="147"/>
        <v/>
      </c>
      <c r="AP156" s="77" t="str">
        <f t="shared" ca="1" si="148"/>
        <v/>
      </c>
      <c r="AQ156" s="94" t="str">
        <f t="shared" ca="1" si="149"/>
        <v/>
      </c>
      <c r="AR156" s="77" t="str">
        <f t="shared" ca="1" si="150"/>
        <v/>
      </c>
      <c r="AS156" s="94" t="str">
        <f t="shared" ca="1" si="151"/>
        <v/>
      </c>
      <c r="AT156" s="77" t="str">
        <f t="shared" ca="1" si="152"/>
        <v/>
      </c>
      <c r="AU156" s="93" t="str">
        <f t="shared" ca="1" si="153"/>
        <v/>
      </c>
      <c r="AV156" s="77" t="str">
        <f t="shared" ca="1" si="154"/>
        <v/>
      </c>
      <c r="AW156" s="93" t="str">
        <f t="shared" ca="1" si="155"/>
        <v/>
      </c>
      <c r="AX156" s="77" t="str">
        <f t="shared" ca="1" si="156"/>
        <v/>
      </c>
      <c r="AY156" s="93" t="str">
        <f t="shared" ca="1" si="157"/>
        <v/>
      </c>
      <c r="AZ156" s="77" t="str">
        <f t="shared" ca="1" si="158"/>
        <v/>
      </c>
      <c r="BA156" s="93" t="str">
        <f t="shared" ca="1" si="159"/>
        <v/>
      </c>
      <c r="BB156" s="77" t="str">
        <f t="shared" ca="1" si="160"/>
        <v/>
      </c>
      <c r="BC156" s="93" t="str">
        <f t="shared" ca="1" si="161"/>
        <v/>
      </c>
    </row>
    <row r="157" spans="1:55" ht="15.95" customHeight="1" x14ac:dyDescent="0.2">
      <c r="A157" s="41" t="str">
        <f>IF(Customization!B157="","",Customization!B157)</f>
        <v/>
      </c>
      <c r="B157" s="79" t="str">
        <f t="shared" ca="1" si="110"/>
        <v/>
      </c>
      <c r="C157" s="29" t="str">
        <f t="shared" ca="1" si="111"/>
        <v/>
      </c>
      <c r="D157" s="7" t="str">
        <f t="shared" ca="1" si="108"/>
        <v/>
      </c>
      <c r="E157" s="29" t="str">
        <f t="shared" ca="1" si="112"/>
        <v/>
      </c>
      <c r="F157" s="7" t="str">
        <f t="shared" ca="1" si="109"/>
        <v/>
      </c>
      <c r="G157" s="29" t="str">
        <f t="shared" ca="1" si="113"/>
        <v/>
      </c>
      <c r="H157" s="7" t="str">
        <f t="shared" ca="1" si="114"/>
        <v/>
      </c>
      <c r="I157" s="28" t="str">
        <f t="shared" ca="1" si="115"/>
        <v/>
      </c>
      <c r="J157" s="7" t="str">
        <f t="shared" ca="1" si="116"/>
        <v/>
      </c>
      <c r="K157" s="73" t="str">
        <f t="shared" ca="1" si="117"/>
        <v/>
      </c>
      <c r="L157" s="74" t="str">
        <f t="shared" ca="1" si="118"/>
        <v/>
      </c>
      <c r="M157" s="75" t="str">
        <f t="shared" ca="1" si="119"/>
        <v/>
      </c>
      <c r="N157" s="76" t="str">
        <f t="shared" ca="1" si="120"/>
        <v/>
      </c>
      <c r="O157" s="75" t="str">
        <f t="shared" ca="1" si="121"/>
        <v/>
      </c>
      <c r="P157" s="76" t="str">
        <f t="shared" ca="1" si="122"/>
        <v/>
      </c>
      <c r="Q157" s="75" t="str">
        <f t="shared" ca="1" si="123"/>
        <v/>
      </c>
      <c r="R157" s="77" t="str">
        <f t="shared" ca="1" si="124"/>
        <v/>
      </c>
      <c r="S157" s="89" t="str">
        <f t="shared" ca="1" si="125"/>
        <v/>
      </c>
      <c r="T157" s="88" t="str">
        <f t="shared" ca="1" si="126"/>
        <v/>
      </c>
      <c r="U157" s="92" t="str">
        <f t="shared" ca="1" si="127"/>
        <v/>
      </c>
      <c r="V157" s="88" t="str">
        <f t="shared" ca="1" si="128"/>
        <v/>
      </c>
      <c r="W157" s="92" t="str">
        <f t="shared" ca="1" si="129"/>
        <v/>
      </c>
      <c r="X157" s="88" t="str">
        <f t="shared" ca="1" si="130"/>
        <v/>
      </c>
      <c r="Y157" s="92" t="str">
        <f t="shared" ca="1" si="131"/>
        <v/>
      </c>
      <c r="Z157" s="88" t="str">
        <f t="shared" ca="1" si="132"/>
        <v/>
      </c>
      <c r="AA157" s="89" t="str">
        <f t="shared" ca="1" si="133"/>
        <v/>
      </c>
      <c r="AB157" s="88" t="str">
        <f t="shared" ca="1" si="134"/>
        <v/>
      </c>
      <c r="AC157" s="92" t="str">
        <f t="shared" ca="1" si="135"/>
        <v/>
      </c>
      <c r="AD157" s="88" t="str">
        <f t="shared" ca="1" si="136"/>
        <v/>
      </c>
      <c r="AE157" s="92" t="str">
        <f t="shared" ca="1" si="137"/>
        <v/>
      </c>
      <c r="AF157" s="88" t="str">
        <f t="shared" ca="1" si="138"/>
        <v/>
      </c>
      <c r="AG157" s="92" t="str">
        <f t="shared" ca="1" si="139"/>
        <v/>
      </c>
      <c r="AH157" s="88" t="str">
        <f t="shared" ca="1" si="140"/>
        <v/>
      </c>
      <c r="AI157" s="92" t="str">
        <f t="shared" ca="1" si="141"/>
        <v/>
      </c>
      <c r="AJ157" s="88" t="str">
        <f t="shared" ca="1" si="142"/>
        <v/>
      </c>
      <c r="AK157" s="92" t="str">
        <f t="shared" ca="1" si="143"/>
        <v/>
      </c>
      <c r="AL157" s="77" t="str">
        <f t="shared" ca="1" si="144"/>
        <v/>
      </c>
      <c r="AM157" s="89" t="str">
        <f t="shared" ca="1" si="145"/>
        <v/>
      </c>
      <c r="AN157" s="88" t="str">
        <f t="shared" ca="1" si="146"/>
        <v/>
      </c>
      <c r="AO157" s="89" t="str">
        <f t="shared" ca="1" si="147"/>
        <v/>
      </c>
      <c r="AP157" s="77" t="str">
        <f t="shared" ca="1" si="148"/>
        <v/>
      </c>
      <c r="AQ157" s="94" t="str">
        <f t="shared" ca="1" si="149"/>
        <v/>
      </c>
      <c r="AR157" s="77" t="str">
        <f t="shared" ca="1" si="150"/>
        <v/>
      </c>
      <c r="AS157" s="94" t="str">
        <f t="shared" ca="1" si="151"/>
        <v/>
      </c>
      <c r="AT157" s="77" t="str">
        <f t="shared" ca="1" si="152"/>
        <v/>
      </c>
      <c r="AU157" s="93" t="str">
        <f t="shared" ca="1" si="153"/>
        <v/>
      </c>
      <c r="AV157" s="77" t="str">
        <f t="shared" ca="1" si="154"/>
        <v/>
      </c>
      <c r="AW157" s="93" t="str">
        <f t="shared" ca="1" si="155"/>
        <v/>
      </c>
      <c r="AX157" s="77" t="str">
        <f t="shared" ca="1" si="156"/>
        <v/>
      </c>
      <c r="AY157" s="93" t="str">
        <f t="shared" ca="1" si="157"/>
        <v/>
      </c>
      <c r="AZ157" s="77" t="str">
        <f t="shared" ca="1" si="158"/>
        <v/>
      </c>
      <c r="BA157" s="93" t="str">
        <f t="shared" ca="1" si="159"/>
        <v/>
      </c>
      <c r="BB157" s="77" t="str">
        <f t="shared" ca="1" si="160"/>
        <v/>
      </c>
      <c r="BC157" s="93" t="str">
        <f t="shared" ca="1" si="161"/>
        <v/>
      </c>
    </row>
    <row r="158" spans="1:55" ht="15.95" customHeight="1" x14ac:dyDescent="0.2">
      <c r="A158" s="41" t="str">
        <f>IF(Customization!B158="","",Customization!B158)</f>
        <v/>
      </c>
      <c r="B158" s="79" t="str">
        <f t="shared" ca="1" si="110"/>
        <v/>
      </c>
      <c r="C158" s="29" t="str">
        <f t="shared" ca="1" si="111"/>
        <v/>
      </c>
      <c r="D158" s="7" t="str">
        <f t="shared" ca="1" si="108"/>
        <v/>
      </c>
      <c r="E158" s="29" t="str">
        <f t="shared" ca="1" si="112"/>
        <v/>
      </c>
      <c r="F158" s="7" t="str">
        <f t="shared" ca="1" si="109"/>
        <v/>
      </c>
      <c r="G158" s="29" t="str">
        <f t="shared" ca="1" si="113"/>
        <v/>
      </c>
      <c r="H158" s="7" t="str">
        <f t="shared" ca="1" si="114"/>
        <v/>
      </c>
      <c r="I158" s="28" t="str">
        <f t="shared" ca="1" si="115"/>
        <v/>
      </c>
      <c r="J158" s="7" t="str">
        <f t="shared" ca="1" si="116"/>
        <v/>
      </c>
      <c r="K158" s="73" t="str">
        <f t="shared" ca="1" si="117"/>
        <v/>
      </c>
      <c r="L158" s="74" t="str">
        <f t="shared" ca="1" si="118"/>
        <v/>
      </c>
      <c r="M158" s="75" t="str">
        <f t="shared" ca="1" si="119"/>
        <v/>
      </c>
      <c r="N158" s="76" t="str">
        <f t="shared" ca="1" si="120"/>
        <v/>
      </c>
      <c r="O158" s="75" t="str">
        <f t="shared" ca="1" si="121"/>
        <v/>
      </c>
      <c r="P158" s="76" t="str">
        <f t="shared" ca="1" si="122"/>
        <v/>
      </c>
      <c r="Q158" s="75" t="str">
        <f t="shared" ca="1" si="123"/>
        <v/>
      </c>
      <c r="R158" s="77" t="str">
        <f t="shared" ca="1" si="124"/>
        <v/>
      </c>
      <c r="S158" s="89" t="str">
        <f t="shared" ca="1" si="125"/>
        <v/>
      </c>
      <c r="T158" s="88" t="str">
        <f t="shared" ca="1" si="126"/>
        <v/>
      </c>
      <c r="U158" s="92" t="str">
        <f t="shared" ca="1" si="127"/>
        <v/>
      </c>
      <c r="V158" s="88" t="str">
        <f t="shared" ca="1" si="128"/>
        <v/>
      </c>
      <c r="W158" s="92" t="str">
        <f t="shared" ca="1" si="129"/>
        <v/>
      </c>
      <c r="X158" s="88" t="str">
        <f t="shared" ca="1" si="130"/>
        <v/>
      </c>
      <c r="Y158" s="92" t="str">
        <f t="shared" ca="1" si="131"/>
        <v/>
      </c>
      <c r="Z158" s="88" t="str">
        <f t="shared" ca="1" si="132"/>
        <v/>
      </c>
      <c r="AA158" s="89" t="str">
        <f t="shared" ca="1" si="133"/>
        <v/>
      </c>
      <c r="AB158" s="88" t="str">
        <f t="shared" ca="1" si="134"/>
        <v/>
      </c>
      <c r="AC158" s="92" t="str">
        <f t="shared" ca="1" si="135"/>
        <v/>
      </c>
      <c r="AD158" s="88" t="str">
        <f t="shared" ca="1" si="136"/>
        <v/>
      </c>
      <c r="AE158" s="92" t="str">
        <f t="shared" ca="1" si="137"/>
        <v/>
      </c>
      <c r="AF158" s="88" t="str">
        <f t="shared" ca="1" si="138"/>
        <v/>
      </c>
      <c r="AG158" s="92" t="str">
        <f t="shared" ca="1" si="139"/>
        <v/>
      </c>
      <c r="AH158" s="88" t="str">
        <f t="shared" ca="1" si="140"/>
        <v/>
      </c>
      <c r="AI158" s="92" t="str">
        <f t="shared" ca="1" si="141"/>
        <v/>
      </c>
      <c r="AJ158" s="88" t="str">
        <f t="shared" ca="1" si="142"/>
        <v/>
      </c>
      <c r="AK158" s="92" t="str">
        <f t="shared" ca="1" si="143"/>
        <v/>
      </c>
      <c r="AL158" s="77" t="str">
        <f t="shared" ca="1" si="144"/>
        <v/>
      </c>
      <c r="AM158" s="89" t="str">
        <f t="shared" ca="1" si="145"/>
        <v/>
      </c>
      <c r="AN158" s="88" t="str">
        <f t="shared" ca="1" si="146"/>
        <v/>
      </c>
      <c r="AO158" s="89" t="str">
        <f t="shared" ca="1" si="147"/>
        <v/>
      </c>
      <c r="AP158" s="77" t="str">
        <f t="shared" ca="1" si="148"/>
        <v/>
      </c>
      <c r="AQ158" s="94" t="str">
        <f t="shared" ca="1" si="149"/>
        <v/>
      </c>
      <c r="AR158" s="77" t="str">
        <f t="shared" ca="1" si="150"/>
        <v/>
      </c>
      <c r="AS158" s="94" t="str">
        <f t="shared" ca="1" si="151"/>
        <v/>
      </c>
      <c r="AT158" s="77" t="str">
        <f t="shared" ca="1" si="152"/>
        <v/>
      </c>
      <c r="AU158" s="93" t="str">
        <f t="shared" ca="1" si="153"/>
        <v/>
      </c>
      <c r="AV158" s="77" t="str">
        <f t="shared" ca="1" si="154"/>
        <v/>
      </c>
      <c r="AW158" s="93" t="str">
        <f t="shared" ca="1" si="155"/>
        <v/>
      </c>
      <c r="AX158" s="77" t="str">
        <f t="shared" ca="1" si="156"/>
        <v/>
      </c>
      <c r="AY158" s="93" t="str">
        <f t="shared" ca="1" si="157"/>
        <v/>
      </c>
      <c r="AZ158" s="77" t="str">
        <f t="shared" ca="1" si="158"/>
        <v/>
      </c>
      <c r="BA158" s="93" t="str">
        <f t="shared" ca="1" si="159"/>
        <v/>
      </c>
      <c r="BB158" s="77" t="str">
        <f t="shared" ca="1" si="160"/>
        <v/>
      </c>
      <c r="BC158" s="93" t="str">
        <f t="shared" ca="1" si="161"/>
        <v/>
      </c>
    </row>
    <row r="159" spans="1:55" ht="15.95" customHeight="1" x14ac:dyDescent="0.2">
      <c r="A159" s="41" t="str">
        <f>IF(Customization!B159="","",Customization!B159)</f>
        <v/>
      </c>
      <c r="B159" s="79" t="str">
        <f t="shared" ca="1" si="110"/>
        <v/>
      </c>
      <c r="C159" s="29" t="str">
        <f t="shared" ca="1" si="111"/>
        <v/>
      </c>
      <c r="D159" s="7" t="str">
        <f t="shared" ca="1" si="108"/>
        <v/>
      </c>
      <c r="E159" s="29" t="str">
        <f t="shared" ca="1" si="112"/>
        <v/>
      </c>
      <c r="F159" s="7" t="str">
        <f t="shared" ca="1" si="109"/>
        <v/>
      </c>
      <c r="G159" s="29" t="str">
        <f t="shared" ca="1" si="113"/>
        <v/>
      </c>
      <c r="H159" s="7" t="str">
        <f t="shared" ca="1" si="114"/>
        <v/>
      </c>
      <c r="I159" s="28" t="str">
        <f t="shared" ca="1" si="115"/>
        <v/>
      </c>
      <c r="J159" s="7" t="str">
        <f t="shared" ca="1" si="116"/>
        <v/>
      </c>
      <c r="K159" s="73" t="str">
        <f t="shared" ca="1" si="117"/>
        <v/>
      </c>
      <c r="L159" s="74" t="str">
        <f t="shared" ca="1" si="118"/>
        <v/>
      </c>
      <c r="M159" s="75" t="str">
        <f t="shared" ca="1" si="119"/>
        <v/>
      </c>
      <c r="N159" s="76" t="str">
        <f t="shared" ca="1" si="120"/>
        <v/>
      </c>
      <c r="O159" s="75" t="str">
        <f t="shared" ca="1" si="121"/>
        <v/>
      </c>
      <c r="P159" s="76" t="str">
        <f t="shared" ca="1" si="122"/>
        <v/>
      </c>
      <c r="Q159" s="75" t="str">
        <f t="shared" ca="1" si="123"/>
        <v/>
      </c>
      <c r="R159" s="77" t="str">
        <f t="shared" ca="1" si="124"/>
        <v/>
      </c>
      <c r="S159" s="89" t="str">
        <f t="shared" ca="1" si="125"/>
        <v/>
      </c>
      <c r="T159" s="88" t="str">
        <f t="shared" ca="1" si="126"/>
        <v/>
      </c>
      <c r="U159" s="92" t="str">
        <f t="shared" ca="1" si="127"/>
        <v/>
      </c>
      <c r="V159" s="88" t="str">
        <f t="shared" ca="1" si="128"/>
        <v/>
      </c>
      <c r="W159" s="92" t="str">
        <f t="shared" ca="1" si="129"/>
        <v/>
      </c>
      <c r="X159" s="88" t="str">
        <f t="shared" ca="1" si="130"/>
        <v/>
      </c>
      <c r="Y159" s="92" t="str">
        <f t="shared" ca="1" si="131"/>
        <v/>
      </c>
      <c r="Z159" s="88" t="str">
        <f t="shared" ca="1" si="132"/>
        <v/>
      </c>
      <c r="AA159" s="89" t="str">
        <f t="shared" ca="1" si="133"/>
        <v/>
      </c>
      <c r="AB159" s="88" t="str">
        <f t="shared" ca="1" si="134"/>
        <v/>
      </c>
      <c r="AC159" s="92" t="str">
        <f t="shared" ca="1" si="135"/>
        <v/>
      </c>
      <c r="AD159" s="88" t="str">
        <f t="shared" ca="1" si="136"/>
        <v/>
      </c>
      <c r="AE159" s="92" t="str">
        <f t="shared" ca="1" si="137"/>
        <v/>
      </c>
      <c r="AF159" s="88" t="str">
        <f t="shared" ca="1" si="138"/>
        <v/>
      </c>
      <c r="AG159" s="92" t="str">
        <f t="shared" ca="1" si="139"/>
        <v/>
      </c>
      <c r="AH159" s="88" t="str">
        <f t="shared" ca="1" si="140"/>
        <v/>
      </c>
      <c r="AI159" s="92" t="str">
        <f t="shared" ca="1" si="141"/>
        <v/>
      </c>
      <c r="AJ159" s="88" t="str">
        <f t="shared" ca="1" si="142"/>
        <v/>
      </c>
      <c r="AK159" s="92" t="str">
        <f t="shared" ca="1" si="143"/>
        <v/>
      </c>
      <c r="AL159" s="77" t="str">
        <f t="shared" ca="1" si="144"/>
        <v/>
      </c>
      <c r="AM159" s="89" t="str">
        <f t="shared" ca="1" si="145"/>
        <v/>
      </c>
      <c r="AN159" s="88" t="str">
        <f t="shared" ca="1" si="146"/>
        <v/>
      </c>
      <c r="AO159" s="89" t="str">
        <f t="shared" ca="1" si="147"/>
        <v/>
      </c>
      <c r="AP159" s="77" t="str">
        <f t="shared" ca="1" si="148"/>
        <v/>
      </c>
      <c r="AQ159" s="94" t="str">
        <f t="shared" ca="1" si="149"/>
        <v/>
      </c>
      <c r="AR159" s="77" t="str">
        <f t="shared" ca="1" si="150"/>
        <v/>
      </c>
      <c r="AS159" s="94" t="str">
        <f t="shared" ca="1" si="151"/>
        <v/>
      </c>
      <c r="AT159" s="77" t="str">
        <f t="shared" ca="1" si="152"/>
        <v/>
      </c>
      <c r="AU159" s="93" t="str">
        <f t="shared" ca="1" si="153"/>
        <v/>
      </c>
      <c r="AV159" s="77" t="str">
        <f t="shared" ca="1" si="154"/>
        <v/>
      </c>
      <c r="AW159" s="93" t="str">
        <f t="shared" ca="1" si="155"/>
        <v/>
      </c>
      <c r="AX159" s="77" t="str">
        <f t="shared" ca="1" si="156"/>
        <v/>
      </c>
      <c r="AY159" s="93" t="str">
        <f t="shared" ca="1" si="157"/>
        <v/>
      </c>
      <c r="AZ159" s="77" t="str">
        <f t="shared" ca="1" si="158"/>
        <v/>
      </c>
      <c r="BA159" s="93" t="str">
        <f t="shared" ca="1" si="159"/>
        <v/>
      </c>
      <c r="BB159" s="77" t="str">
        <f t="shared" ca="1" si="160"/>
        <v/>
      </c>
      <c r="BC159" s="93" t="str">
        <f t="shared" ca="1" si="161"/>
        <v/>
      </c>
    </row>
    <row r="160" spans="1:55" ht="15.95" customHeight="1" x14ac:dyDescent="0.2">
      <c r="A160" s="41" t="str">
        <f>IF(Customization!B160="","",Customization!B160)</f>
        <v/>
      </c>
      <c r="B160" s="79" t="str">
        <f t="shared" ca="1" si="110"/>
        <v/>
      </c>
      <c r="C160" s="29" t="str">
        <f t="shared" ca="1" si="111"/>
        <v/>
      </c>
      <c r="D160" s="7" t="str">
        <f t="shared" ca="1" si="108"/>
        <v/>
      </c>
      <c r="E160" s="29" t="str">
        <f t="shared" ca="1" si="112"/>
        <v/>
      </c>
      <c r="F160" s="7" t="str">
        <f t="shared" ca="1" si="109"/>
        <v/>
      </c>
      <c r="G160" s="29" t="str">
        <f t="shared" ca="1" si="113"/>
        <v/>
      </c>
      <c r="H160" s="7" t="str">
        <f t="shared" ca="1" si="114"/>
        <v/>
      </c>
      <c r="I160" s="28" t="str">
        <f t="shared" ca="1" si="115"/>
        <v/>
      </c>
      <c r="J160" s="7" t="str">
        <f t="shared" ca="1" si="116"/>
        <v/>
      </c>
      <c r="K160" s="73" t="str">
        <f t="shared" ca="1" si="117"/>
        <v/>
      </c>
      <c r="L160" s="74" t="str">
        <f t="shared" ca="1" si="118"/>
        <v/>
      </c>
      <c r="M160" s="75" t="str">
        <f t="shared" ca="1" si="119"/>
        <v/>
      </c>
      <c r="N160" s="76" t="str">
        <f t="shared" ca="1" si="120"/>
        <v/>
      </c>
      <c r="O160" s="75" t="str">
        <f t="shared" ca="1" si="121"/>
        <v/>
      </c>
      <c r="P160" s="76" t="str">
        <f t="shared" ca="1" si="122"/>
        <v/>
      </c>
      <c r="Q160" s="75" t="str">
        <f t="shared" ca="1" si="123"/>
        <v/>
      </c>
      <c r="R160" s="77" t="str">
        <f t="shared" ca="1" si="124"/>
        <v/>
      </c>
      <c r="S160" s="89" t="str">
        <f t="shared" ca="1" si="125"/>
        <v/>
      </c>
      <c r="T160" s="88" t="str">
        <f t="shared" ca="1" si="126"/>
        <v/>
      </c>
      <c r="U160" s="92" t="str">
        <f t="shared" ca="1" si="127"/>
        <v/>
      </c>
      <c r="V160" s="88" t="str">
        <f t="shared" ca="1" si="128"/>
        <v/>
      </c>
      <c r="W160" s="92" t="str">
        <f t="shared" ca="1" si="129"/>
        <v/>
      </c>
      <c r="X160" s="88" t="str">
        <f t="shared" ca="1" si="130"/>
        <v/>
      </c>
      <c r="Y160" s="92" t="str">
        <f t="shared" ca="1" si="131"/>
        <v/>
      </c>
      <c r="Z160" s="88" t="str">
        <f t="shared" ca="1" si="132"/>
        <v/>
      </c>
      <c r="AA160" s="89" t="str">
        <f t="shared" ca="1" si="133"/>
        <v/>
      </c>
      <c r="AB160" s="88" t="str">
        <f t="shared" ca="1" si="134"/>
        <v/>
      </c>
      <c r="AC160" s="92" t="str">
        <f t="shared" ca="1" si="135"/>
        <v/>
      </c>
      <c r="AD160" s="88" t="str">
        <f t="shared" ca="1" si="136"/>
        <v/>
      </c>
      <c r="AE160" s="92" t="str">
        <f t="shared" ca="1" si="137"/>
        <v/>
      </c>
      <c r="AF160" s="88" t="str">
        <f t="shared" ca="1" si="138"/>
        <v/>
      </c>
      <c r="AG160" s="92" t="str">
        <f t="shared" ca="1" si="139"/>
        <v/>
      </c>
      <c r="AH160" s="88" t="str">
        <f t="shared" ca="1" si="140"/>
        <v/>
      </c>
      <c r="AI160" s="92" t="str">
        <f t="shared" ca="1" si="141"/>
        <v/>
      </c>
      <c r="AJ160" s="88" t="str">
        <f t="shared" ca="1" si="142"/>
        <v/>
      </c>
      <c r="AK160" s="92" t="str">
        <f t="shared" ca="1" si="143"/>
        <v/>
      </c>
      <c r="AL160" s="77" t="str">
        <f t="shared" ca="1" si="144"/>
        <v/>
      </c>
      <c r="AM160" s="89" t="str">
        <f t="shared" ca="1" si="145"/>
        <v/>
      </c>
      <c r="AN160" s="88" t="str">
        <f t="shared" ca="1" si="146"/>
        <v/>
      </c>
      <c r="AO160" s="89" t="str">
        <f t="shared" ca="1" si="147"/>
        <v/>
      </c>
      <c r="AP160" s="77" t="str">
        <f t="shared" ca="1" si="148"/>
        <v/>
      </c>
      <c r="AQ160" s="94" t="str">
        <f t="shared" ca="1" si="149"/>
        <v/>
      </c>
      <c r="AR160" s="77" t="str">
        <f t="shared" ca="1" si="150"/>
        <v/>
      </c>
      <c r="AS160" s="94" t="str">
        <f t="shared" ca="1" si="151"/>
        <v/>
      </c>
      <c r="AT160" s="77" t="str">
        <f t="shared" ca="1" si="152"/>
        <v/>
      </c>
      <c r="AU160" s="93" t="str">
        <f t="shared" ca="1" si="153"/>
        <v/>
      </c>
      <c r="AV160" s="77" t="str">
        <f t="shared" ca="1" si="154"/>
        <v/>
      </c>
      <c r="AW160" s="93" t="str">
        <f t="shared" ca="1" si="155"/>
        <v/>
      </c>
      <c r="AX160" s="77" t="str">
        <f t="shared" ca="1" si="156"/>
        <v/>
      </c>
      <c r="AY160" s="93" t="str">
        <f t="shared" ca="1" si="157"/>
        <v/>
      </c>
      <c r="AZ160" s="77" t="str">
        <f t="shared" ca="1" si="158"/>
        <v/>
      </c>
      <c r="BA160" s="93" t="str">
        <f t="shared" ca="1" si="159"/>
        <v/>
      </c>
      <c r="BB160" s="77" t="str">
        <f t="shared" ca="1" si="160"/>
        <v/>
      </c>
      <c r="BC160" s="93" t="str">
        <f t="shared" ca="1" si="161"/>
        <v/>
      </c>
    </row>
    <row r="161" spans="1:55" ht="15.95" customHeight="1" x14ac:dyDescent="0.2">
      <c r="A161" s="41" t="str">
        <f>IF(Customization!B161="","",Customization!B161)</f>
        <v/>
      </c>
      <c r="B161" s="79" t="str">
        <f t="shared" ca="1" si="110"/>
        <v/>
      </c>
      <c r="C161" s="29" t="str">
        <f t="shared" ca="1" si="111"/>
        <v/>
      </c>
      <c r="D161" s="7" t="str">
        <f t="shared" ca="1" si="108"/>
        <v/>
      </c>
      <c r="E161" s="29" t="str">
        <f t="shared" ca="1" si="112"/>
        <v/>
      </c>
      <c r="F161" s="7" t="str">
        <f t="shared" ca="1" si="109"/>
        <v/>
      </c>
      <c r="G161" s="29" t="str">
        <f t="shared" ca="1" si="113"/>
        <v/>
      </c>
      <c r="H161" s="7" t="str">
        <f t="shared" ca="1" si="114"/>
        <v/>
      </c>
      <c r="I161" s="28" t="str">
        <f t="shared" ca="1" si="115"/>
        <v/>
      </c>
      <c r="J161" s="7" t="str">
        <f t="shared" ca="1" si="116"/>
        <v/>
      </c>
      <c r="K161" s="73" t="str">
        <f t="shared" ca="1" si="117"/>
        <v/>
      </c>
      <c r="L161" s="74" t="str">
        <f t="shared" ca="1" si="118"/>
        <v/>
      </c>
      <c r="M161" s="75" t="str">
        <f t="shared" ca="1" si="119"/>
        <v/>
      </c>
      <c r="N161" s="76" t="str">
        <f t="shared" ca="1" si="120"/>
        <v/>
      </c>
      <c r="O161" s="75" t="str">
        <f t="shared" ca="1" si="121"/>
        <v/>
      </c>
      <c r="P161" s="76" t="str">
        <f t="shared" ca="1" si="122"/>
        <v/>
      </c>
      <c r="Q161" s="75" t="str">
        <f t="shared" ca="1" si="123"/>
        <v/>
      </c>
      <c r="R161" s="77" t="str">
        <f t="shared" ca="1" si="124"/>
        <v/>
      </c>
      <c r="S161" s="89" t="str">
        <f t="shared" ca="1" si="125"/>
        <v/>
      </c>
      <c r="T161" s="88" t="str">
        <f t="shared" ca="1" si="126"/>
        <v/>
      </c>
      <c r="U161" s="92" t="str">
        <f t="shared" ca="1" si="127"/>
        <v/>
      </c>
      <c r="V161" s="88" t="str">
        <f t="shared" ca="1" si="128"/>
        <v/>
      </c>
      <c r="W161" s="92" t="str">
        <f t="shared" ca="1" si="129"/>
        <v/>
      </c>
      <c r="X161" s="88" t="str">
        <f t="shared" ca="1" si="130"/>
        <v/>
      </c>
      <c r="Y161" s="92" t="str">
        <f t="shared" ca="1" si="131"/>
        <v/>
      </c>
      <c r="Z161" s="88" t="str">
        <f t="shared" ca="1" si="132"/>
        <v/>
      </c>
      <c r="AA161" s="89" t="str">
        <f t="shared" ca="1" si="133"/>
        <v/>
      </c>
      <c r="AB161" s="88" t="str">
        <f t="shared" ca="1" si="134"/>
        <v/>
      </c>
      <c r="AC161" s="92" t="str">
        <f t="shared" ca="1" si="135"/>
        <v/>
      </c>
      <c r="AD161" s="88" t="str">
        <f t="shared" ca="1" si="136"/>
        <v/>
      </c>
      <c r="AE161" s="92" t="str">
        <f t="shared" ca="1" si="137"/>
        <v/>
      </c>
      <c r="AF161" s="88" t="str">
        <f t="shared" ca="1" si="138"/>
        <v/>
      </c>
      <c r="AG161" s="92" t="str">
        <f t="shared" ca="1" si="139"/>
        <v/>
      </c>
      <c r="AH161" s="88" t="str">
        <f t="shared" ca="1" si="140"/>
        <v/>
      </c>
      <c r="AI161" s="92" t="str">
        <f t="shared" ca="1" si="141"/>
        <v/>
      </c>
      <c r="AJ161" s="88" t="str">
        <f t="shared" ca="1" si="142"/>
        <v/>
      </c>
      <c r="AK161" s="92" t="str">
        <f t="shared" ca="1" si="143"/>
        <v/>
      </c>
      <c r="AL161" s="77" t="str">
        <f t="shared" ca="1" si="144"/>
        <v/>
      </c>
      <c r="AM161" s="89" t="str">
        <f t="shared" ca="1" si="145"/>
        <v/>
      </c>
      <c r="AN161" s="88" t="str">
        <f t="shared" ca="1" si="146"/>
        <v/>
      </c>
      <c r="AO161" s="89" t="str">
        <f t="shared" ca="1" si="147"/>
        <v/>
      </c>
      <c r="AP161" s="77" t="str">
        <f t="shared" ca="1" si="148"/>
        <v/>
      </c>
      <c r="AQ161" s="94" t="str">
        <f t="shared" ca="1" si="149"/>
        <v/>
      </c>
      <c r="AR161" s="77" t="str">
        <f t="shared" ca="1" si="150"/>
        <v/>
      </c>
      <c r="AS161" s="94" t="str">
        <f t="shared" ca="1" si="151"/>
        <v/>
      </c>
      <c r="AT161" s="77" t="str">
        <f t="shared" ca="1" si="152"/>
        <v/>
      </c>
      <c r="AU161" s="93" t="str">
        <f t="shared" ca="1" si="153"/>
        <v/>
      </c>
      <c r="AV161" s="77" t="str">
        <f t="shared" ca="1" si="154"/>
        <v/>
      </c>
      <c r="AW161" s="93" t="str">
        <f t="shared" ca="1" si="155"/>
        <v/>
      </c>
      <c r="AX161" s="77" t="str">
        <f t="shared" ca="1" si="156"/>
        <v/>
      </c>
      <c r="AY161" s="93" t="str">
        <f t="shared" ca="1" si="157"/>
        <v/>
      </c>
      <c r="AZ161" s="77" t="str">
        <f t="shared" ca="1" si="158"/>
        <v/>
      </c>
      <c r="BA161" s="93" t="str">
        <f t="shared" ca="1" si="159"/>
        <v/>
      </c>
      <c r="BB161" s="77" t="str">
        <f t="shared" ca="1" si="160"/>
        <v/>
      </c>
      <c r="BC161" s="93" t="str">
        <f t="shared" ca="1" si="161"/>
        <v/>
      </c>
    </row>
    <row r="162" spans="1:55" ht="15.95" customHeight="1" x14ac:dyDescent="0.2">
      <c r="A162" s="41" t="str">
        <f>IF(Customization!B162="","",Customization!B162)</f>
        <v/>
      </c>
      <c r="B162" s="79" t="str">
        <f t="shared" ca="1" si="110"/>
        <v/>
      </c>
      <c r="C162" s="29" t="str">
        <f t="shared" ca="1" si="111"/>
        <v/>
      </c>
      <c r="D162" s="7" t="str">
        <f t="shared" ca="1" si="108"/>
        <v/>
      </c>
      <c r="E162" s="29" t="str">
        <f t="shared" ca="1" si="112"/>
        <v/>
      </c>
      <c r="F162" s="7" t="str">
        <f t="shared" ca="1" si="109"/>
        <v/>
      </c>
      <c r="G162" s="29" t="str">
        <f t="shared" ca="1" si="113"/>
        <v/>
      </c>
      <c r="H162" s="7" t="str">
        <f t="shared" ca="1" si="114"/>
        <v/>
      </c>
      <c r="I162" s="28" t="str">
        <f t="shared" ca="1" si="115"/>
        <v/>
      </c>
      <c r="J162" s="7" t="str">
        <f t="shared" ca="1" si="116"/>
        <v/>
      </c>
      <c r="K162" s="73" t="str">
        <f t="shared" ca="1" si="117"/>
        <v/>
      </c>
      <c r="L162" s="74" t="str">
        <f t="shared" ca="1" si="118"/>
        <v/>
      </c>
      <c r="M162" s="75" t="str">
        <f t="shared" ca="1" si="119"/>
        <v/>
      </c>
      <c r="N162" s="76" t="str">
        <f t="shared" ca="1" si="120"/>
        <v/>
      </c>
      <c r="O162" s="75" t="str">
        <f t="shared" ca="1" si="121"/>
        <v/>
      </c>
      <c r="P162" s="76" t="str">
        <f t="shared" ca="1" si="122"/>
        <v/>
      </c>
      <c r="Q162" s="75" t="str">
        <f t="shared" ca="1" si="123"/>
        <v/>
      </c>
      <c r="R162" s="77" t="str">
        <f t="shared" ca="1" si="124"/>
        <v/>
      </c>
      <c r="S162" s="89" t="str">
        <f t="shared" ca="1" si="125"/>
        <v/>
      </c>
      <c r="T162" s="88" t="str">
        <f t="shared" ca="1" si="126"/>
        <v/>
      </c>
      <c r="U162" s="92" t="str">
        <f t="shared" ca="1" si="127"/>
        <v/>
      </c>
      <c r="V162" s="88" t="str">
        <f t="shared" ca="1" si="128"/>
        <v/>
      </c>
      <c r="W162" s="92" t="str">
        <f t="shared" ca="1" si="129"/>
        <v/>
      </c>
      <c r="X162" s="88" t="str">
        <f t="shared" ca="1" si="130"/>
        <v/>
      </c>
      <c r="Y162" s="92" t="str">
        <f t="shared" ca="1" si="131"/>
        <v/>
      </c>
      <c r="Z162" s="88" t="str">
        <f t="shared" ca="1" si="132"/>
        <v/>
      </c>
      <c r="AA162" s="89" t="str">
        <f t="shared" ca="1" si="133"/>
        <v/>
      </c>
      <c r="AB162" s="88" t="str">
        <f t="shared" ca="1" si="134"/>
        <v/>
      </c>
      <c r="AC162" s="92" t="str">
        <f t="shared" ca="1" si="135"/>
        <v/>
      </c>
      <c r="AD162" s="88" t="str">
        <f t="shared" ca="1" si="136"/>
        <v/>
      </c>
      <c r="AE162" s="92" t="str">
        <f t="shared" ca="1" si="137"/>
        <v/>
      </c>
      <c r="AF162" s="88" t="str">
        <f t="shared" ca="1" si="138"/>
        <v/>
      </c>
      <c r="AG162" s="92" t="str">
        <f t="shared" ca="1" si="139"/>
        <v/>
      </c>
      <c r="AH162" s="88" t="str">
        <f t="shared" ca="1" si="140"/>
        <v/>
      </c>
      <c r="AI162" s="92" t="str">
        <f t="shared" ca="1" si="141"/>
        <v/>
      </c>
      <c r="AJ162" s="88" t="str">
        <f t="shared" ca="1" si="142"/>
        <v/>
      </c>
      <c r="AK162" s="92" t="str">
        <f t="shared" ca="1" si="143"/>
        <v/>
      </c>
      <c r="AL162" s="77" t="str">
        <f t="shared" ca="1" si="144"/>
        <v/>
      </c>
      <c r="AM162" s="89" t="str">
        <f t="shared" ca="1" si="145"/>
        <v/>
      </c>
      <c r="AN162" s="88" t="str">
        <f t="shared" ca="1" si="146"/>
        <v/>
      </c>
      <c r="AO162" s="89" t="str">
        <f t="shared" ca="1" si="147"/>
        <v/>
      </c>
      <c r="AP162" s="77" t="str">
        <f t="shared" ca="1" si="148"/>
        <v/>
      </c>
      <c r="AQ162" s="94" t="str">
        <f t="shared" ca="1" si="149"/>
        <v/>
      </c>
      <c r="AR162" s="77" t="str">
        <f t="shared" ca="1" si="150"/>
        <v/>
      </c>
      <c r="AS162" s="94" t="str">
        <f t="shared" ca="1" si="151"/>
        <v/>
      </c>
      <c r="AT162" s="77" t="str">
        <f t="shared" ca="1" si="152"/>
        <v/>
      </c>
      <c r="AU162" s="93" t="str">
        <f t="shared" ca="1" si="153"/>
        <v/>
      </c>
      <c r="AV162" s="77" t="str">
        <f t="shared" ca="1" si="154"/>
        <v/>
      </c>
      <c r="AW162" s="93" t="str">
        <f t="shared" ca="1" si="155"/>
        <v/>
      </c>
      <c r="AX162" s="77" t="str">
        <f t="shared" ca="1" si="156"/>
        <v/>
      </c>
      <c r="AY162" s="93" t="str">
        <f t="shared" ca="1" si="157"/>
        <v/>
      </c>
      <c r="AZ162" s="77" t="str">
        <f t="shared" ca="1" si="158"/>
        <v/>
      </c>
      <c r="BA162" s="93" t="str">
        <f t="shared" ca="1" si="159"/>
        <v/>
      </c>
      <c r="BB162" s="77" t="str">
        <f t="shared" ca="1" si="160"/>
        <v/>
      </c>
      <c r="BC162" s="93" t="str">
        <f t="shared" ca="1" si="161"/>
        <v/>
      </c>
    </row>
    <row r="163" spans="1:55" ht="15.95" customHeight="1" x14ac:dyDescent="0.2">
      <c r="A163" s="41" t="str">
        <f>IF(Customization!B163="","",Customization!B163)</f>
        <v/>
      </c>
      <c r="B163" s="79" t="str">
        <f t="shared" ca="1" si="110"/>
        <v/>
      </c>
      <c r="C163" s="29" t="str">
        <f t="shared" ca="1" si="111"/>
        <v/>
      </c>
      <c r="D163" s="7" t="str">
        <f t="shared" ca="1" si="108"/>
        <v/>
      </c>
      <c r="E163" s="29" t="str">
        <f t="shared" ca="1" si="112"/>
        <v/>
      </c>
      <c r="F163" s="7" t="str">
        <f t="shared" ca="1" si="109"/>
        <v/>
      </c>
      <c r="G163" s="29" t="str">
        <f t="shared" ca="1" si="113"/>
        <v/>
      </c>
      <c r="H163" s="7" t="str">
        <f t="shared" ca="1" si="114"/>
        <v/>
      </c>
      <c r="I163" s="28" t="str">
        <f t="shared" ca="1" si="115"/>
        <v/>
      </c>
      <c r="J163" s="7" t="str">
        <f t="shared" ca="1" si="116"/>
        <v/>
      </c>
      <c r="K163" s="73" t="str">
        <f t="shared" ca="1" si="117"/>
        <v/>
      </c>
      <c r="L163" s="74" t="str">
        <f t="shared" ca="1" si="118"/>
        <v/>
      </c>
      <c r="M163" s="75" t="str">
        <f t="shared" ca="1" si="119"/>
        <v/>
      </c>
      <c r="N163" s="76" t="str">
        <f t="shared" ca="1" si="120"/>
        <v/>
      </c>
      <c r="O163" s="75" t="str">
        <f t="shared" ca="1" si="121"/>
        <v/>
      </c>
      <c r="P163" s="76" t="str">
        <f t="shared" ca="1" si="122"/>
        <v/>
      </c>
      <c r="Q163" s="75" t="str">
        <f t="shared" ca="1" si="123"/>
        <v/>
      </c>
      <c r="R163" s="77" t="str">
        <f t="shared" ca="1" si="124"/>
        <v/>
      </c>
      <c r="S163" s="89" t="str">
        <f t="shared" ca="1" si="125"/>
        <v/>
      </c>
      <c r="T163" s="88" t="str">
        <f t="shared" ca="1" si="126"/>
        <v/>
      </c>
      <c r="U163" s="92" t="str">
        <f t="shared" ca="1" si="127"/>
        <v/>
      </c>
      <c r="V163" s="88" t="str">
        <f t="shared" ca="1" si="128"/>
        <v/>
      </c>
      <c r="W163" s="92" t="str">
        <f t="shared" ca="1" si="129"/>
        <v/>
      </c>
      <c r="X163" s="88" t="str">
        <f t="shared" ca="1" si="130"/>
        <v/>
      </c>
      <c r="Y163" s="92" t="str">
        <f t="shared" ca="1" si="131"/>
        <v/>
      </c>
      <c r="Z163" s="88" t="str">
        <f t="shared" ca="1" si="132"/>
        <v/>
      </c>
      <c r="AA163" s="89" t="str">
        <f t="shared" ca="1" si="133"/>
        <v/>
      </c>
      <c r="AB163" s="88" t="str">
        <f t="shared" ca="1" si="134"/>
        <v/>
      </c>
      <c r="AC163" s="92" t="str">
        <f t="shared" ca="1" si="135"/>
        <v/>
      </c>
      <c r="AD163" s="88" t="str">
        <f t="shared" ca="1" si="136"/>
        <v/>
      </c>
      <c r="AE163" s="92" t="str">
        <f t="shared" ca="1" si="137"/>
        <v/>
      </c>
      <c r="AF163" s="88" t="str">
        <f t="shared" ca="1" si="138"/>
        <v/>
      </c>
      <c r="AG163" s="92" t="str">
        <f t="shared" ca="1" si="139"/>
        <v/>
      </c>
      <c r="AH163" s="88" t="str">
        <f t="shared" ca="1" si="140"/>
        <v/>
      </c>
      <c r="AI163" s="92" t="str">
        <f t="shared" ca="1" si="141"/>
        <v/>
      </c>
      <c r="AJ163" s="88" t="str">
        <f t="shared" ca="1" si="142"/>
        <v/>
      </c>
      <c r="AK163" s="92" t="str">
        <f t="shared" ca="1" si="143"/>
        <v/>
      </c>
      <c r="AL163" s="77" t="str">
        <f t="shared" ca="1" si="144"/>
        <v/>
      </c>
      <c r="AM163" s="89" t="str">
        <f t="shared" ca="1" si="145"/>
        <v/>
      </c>
      <c r="AN163" s="88" t="str">
        <f t="shared" ca="1" si="146"/>
        <v/>
      </c>
      <c r="AO163" s="89" t="str">
        <f t="shared" ca="1" si="147"/>
        <v/>
      </c>
      <c r="AP163" s="77" t="str">
        <f t="shared" ca="1" si="148"/>
        <v/>
      </c>
      <c r="AQ163" s="94" t="str">
        <f t="shared" ca="1" si="149"/>
        <v/>
      </c>
      <c r="AR163" s="77" t="str">
        <f t="shared" ca="1" si="150"/>
        <v/>
      </c>
      <c r="AS163" s="94" t="str">
        <f t="shared" ca="1" si="151"/>
        <v/>
      </c>
      <c r="AT163" s="77" t="str">
        <f t="shared" ca="1" si="152"/>
        <v/>
      </c>
      <c r="AU163" s="93" t="str">
        <f t="shared" ca="1" si="153"/>
        <v/>
      </c>
      <c r="AV163" s="77" t="str">
        <f t="shared" ca="1" si="154"/>
        <v/>
      </c>
      <c r="AW163" s="93" t="str">
        <f t="shared" ca="1" si="155"/>
        <v/>
      </c>
      <c r="AX163" s="77" t="str">
        <f t="shared" ca="1" si="156"/>
        <v/>
      </c>
      <c r="AY163" s="93" t="str">
        <f t="shared" ca="1" si="157"/>
        <v/>
      </c>
      <c r="AZ163" s="77" t="str">
        <f t="shared" ca="1" si="158"/>
        <v/>
      </c>
      <c r="BA163" s="93" t="str">
        <f t="shared" ca="1" si="159"/>
        <v/>
      </c>
      <c r="BB163" s="77" t="str">
        <f t="shared" ca="1" si="160"/>
        <v/>
      </c>
      <c r="BC163" s="93" t="str">
        <f t="shared" ca="1" si="161"/>
        <v/>
      </c>
    </row>
    <row r="164" spans="1:55" ht="15.95" customHeight="1" x14ac:dyDescent="0.2">
      <c r="A164" s="41" t="str">
        <f>IF(Customization!B164="","",Customization!B164)</f>
        <v/>
      </c>
      <c r="B164" s="79" t="str">
        <f t="shared" ca="1" si="110"/>
        <v/>
      </c>
      <c r="C164" s="29" t="str">
        <f t="shared" ca="1" si="111"/>
        <v/>
      </c>
      <c r="D164" s="7" t="str">
        <f t="shared" ca="1" si="108"/>
        <v/>
      </c>
      <c r="E164" s="29" t="str">
        <f t="shared" ca="1" si="112"/>
        <v/>
      </c>
      <c r="F164" s="7" t="str">
        <f t="shared" ca="1" si="109"/>
        <v/>
      </c>
      <c r="G164" s="29" t="str">
        <f t="shared" ca="1" si="113"/>
        <v/>
      </c>
      <c r="H164" s="7" t="str">
        <f t="shared" ca="1" si="114"/>
        <v/>
      </c>
      <c r="I164" s="28" t="str">
        <f t="shared" ca="1" si="115"/>
        <v/>
      </c>
      <c r="J164" s="7" t="str">
        <f t="shared" ca="1" si="116"/>
        <v/>
      </c>
      <c r="K164" s="73" t="str">
        <f t="shared" ca="1" si="117"/>
        <v/>
      </c>
      <c r="L164" s="74" t="str">
        <f t="shared" ca="1" si="118"/>
        <v/>
      </c>
      <c r="M164" s="75" t="str">
        <f t="shared" ca="1" si="119"/>
        <v/>
      </c>
      <c r="N164" s="76" t="str">
        <f t="shared" ca="1" si="120"/>
        <v/>
      </c>
      <c r="O164" s="75" t="str">
        <f t="shared" ca="1" si="121"/>
        <v/>
      </c>
      <c r="P164" s="76" t="str">
        <f t="shared" ca="1" si="122"/>
        <v/>
      </c>
      <c r="Q164" s="75" t="str">
        <f t="shared" ca="1" si="123"/>
        <v/>
      </c>
      <c r="R164" s="77" t="str">
        <f t="shared" ca="1" si="124"/>
        <v/>
      </c>
      <c r="S164" s="89" t="str">
        <f t="shared" ca="1" si="125"/>
        <v/>
      </c>
      <c r="T164" s="88" t="str">
        <f t="shared" ca="1" si="126"/>
        <v/>
      </c>
      <c r="U164" s="92" t="str">
        <f t="shared" ca="1" si="127"/>
        <v/>
      </c>
      <c r="V164" s="88" t="str">
        <f t="shared" ca="1" si="128"/>
        <v/>
      </c>
      <c r="W164" s="92" t="str">
        <f t="shared" ca="1" si="129"/>
        <v/>
      </c>
      <c r="X164" s="88" t="str">
        <f t="shared" ca="1" si="130"/>
        <v/>
      </c>
      <c r="Y164" s="92" t="str">
        <f t="shared" ca="1" si="131"/>
        <v/>
      </c>
      <c r="Z164" s="88" t="str">
        <f t="shared" ca="1" si="132"/>
        <v/>
      </c>
      <c r="AA164" s="89" t="str">
        <f t="shared" ca="1" si="133"/>
        <v/>
      </c>
      <c r="AB164" s="88" t="str">
        <f t="shared" ca="1" si="134"/>
        <v/>
      </c>
      <c r="AC164" s="92" t="str">
        <f t="shared" ca="1" si="135"/>
        <v/>
      </c>
      <c r="AD164" s="88" t="str">
        <f t="shared" ca="1" si="136"/>
        <v/>
      </c>
      <c r="AE164" s="92" t="str">
        <f t="shared" ca="1" si="137"/>
        <v/>
      </c>
      <c r="AF164" s="88" t="str">
        <f t="shared" ca="1" si="138"/>
        <v/>
      </c>
      <c r="AG164" s="92" t="str">
        <f t="shared" ca="1" si="139"/>
        <v/>
      </c>
      <c r="AH164" s="88" t="str">
        <f t="shared" ca="1" si="140"/>
        <v/>
      </c>
      <c r="AI164" s="92" t="str">
        <f t="shared" ca="1" si="141"/>
        <v/>
      </c>
      <c r="AJ164" s="88" t="str">
        <f t="shared" ca="1" si="142"/>
        <v/>
      </c>
      <c r="AK164" s="92" t="str">
        <f t="shared" ca="1" si="143"/>
        <v/>
      </c>
      <c r="AL164" s="77" t="str">
        <f t="shared" ca="1" si="144"/>
        <v/>
      </c>
      <c r="AM164" s="89" t="str">
        <f t="shared" ca="1" si="145"/>
        <v/>
      </c>
      <c r="AN164" s="88" t="str">
        <f t="shared" ca="1" si="146"/>
        <v/>
      </c>
      <c r="AO164" s="89" t="str">
        <f t="shared" ca="1" si="147"/>
        <v/>
      </c>
      <c r="AP164" s="77" t="str">
        <f t="shared" ca="1" si="148"/>
        <v/>
      </c>
      <c r="AQ164" s="94" t="str">
        <f t="shared" ca="1" si="149"/>
        <v/>
      </c>
      <c r="AR164" s="77" t="str">
        <f t="shared" ca="1" si="150"/>
        <v/>
      </c>
      <c r="AS164" s="94" t="str">
        <f t="shared" ca="1" si="151"/>
        <v/>
      </c>
      <c r="AT164" s="77" t="str">
        <f t="shared" ca="1" si="152"/>
        <v/>
      </c>
      <c r="AU164" s="93" t="str">
        <f t="shared" ca="1" si="153"/>
        <v/>
      </c>
      <c r="AV164" s="77" t="str">
        <f t="shared" ca="1" si="154"/>
        <v/>
      </c>
      <c r="AW164" s="93" t="str">
        <f t="shared" ca="1" si="155"/>
        <v/>
      </c>
      <c r="AX164" s="77" t="str">
        <f t="shared" ca="1" si="156"/>
        <v/>
      </c>
      <c r="AY164" s="93" t="str">
        <f t="shared" ca="1" si="157"/>
        <v/>
      </c>
      <c r="AZ164" s="77" t="str">
        <f t="shared" ca="1" si="158"/>
        <v/>
      </c>
      <c r="BA164" s="93" t="str">
        <f t="shared" ca="1" si="159"/>
        <v/>
      </c>
      <c r="BB164" s="77" t="str">
        <f t="shared" ca="1" si="160"/>
        <v/>
      </c>
      <c r="BC164" s="93" t="str">
        <f t="shared" ca="1" si="161"/>
        <v/>
      </c>
    </row>
    <row r="165" spans="1:55" ht="15.95" customHeight="1" x14ac:dyDescent="0.2">
      <c r="A165" s="41" t="str">
        <f>IF(Customization!B165="","",Customization!B165)</f>
        <v/>
      </c>
      <c r="B165" s="79" t="str">
        <f t="shared" ca="1" si="110"/>
        <v/>
      </c>
      <c r="C165" s="29" t="str">
        <f t="shared" ca="1" si="111"/>
        <v/>
      </c>
      <c r="D165" s="7" t="str">
        <f t="shared" ca="1" si="108"/>
        <v/>
      </c>
      <c r="E165" s="29" t="str">
        <f t="shared" ca="1" si="112"/>
        <v/>
      </c>
      <c r="F165" s="7" t="str">
        <f t="shared" ca="1" si="109"/>
        <v/>
      </c>
      <c r="G165" s="29" t="str">
        <f t="shared" ca="1" si="113"/>
        <v/>
      </c>
      <c r="H165" s="7" t="str">
        <f t="shared" ca="1" si="114"/>
        <v/>
      </c>
      <c r="I165" s="28" t="str">
        <f t="shared" ca="1" si="115"/>
        <v/>
      </c>
      <c r="J165" s="7" t="str">
        <f t="shared" ca="1" si="116"/>
        <v/>
      </c>
      <c r="K165" s="73" t="str">
        <f t="shared" ca="1" si="117"/>
        <v/>
      </c>
      <c r="L165" s="74" t="str">
        <f t="shared" ca="1" si="118"/>
        <v/>
      </c>
      <c r="M165" s="75" t="str">
        <f t="shared" ca="1" si="119"/>
        <v/>
      </c>
      <c r="N165" s="76" t="str">
        <f t="shared" ca="1" si="120"/>
        <v/>
      </c>
      <c r="O165" s="75" t="str">
        <f t="shared" ca="1" si="121"/>
        <v/>
      </c>
      <c r="P165" s="76" t="str">
        <f t="shared" ca="1" si="122"/>
        <v/>
      </c>
      <c r="Q165" s="75" t="str">
        <f t="shared" ca="1" si="123"/>
        <v/>
      </c>
      <c r="R165" s="77" t="str">
        <f t="shared" ca="1" si="124"/>
        <v/>
      </c>
      <c r="S165" s="89" t="str">
        <f t="shared" ca="1" si="125"/>
        <v/>
      </c>
      <c r="T165" s="88" t="str">
        <f t="shared" ca="1" si="126"/>
        <v/>
      </c>
      <c r="U165" s="92" t="str">
        <f t="shared" ca="1" si="127"/>
        <v/>
      </c>
      <c r="V165" s="88" t="str">
        <f t="shared" ca="1" si="128"/>
        <v/>
      </c>
      <c r="W165" s="92" t="str">
        <f t="shared" ca="1" si="129"/>
        <v/>
      </c>
      <c r="X165" s="88" t="str">
        <f t="shared" ca="1" si="130"/>
        <v/>
      </c>
      <c r="Y165" s="92" t="str">
        <f t="shared" ca="1" si="131"/>
        <v/>
      </c>
      <c r="Z165" s="88" t="str">
        <f t="shared" ca="1" si="132"/>
        <v/>
      </c>
      <c r="AA165" s="89" t="str">
        <f t="shared" ca="1" si="133"/>
        <v/>
      </c>
      <c r="AB165" s="88" t="str">
        <f t="shared" ca="1" si="134"/>
        <v/>
      </c>
      <c r="AC165" s="92" t="str">
        <f t="shared" ca="1" si="135"/>
        <v/>
      </c>
      <c r="AD165" s="88" t="str">
        <f t="shared" ca="1" si="136"/>
        <v/>
      </c>
      <c r="AE165" s="92" t="str">
        <f t="shared" ca="1" si="137"/>
        <v/>
      </c>
      <c r="AF165" s="88" t="str">
        <f t="shared" ca="1" si="138"/>
        <v/>
      </c>
      <c r="AG165" s="92" t="str">
        <f t="shared" ca="1" si="139"/>
        <v/>
      </c>
      <c r="AH165" s="88" t="str">
        <f t="shared" ca="1" si="140"/>
        <v/>
      </c>
      <c r="AI165" s="92" t="str">
        <f t="shared" ca="1" si="141"/>
        <v/>
      </c>
      <c r="AJ165" s="88" t="str">
        <f t="shared" ca="1" si="142"/>
        <v/>
      </c>
      <c r="AK165" s="92" t="str">
        <f t="shared" ca="1" si="143"/>
        <v/>
      </c>
      <c r="AL165" s="77" t="str">
        <f t="shared" ca="1" si="144"/>
        <v/>
      </c>
      <c r="AM165" s="89" t="str">
        <f t="shared" ca="1" si="145"/>
        <v/>
      </c>
      <c r="AN165" s="88" t="str">
        <f t="shared" ca="1" si="146"/>
        <v/>
      </c>
      <c r="AO165" s="89" t="str">
        <f t="shared" ca="1" si="147"/>
        <v/>
      </c>
      <c r="AP165" s="77" t="str">
        <f t="shared" ca="1" si="148"/>
        <v/>
      </c>
      <c r="AQ165" s="94" t="str">
        <f t="shared" ca="1" si="149"/>
        <v/>
      </c>
      <c r="AR165" s="77" t="str">
        <f t="shared" ca="1" si="150"/>
        <v/>
      </c>
      <c r="AS165" s="94" t="str">
        <f t="shared" ca="1" si="151"/>
        <v/>
      </c>
      <c r="AT165" s="77" t="str">
        <f t="shared" ca="1" si="152"/>
        <v/>
      </c>
      <c r="AU165" s="93" t="str">
        <f t="shared" ca="1" si="153"/>
        <v/>
      </c>
      <c r="AV165" s="77" t="str">
        <f t="shared" ca="1" si="154"/>
        <v/>
      </c>
      <c r="AW165" s="93" t="str">
        <f t="shared" ca="1" si="155"/>
        <v/>
      </c>
      <c r="AX165" s="77" t="str">
        <f t="shared" ca="1" si="156"/>
        <v/>
      </c>
      <c r="AY165" s="93" t="str">
        <f t="shared" ca="1" si="157"/>
        <v/>
      </c>
      <c r="AZ165" s="77" t="str">
        <f t="shared" ca="1" si="158"/>
        <v/>
      </c>
      <c r="BA165" s="93" t="str">
        <f t="shared" ca="1" si="159"/>
        <v/>
      </c>
      <c r="BB165" s="77" t="str">
        <f t="shared" ca="1" si="160"/>
        <v/>
      </c>
      <c r="BC165" s="93" t="str">
        <f t="shared" ca="1" si="161"/>
        <v/>
      </c>
    </row>
    <row r="166" spans="1:55" ht="15.95" customHeight="1" x14ac:dyDescent="0.2">
      <c r="A166" s="41" t="str">
        <f>IF(Customization!B166="","",Customization!B166)</f>
        <v/>
      </c>
      <c r="B166" s="79" t="str">
        <f t="shared" ca="1" si="110"/>
        <v/>
      </c>
      <c r="C166" s="29" t="str">
        <f t="shared" ca="1" si="111"/>
        <v/>
      </c>
      <c r="D166" s="7" t="str">
        <f t="shared" ca="1" si="108"/>
        <v/>
      </c>
      <c r="E166" s="29" t="str">
        <f t="shared" ca="1" si="112"/>
        <v/>
      </c>
      <c r="F166" s="7" t="str">
        <f t="shared" ca="1" si="109"/>
        <v/>
      </c>
      <c r="G166" s="29" t="str">
        <f t="shared" ca="1" si="113"/>
        <v/>
      </c>
      <c r="H166" s="7" t="str">
        <f t="shared" ca="1" si="114"/>
        <v/>
      </c>
      <c r="I166" s="28" t="str">
        <f t="shared" ca="1" si="115"/>
        <v/>
      </c>
      <c r="J166" s="7" t="str">
        <f t="shared" ca="1" si="116"/>
        <v/>
      </c>
      <c r="K166" s="73" t="str">
        <f t="shared" ca="1" si="117"/>
        <v/>
      </c>
      <c r="L166" s="74" t="str">
        <f t="shared" ca="1" si="118"/>
        <v/>
      </c>
      <c r="M166" s="75" t="str">
        <f t="shared" ca="1" si="119"/>
        <v/>
      </c>
      <c r="N166" s="76" t="str">
        <f t="shared" ca="1" si="120"/>
        <v/>
      </c>
      <c r="O166" s="75" t="str">
        <f t="shared" ca="1" si="121"/>
        <v/>
      </c>
      <c r="P166" s="76" t="str">
        <f t="shared" ca="1" si="122"/>
        <v/>
      </c>
      <c r="Q166" s="75" t="str">
        <f t="shared" ca="1" si="123"/>
        <v/>
      </c>
      <c r="R166" s="77" t="str">
        <f t="shared" ca="1" si="124"/>
        <v/>
      </c>
      <c r="S166" s="89" t="str">
        <f t="shared" ca="1" si="125"/>
        <v/>
      </c>
      <c r="T166" s="88" t="str">
        <f t="shared" ca="1" si="126"/>
        <v/>
      </c>
      <c r="U166" s="92" t="str">
        <f t="shared" ca="1" si="127"/>
        <v/>
      </c>
      <c r="V166" s="88" t="str">
        <f t="shared" ca="1" si="128"/>
        <v/>
      </c>
      <c r="W166" s="92" t="str">
        <f t="shared" ca="1" si="129"/>
        <v/>
      </c>
      <c r="X166" s="88" t="str">
        <f t="shared" ca="1" si="130"/>
        <v/>
      </c>
      <c r="Y166" s="92" t="str">
        <f t="shared" ca="1" si="131"/>
        <v/>
      </c>
      <c r="Z166" s="88" t="str">
        <f t="shared" ca="1" si="132"/>
        <v/>
      </c>
      <c r="AA166" s="89" t="str">
        <f t="shared" ca="1" si="133"/>
        <v/>
      </c>
      <c r="AB166" s="88" t="str">
        <f t="shared" ca="1" si="134"/>
        <v/>
      </c>
      <c r="AC166" s="92" t="str">
        <f t="shared" ca="1" si="135"/>
        <v/>
      </c>
      <c r="AD166" s="88" t="str">
        <f t="shared" ca="1" si="136"/>
        <v/>
      </c>
      <c r="AE166" s="92" t="str">
        <f t="shared" ca="1" si="137"/>
        <v/>
      </c>
      <c r="AF166" s="88" t="str">
        <f t="shared" ca="1" si="138"/>
        <v/>
      </c>
      <c r="AG166" s="92" t="str">
        <f t="shared" ca="1" si="139"/>
        <v/>
      </c>
      <c r="AH166" s="88" t="str">
        <f t="shared" ca="1" si="140"/>
        <v/>
      </c>
      <c r="AI166" s="92" t="str">
        <f t="shared" ca="1" si="141"/>
        <v/>
      </c>
      <c r="AJ166" s="88" t="str">
        <f t="shared" ca="1" si="142"/>
        <v/>
      </c>
      <c r="AK166" s="92" t="str">
        <f t="shared" ca="1" si="143"/>
        <v/>
      </c>
      <c r="AL166" s="77" t="str">
        <f t="shared" ca="1" si="144"/>
        <v/>
      </c>
      <c r="AM166" s="89" t="str">
        <f t="shared" ca="1" si="145"/>
        <v/>
      </c>
      <c r="AN166" s="88" t="str">
        <f t="shared" ca="1" si="146"/>
        <v/>
      </c>
      <c r="AO166" s="89" t="str">
        <f t="shared" ca="1" si="147"/>
        <v/>
      </c>
      <c r="AP166" s="77" t="str">
        <f t="shared" ca="1" si="148"/>
        <v/>
      </c>
      <c r="AQ166" s="94" t="str">
        <f t="shared" ca="1" si="149"/>
        <v/>
      </c>
      <c r="AR166" s="77" t="str">
        <f t="shared" ca="1" si="150"/>
        <v/>
      </c>
      <c r="AS166" s="94" t="str">
        <f t="shared" ca="1" si="151"/>
        <v/>
      </c>
      <c r="AT166" s="77" t="str">
        <f t="shared" ca="1" si="152"/>
        <v/>
      </c>
      <c r="AU166" s="93" t="str">
        <f t="shared" ca="1" si="153"/>
        <v/>
      </c>
      <c r="AV166" s="77" t="str">
        <f t="shared" ca="1" si="154"/>
        <v/>
      </c>
      <c r="AW166" s="93" t="str">
        <f t="shared" ca="1" si="155"/>
        <v/>
      </c>
      <c r="AX166" s="77" t="str">
        <f t="shared" ca="1" si="156"/>
        <v/>
      </c>
      <c r="AY166" s="93" t="str">
        <f t="shared" ca="1" si="157"/>
        <v/>
      </c>
      <c r="AZ166" s="77" t="str">
        <f t="shared" ca="1" si="158"/>
        <v/>
      </c>
      <c r="BA166" s="93" t="str">
        <f t="shared" ca="1" si="159"/>
        <v/>
      </c>
      <c r="BB166" s="77" t="str">
        <f t="shared" ca="1" si="160"/>
        <v/>
      </c>
      <c r="BC166" s="93" t="str">
        <f t="shared" ca="1" si="161"/>
        <v/>
      </c>
    </row>
    <row r="167" spans="1:55" ht="15.95" customHeight="1" x14ac:dyDescent="0.2">
      <c r="A167" s="41" t="str">
        <f>IF(Customization!B167="","",Customization!B167)</f>
        <v/>
      </c>
      <c r="B167" s="79" t="str">
        <f t="shared" ca="1" si="110"/>
        <v/>
      </c>
      <c r="C167" s="29" t="str">
        <f t="shared" ca="1" si="111"/>
        <v/>
      </c>
      <c r="D167" s="7" t="str">
        <f t="shared" ca="1" si="108"/>
        <v/>
      </c>
      <c r="E167" s="29" t="str">
        <f t="shared" ca="1" si="112"/>
        <v/>
      </c>
      <c r="F167" s="7" t="str">
        <f t="shared" ca="1" si="109"/>
        <v/>
      </c>
      <c r="G167" s="29" t="str">
        <f t="shared" ca="1" si="113"/>
        <v/>
      </c>
      <c r="H167" s="7" t="str">
        <f t="shared" ca="1" si="114"/>
        <v/>
      </c>
      <c r="I167" s="28" t="str">
        <f t="shared" ca="1" si="115"/>
        <v/>
      </c>
      <c r="J167" s="7" t="str">
        <f t="shared" ca="1" si="116"/>
        <v/>
      </c>
      <c r="K167" s="73" t="str">
        <f t="shared" ca="1" si="117"/>
        <v/>
      </c>
      <c r="L167" s="74" t="str">
        <f t="shared" ca="1" si="118"/>
        <v/>
      </c>
      <c r="M167" s="75" t="str">
        <f t="shared" ca="1" si="119"/>
        <v/>
      </c>
      <c r="N167" s="76" t="str">
        <f t="shared" ca="1" si="120"/>
        <v/>
      </c>
      <c r="O167" s="75" t="str">
        <f t="shared" ca="1" si="121"/>
        <v/>
      </c>
      <c r="P167" s="76" t="str">
        <f t="shared" ca="1" si="122"/>
        <v/>
      </c>
      <c r="Q167" s="75" t="str">
        <f t="shared" ca="1" si="123"/>
        <v/>
      </c>
      <c r="R167" s="77" t="str">
        <f t="shared" ca="1" si="124"/>
        <v/>
      </c>
      <c r="S167" s="89" t="str">
        <f t="shared" ca="1" si="125"/>
        <v/>
      </c>
      <c r="T167" s="88" t="str">
        <f t="shared" ca="1" si="126"/>
        <v/>
      </c>
      <c r="U167" s="92" t="str">
        <f t="shared" ca="1" si="127"/>
        <v/>
      </c>
      <c r="V167" s="88" t="str">
        <f t="shared" ca="1" si="128"/>
        <v/>
      </c>
      <c r="W167" s="92" t="str">
        <f t="shared" ca="1" si="129"/>
        <v/>
      </c>
      <c r="X167" s="88" t="str">
        <f t="shared" ca="1" si="130"/>
        <v/>
      </c>
      <c r="Y167" s="92" t="str">
        <f t="shared" ca="1" si="131"/>
        <v/>
      </c>
      <c r="Z167" s="88" t="str">
        <f t="shared" ca="1" si="132"/>
        <v/>
      </c>
      <c r="AA167" s="89" t="str">
        <f t="shared" ca="1" si="133"/>
        <v/>
      </c>
      <c r="AB167" s="88" t="str">
        <f t="shared" ca="1" si="134"/>
        <v/>
      </c>
      <c r="AC167" s="92" t="str">
        <f t="shared" ca="1" si="135"/>
        <v/>
      </c>
      <c r="AD167" s="88" t="str">
        <f t="shared" ca="1" si="136"/>
        <v/>
      </c>
      <c r="AE167" s="92" t="str">
        <f t="shared" ca="1" si="137"/>
        <v/>
      </c>
      <c r="AF167" s="88" t="str">
        <f t="shared" ca="1" si="138"/>
        <v/>
      </c>
      <c r="AG167" s="92" t="str">
        <f t="shared" ca="1" si="139"/>
        <v/>
      </c>
      <c r="AH167" s="88" t="str">
        <f t="shared" ca="1" si="140"/>
        <v/>
      </c>
      <c r="AI167" s="92" t="str">
        <f t="shared" ca="1" si="141"/>
        <v/>
      </c>
      <c r="AJ167" s="88" t="str">
        <f t="shared" ca="1" si="142"/>
        <v/>
      </c>
      <c r="AK167" s="92" t="str">
        <f t="shared" ca="1" si="143"/>
        <v/>
      </c>
      <c r="AL167" s="77" t="str">
        <f t="shared" ca="1" si="144"/>
        <v/>
      </c>
      <c r="AM167" s="89" t="str">
        <f t="shared" ca="1" si="145"/>
        <v/>
      </c>
      <c r="AN167" s="88" t="str">
        <f t="shared" ca="1" si="146"/>
        <v/>
      </c>
      <c r="AO167" s="89" t="str">
        <f t="shared" ca="1" si="147"/>
        <v/>
      </c>
      <c r="AP167" s="77" t="str">
        <f t="shared" ca="1" si="148"/>
        <v/>
      </c>
      <c r="AQ167" s="94" t="str">
        <f t="shared" ca="1" si="149"/>
        <v/>
      </c>
      <c r="AR167" s="77" t="str">
        <f t="shared" ca="1" si="150"/>
        <v/>
      </c>
      <c r="AS167" s="94" t="str">
        <f t="shared" ca="1" si="151"/>
        <v/>
      </c>
      <c r="AT167" s="77" t="str">
        <f t="shared" ca="1" si="152"/>
        <v/>
      </c>
      <c r="AU167" s="93" t="str">
        <f t="shared" ca="1" si="153"/>
        <v/>
      </c>
      <c r="AV167" s="77" t="str">
        <f t="shared" ca="1" si="154"/>
        <v/>
      </c>
      <c r="AW167" s="93" t="str">
        <f t="shared" ca="1" si="155"/>
        <v/>
      </c>
      <c r="AX167" s="77" t="str">
        <f t="shared" ca="1" si="156"/>
        <v/>
      </c>
      <c r="AY167" s="93" t="str">
        <f t="shared" ca="1" si="157"/>
        <v/>
      </c>
      <c r="AZ167" s="77" t="str">
        <f t="shared" ca="1" si="158"/>
        <v/>
      </c>
      <c r="BA167" s="93" t="str">
        <f t="shared" ca="1" si="159"/>
        <v/>
      </c>
      <c r="BB167" s="77" t="str">
        <f t="shared" ca="1" si="160"/>
        <v/>
      </c>
      <c r="BC167" s="93" t="str">
        <f t="shared" ca="1" si="161"/>
        <v/>
      </c>
    </row>
    <row r="168" spans="1:55" ht="15.95" customHeight="1" x14ac:dyDescent="0.2">
      <c r="A168" s="41" t="str">
        <f>IF(Customization!B168="","",Customization!B168)</f>
        <v/>
      </c>
      <c r="B168" s="79" t="str">
        <f t="shared" ca="1" si="110"/>
        <v/>
      </c>
      <c r="C168" s="29" t="str">
        <f t="shared" ca="1" si="111"/>
        <v/>
      </c>
      <c r="D168" s="7" t="str">
        <f t="shared" ca="1" si="108"/>
        <v/>
      </c>
      <c r="E168" s="29" t="str">
        <f t="shared" ca="1" si="112"/>
        <v/>
      </c>
      <c r="F168" s="7" t="str">
        <f t="shared" ca="1" si="109"/>
        <v/>
      </c>
      <c r="G168" s="29" t="str">
        <f t="shared" ca="1" si="113"/>
        <v/>
      </c>
      <c r="H168" s="7" t="str">
        <f t="shared" ca="1" si="114"/>
        <v/>
      </c>
      <c r="I168" s="28" t="str">
        <f t="shared" ca="1" si="115"/>
        <v/>
      </c>
      <c r="J168" s="7" t="str">
        <f t="shared" ca="1" si="116"/>
        <v/>
      </c>
      <c r="K168" s="73" t="str">
        <f t="shared" ca="1" si="117"/>
        <v/>
      </c>
      <c r="L168" s="74" t="str">
        <f t="shared" ca="1" si="118"/>
        <v/>
      </c>
      <c r="M168" s="75" t="str">
        <f t="shared" ca="1" si="119"/>
        <v/>
      </c>
      <c r="N168" s="76" t="str">
        <f t="shared" ca="1" si="120"/>
        <v/>
      </c>
      <c r="O168" s="75" t="str">
        <f t="shared" ca="1" si="121"/>
        <v/>
      </c>
      <c r="P168" s="76" t="str">
        <f t="shared" ca="1" si="122"/>
        <v/>
      </c>
      <c r="Q168" s="75" t="str">
        <f t="shared" ca="1" si="123"/>
        <v/>
      </c>
      <c r="R168" s="77" t="str">
        <f t="shared" ca="1" si="124"/>
        <v/>
      </c>
      <c r="S168" s="89" t="str">
        <f t="shared" ca="1" si="125"/>
        <v/>
      </c>
      <c r="T168" s="88" t="str">
        <f t="shared" ca="1" si="126"/>
        <v/>
      </c>
      <c r="U168" s="92" t="str">
        <f t="shared" ca="1" si="127"/>
        <v/>
      </c>
      <c r="V168" s="88" t="str">
        <f t="shared" ca="1" si="128"/>
        <v/>
      </c>
      <c r="W168" s="92" t="str">
        <f t="shared" ca="1" si="129"/>
        <v/>
      </c>
      <c r="X168" s="88" t="str">
        <f t="shared" ca="1" si="130"/>
        <v/>
      </c>
      <c r="Y168" s="92" t="str">
        <f t="shared" ca="1" si="131"/>
        <v/>
      </c>
      <c r="Z168" s="88" t="str">
        <f t="shared" ca="1" si="132"/>
        <v/>
      </c>
      <c r="AA168" s="89" t="str">
        <f t="shared" ca="1" si="133"/>
        <v/>
      </c>
      <c r="AB168" s="88" t="str">
        <f t="shared" ca="1" si="134"/>
        <v/>
      </c>
      <c r="AC168" s="92" t="str">
        <f t="shared" ca="1" si="135"/>
        <v/>
      </c>
      <c r="AD168" s="88" t="str">
        <f t="shared" ca="1" si="136"/>
        <v/>
      </c>
      <c r="AE168" s="92" t="str">
        <f t="shared" ca="1" si="137"/>
        <v/>
      </c>
      <c r="AF168" s="88" t="str">
        <f t="shared" ca="1" si="138"/>
        <v/>
      </c>
      <c r="AG168" s="92" t="str">
        <f t="shared" ca="1" si="139"/>
        <v/>
      </c>
      <c r="AH168" s="88" t="str">
        <f t="shared" ca="1" si="140"/>
        <v/>
      </c>
      <c r="AI168" s="92" t="str">
        <f t="shared" ca="1" si="141"/>
        <v/>
      </c>
      <c r="AJ168" s="88" t="str">
        <f t="shared" ca="1" si="142"/>
        <v/>
      </c>
      <c r="AK168" s="92" t="str">
        <f t="shared" ca="1" si="143"/>
        <v/>
      </c>
      <c r="AL168" s="77" t="str">
        <f t="shared" ca="1" si="144"/>
        <v/>
      </c>
      <c r="AM168" s="89" t="str">
        <f t="shared" ca="1" si="145"/>
        <v/>
      </c>
      <c r="AN168" s="88" t="str">
        <f t="shared" ca="1" si="146"/>
        <v/>
      </c>
      <c r="AO168" s="89" t="str">
        <f t="shared" ca="1" si="147"/>
        <v/>
      </c>
      <c r="AP168" s="77" t="str">
        <f t="shared" ca="1" si="148"/>
        <v/>
      </c>
      <c r="AQ168" s="94" t="str">
        <f t="shared" ca="1" si="149"/>
        <v/>
      </c>
      <c r="AR168" s="77" t="str">
        <f t="shared" ca="1" si="150"/>
        <v/>
      </c>
      <c r="AS168" s="94" t="str">
        <f t="shared" ca="1" si="151"/>
        <v/>
      </c>
      <c r="AT168" s="77" t="str">
        <f t="shared" ca="1" si="152"/>
        <v/>
      </c>
      <c r="AU168" s="93" t="str">
        <f t="shared" ca="1" si="153"/>
        <v/>
      </c>
      <c r="AV168" s="77" t="str">
        <f t="shared" ca="1" si="154"/>
        <v/>
      </c>
      <c r="AW168" s="93" t="str">
        <f t="shared" ca="1" si="155"/>
        <v/>
      </c>
      <c r="AX168" s="77" t="str">
        <f t="shared" ca="1" si="156"/>
        <v/>
      </c>
      <c r="AY168" s="93" t="str">
        <f t="shared" ca="1" si="157"/>
        <v/>
      </c>
      <c r="AZ168" s="77" t="str">
        <f t="shared" ca="1" si="158"/>
        <v/>
      </c>
      <c r="BA168" s="93" t="str">
        <f t="shared" ca="1" si="159"/>
        <v/>
      </c>
      <c r="BB168" s="77" t="str">
        <f t="shared" ca="1" si="160"/>
        <v/>
      </c>
      <c r="BC168" s="93" t="str">
        <f t="shared" ca="1" si="161"/>
        <v/>
      </c>
    </row>
    <row r="169" spans="1:55" ht="15.95" customHeight="1" x14ac:dyDescent="0.2">
      <c r="A169" s="41" t="str">
        <f>IF(Customization!B169="","",Customization!B169)</f>
        <v/>
      </c>
      <c r="B169" s="79" t="str">
        <f t="shared" ca="1" si="110"/>
        <v/>
      </c>
      <c r="C169" s="29" t="str">
        <f t="shared" ca="1" si="111"/>
        <v/>
      </c>
      <c r="D169" s="7" t="str">
        <f t="shared" ca="1" si="108"/>
        <v/>
      </c>
      <c r="E169" s="29" t="str">
        <f t="shared" ca="1" si="112"/>
        <v/>
      </c>
      <c r="F169" s="7" t="str">
        <f t="shared" ca="1" si="109"/>
        <v/>
      </c>
      <c r="G169" s="29" t="str">
        <f t="shared" ca="1" si="113"/>
        <v/>
      </c>
      <c r="H169" s="7" t="str">
        <f t="shared" ca="1" si="114"/>
        <v/>
      </c>
      <c r="I169" s="28" t="str">
        <f t="shared" ca="1" si="115"/>
        <v/>
      </c>
      <c r="J169" s="7" t="str">
        <f t="shared" ca="1" si="116"/>
        <v/>
      </c>
      <c r="K169" s="73" t="str">
        <f t="shared" ca="1" si="117"/>
        <v/>
      </c>
      <c r="L169" s="74" t="str">
        <f t="shared" ca="1" si="118"/>
        <v/>
      </c>
      <c r="M169" s="75" t="str">
        <f t="shared" ca="1" si="119"/>
        <v/>
      </c>
      <c r="N169" s="76" t="str">
        <f t="shared" ca="1" si="120"/>
        <v/>
      </c>
      <c r="O169" s="75" t="str">
        <f t="shared" ca="1" si="121"/>
        <v/>
      </c>
      <c r="P169" s="76" t="str">
        <f t="shared" ca="1" si="122"/>
        <v/>
      </c>
      <c r="Q169" s="75" t="str">
        <f t="shared" ca="1" si="123"/>
        <v/>
      </c>
      <c r="R169" s="77" t="str">
        <f t="shared" ca="1" si="124"/>
        <v/>
      </c>
      <c r="S169" s="89" t="str">
        <f t="shared" ca="1" si="125"/>
        <v/>
      </c>
      <c r="T169" s="88" t="str">
        <f t="shared" ca="1" si="126"/>
        <v/>
      </c>
      <c r="U169" s="92" t="str">
        <f t="shared" ca="1" si="127"/>
        <v/>
      </c>
      <c r="V169" s="88" t="str">
        <f t="shared" ca="1" si="128"/>
        <v/>
      </c>
      <c r="W169" s="92" t="str">
        <f t="shared" ca="1" si="129"/>
        <v/>
      </c>
      <c r="X169" s="88" t="str">
        <f t="shared" ca="1" si="130"/>
        <v/>
      </c>
      <c r="Y169" s="92" t="str">
        <f t="shared" ca="1" si="131"/>
        <v/>
      </c>
      <c r="Z169" s="88" t="str">
        <f t="shared" ca="1" si="132"/>
        <v/>
      </c>
      <c r="AA169" s="89" t="str">
        <f t="shared" ca="1" si="133"/>
        <v/>
      </c>
      <c r="AB169" s="88" t="str">
        <f t="shared" ca="1" si="134"/>
        <v/>
      </c>
      <c r="AC169" s="92" t="str">
        <f t="shared" ca="1" si="135"/>
        <v/>
      </c>
      <c r="AD169" s="88" t="str">
        <f t="shared" ca="1" si="136"/>
        <v/>
      </c>
      <c r="AE169" s="92" t="str">
        <f t="shared" ca="1" si="137"/>
        <v/>
      </c>
      <c r="AF169" s="88" t="str">
        <f t="shared" ca="1" si="138"/>
        <v/>
      </c>
      <c r="AG169" s="92" t="str">
        <f t="shared" ca="1" si="139"/>
        <v/>
      </c>
      <c r="AH169" s="88" t="str">
        <f t="shared" ca="1" si="140"/>
        <v/>
      </c>
      <c r="AI169" s="92" t="str">
        <f t="shared" ca="1" si="141"/>
        <v/>
      </c>
      <c r="AJ169" s="88" t="str">
        <f t="shared" ca="1" si="142"/>
        <v/>
      </c>
      <c r="AK169" s="92" t="str">
        <f t="shared" ca="1" si="143"/>
        <v/>
      </c>
      <c r="AL169" s="77" t="str">
        <f t="shared" ca="1" si="144"/>
        <v/>
      </c>
      <c r="AM169" s="89" t="str">
        <f t="shared" ca="1" si="145"/>
        <v/>
      </c>
      <c r="AN169" s="88" t="str">
        <f t="shared" ca="1" si="146"/>
        <v/>
      </c>
      <c r="AO169" s="89" t="str">
        <f t="shared" ca="1" si="147"/>
        <v/>
      </c>
      <c r="AP169" s="77" t="str">
        <f t="shared" ca="1" si="148"/>
        <v/>
      </c>
      <c r="AQ169" s="94" t="str">
        <f t="shared" ca="1" si="149"/>
        <v/>
      </c>
      <c r="AR169" s="77" t="str">
        <f t="shared" ca="1" si="150"/>
        <v/>
      </c>
      <c r="AS169" s="94" t="str">
        <f t="shared" ca="1" si="151"/>
        <v/>
      </c>
      <c r="AT169" s="77" t="str">
        <f t="shared" ca="1" si="152"/>
        <v/>
      </c>
      <c r="AU169" s="93" t="str">
        <f t="shared" ca="1" si="153"/>
        <v/>
      </c>
      <c r="AV169" s="77" t="str">
        <f t="shared" ca="1" si="154"/>
        <v/>
      </c>
      <c r="AW169" s="93" t="str">
        <f t="shared" ca="1" si="155"/>
        <v/>
      </c>
      <c r="AX169" s="77" t="str">
        <f t="shared" ca="1" si="156"/>
        <v/>
      </c>
      <c r="AY169" s="93" t="str">
        <f t="shared" ca="1" si="157"/>
        <v/>
      </c>
      <c r="AZ169" s="77" t="str">
        <f t="shared" ca="1" si="158"/>
        <v/>
      </c>
      <c r="BA169" s="93" t="str">
        <f t="shared" ca="1" si="159"/>
        <v/>
      </c>
      <c r="BB169" s="77" t="str">
        <f t="shared" ca="1" si="160"/>
        <v/>
      </c>
      <c r="BC169" s="93" t="str">
        <f t="shared" ca="1" si="161"/>
        <v/>
      </c>
    </row>
    <row r="170" spans="1:55" ht="15.95" customHeight="1" x14ac:dyDescent="0.2">
      <c r="A170" s="41" t="str">
        <f>IF(Customization!B170="","",Customization!B170)</f>
        <v/>
      </c>
      <c r="B170" s="79" t="str">
        <f t="shared" ca="1" si="110"/>
        <v/>
      </c>
      <c r="C170" s="29" t="str">
        <f t="shared" ca="1" si="111"/>
        <v/>
      </c>
      <c r="D170" s="7" t="str">
        <f t="shared" ca="1" si="108"/>
        <v/>
      </c>
      <c r="E170" s="29" t="str">
        <f t="shared" ca="1" si="112"/>
        <v/>
      </c>
      <c r="F170" s="7" t="str">
        <f t="shared" ca="1" si="109"/>
        <v/>
      </c>
      <c r="G170" s="29" t="str">
        <f t="shared" ca="1" si="113"/>
        <v/>
      </c>
      <c r="H170" s="7" t="str">
        <f t="shared" ca="1" si="114"/>
        <v/>
      </c>
      <c r="I170" s="28" t="str">
        <f t="shared" ca="1" si="115"/>
        <v/>
      </c>
      <c r="J170" s="7" t="str">
        <f t="shared" ca="1" si="116"/>
        <v/>
      </c>
      <c r="K170" s="73" t="str">
        <f t="shared" ca="1" si="117"/>
        <v/>
      </c>
      <c r="L170" s="74" t="str">
        <f t="shared" ca="1" si="118"/>
        <v/>
      </c>
      <c r="M170" s="75" t="str">
        <f t="shared" ca="1" si="119"/>
        <v/>
      </c>
      <c r="N170" s="76" t="str">
        <f t="shared" ca="1" si="120"/>
        <v/>
      </c>
      <c r="O170" s="75" t="str">
        <f t="shared" ca="1" si="121"/>
        <v/>
      </c>
      <c r="P170" s="76" t="str">
        <f t="shared" ca="1" si="122"/>
        <v/>
      </c>
      <c r="Q170" s="75" t="str">
        <f t="shared" ca="1" si="123"/>
        <v/>
      </c>
      <c r="R170" s="77" t="str">
        <f t="shared" ca="1" si="124"/>
        <v/>
      </c>
      <c r="S170" s="89" t="str">
        <f t="shared" ca="1" si="125"/>
        <v/>
      </c>
      <c r="T170" s="88" t="str">
        <f t="shared" ca="1" si="126"/>
        <v/>
      </c>
      <c r="U170" s="92" t="str">
        <f t="shared" ca="1" si="127"/>
        <v/>
      </c>
      <c r="V170" s="88" t="str">
        <f t="shared" ca="1" si="128"/>
        <v/>
      </c>
      <c r="W170" s="92" t="str">
        <f t="shared" ca="1" si="129"/>
        <v/>
      </c>
      <c r="X170" s="88" t="str">
        <f t="shared" ca="1" si="130"/>
        <v/>
      </c>
      <c r="Y170" s="92" t="str">
        <f t="shared" ca="1" si="131"/>
        <v/>
      </c>
      <c r="Z170" s="88" t="str">
        <f t="shared" ca="1" si="132"/>
        <v/>
      </c>
      <c r="AA170" s="89" t="str">
        <f t="shared" ca="1" si="133"/>
        <v/>
      </c>
      <c r="AB170" s="88" t="str">
        <f t="shared" ca="1" si="134"/>
        <v/>
      </c>
      <c r="AC170" s="92" t="str">
        <f t="shared" ca="1" si="135"/>
        <v/>
      </c>
      <c r="AD170" s="88" t="str">
        <f t="shared" ca="1" si="136"/>
        <v/>
      </c>
      <c r="AE170" s="92" t="str">
        <f t="shared" ca="1" si="137"/>
        <v/>
      </c>
      <c r="AF170" s="88" t="str">
        <f t="shared" ca="1" si="138"/>
        <v/>
      </c>
      <c r="AG170" s="92" t="str">
        <f t="shared" ca="1" si="139"/>
        <v/>
      </c>
      <c r="AH170" s="88" t="str">
        <f t="shared" ca="1" si="140"/>
        <v/>
      </c>
      <c r="AI170" s="92" t="str">
        <f t="shared" ca="1" si="141"/>
        <v/>
      </c>
      <c r="AJ170" s="88" t="str">
        <f t="shared" ca="1" si="142"/>
        <v/>
      </c>
      <c r="AK170" s="92" t="str">
        <f t="shared" ca="1" si="143"/>
        <v/>
      </c>
      <c r="AL170" s="77" t="str">
        <f t="shared" ca="1" si="144"/>
        <v/>
      </c>
      <c r="AM170" s="89" t="str">
        <f t="shared" ca="1" si="145"/>
        <v/>
      </c>
      <c r="AN170" s="88" t="str">
        <f t="shared" ca="1" si="146"/>
        <v/>
      </c>
      <c r="AO170" s="89" t="str">
        <f t="shared" ca="1" si="147"/>
        <v/>
      </c>
      <c r="AP170" s="77" t="str">
        <f t="shared" ca="1" si="148"/>
        <v/>
      </c>
      <c r="AQ170" s="94" t="str">
        <f t="shared" ca="1" si="149"/>
        <v/>
      </c>
      <c r="AR170" s="77" t="str">
        <f t="shared" ca="1" si="150"/>
        <v/>
      </c>
      <c r="AS170" s="94" t="str">
        <f t="shared" ca="1" si="151"/>
        <v/>
      </c>
      <c r="AT170" s="77" t="str">
        <f t="shared" ca="1" si="152"/>
        <v/>
      </c>
      <c r="AU170" s="93" t="str">
        <f t="shared" ca="1" si="153"/>
        <v/>
      </c>
      <c r="AV170" s="77" t="str">
        <f t="shared" ca="1" si="154"/>
        <v/>
      </c>
      <c r="AW170" s="93" t="str">
        <f t="shared" ca="1" si="155"/>
        <v/>
      </c>
      <c r="AX170" s="77" t="str">
        <f t="shared" ca="1" si="156"/>
        <v/>
      </c>
      <c r="AY170" s="93" t="str">
        <f t="shared" ca="1" si="157"/>
        <v/>
      </c>
      <c r="AZ170" s="77" t="str">
        <f t="shared" ca="1" si="158"/>
        <v/>
      </c>
      <c r="BA170" s="93" t="str">
        <f t="shared" ca="1" si="159"/>
        <v/>
      </c>
      <c r="BB170" s="77" t="str">
        <f t="shared" ca="1" si="160"/>
        <v/>
      </c>
      <c r="BC170" s="93" t="str">
        <f t="shared" ca="1" si="161"/>
        <v/>
      </c>
    </row>
    <row r="171" spans="1:55" ht="15.95" customHeight="1" x14ac:dyDescent="0.2">
      <c r="A171" s="41" t="str">
        <f>IF(Customization!B171="","",Customization!B171)</f>
        <v/>
      </c>
      <c r="B171" s="79" t="str">
        <f t="shared" ca="1" si="110"/>
        <v/>
      </c>
      <c r="C171" s="29" t="str">
        <f t="shared" ca="1" si="111"/>
        <v/>
      </c>
      <c r="D171" s="7" t="str">
        <f t="shared" ca="1" si="108"/>
        <v/>
      </c>
      <c r="E171" s="29" t="str">
        <f t="shared" ca="1" si="112"/>
        <v/>
      </c>
      <c r="F171" s="7" t="str">
        <f t="shared" ca="1" si="109"/>
        <v/>
      </c>
      <c r="G171" s="29" t="str">
        <f t="shared" ca="1" si="113"/>
        <v/>
      </c>
      <c r="H171" s="7" t="str">
        <f t="shared" ca="1" si="114"/>
        <v/>
      </c>
      <c r="I171" s="28" t="str">
        <f t="shared" ca="1" si="115"/>
        <v/>
      </c>
      <c r="J171" s="7" t="str">
        <f t="shared" ca="1" si="116"/>
        <v/>
      </c>
      <c r="K171" s="73" t="str">
        <f t="shared" ca="1" si="117"/>
        <v/>
      </c>
      <c r="L171" s="74" t="str">
        <f t="shared" ca="1" si="118"/>
        <v/>
      </c>
      <c r="M171" s="75" t="str">
        <f t="shared" ca="1" si="119"/>
        <v/>
      </c>
      <c r="N171" s="76" t="str">
        <f t="shared" ca="1" si="120"/>
        <v/>
      </c>
      <c r="O171" s="75" t="str">
        <f t="shared" ca="1" si="121"/>
        <v/>
      </c>
      <c r="P171" s="76" t="str">
        <f t="shared" ca="1" si="122"/>
        <v/>
      </c>
      <c r="Q171" s="75" t="str">
        <f t="shared" ca="1" si="123"/>
        <v/>
      </c>
      <c r="R171" s="77" t="str">
        <f t="shared" ca="1" si="124"/>
        <v/>
      </c>
      <c r="S171" s="89" t="str">
        <f t="shared" ca="1" si="125"/>
        <v/>
      </c>
      <c r="T171" s="88" t="str">
        <f t="shared" ca="1" si="126"/>
        <v/>
      </c>
      <c r="U171" s="92" t="str">
        <f t="shared" ca="1" si="127"/>
        <v/>
      </c>
      <c r="V171" s="88" t="str">
        <f t="shared" ca="1" si="128"/>
        <v/>
      </c>
      <c r="W171" s="92" t="str">
        <f t="shared" ca="1" si="129"/>
        <v/>
      </c>
      <c r="X171" s="88" t="str">
        <f t="shared" ca="1" si="130"/>
        <v/>
      </c>
      <c r="Y171" s="92" t="str">
        <f t="shared" ca="1" si="131"/>
        <v/>
      </c>
      <c r="Z171" s="88" t="str">
        <f t="shared" ca="1" si="132"/>
        <v/>
      </c>
      <c r="AA171" s="89" t="str">
        <f t="shared" ca="1" si="133"/>
        <v/>
      </c>
      <c r="AB171" s="88" t="str">
        <f t="shared" ca="1" si="134"/>
        <v/>
      </c>
      <c r="AC171" s="92" t="str">
        <f t="shared" ca="1" si="135"/>
        <v/>
      </c>
      <c r="AD171" s="88" t="str">
        <f t="shared" ca="1" si="136"/>
        <v/>
      </c>
      <c r="AE171" s="92" t="str">
        <f t="shared" ca="1" si="137"/>
        <v/>
      </c>
      <c r="AF171" s="88" t="str">
        <f t="shared" ca="1" si="138"/>
        <v/>
      </c>
      <c r="AG171" s="92" t="str">
        <f t="shared" ca="1" si="139"/>
        <v/>
      </c>
      <c r="AH171" s="88" t="str">
        <f t="shared" ca="1" si="140"/>
        <v/>
      </c>
      <c r="AI171" s="92" t="str">
        <f t="shared" ca="1" si="141"/>
        <v/>
      </c>
      <c r="AJ171" s="88" t="str">
        <f t="shared" ca="1" si="142"/>
        <v/>
      </c>
      <c r="AK171" s="92" t="str">
        <f t="shared" ca="1" si="143"/>
        <v/>
      </c>
      <c r="AL171" s="77" t="str">
        <f t="shared" ca="1" si="144"/>
        <v/>
      </c>
      <c r="AM171" s="89" t="str">
        <f t="shared" ca="1" si="145"/>
        <v/>
      </c>
      <c r="AN171" s="88" t="str">
        <f t="shared" ca="1" si="146"/>
        <v/>
      </c>
      <c r="AO171" s="89" t="str">
        <f t="shared" ca="1" si="147"/>
        <v/>
      </c>
      <c r="AP171" s="77" t="str">
        <f t="shared" ca="1" si="148"/>
        <v/>
      </c>
      <c r="AQ171" s="94" t="str">
        <f t="shared" ca="1" si="149"/>
        <v/>
      </c>
      <c r="AR171" s="77" t="str">
        <f t="shared" ca="1" si="150"/>
        <v/>
      </c>
      <c r="AS171" s="94" t="str">
        <f t="shared" ca="1" si="151"/>
        <v/>
      </c>
      <c r="AT171" s="77" t="str">
        <f t="shared" ca="1" si="152"/>
        <v/>
      </c>
      <c r="AU171" s="93" t="str">
        <f t="shared" ca="1" si="153"/>
        <v/>
      </c>
      <c r="AV171" s="77" t="str">
        <f t="shared" ca="1" si="154"/>
        <v/>
      </c>
      <c r="AW171" s="93" t="str">
        <f t="shared" ca="1" si="155"/>
        <v/>
      </c>
      <c r="AX171" s="77" t="str">
        <f t="shared" ca="1" si="156"/>
        <v/>
      </c>
      <c r="AY171" s="93" t="str">
        <f t="shared" ca="1" si="157"/>
        <v/>
      </c>
      <c r="AZ171" s="77" t="str">
        <f t="shared" ca="1" si="158"/>
        <v/>
      </c>
      <c r="BA171" s="93" t="str">
        <f t="shared" ca="1" si="159"/>
        <v/>
      </c>
      <c r="BB171" s="77" t="str">
        <f t="shared" ca="1" si="160"/>
        <v/>
      </c>
      <c r="BC171" s="93" t="str">
        <f t="shared" ca="1" si="161"/>
        <v/>
      </c>
    </row>
    <row r="172" spans="1:55" ht="15.95" customHeight="1" x14ac:dyDescent="0.2">
      <c r="A172" s="41" t="str">
        <f>IF(Customization!B172="","",Customization!B172)</f>
        <v/>
      </c>
      <c r="B172" s="79" t="str">
        <f t="shared" ca="1" si="110"/>
        <v/>
      </c>
      <c r="C172" s="29" t="str">
        <f t="shared" ca="1" si="111"/>
        <v/>
      </c>
      <c r="D172" s="7" t="str">
        <f t="shared" ca="1" si="108"/>
        <v/>
      </c>
      <c r="E172" s="29" t="str">
        <f t="shared" ca="1" si="112"/>
        <v/>
      </c>
      <c r="F172" s="7" t="str">
        <f t="shared" ca="1" si="109"/>
        <v/>
      </c>
      <c r="G172" s="29" t="str">
        <f t="shared" ca="1" si="113"/>
        <v/>
      </c>
      <c r="H172" s="7" t="str">
        <f t="shared" ca="1" si="114"/>
        <v/>
      </c>
      <c r="I172" s="28" t="str">
        <f t="shared" ca="1" si="115"/>
        <v/>
      </c>
      <c r="J172" s="7" t="str">
        <f t="shared" ca="1" si="116"/>
        <v/>
      </c>
      <c r="K172" s="73" t="str">
        <f t="shared" ca="1" si="117"/>
        <v/>
      </c>
      <c r="L172" s="74" t="str">
        <f t="shared" ca="1" si="118"/>
        <v/>
      </c>
      <c r="M172" s="75" t="str">
        <f t="shared" ca="1" si="119"/>
        <v/>
      </c>
      <c r="N172" s="76" t="str">
        <f t="shared" ca="1" si="120"/>
        <v/>
      </c>
      <c r="O172" s="75" t="str">
        <f t="shared" ca="1" si="121"/>
        <v/>
      </c>
      <c r="P172" s="76" t="str">
        <f t="shared" ca="1" si="122"/>
        <v/>
      </c>
      <c r="Q172" s="75" t="str">
        <f t="shared" ca="1" si="123"/>
        <v/>
      </c>
      <c r="R172" s="77" t="str">
        <f t="shared" ca="1" si="124"/>
        <v/>
      </c>
      <c r="S172" s="89" t="str">
        <f t="shared" ca="1" si="125"/>
        <v/>
      </c>
      <c r="T172" s="88" t="str">
        <f t="shared" ca="1" si="126"/>
        <v/>
      </c>
      <c r="U172" s="92" t="str">
        <f t="shared" ca="1" si="127"/>
        <v/>
      </c>
      <c r="V172" s="88" t="str">
        <f t="shared" ca="1" si="128"/>
        <v/>
      </c>
      <c r="W172" s="92" t="str">
        <f t="shared" ca="1" si="129"/>
        <v/>
      </c>
      <c r="X172" s="88" t="str">
        <f t="shared" ca="1" si="130"/>
        <v/>
      </c>
      <c r="Y172" s="92" t="str">
        <f t="shared" ca="1" si="131"/>
        <v/>
      </c>
      <c r="Z172" s="88" t="str">
        <f t="shared" ca="1" si="132"/>
        <v/>
      </c>
      <c r="AA172" s="89" t="str">
        <f t="shared" ca="1" si="133"/>
        <v/>
      </c>
      <c r="AB172" s="88" t="str">
        <f t="shared" ca="1" si="134"/>
        <v/>
      </c>
      <c r="AC172" s="92" t="str">
        <f t="shared" ca="1" si="135"/>
        <v/>
      </c>
      <c r="AD172" s="88" t="str">
        <f t="shared" ca="1" si="136"/>
        <v/>
      </c>
      <c r="AE172" s="92" t="str">
        <f t="shared" ca="1" si="137"/>
        <v/>
      </c>
      <c r="AF172" s="88" t="str">
        <f t="shared" ca="1" si="138"/>
        <v/>
      </c>
      <c r="AG172" s="92" t="str">
        <f t="shared" ca="1" si="139"/>
        <v/>
      </c>
      <c r="AH172" s="88" t="str">
        <f t="shared" ca="1" si="140"/>
        <v/>
      </c>
      <c r="AI172" s="92" t="str">
        <f t="shared" ca="1" si="141"/>
        <v/>
      </c>
      <c r="AJ172" s="88" t="str">
        <f t="shared" ca="1" si="142"/>
        <v/>
      </c>
      <c r="AK172" s="92" t="str">
        <f t="shared" ca="1" si="143"/>
        <v/>
      </c>
      <c r="AL172" s="77" t="str">
        <f t="shared" ca="1" si="144"/>
        <v/>
      </c>
      <c r="AM172" s="89" t="str">
        <f t="shared" ca="1" si="145"/>
        <v/>
      </c>
      <c r="AN172" s="88" t="str">
        <f t="shared" ca="1" si="146"/>
        <v/>
      </c>
      <c r="AO172" s="89" t="str">
        <f t="shared" ca="1" si="147"/>
        <v/>
      </c>
      <c r="AP172" s="77" t="str">
        <f t="shared" ca="1" si="148"/>
        <v/>
      </c>
      <c r="AQ172" s="94" t="str">
        <f t="shared" ca="1" si="149"/>
        <v/>
      </c>
      <c r="AR172" s="77" t="str">
        <f t="shared" ca="1" si="150"/>
        <v/>
      </c>
      <c r="AS172" s="94" t="str">
        <f t="shared" ca="1" si="151"/>
        <v/>
      </c>
      <c r="AT172" s="77" t="str">
        <f t="shared" ca="1" si="152"/>
        <v/>
      </c>
      <c r="AU172" s="93" t="str">
        <f t="shared" ca="1" si="153"/>
        <v/>
      </c>
      <c r="AV172" s="77" t="str">
        <f t="shared" ca="1" si="154"/>
        <v/>
      </c>
      <c r="AW172" s="93" t="str">
        <f t="shared" ca="1" si="155"/>
        <v/>
      </c>
      <c r="AX172" s="77" t="str">
        <f t="shared" ca="1" si="156"/>
        <v/>
      </c>
      <c r="AY172" s="93" t="str">
        <f t="shared" ca="1" si="157"/>
        <v/>
      </c>
      <c r="AZ172" s="77" t="str">
        <f t="shared" ca="1" si="158"/>
        <v/>
      </c>
      <c r="BA172" s="93" t="str">
        <f t="shared" ca="1" si="159"/>
        <v/>
      </c>
      <c r="BB172" s="77" t="str">
        <f t="shared" ca="1" si="160"/>
        <v/>
      </c>
      <c r="BC172" s="93" t="str">
        <f t="shared" ca="1" si="161"/>
        <v/>
      </c>
    </row>
    <row r="173" spans="1:55" ht="15.95" customHeight="1" x14ac:dyDescent="0.2">
      <c r="A173" s="41" t="str">
        <f>IF(Customization!B173="","",Customization!B173)</f>
        <v/>
      </c>
      <c r="B173" s="79" t="str">
        <f t="shared" ca="1" si="110"/>
        <v/>
      </c>
      <c r="C173" s="29" t="str">
        <f t="shared" ca="1" si="111"/>
        <v/>
      </c>
      <c r="D173" s="7" t="str">
        <f t="shared" ca="1" si="108"/>
        <v/>
      </c>
      <c r="E173" s="29" t="str">
        <f t="shared" ca="1" si="112"/>
        <v/>
      </c>
      <c r="F173" s="7" t="str">
        <f t="shared" ca="1" si="109"/>
        <v/>
      </c>
      <c r="G173" s="29" t="str">
        <f t="shared" ca="1" si="113"/>
        <v/>
      </c>
      <c r="H173" s="7" t="str">
        <f t="shared" ca="1" si="114"/>
        <v/>
      </c>
      <c r="I173" s="28" t="str">
        <f t="shared" ca="1" si="115"/>
        <v/>
      </c>
      <c r="J173" s="7" t="str">
        <f t="shared" ca="1" si="116"/>
        <v/>
      </c>
      <c r="K173" s="73" t="str">
        <f t="shared" ca="1" si="117"/>
        <v/>
      </c>
      <c r="L173" s="74" t="str">
        <f t="shared" ca="1" si="118"/>
        <v/>
      </c>
      <c r="M173" s="75" t="str">
        <f t="shared" ca="1" si="119"/>
        <v/>
      </c>
      <c r="N173" s="76" t="str">
        <f t="shared" ca="1" si="120"/>
        <v/>
      </c>
      <c r="O173" s="75" t="str">
        <f t="shared" ca="1" si="121"/>
        <v/>
      </c>
      <c r="P173" s="76" t="str">
        <f t="shared" ca="1" si="122"/>
        <v/>
      </c>
      <c r="Q173" s="75" t="str">
        <f t="shared" ca="1" si="123"/>
        <v/>
      </c>
      <c r="R173" s="77" t="str">
        <f t="shared" ca="1" si="124"/>
        <v/>
      </c>
      <c r="S173" s="89" t="str">
        <f t="shared" ca="1" si="125"/>
        <v/>
      </c>
      <c r="T173" s="88" t="str">
        <f t="shared" ca="1" si="126"/>
        <v/>
      </c>
      <c r="U173" s="92" t="str">
        <f t="shared" ca="1" si="127"/>
        <v/>
      </c>
      <c r="V173" s="88" t="str">
        <f t="shared" ca="1" si="128"/>
        <v/>
      </c>
      <c r="W173" s="92" t="str">
        <f t="shared" ca="1" si="129"/>
        <v/>
      </c>
      <c r="X173" s="88" t="str">
        <f t="shared" ca="1" si="130"/>
        <v/>
      </c>
      <c r="Y173" s="92" t="str">
        <f t="shared" ca="1" si="131"/>
        <v/>
      </c>
      <c r="Z173" s="88" t="str">
        <f t="shared" ca="1" si="132"/>
        <v/>
      </c>
      <c r="AA173" s="89" t="str">
        <f t="shared" ca="1" si="133"/>
        <v/>
      </c>
      <c r="AB173" s="88" t="str">
        <f t="shared" ca="1" si="134"/>
        <v/>
      </c>
      <c r="AC173" s="92" t="str">
        <f t="shared" ca="1" si="135"/>
        <v/>
      </c>
      <c r="AD173" s="88" t="str">
        <f t="shared" ca="1" si="136"/>
        <v/>
      </c>
      <c r="AE173" s="92" t="str">
        <f t="shared" ca="1" si="137"/>
        <v/>
      </c>
      <c r="AF173" s="88" t="str">
        <f t="shared" ca="1" si="138"/>
        <v/>
      </c>
      <c r="AG173" s="92" t="str">
        <f t="shared" ca="1" si="139"/>
        <v/>
      </c>
      <c r="AH173" s="88" t="str">
        <f t="shared" ca="1" si="140"/>
        <v/>
      </c>
      <c r="AI173" s="92" t="str">
        <f t="shared" ca="1" si="141"/>
        <v/>
      </c>
      <c r="AJ173" s="88" t="str">
        <f t="shared" ca="1" si="142"/>
        <v/>
      </c>
      <c r="AK173" s="92" t="str">
        <f t="shared" ca="1" si="143"/>
        <v/>
      </c>
      <c r="AL173" s="77" t="str">
        <f t="shared" ca="1" si="144"/>
        <v/>
      </c>
      <c r="AM173" s="89" t="str">
        <f t="shared" ca="1" si="145"/>
        <v/>
      </c>
      <c r="AN173" s="88" t="str">
        <f t="shared" ca="1" si="146"/>
        <v/>
      </c>
      <c r="AO173" s="89" t="str">
        <f t="shared" ca="1" si="147"/>
        <v/>
      </c>
      <c r="AP173" s="77" t="str">
        <f t="shared" ca="1" si="148"/>
        <v/>
      </c>
      <c r="AQ173" s="94" t="str">
        <f t="shared" ca="1" si="149"/>
        <v/>
      </c>
      <c r="AR173" s="77" t="str">
        <f t="shared" ca="1" si="150"/>
        <v/>
      </c>
      <c r="AS173" s="94" t="str">
        <f t="shared" ca="1" si="151"/>
        <v/>
      </c>
      <c r="AT173" s="77" t="str">
        <f t="shared" ca="1" si="152"/>
        <v/>
      </c>
      <c r="AU173" s="93" t="str">
        <f t="shared" ca="1" si="153"/>
        <v/>
      </c>
      <c r="AV173" s="77" t="str">
        <f t="shared" ca="1" si="154"/>
        <v/>
      </c>
      <c r="AW173" s="93" t="str">
        <f t="shared" ca="1" si="155"/>
        <v/>
      </c>
      <c r="AX173" s="77" t="str">
        <f t="shared" ca="1" si="156"/>
        <v/>
      </c>
      <c r="AY173" s="93" t="str">
        <f t="shared" ca="1" si="157"/>
        <v/>
      </c>
      <c r="AZ173" s="77" t="str">
        <f t="shared" ca="1" si="158"/>
        <v/>
      </c>
      <c r="BA173" s="93" t="str">
        <f t="shared" ca="1" si="159"/>
        <v/>
      </c>
      <c r="BB173" s="77" t="str">
        <f t="shared" ca="1" si="160"/>
        <v/>
      </c>
      <c r="BC173" s="93" t="str">
        <f t="shared" ca="1" si="161"/>
        <v/>
      </c>
    </row>
    <row r="174" spans="1:55" ht="15.95" customHeight="1" x14ac:dyDescent="0.2">
      <c r="A174" s="41" t="str">
        <f>IF(Customization!B174="","",Customization!B174)</f>
        <v/>
      </c>
      <c r="B174" s="79" t="str">
        <f t="shared" ca="1" si="110"/>
        <v/>
      </c>
      <c r="C174" s="29" t="str">
        <f t="shared" ca="1" si="111"/>
        <v/>
      </c>
      <c r="D174" s="7" t="str">
        <f t="shared" ca="1" si="108"/>
        <v/>
      </c>
      <c r="E174" s="29" t="str">
        <f t="shared" ca="1" si="112"/>
        <v/>
      </c>
      <c r="F174" s="7" t="str">
        <f t="shared" ca="1" si="109"/>
        <v/>
      </c>
      <c r="G174" s="29" t="str">
        <f t="shared" ca="1" si="113"/>
        <v/>
      </c>
      <c r="H174" s="7" t="str">
        <f t="shared" ca="1" si="114"/>
        <v/>
      </c>
      <c r="I174" s="28" t="str">
        <f t="shared" ca="1" si="115"/>
        <v/>
      </c>
      <c r="J174" s="7" t="str">
        <f t="shared" ca="1" si="116"/>
        <v/>
      </c>
      <c r="K174" s="73" t="str">
        <f t="shared" ca="1" si="117"/>
        <v/>
      </c>
      <c r="L174" s="74" t="str">
        <f t="shared" ca="1" si="118"/>
        <v/>
      </c>
      <c r="M174" s="75" t="str">
        <f t="shared" ca="1" si="119"/>
        <v/>
      </c>
      <c r="N174" s="76" t="str">
        <f t="shared" ca="1" si="120"/>
        <v/>
      </c>
      <c r="O174" s="75" t="str">
        <f t="shared" ca="1" si="121"/>
        <v/>
      </c>
      <c r="P174" s="76" t="str">
        <f t="shared" ca="1" si="122"/>
        <v/>
      </c>
      <c r="Q174" s="75" t="str">
        <f t="shared" ca="1" si="123"/>
        <v/>
      </c>
      <c r="R174" s="77" t="str">
        <f t="shared" ca="1" si="124"/>
        <v/>
      </c>
      <c r="S174" s="89" t="str">
        <f t="shared" ca="1" si="125"/>
        <v/>
      </c>
      <c r="T174" s="88" t="str">
        <f t="shared" ca="1" si="126"/>
        <v/>
      </c>
      <c r="U174" s="92" t="str">
        <f t="shared" ca="1" si="127"/>
        <v/>
      </c>
      <c r="V174" s="88" t="str">
        <f t="shared" ca="1" si="128"/>
        <v/>
      </c>
      <c r="W174" s="92" t="str">
        <f t="shared" ca="1" si="129"/>
        <v/>
      </c>
      <c r="X174" s="88" t="str">
        <f t="shared" ca="1" si="130"/>
        <v/>
      </c>
      <c r="Y174" s="92" t="str">
        <f t="shared" ca="1" si="131"/>
        <v/>
      </c>
      <c r="Z174" s="88" t="str">
        <f t="shared" ca="1" si="132"/>
        <v/>
      </c>
      <c r="AA174" s="89" t="str">
        <f t="shared" ca="1" si="133"/>
        <v/>
      </c>
      <c r="AB174" s="88" t="str">
        <f t="shared" ca="1" si="134"/>
        <v/>
      </c>
      <c r="AC174" s="92" t="str">
        <f t="shared" ca="1" si="135"/>
        <v/>
      </c>
      <c r="AD174" s="88" t="str">
        <f t="shared" ca="1" si="136"/>
        <v/>
      </c>
      <c r="AE174" s="92" t="str">
        <f t="shared" ca="1" si="137"/>
        <v/>
      </c>
      <c r="AF174" s="88" t="str">
        <f t="shared" ca="1" si="138"/>
        <v/>
      </c>
      <c r="AG174" s="92" t="str">
        <f t="shared" ca="1" si="139"/>
        <v/>
      </c>
      <c r="AH174" s="88" t="str">
        <f t="shared" ca="1" si="140"/>
        <v/>
      </c>
      <c r="AI174" s="92" t="str">
        <f t="shared" ca="1" si="141"/>
        <v/>
      </c>
      <c r="AJ174" s="88" t="str">
        <f t="shared" ca="1" si="142"/>
        <v/>
      </c>
      <c r="AK174" s="92" t="str">
        <f t="shared" ca="1" si="143"/>
        <v/>
      </c>
      <c r="AL174" s="77" t="str">
        <f t="shared" ca="1" si="144"/>
        <v/>
      </c>
      <c r="AM174" s="89" t="str">
        <f t="shared" ca="1" si="145"/>
        <v/>
      </c>
      <c r="AN174" s="88" t="str">
        <f t="shared" ca="1" si="146"/>
        <v/>
      </c>
      <c r="AO174" s="89" t="str">
        <f t="shared" ca="1" si="147"/>
        <v/>
      </c>
      <c r="AP174" s="77" t="str">
        <f t="shared" ca="1" si="148"/>
        <v/>
      </c>
      <c r="AQ174" s="94" t="str">
        <f t="shared" ca="1" si="149"/>
        <v/>
      </c>
      <c r="AR174" s="77" t="str">
        <f t="shared" ca="1" si="150"/>
        <v/>
      </c>
      <c r="AS174" s="94" t="str">
        <f t="shared" ca="1" si="151"/>
        <v/>
      </c>
      <c r="AT174" s="77" t="str">
        <f t="shared" ca="1" si="152"/>
        <v/>
      </c>
      <c r="AU174" s="93" t="str">
        <f t="shared" ca="1" si="153"/>
        <v/>
      </c>
      <c r="AV174" s="77" t="str">
        <f t="shared" ca="1" si="154"/>
        <v/>
      </c>
      <c r="AW174" s="93" t="str">
        <f t="shared" ca="1" si="155"/>
        <v/>
      </c>
      <c r="AX174" s="77" t="str">
        <f t="shared" ca="1" si="156"/>
        <v/>
      </c>
      <c r="AY174" s="93" t="str">
        <f t="shared" ca="1" si="157"/>
        <v/>
      </c>
      <c r="AZ174" s="77" t="str">
        <f t="shared" ca="1" si="158"/>
        <v/>
      </c>
      <c r="BA174" s="93" t="str">
        <f t="shared" ca="1" si="159"/>
        <v/>
      </c>
      <c r="BB174" s="77" t="str">
        <f t="shared" ca="1" si="160"/>
        <v/>
      </c>
      <c r="BC174" s="93" t="str">
        <f t="shared" ca="1" si="161"/>
        <v/>
      </c>
    </row>
    <row r="175" spans="1:55" ht="15.95" customHeight="1" x14ac:dyDescent="0.2">
      <c r="A175" s="41" t="str">
        <f>IF(Customization!B175="","",Customization!B175)</f>
        <v/>
      </c>
      <c r="B175" s="79" t="str">
        <f t="shared" ca="1" si="110"/>
        <v/>
      </c>
      <c r="C175" s="29" t="str">
        <f t="shared" ca="1" si="111"/>
        <v/>
      </c>
      <c r="D175" s="7" t="str">
        <f t="shared" ca="1" si="108"/>
        <v/>
      </c>
      <c r="E175" s="29" t="str">
        <f t="shared" ca="1" si="112"/>
        <v/>
      </c>
      <c r="F175" s="7" t="str">
        <f t="shared" ca="1" si="109"/>
        <v/>
      </c>
      <c r="G175" s="29" t="str">
        <f t="shared" ca="1" si="113"/>
        <v/>
      </c>
      <c r="H175" s="7" t="str">
        <f t="shared" ca="1" si="114"/>
        <v/>
      </c>
      <c r="I175" s="28" t="str">
        <f t="shared" ca="1" si="115"/>
        <v/>
      </c>
      <c r="J175" s="7" t="str">
        <f t="shared" ca="1" si="116"/>
        <v/>
      </c>
      <c r="K175" s="73" t="str">
        <f t="shared" ca="1" si="117"/>
        <v/>
      </c>
      <c r="L175" s="74" t="str">
        <f t="shared" ca="1" si="118"/>
        <v/>
      </c>
      <c r="M175" s="75" t="str">
        <f t="shared" ca="1" si="119"/>
        <v/>
      </c>
      <c r="N175" s="76" t="str">
        <f t="shared" ca="1" si="120"/>
        <v/>
      </c>
      <c r="O175" s="75" t="str">
        <f t="shared" ca="1" si="121"/>
        <v/>
      </c>
      <c r="P175" s="76" t="str">
        <f t="shared" ca="1" si="122"/>
        <v/>
      </c>
      <c r="Q175" s="75" t="str">
        <f t="shared" ca="1" si="123"/>
        <v/>
      </c>
      <c r="R175" s="77" t="str">
        <f t="shared" ca="1" si="124"/>
        <v/>
      </c>
      <c r="S175" s="89" t="str">
        <f t="shared" ca="1" si="125"/>
        <v/>
      </c>
      <c r="T175" s="88" t="str">
        <f t="shared" ca="1" si="126"/>
        <v/>
      </c>
      <c r="U175" s="92" t="str">
        <f t="shared" ca="1" si="127"/>
        <v/>
      </c>
      <c r="V175" s="88" t="str">
        <f t="shared" ca="1" si="128"/>
        <v/>
      </c>
      <c r="W175" s="92" t="str">
        <f t="shared" ca="1" si="129"/>
        <v/>
      </c>
      <c r="X175" s="88" t="str">
        <f t="shared" ca="1" si="130"/>
        <v/>
      </c>
      <c r="Y175" s="92" t="str">
        <f t="shared" ca="1" si="131"/>
        <v/>
      </c>
      <c r="Z175" s="88" t="str">
        <f t="shared" ca="1" si="132"/>
        <v/>
      </c>
      <c r="AA175" s="89" t="str">
        <f t="shared" ca="1" si="133"/>
        <v/>
      </c>
      <c r="AB175" s="88" t="str">
        <f t="shared" ca="1" si="134"/>
        <v/>
      </c>
      <c r="AC175" s="92" t="str">
        <f t="shared" ca="1" si="135"/>
        <v/>
      </c>
      <c r="AD175" s="88" t="str">
        <f t="shared" ca="1" si="136"/>
        <v/>
      </c>
      <c r="AE175" s="92" t="str">
        <f t="shared" ca="1" si="137"/>
        <v/>
      </c>
      <c r="AF175" s="88" t="str">
        <f t="shared" ca="1" si="138"/>
        <v/>
      </c>
      <c r="AG175" s="92" t="str">
        <f t="shared" ca="1" si="139"/>
        <v/>
      </c>
      <c r="AH175" s="88" t="str">
        <f t="shared" ca="1" si="140"/>
        <v/>
      </c>
      <c r="AI175" s="92" t="str">
        <f t="shared" ca="1" si="141"/>
        <v/>
      </c>
      <c r="AJ175" s="88" t="str">
        <f t="shared" ca="1" si="142"/>
        <v/>
      </c>
      <c r="AK175" s="92" t="str">
        <f t="shared" ca="1" si="143"/>
        <v/>
      </c>
      <c r="AL175" s="77" t="str">
        <f t="shared" ca="1" si="144"/>
        <v/>
      </c>
      <c r="AM175" s="89" t="str">
        <f t="shared" ca="1" si="145"/>
        <v/>
      </c>
      <c r="AN175" s="88" t="str">
        <f t="shared" ca="1" si="146"/>
        <v/>
      </c>
      <c r="AO175" s="89" t="str">
        <f t="shared" ca="1" si="147"/>
        <v/>
      </c>
      <c r="AP175" s="77" t="str">
        <f t="shared" ca="1" si="148"/>
        <v/>
      </c>
      <c r="AQ175" s="94" t="str">
        <f t="shared" ca="1" si="149"/>
        <v/>
      </c>
      <c r="AR175" s="77" t="str">
        <f t="shared" ca="1" si="150"/>
        <v/>
      </c>
      <c r="AS175" s="94" t="str">
        <f t="shared" ca="1" si="151"/>
        <v/>
      </c>
      <c r="AT175" s="77" t="str">
        <f t="shared" ca="1" si="152"/>
        <v/>
      </c>
      <c r="AU175" s="93" t="str">
        <f t="shared" ca="1" si="153"/>
        <v/>
      </c>
      <c r="AV175" s="77" t="str">
        <f t="shared" ca="1" si="154"/>
        <v/>
      </c>
      <c r="AW175" s="93" t="str">
        <f t="shared" ca="1" si="155"/>
        <v/>
      </c>
      <c r="AX175" s="77" t="str">
        <f t="shared" ca="1" si="156"/>
        <v/>
      </c>
      <c r="AY175" s="93" t="str">
        <f t="shared" ca="1" si="157"/>
        <v/>
      </c>
      <c r="AZ175" s="77" t="str">
        <f t="shared" ca="1" si="158"/>
        <v/>
      </c>
      <c r="BA175" s="93" t="str">
        <f t="shared" ca="1" si="159"/>
        <v/>
      </c>
      <c r="BB175" s="77" t="str">
        <f t="shared" ca="1" si="160"/>
        <v/>
      </c>
      <c r="BC175" s="93" t="str">
        <f t="shared" ca="1" si="161"/>
        <v/>
      </c>
    </row>
    <row r="176" spans="1:55" ht="15.95" customHeight="1" x14ac:dyDescent="0.2">
      <c r="A176" s="41" t="str">
        <f>IF(Customization!B176="","",Customization!B176)</f>
        <v/>
      </c>
      <c r="B176" s="79" t="str">
        <f t="shared" ca="1" si="110"/>
        <v/>
      </c>
      <c r="C176" s="29" t="str">
        <f t="shared" ca="1" si="111"/>
        <v/>
      </c>
      <c r="D176" s="7" t="str">
        <f t="shared" ca="1" si="108"/>
        <v/>
      </c>
      <c r="E176" s="29" t="str">
        <f t="shared" ca="1" si="112"/>
        <v/>
      </c>
      <c r="F176" s="7" t="str">
        <f t="shared" ca="1" si="109"/>
        <v/>
      </c>
      <c r="G176" s="29" t="str">
        <f t="shared" ca="1" si="113"/>
        <v/>
      </c>
      <c r="H176" s="7" t="str">
        <f t="shared" ca="1" si="114"/>
        <v/>
      </c>
      <c r="I176" s="28" t="str">
        <f t="shared" ca="1" si="115"/>
        <v/>
      </c>
      <c r="J176" s="7" t="str">
        <f t="shared" ca="1" si="116"/>
        <v/>
      </c>
      <c r="K176" s="73" t="str">
        <f t="shared" ca="1" si="117"/>
        <v/>
      </c>
      <c r="L176" s="74" t="str">
        <f t="shared" ca="1" si="118"/>
        <v/>
      </c>
      <c r="M176" s="75" t="str">
        <f t="shared" ca="1" si="119"/>
        <v/>
      </c>
      <c r="N176" s="76" t="str">
        <f t="shared" ca="1" si="120"/>
        <v/>
      </c>
      <c r="O176" s="75" t="str">
        <f t="shared" ca="1" si="121"/>
        <v/>
      </c>
      <c r="P176" s="76" t="str">
        <f t="shared" ca="1" si="122"/>
        <v/>
      </c>
      <c r="Q176" s="75" t="str">
        <f t="shared" ca="1" si="123"/>
        <v/>
      </c>
      <c r="R176" s="77" t="str">
        <f t="shared" ca="1" si="124"/>
        <v/>
      </c>
      <c r="S176" s="89" t="str">
        <f t="shared" ca="1" si="125"/>
        <v/>
      </c>
      <c r="T176" s="88" t="str">
        <f t="shared" ca="1" si="126"/>
        <v/>
      </c>
      <c r="U176" s="92" t="str">
        <f t="shared" ca="1" si="127"/>
        <v/>
      </c>
      <c r="V176" s="88" t="str">
        <f t="shared" ca="1" si="128"/>
        <v/>
      </c>
      <c r="W176" s="92" t="str">
        <f t="shared" ca="1" si="129"/>
        <v/>
      </c>
      <c r="X176" s="88" t="str">
        <f t="shared" ca="1" si="130"/>
        <v/>
      </c>
      <c r="Y176" s="92" t="str">
        <f t="shared" ca="1" si="131"/>
        <v/>
      </c>
      <c r="Z176" s="88" t="str">
        <f t="shared" ca="1" si="132"/>
        <v/>
      </c>
      <c r="AA176" s="89" t="str">
        <f t="shared" ca="1" si="133"/>
        <v/>
      </c>
      <c r="AB176" s="88" t="str">
        <f t="shared" ca="1" si="134"/>
        <v/>
      </c>
      <c r="AC176" s="92" t="str">
        <f t="shared" ca="1" si="135"/>
        <v/>
      </c>
      <c r="AD176" s="88" t="str">
        <f t="shared" ca="1" si="136"/>
        <v/>
      </c>
      <c r="AE176" s="92" t="str">
        <f t="shared" ca="1" si="137"/>
        <v/>
      </c>
      <c r="AF176" s="88" t="str">
        <f t="shared" ca="1" si="138"/>
        <v/>
      </c>
      <c r="AG176" s="92" t="str">
        <f t="shared" ca="1" si="139"/>
        <v/>
      </c>
      <c r="AH176" s="88" t="str">
        <f t="shared" ca="1" si="140"/>
        <v/>
      </c>
      <c r="AI176" s="92" t="str">
        <f t="shared" ca="1" si="141"/>
        <v/>
      </c>
      <c r="AJ176" s="88" t="str">
        <f t="shared" ca="1" si="142"/>
        <v/>
      </c>
      <c r="AK176" s="92" t="str">
        <f t="shared" ca="1" si="143"/>
        <v/>
      </c>
      <c r="AL176" s="77" t="str">
        <f t="shared" ca="1" si="144"/>
        <v/>
      </c>
      <c r="AM176" s="89" t="str">
        <f t="shared" ca="1" si="145"/>
        <v/>
      </c>
      <c r="AN176" s="88" t="str">
        <f t="shared" ca="1" si="146"/>
        <v/>
      </c>
      <c r="AO176" s="89" t="str">
        <f t="shared" ca="1" si="147"/>
        <v/>
      </c>
      <c r="AP176" s="77" t="str">
        <f t="shared" ca="1" si="148"/>
        <v/>
      </c>
      <c r="AQ176" s="94" t="str">
        <f t="shared" ca="1" si="149"/>
        <v/>
      </c>
      <c r="AR176" s="77" t="str">
        <f t="shared" ca="1" si="150"/>
        <v/>
      </c>
      <c r="AS176" s="94" t="str">
        <f t="shared" ca="1" si="151"/>
        <v/>
      </c>
      <c r="AT176" s="77" t="str">
        <f t="shared" ca="1" si="152"/>
        <v/>
      </c>
      <c r="AU176" s="93" t="str">
        <f t="shared" ca="1" si="153"/>
        <v/>
      </c>
      <c r="AV176" s="77" t="str">
        <f t="shared" ca="1" si="154"/>
        <v/>
      </c>
      <c r="AW176" s="93" t="str">
        <f t="shared" ca="1" si="155"/>
        <v/>
      </c>
      <c r="AX176" s="77" t="str">
        <f t="shared" ca="1" si="156"/>
        <v/>
      </c>
      <c r="AY176" s="93" t="str">
        <f t="shared" ca="1" si="157"/>
        <v/>
      </c>
      <c r="AZ176" s="77" t="str">
        <f t="shared" ca="1" si="158"/>
        <v/>
      </c>
      <c r="BA176" s="93" t="str">
        <f t="shared" ca="1" si="159"/>
        <v/>
      </c>
      <c r="BB176" s="77" t="str">
        <f t="shared" ca="1" si="160"/>
        <v/>
      </c>
      <c r="BC176" s="93" t="str">
        <f t="shared" ca="1" si="161"/>
        <v/>
      </c>
    </row>
    <row r="177" spans="1:55" ht="15.95" customHeight="1" x14ac:dyDescent="0.2">
      <c r="A177" s="41" t="str">
        <f>IF(Customization!B177="","",Customization!B177)</f>
        <v/>
      </c>
      <c r="B177" s="79" t="str">
        <f t="shared" ca="1" si="110"/>
        <v/>
      </c>
      <c r="C177" s="29" t="str">
        <f t="shared" ca="1" si="111"/>
        <v/>
      </c>
      <c r="D177" s="7" t="str">
        <f t="shared" ca="1" si="108"/>
        <v/>
      </c>
      <c r="E177" s="29" t="str">
        <f t="shared" ca="1" si="112"/>
        <v/>
      </c>
      <c r="F177" s="7" t="str">
        <f t="shared" ca="1" si="109"/>
        <v/>
      </c>
      <c r="G177" s="29" t="str">
        <f t="shared" ca="1" si="113"/>
        <v/>
      </c>
      <c r="H177" s="7" t="str">
        <f t="shared" ca="1" si="114"/>
        <v/>
      </c>
      <c r="I177" s="28" t="str">
        <f t="shared" ca="1" si="115"/>
        <v/>
      </c>
      <c r="J177" s="7" t="str">
        <f t="shared" ca="1" si="116"/>
        <v/>
      </c>
      <c r="K177" s="73" t="str">
        <f t="shared" ca="1" si="117"/>
        <v/>
      </c>
      <c r="L177" s="74" t="str">
        <f t="shared" ca="1" si="118"/>
        <v/>
      </c>
      <c r="M177" s="75" t="str">
        <f t="shared" ca="1" si="119"/>
        <v/>
      </c>
      <c r="N177" s="76" t="str">
        <f t="shared" ca="1" si="120"/>
        <v/>
      </c>
      <c r="O177" s="75" t="str">
        <f t="shared" ca="1" si="121"/>
        <v/>
      </c>
      <c r="P177" s="76" t="str">
        <f t="shared" ca="1" si="122"/>
        <v/>
      </c>
      <c r="Q177" s="75" t="str">
        <f t="shared" ca="1" si="123"/>
        <v/>
      </c>
      <c r="R177" s="77" t="str">
        <f t="shared" ca="1" si="124"/>
        <v/>
      </c>
      <c r="S177" s="89" t="str">
        <f t="shared" ca="1" si="125"/>
        <v/>
      </c>
      <c r="T177" s="88" t="str">
        <f t="shared" ca="1" si="126"/>
        <v/>
      </c>
      <c r="U177" s="92" t="str">
        <f t="shared" ca="1" si="127"/>
        <v/>
      </c>
      <c r="V177" s="88" t="str">
        <f t="shared" ca="1" si="128"/>
        <v/>
      </c>
      <c r="W177" s="92" t="str">
        <f t="shared" ca="1" si="129"/>
        <v/>
      </c>
      <c r="X177" s="88" t="str">
        <f t="shared" ca="1" si="130"/>
        <v/>
      </c>
      <c r="Y177" s="92" t="str">
        <f t="shared" ca="1" si="131"/>
        <v/>
      </c>
      <c r="Z177" s="88" t="str">
        <f t="shared" ca="1" si="132"/>
        <v/>
      </c>
      <c r="AA177" s="89" t="str">
        <f t="shared" ca="1" si="133"/>
        <v/>
      </c>
      <c r="AB177" s="88" t="str">
        <f t="shared" ca="1" si="134"/>
        <v/>
      </c>
      <c r="AC177" s="92" t="str">
        <f t="shared" ca="1" si="135"/>
        <v/>
      </c>
      <c r="AD177" s="88" t="str">
        <f t="shared" ca="1" si="136"/>
        <v/>
      </c>
      <c r="AE177" s="92" t="str">
        <f t="shared" ca="1" si="137"/>
        <v/>
      </c>
      <c r="AF177" s="88" t="str">
        <f t="shared" ca="1" si="138"/>
        <v/>
      </c>
      <c r="AG177" s="92" t="str">
        <f t="shared" ca="1" si="139"/>
        <v/>
      </c>
      <c r="AH177" s="88" t="str">
        <f t="shared" ca="1" si="140"/>
        <v/>
      </c>
      <c r="AI177" s="92" t="str">
        <f t="shared" ca="1" si="141"/>
        <v/>
      </c>
      <c r="AJ177" s="88" t="str">
        <f t="shared" ca="1" si="142"/>
        <v/>
      </c>
      <c r="AK177" s="92" t="str">
        <f t="shared" ca="1" si="143"/>
        <v/>
      </c>
      <c r="AL177" s="77" t="str">
        <f t="shared" ca="1" si="144"/>
        <v/>
      </c>
      <c r="AM177" s="89" t="str">
        <f t="shared" ca="1" si="145"/>
        <v/>
      </c>
      <c r="AN177" s="88" t="str">
        <f t="shared" ca="1" si="146"/>
        <v/>
      </c>
      <c r="AO177" s="89" t="str">
        <f t="shared" ca="1" si="147"/>
        <v/>
      </c>
      <c r="AP177" s="77" t="str">
        <f t="shared" ca="1" si="148"/>
        <v/>
      </c>
      <c r="AQ177" s="94" t="str">
        <f t="shared" ca="1" si="149"/>
        <v/>
      </c>
      <c r="AR177" s="77" t="str">
        <f t="shared" ca="1" si="150"/>
        <v/>
      </c>
      <c r="AS177" s="94" t="str">
        <f t="shared" ca="1" si="151"/>
        <v/>
      </c>
      <c r="AT177" s="77" t="str">
        <f t="shared" ca="1" si="152"/>
        <v/>
      </c>
      <c r="AU177" s="93" t="str">
        <f t="shared" ca="1" si="153"/>
        <v/>
      </c>
      <c r="AV177" s="77" t="str">
        <f t="shared" ca="1" si="154"/>
        <v/>
      </c>
      <c r="AW177" s="93" t="str">
        <f t="shared" ca="1" si="155"/>
        <v/>
      </c>
      <c r="AX177" s="77" t="str">
        <f t="shared" ca="1" si="156"/>
        <v/>
      </c>
      <c r="AY177" s="93" t="str">
        <f t="shared" ca="1" si="157"/>
        <v/>
      </c>
      <c r="AZ177" s="77" t="str">
        <f t="shared" ca="1" si="158"/>
        <v/>
      </c>
      <c r="BA177" s="93" t="str">
        <f t="shared" ca="1" si="159"/>
        <v/>
      </c>
      <c r="BB177" s="77" t="str">
        <f t="shared" ca="1" si="160"/>
        <v/>
      </c>
      <c r="BC177" s="93" t="str">
        <f t="shared" ca="1" si="161"/>
        <v/>
      </c>
    </row>
    <row r="178" spans="1:55" ht="15.95" customHeight="1" x14ac:dyDescent="0.2">
      <c r="A178" s="41" t="str">
        <f>IF(Customization!B178="","",Customization!B178)</f>
        <v/>
      </c>
      <c r="B178" s="79" t="str">
        <f t="shared" ca="1" si="110"/>
        <v/>
      </c>
      <c r="C178" s="29" t="str">
        <f t="shared" ca="1" si="111"/>
        <v/>
      </c>
      <c r="D178" s="7" t="str">
        <f t="shared" ca="1" si="108"/>
        <v/>
      </c>
      <c r="E178" s="29" t="str">
        <f t="shared" ca="1" si="112"/>
        <v/>
      </c>
      <c r="F178" s="7" t="str">
        <f t="shared" ca="1" si="109"/>
        <v/>
      </c>
      <c r="G178" s="29" t="str">
        <f t="shared" ca="1" si="113"/>
        <v/>
      </c>
      <c r="H178" s="7" t="str">
        <f t="shared" ca="1" si="114"/>
        <v/>
      </c>
      <c r="I178" s="28" t="str">
        <f t="shared" ca="1" si="115"/>
        <v/>
      </c>
      <c r="J178" s="7" t="str">
        <f t="shared" ca="1" si="116"/>
        <v/>
      </c>
      <c r="K178" s="73" t="str">
        <f t="shared" ca="1" si="117"/>
        <v/>
      </c>
      <c r="L178" s="74" t="str">
        <f t="shared" ca="1" si="118"/>
        <v/>
      </c>
      <c r="M178" s="75" t="str">
        <f t="shared" ca="1" si="119"/>
        <v/>
      </c>
      <c r="N178" s="76" t="str">
        <f t="shared" ca="1" si="120"/>
        <v/>
      </c>
      <c r="O178" s="75" t="str">
        <f t="shared" ca="1" si="121"/>
        <v/>
      </c>
      <c r="P178" s="76" t="str">
        <f t="shared" ca="1" si="122"/>
        <v/>
      </c>
      <c r="Q178" s="75" t="str">
        <f t="shared" ca="1" si="123"/>
        <v/>
      </c>
      <c r="R178" s="77" t="str">
        <f t="shared" ca="1" si="124"/>
        <v/>
      </c>
      <c r="S178" s="89" t="str">
        <f t="shared" ca="1" si="125"/>
        <v/>
      </c>
      <c r="T178" s="88" t="str">
        <f t="shared" ca="1" si="126"/>
        <v/>
      </c>
      <c r="U178" s="92" t="str">
        <f t="shared" ca="1" si="127"/>
        <v/>
      </c>
      <c r="V178" s="88" t="str">
        <f t="shared" ca="1" si="128"/>
        <v/>
      </c>
      <c r="W178" s="92" t="str">
        <f t="shared" ca="1" si="129"/>
        <v/>
      </c>
      <c r="X178" s="88" t="str">
        <f t="shared" ca="1" si="130"/>
        <v/>
      </c>
      <c r="Y178" s="92" t="str">
        <f t="shared" ca="1" si="131"/>
        <v/>
      </c>
      <c r="Z178" s="88" t="str">
        <f t="shared" ca="1" si="132"/>
        <v/>
      </c>
      <c r="AA178" s="89" t="str">
        <f t="shared" ca="1" si="133"/>
        <v/>
      </c>
      <c r="AB178" s="88" t="str">
        <f t="shared" ca="1" si="134"/>
        <v/>
      </c>
      <c r="AC178" s="92" t="str">
        <f t="shared" ca="1" si="135"/>
        <v/>
      </c>
      <c r="AD178" s="88" t="str">
        <f t="shared" ca="1" si="136"/>
        <v/>
      </c>
      <c r="AE178" s="92" t="str">
        <f t="shared" ca="1" si="137"/>
        <v/>
      </c>
      <c r="AF178" s="88" t="str">
        <f t="shared" ca="1" si="138"/>
        <v/>
      </c>
      <c r="AG178" s="92" t="str">
        <f t="shared" ca="1" si="139"/>
        <v/>
      </c>
      <c r="AH178" s="88" t="str">
        <f t="shared" ca="1" si="140"/>
        <v/>
      </c>
      <c r="AI178" s="92" t="str">
        <f t="shared" ca="1" si="141"/>
        <v/>
      </c>
      <c r="AJ178" s="88" t="str">
        <f t="shared" ca="1" si="142"/>
        <v/>
      </c>
      <c r="AK178" s="92" t="str">
        <f t="shared" ca="1" si="143"/>
        <v/>
      </c>
      <c r="AL178" s="77" t="str">
        <f t="shared" ca="1" si="144"/>
        <v/>
      </c>
      <c r="AM178" s="89" t="str">
        <f t="shared" ca="1" si="145"/>
        <v/>
      </c>
      <c r="AN178" s="88" t="str">
        <f t="shared" ca="1" si="146"/>
        <v/>
      </c>
      <c r="AO178" s="89" t="str">
        <f t="shared" ca="1" si="147"/>
        <v/>
      </c>
      <c r="AP178" s="77" t="str">
        <f t="shared" ca="1" si="148"/>
        <v/>
      </c>
      <c r="AQ178" s="94" t="str">
        <f t="shared" ca="1" si="149"/>
        <v/>
      </c>
      <c r="AR178" s="77" t="str">
        <f t="shared" ca="1" si="150"/>
        <v/>
      </c>
      <c r="AS178" s="94" t="str">
        <f t="shared" ca="1" si="151"/>
        <v/>
      </c>
      <c r="AT178" s="77" t="str">
        <f t="shared" ca="1" si="152"/>
        <v/>
      </c>
      <c r="AU178" s="93" t="str">
        <f t="shared" ca="1" si="153"/>
        <v/>
      </c>
      <c r="AV178" s="77" t="str">
        <f t="shared" ca="1" si="154"/>
        <v/>
      </c>
      <c r="AW178" s="93" t="str">
        <f t="shared" ca="1" si="155"/>
        <v/>
      </c>
      <c r="AX178" s="77" t="str">
        <f t="shared" ca="1" si="156"/>
        <v/>
      </c>
      <c r="AY178" s="93" t="str">
        <f t="shared" ca="1" si="157"/>
        <v/>
      </c>
      <c r="AZ178" s="77" t="str">
        <f t="shared" ca="1" si="158"/>
        <v/>
      </c>
      <c r="BA178" s="93" t="str">
        <f t="shared" ca="1" si="159"/>
        <v/>
      </c>
      <c r="BB178" s="77" t="str">
        <f t="shared" ca="1" si="160"/>
        <v/>
      </c>
      <c r="BC178" s="93" t="str">
        <f t="shared" ca="1" si="161"/>
        <v/>
      </c>
    </row>
    <row r="179" spans="1:55" ht="15.95" customHeight="1" x14ac:dyDescent="0.2">
      <c r="A179" s="41" t="str">
        <f>IF(Customization!B179="","",Customization!B179)</f>
        <v/>
      </c>
      <c r="B179" s="79" t="str">
        <f t="shared" ca="1" si="110"/>
        <v/>
      </c>
      <c r="C179" s="29" t="str">
        <f t="shared" ca="1" si="111"/>
        <v/>
      </c>
      <c r="D179" s="7" t="str">
        <f t="shared" ca="1" si="108"/>
        <v/>
      </c>
      <c r="E179" s="29" t="str">
        <f t="shared" ca="1" si="112"/>
        <v/>
      </c>
      <c r="F179" s="7" t="str">
        <f t="shared" ca="1" si="109"/>
        <v/>
      </c>
      <c r="G179" s="29" t="str">
        <f t="shared" ca="1" si="113"/>
        <v/>
      </c>
      <c r="H179" s="7" t="str">
        <f t="shared" ca="1" si="114"/>
        <v/>
      </c>
      <c r="I179" s="28" t="str">
        <f t="shared" ca="1" si="115"/>
        <v/>
      </c>
      <c r="J179" s="7" t="str">
        <f t="shared" ca="1" si="116"/>
        <v/>
      </c>
      <c r="K179" s="73" t="str">
        <f t="shared" ca="1" si="117"/>
        <v/>
      </c>
      <c r="L179" s="74" t="str">
        <f t="shared" ca="1" si="118"/>
        <v/>
      </c>
      <c r="M179" s="75" t="str">
        <f t="shared" ca="1" si="119"/>
        <v/>
      </c>
      <c r="N179" s="76" t="str">
        <f t="shared" ca="1" si="120"/>
        <v/>
      </c>
      <c r="O179" s="75" t="str">
        <f t="shared" ca="1" si="121"/>
        <v/>
      </c>
      <c r="P179" s="76" t="str">
        <f t="shared" ca="1" si="122"/>
        <v/>
      </c>
      <c r="Q179" s="75" t="str">
        <f t="shared" ca="1" si="123"/>
        <v/>
      </c>
      <c r="R179" s="77" t="str">
        <f t="shared" ca="1" si="124"/>
        <v/>
      </c>
      <c r="S179" s="89" t="str">
        <f t="shared" ca="1" si="125"/>
        <v/>
      </c>
      <c r="T179" s="88" t="str">
        <f t="shared" ca="1" si="126"/>
        <v/>
      </c>
      <c r="U179" s="92" t="str">
        <f t="shared" ca="1" si="127"/>
        <v/>
      </c>
      <c r="V179" s="88" t="str">
        <f t="shared" ca="1" si="128"/>
        <v/>
      </c>
      <c r="W179" s="92" t="str">
        <f t="shared" ca="1" si="129"/>
        <v/>
      </c>
      <c r="X179" s="88" t="str">
        <f t="shared" ca="1" si="130"/>
        <v/>
      </c>
      <c r="Y179" s="92" t="str">
        <f t="shared" ca="1" si="131"/>
        <v/>
      </c>
      <c r="Z179" s="88" t="str">
        <f t="shared" ca="1" si="132"/>
        <v/>
      </c>
      <c r="AA179" s="89" t="str">
        <f t="shared" ca="1" si="133"/>
        <v/>
      </c>
      <c r="AB179" s="88" t="str">
        <f t="shared" ca="1" si="134"/>
        <v/>
      </c>
      <c r="AC179" s="92" t="str">
        <f t="shared" ca="1" si="135"/>
        <v/>
      </c>
      <c r="AD179" s="88" t="str">
        <f t="shared" ca="1" si="136"/>
        <v/>
      </c>
      <c r="AE179" s="92" t="str">
        <f t="shared" ca="1" si="137"/>
        <v/>
      </c>
      <c r="AF179" s="88" t="str">
        <f t="shared" ca="1" si="138"/>
        <v/>
      </c>
      <c r="AG179" s="92" t="str">
        <f t="shared" ca="1" si="139"/>
        <v/>
      </c>
      <c r="AH179" s="88" t="str">
        <f t="shared" ca="1" si="140"/>
        <v/>
      </c>
      <c r="AI179" s="92" t="str">
        <f t="shared" ca="1" si="141"/>
        <v/>
      </c>
      <c r="AJ179" s="88" t="str">
        <f t="shared" ca="1" si="142"/>
        <v/>
      </c>
      <c r="AK179" s="92" t="str">
        <f t="shared" ca="1" si="143"/>
        <v/>
      </c>
      <c r="AL179" s="77" t="str">
        <f t="shared" ca="1" si="144"/>
        <v/>
      </c>
      <c r="AM179" s="89" t="str">
        <f t="shared" ca="1" si="145"/>
        <v/>
      </c>
      <c r="AN179" s="88" t="str">
        <f t="shared" ca="1" si="146"/>
        <v/>
      </c>
      <c r="AO179" s="89" t="str">
        <f t="shared" ca="1" si="147"/>
        <v/>
      </c>
      <c r="AP179" s="77" t="str">
        <f t="shared" ca="1" si="148"/>
        <v/>
      </c>
      <c r="AQ179" s="94" t="str">
        <f t="shared" ca="1" si="149"/>
        <v/>
      </c>
      <c r="AR179" s="77" t="str">
        <f t="shared" ca="1" si="150"/>
        <v/>
      </c>
      <c r="AS179" s="94" t="str">
        <f t="shared" ca="1" si="151"/>
        <v/>
      </c>
      <c r="AT179" s="77" t="str">
        <f t="shared" ca="1" si="152"/>
        <v/>
      </c>
      <c r="AU179" s="93" t="str">
        <f t="shared" ca="1" si="153"/>
        <v/>
      </c>
      <c r="AV179" s="77" t="str">
        <f t="shared" ca="1" si="154"/>
        <v/>
      </c>
      <c r="AW179" s="93" t="str">
        <f t="shared" ca="1" si="155"/>
        <v/>
      </c>
      <c r="AX179" s="77" t="str">
        <f t="shared" ca="1" si="156"/>
        <v/>
      </c>
      <c r="AY179" s="93" t="str">
        <f t="shared" ca="1" si="157"/>
        <v/>
      </c>
      <c r="AZ179" s="77" t="str">
        <f t="shared" ca="1" si="158"/>
        <v/>
      </c>
      <c r="BA179" s="93" t="str">
        <f t="shared" ca="1" si="159"/>
        <v/>
      </c>
      <c r="BB179" s="77" t="str">
        <f t="shared" ca="1" si="160"/>
        <v/>
      </c>
      <c r="BC179" s="93" t="str">
        <f t="shared" ca="1" si="161"/>
        <v/>
      </c>
    </row>
    <row r="180" spans="1:55" ht="15.95" customHeight="1" x14ac:dyDescent="0.2">
      <c r="A180" s="41" t="str">
        <f>IF(Customization!B180="","",Customization!B180)</f>
        <v/>
      </c>
      <c r="B180" s="79" t="str">
        <f t="shared" ca="1" si="110"/>
        <v/>
      </c>
      <c r="C180" s="29" t="str">
        <f t="shared" ca="1" si="111"/>
        <v/>
      </c>
      <c r="D180" s="7" t="str">
        <f t="shared" ca="1" si="108"/>
        <v/>
      </c>
      <c r="E180" s="29" t="str">
        <f t="shared" ca="1" si="112"/>
        <v/>
      </c>
      <c r="F180" s="7" t="str">
        <f t="shared" ca="1" si="109"/>
        <v/>
      </c>
      <c r="G180" s="29" t="str">
        <f t="shared" ca="1" si="113"/>
        <v/>
      </c>
      <c r="H180" s="7" t="str">
        <f t="shared" ca="1" si="114"/>
        <v/>
      </c>
      <c r="I180" s="28" t="str">
        <f t="shared" ca="1" si="115"/>
        <v/>
      </c>
      <c r="J180" s="7" t="str">
        <f t="shared" ca="1" si="116"/>
        <v/>
      </c>
      <c r="K180" s="73" t="str">
        <f t="shared" ca="1" si="117"/>
        <v/>
      </c>
      <c r="L180" s="74" t="str">
        <f t="shared" ca="1" si="118"/>
        <v/>
      </c>
      <c r="M180" s="75" t="str">
        <f t="shared" ca="1" si="119"/>
        <v/>
      </c>
      <c r="N180" s="76" t="str">
        <f t="shared" ca="1" si="120"/>
        <v/>
      </c>
      <c r="O180" s="75" t="str">
        <f t="shared" ca="1" si="121"/>
        <v/>
      </c>
      <c r="P180" s="76" t="str">
        <f t="shared" ca="1" si="122"/>
        <v/>
      </c>
      <c r="Q180" s="75" t="str">
        <f t="shared" ca="1" si="123"/>
        <v/>
      </c>
      <c r="R180" s="77" t="str">
        <f t="shared" ca="1" si="124"/>
        <v/>
      </c>
      <c r="S180" s="89" t="str">
        <f t="shared" ca="1" si="125"/>
        <v/>
      </c>
      <c r="T180" s="88" t="str">
        <f t="shared" ca="1" si="126"/>
        <v/>
      </c>
      <c r="U180" s="92" t="str">
        <f t="shared" ca="1" si="127"/>
        <v/>
      </c>
      <c r="V180" s="88" t="str">
        <f t="shared" ca="1" si="128"/>
        <v/>
      </c>
      <c r="W180" s="92" t="str">
        <f t="shared" ca="1" si="129"/>
        <v/>
      </c>
      <c r="X180" s="88" t="str">
        <f t="shared" ca="1" si="130"/>
        <v/>
      </c>
      <c r="Y180" s="92" t="str">
        <f t="shared" ca="1" si="131"/>
        <v/>
      </c>
      <c r="Z180" s="88" t="str">
        <f t="shared" ca="1" si="132"/>
        <v/>
      </c>
      <c r="AA180" s="89" t="str">
        <f t="shared" ca="1" si="133"/>
        <v/>
      </c>
      <c r="AB180" s="88" t="str">
        <f t="shared" ca="1" si="134"/>
        <v/>
      </c>
      <c r="AC180" s="92" t="str">
        <f t="shared" ca="1" si="135"/>
        <v/>
      </c>
      <c r="AD180" s="88" t="str">
        <f t="shared" ca="1" si="136"/>
        <v/>
      </c>
      <c r="AE180" s="92" t="str">
        <f t="shared" ca="1" si="137"/>
        <v/>
      </c>
      <c r="AF180" s="88" t="str">
        <f t="shared" ca="1" si="138"/>
        <v/>
      </c>
      <c r="AG180" s="92" t="str">
        <f t="shared" ca="1" si="139"/>
        <v/>
      </c>
      <c r="AH180" s="88" t="str">
        <f t="shared" ca="1" si="140"/>
        <v/>
      </c>
      <c r="AI180" s="92" t="str">
        <f t="shared" ca="1" si="141"/>
        <v/>
      </c>
      <c r="AJ180" s="88" t="str">
        <f t="shared" ca="1" si="142"/>
        <v/>
      </c>
      <c r="AK180" s="92" t="str">
        <f t="shared" ca="1" si="143"/>
        <v/>
      </c>
      <c r="AL180" s="77" t="str">
        <f t="shared" ca="1" si="144"/>
        <v/>
      </c>
      <c r="AM180" s="89" t="str">
        <f t="shared" ca="1" si="145"/>
        <v/>
      </c>
      <c r="AN180" s="88" t="str">
        <f t="shared" ca="1" si="146"/>
        <v/>
      </c>
      <c r="AO180" s="89" t="str">
        <f t="shared" ca="1" si="147"/>
        <v/>
      </c>
      <c r="AP180" s="77" t="str">
        <f t="shared" ca="1" si="148"/>
        <v/>
      </c>
      <c r="AQ180" s="94" t="str">
        <f t="shared" ca="1" si="149"/>
        <v/>
      </c>
      <c r="AR180" s="77" t="str">
        <f t="shared" ca="1" si="150"/>
        <v/>
      </c>
      <c r="AS180" s="94" t="str">
        <f t="shared" ca="1" si="151"/>
        <v/>
      </c>
      <c r="AT180" s="77" t="str">
        <f t="shared" ca="1" si="152"/>
        <v/>
      </c>
      <c r="AU180" s="93" t="str">
        <f t="shared" ca="1" si="153"/>
        <v/>
      </c>
      <c r="AV180" s="77" t="str">
        <f t="shared" ca="1" si="154"/>
        <v/>
      </c>
      <c r="AW180" s="93" t="str">
        <f t="shared" ca="1" si="155"/>
        <v/>
      </c>
      <c r="AX180" s="77" t="str">
        <f t="shared" ca="1" si="156"/>
        <v/>
      </c>
      <c r="AY180" s="93" t="str">
        <f t="shared" ca="1" si="157"/>
        <v/>
      </c>
      <c r="AZ180" s="77" t="str">
        <f t="shared" ca="1" si="158"/>
        <v/>
      </c>
      <c r="BA180" s="93" t="str">
        <f t="shared" ca="1" si="159"/>
        <v/>
      </c>
      <c r="BB180" s="77" t="str">
        <f t="shared" ca="1" si="160"/>
        <v/>
      </c>
      <c r="BC180" s="93" t="str">
        <f t="shared" ca="1" si="161"/>
        <v/>
      </c>
    </row>
    <row r="181" spans="1:55" ht="15.95" customHeight="1" x14ac:dyDescent="0.2">
      <c r="A181" s="41" t="str">
        <f>IF(Customization!B181="","",Customization!B181)</f>
        <v/>
      </c>
      <c r="B181" s="79" t="str">
        <f t="shared" ca="1" si="110"/>
        <v/>
      </c>
      <c r="C181" s="29" t="str">
        <f t="shared" ca="1" si="111"/>
        <v/>
      </c>
      <c r="D181" s="7" t="str">
        <f t="shared" ca="1" si="108"/>
        <v/>
      </c>
      <c r="E181" s="29" t="str">
        <f t="shared" ca="1" si="112"/>
        <v/>
      </c>
      <c r="F181" s="7" t="str">
        <f t="shared" ca="1" si="109"/>
        <v/>
      </c>
      <c r="G181" s="29" t="str">
        <f t="shared" ca="1" si="113"/>
        <v/>
      </c>
      <c r="H181" s="7" t="str">
        <f t="shared" ca="1" si="114"/>
        <v/>
      </c>
      <c r="I181" s="28" t="str">
        <f t="shared" ca="1" si="115"/>
        <v/>
      </c>
      <c r="J181" s="7" t="str">
        <f t="shared" ca="1" si="116"/>
        <v/>
      </c>
      <c r="K181" s="73" t="str">
        <f t="shared" ca="1" si="117"/>
        <v/>
      </c>
      <c r="L181" s="74" t="str">
        <f t="shared" ca="1" si="118"/>
        <v/>
      </c>
      <c r="M181" s="75" t="str">
        <f t="shared" ca="1" si="119"/>
        <v/>
      </c>
      <c r="N181" s="76" t="str">
        <f t="shared" ca="1" si="120"/>
        <v/>
      </c>
      <c r="O181" s="75" t="str">
        <f t="shared" ca="1" si="121"/>
        <v/>
      </c>
      <c r="P181" s="76" t="str">
        <f t="shared" ca="1" si="122"/>
        <v/>
      </c>
      <c r="Q181" s="75" t="str">
        <f t="shared" ca="1" si="123"/>
        <v/>
      </c>
      <c r="R181" s="77" t="str">
        <f t="shared" ca="1" si="124"/>
        <v/>
      </c>
      <c r="S181" s="89" t="str">
        <f t="shared" ca="1" si="125"/>
        <v/>
      </c>
      <c r="T181" s="88" t="str">
        <f t="shared" ca="1" si="126"/>
        <v/>
      </c>
      <c r="U181" s="92" t="str">
        <f t="shared" ca="1" si="127"/>
        <v/>
      </c>
      <c r="V181" s="88" t="str">
        <f t="shared" ca="1" si="128"/>
        <v/>
      </c>
      <c r="W181" s="92" t="str">
        <f t="shared" ca="1" si="129"/>
        <v/>
      </c>
      <c r="X181" s="88" t="str">
        <f t="shared" ca="1" si="130"/>
        <v/>
      </c>
      <c r="Y181" s="92" t="str">
        <f t="shared" ca="1" si="131"/>
        <v/>
      </c>
      <c r="Z181" s="88" t="str">
        <f t="shared" ca="1" si="132"/>
        <v/>
      </c>
      <c r="AA181" s="89" t="str">
        <f t="shared" ca="1" si="133"/>
        <v/>
      </c>
      <c r="AB181" s="88" t="str">
        <f t="shared" ca="1" si="134"/>
        <v/>
      </c>
      <c r="AC181" s="92" t="str">
        <f t="shared" ca="1" si="135"/>
        <v/>
      </c>
      <c r="AD181" s="88" t="str">
        <f t="shared" ca="1" si="136"/>
        <v/>
      </c>
      <c r="AE181" s="92" t="str">
        <f t="shared" ca="1" si="137"/>
        <v/>
      </c>
      <c r="AF181" s="88" t="str">
        <f t="shared" ca="1" si="138"/>
        <v/>
      </c>
      <c r="AG181" s="92" t="str">
        <f t="shared" ca="1" si="139"/>
        <v/>
      </c>
      <c r="AH181" s="88" t="str">
        <f t="shared" ca="1" si="140"/>
        <v/>
      </c>
      <c r="AI181" s="92" t="str">
        <f t="shared" ca="1" si="141"/>
        <v/>
      </c>
      <c r="AJ181" s="88" t="str">
        <f t="shared" ca="1" si="142"/>
        <v/>
      </c>
      <c r="AK181" s="92" t="str">
        <f t="shared" ca="1" si="143"/>
        <v/>
      </c>
      <c r="AL181" s="77" t="str">
        <f t="shared" ca="1" si="144"/>
        <v/>
      </c>
      <c r="AM181" s="89" t="str">
        <f t="shared" ca="1" si="145"/>
        <v/>
      </c>
      <c r="AN181" s="88" t="str">
        <f t="shared" ca="1" si="146"/>
        <v/>
      </c>
      <c r="AO181" s="89" t="str">
        <f t="shared" ca="1" si="147"/>
        <v/>
      </c>
      <c r="AP181" s="77" t="str">
        <f t="shared" ca="1" si="148"/>
        <v/>
      </c>
      <c r="AQ181" s="94" t="str">
        <f t="shared" ca="1" si="149"/>
        <v/>
      </c>
      <c r="AR181" s="77" t="str">
        <f t="shared" ca="1" si="150"/>
        <v/>
      </c>
      <c r="AS181" s="94" t="str">
        <f t="shared" ca="1" si="151"/>
        <v/>
      </c>
      <c r="AT181" s="77" t="str">
        <f t="shared" ca="1" si="152"/>
        <v/>
      </c>
      <c r="AU181" s="93" t="str">
        <f t="shared" ca="1" si="153"/>
        <v/>
      </c>
      <c r="AV181" s="77" t="str">
        <f t="shared" ca="1" si="154"/>
        <v/>
      </c>
      <c r="AW181" s="93" t="str">
        <f t="shared" ca="1" si="155"/>
        <v/>
      </c>
      <c r="AX181" s="77" t="str">
        <f t="shared" ca="1" si="156"/>
        <v/>
      </c>
      <c r="AY181" s="93" t="str">
        <f t="shared" ca="1" si="157"/>
        <v/>
      </c>
      <c r="AZ181" s="77" t="str">
        <f t="shared" ca="1" si="158"/>
        <v/>
      </c>
      <c r="BA181" s="93" t="str">
        <f t="shared" ca="1" si="159"/>
        <v/>
      </c>
      <c r="BB181" s="77" t="str">
        <f t="shared" ca="1" si="160"/>
        <v/>
      </c>
      <c r="BC181" s="93" t="str">
        <f t="shared" ca="1" si="161"/>
        <v/>
      </c>
    </row>
    <row r="182" spans="1:55" ht="15.95" customHeight="1" x14ac:dyDescent="0.2">
      <c r="A182" s="41" t="str">
        <f>IF(Customization!B182="","",Customization!B182)</f>
        <v/>
      </c>
      <c r="B182" s="79" t="str">
        <f t="shared" ca="1" si="110"/>
        <v/>
      </c>
      <c r="C182" s="29" t="str">
        <f t="shared" ca="1" si="111"/>
        <v/>
      </c>
      <c r="D182" s="7" t="str">
        <f t="shared" ca="1" si="108"/>
        <v/>
      </c>
      <c r="E182" s="29" t="str">
        <f t="shared" ca="1" si="112"/>
        <v/>
      </c>
      <c r="F182" s="7" t="str">
        <f t="shared" ca="1" si="109"/>
        <v/>
      </c>
      <c r="G182" s="29" t="str">
        <f t="shared" ca="1" si="113"/>
        <v/>
      </c>
      <c r="H182" s="7" t="str">
        <f t="shared" ca="1" si="114"/>
        <v/>
      </c>
      <c r="I182" s="28" t="str">
        <f t="shared" ca="1" si="115"/>
        <v/>
      </c>
      <c r="J182" s="7" t="str">
        <f t="shared" ca="1" si="116"/>
        <v/>
      </c>
      <c r="K182" s="73" t="str">
        <f t="shared" ca="1" si="117"/>
        <v/>
      </c>
      <c r="L182" s="74" t="str">
        <f t="shared" ca="1" si="118"/>
        <v/>
      </c>
      <c r="M182" s="75" t="str">
        <f t="shared" ca="1" si="119"/>
        <v/>
      </c>
      <c r="N182" s="76" t="str">
        <f t="shared" ca="1" si="120"/>
        <v/>
      </c>
      <c r="O182" s="75" t="str">
        <f t="shared" ca="1" si="121"/>
        <v/>
      </c>
      <c r="P182" s="76" t="str">
        <f t="shared" ca="1" si="122"/>
        <v/>
      </c>
      <c r="Q182" s="75" t="str">
        <f t="shared" ca="1" si="123"/>
        <v/>
      </c>
      <c r="R182" s="77" t="str">
        <f t="shared" ca="1" si="124"/>
        <v/>
      </c>
      <c r="S182" s="89" t="str">
        <f t="shared" ca="1" si="125"/>
        <v/>
      </c>
      <c r="T182" s="88" t="str">
        <f t="shared" ca="1" si="126"/>
        <v/>
      </c>
      <c r="U182" s="92" t="str">
        <f t="shared" ca="1" si="127"/>
        <v/>
      </c>
      <c r="V182" s="88" t="str">
        <f t="shared" ca="1" si="128"/>
        <v/>
      </c>
      <c r="W182" s="92" t="str">
        <f t="shared" ca="1" si="129"/>
        <v/>
      </c>
      <c r="X182" s="88" t="str">
        <f t="shared" ca="1" si="130"/>
        <v/>
      </c>
      <c r="Y182" s="92" t="str">
        <f t="shared" ca="1" si="131"/>
        <v/>
      </c>
      <c r="Z182" s="88" t="str">
        <f t="shared" ca="1" si="132"/>
        <v/>
      </c>
      <c r="AA182" s="89" t="str">
        <f t="shared" ca="1" si="133"/>
        <v/>
      </c>
      <c r="AB182" s="88" t="str">
        <f t="shared" ca="1" si="134"/>
        <v/>
      </c>
      <c r="AC182" s="92" t="str">
        <f t="shared" ca="1" si="135"/>
        <v/>
      </c>
      <c r="AD182" s="88" t="str">
        <f t="shared" ca="1" si="136"/>
        <v/>
      </c>
      <c r="AE182" s="92" t="str">
        <f t="shared" ca="1" si="137"/>
        <v/>
      </c>
      <c r="AF182" s="88" t="str">
        <f t="shared" ca="1" si="138"/>
        <v/>
      </c>
      <c r="AG182" s="92" t="str">
        <f t="shared" ca="1" si="139"/>
        <v/>
      </c>
      <c r="AH182" s="88" t="str">
        <f t="shared" ca="1" si="140"/>
        <v/>
      </c>
      <c r="AI182" s="92" t="str">
        <f t="shared" ca="1" si="141"/>
        <v/>
      </c>
      <c r="AJ182" s="88" t="str">
        <f t="shared" ca="1" si="142"/>
        <v/>
      </c>
      <c r="AK182" s="92" t="str">
        <f t="shared" ca="1" si="143"/>
        <v/>
      </c>
      <c r="AL182" s="77" t="str">
        <f t="shared" ca="1" si="144"/>
        <v/>
      </c>
      <c r="AM182" s="89" t="str">
        <f t="shared" ca="1" si="145"/>
        <v/>
      </c>
      <c r="AN182" s="88" t="str">
        <f t="shared" ca="1" si="146"/>
        <v/>
      </c>
      <c r="AO182" s="89" t="str">
        <f t="shared" ca="1" si="147"/>
        <v/>
      </c>
      <c r="AP182" s="77" t="str">
        <f t="shared" ca="1" si="148"/>
        <v/>
      </c>
      <c r="AQ182" s="94" t="str">
        <f t="shared" ca="1" si="149"/>
        <v/>
      </c>
      <c r="AR182" s="77" t="str">
        <f t="shared" ca="1" si="150"/>
        <v/>
      </c>
      <c r="AS182" s="94" t="str">
        <f t="shared" ca="1" si="151"/>
        <v/>
      </c>
      <c r="AT182" s="77" t="str">
        <f t="shared" ca="1" si="152"/>
        <v/>
      </c>
      <c r="AU182" s="93" t="str">
        <f t="shared" ca="1" si="153"/>
        <v/>
      </c>
      <c r="AV182" s="77" t="str">
        <f t="shared" ca="1" si="154"/>
        <v/>
      </c>
      <c r="AW182" s="93" t="str">
        <f t="shared" ca="1" si="155"/>
        <v/>
      </c>
      <c r="AX182" s="77" t="str">
        <f t="shared" ca="1" si="156"/>
        <v/>
      </c>
      <c r="AY182" s="93" t="str">
        <f t="shared" ca="1" si="157"/>
        <v/>
      </c>
      <c r="AZ182" s="77" t="str">
        <f t="shared" ca="1" si="158"/>
        <v/>
      </c>
      <c r="BA182" s="93" t="str">
        <f t="shared" ca="1" si="159"/>
        <v/>
      </c>
      <c r="BB182" s="77" t="str">
        <f t="shared" ca="1" si="160"/>
        <v/>
      </c>
      <c r="BC182" s="93" t="str">
        <f t="shared" ca="1" si="161"/>
        <v/>
      </c>
    </row>
    <row r="183" spans="1:55" ht="15.95" customHeight="1" x14ac:dyDescent="0.2">
      <c r="A183" s="41" t="str">
        <f>IF(Customization!B183="","",Customization!B183)</f>
        <v/>
      </c>
      <c r="B183" s="79" t="str">
        <f t="shared" ca="1" si="110"/>
        <v/>
      </c>
      <c r="C183" s="29" t="str">
        <f t="shared" ca="1" si="111"/>
        <v/>
      </c>
      <c r="D183" s="7" t="str">
        <f t="shared" ca="1" si="108"/>
        <v/>
      </c>
      <c r="E183" s="29" t="str">
        <f t="shared" ca="1" si="112"/>
        <v/>
      </c>
      <c r="F183" s="7" t="str">
        <f t="shared" ca="1" si="109"/>
        <v/>
      </c>
      <c r="G183" s="29" t="str">
        <f t="shared" ca="1" si="113"/>
        <v/>
      </c>
      <c r="H183" s="7" t="str">
        <f t="shared" ca="1" si="114"/>
        <v/>
      </c>
      <c r="I183" s="28" t="str">
        <f t="shared" ca="1" si="115"/>
        <v/>
      </c>
      <c r="J183" s="7" t="str">
        <f t="shared" ca="1" si="116"/>
        <v/>
      </c>
      <c r="K183" s="73" t="str">
        <f t="shared" ca="1" si="117"/>
        <v/>
      </c>
      <c r="L183" s="74" t="str">
        <f t="shared" ca="1" si="118"/>
        <v/>
      </c>
      <c r="M183" s="75" t="str">
        <f t="shared" ca="1" si="119"/>
        <v/>
      </c>
      <c r="N183" s="76" t="str">
        <f t="shared" ca="1" si="120"/>
        <v/>
      </c>
      <c r="O183" s="75" t="str">
        <f t="shared" ca="1" si="121"/>
        <v/>
      </c>
      <c r="P183" s="76" t="str">
        <f t="shared" ca="1" si="122"/>
        <v/>
      </c>
      <c r="Q183" s="75" t="str">
        <f t="shared" ca="1" si="123"/>
        <v/>
      </c>
      <c r="R183" s="77" t="str">
        <f t="shared" ca="1" si="124"/>
        <v/>
      </c>
      <c r="S183" s="89" t="str">
        <f t="shared" ca="1" si="125"/>
        <v/>
      </c>
      <c r="T183" s="88" t="str">
        <f t="shared" ca="1" si="126"/>
        <v/>
      </c>
      <c r="U183" s="92" t="str">
        <f t="shared" ca="1" si="127"/>
        <v/>
      </c>
      <c r="V183" s="88" t="str">
        <f t="shared" ca="1" si="128"/>
        <v/>
      </c>
      <c r="W183" s="92" t="str">
        <f t="shared" ca="1" si="129"/>
        <v/>
      </c>
      <c r="X183" s="88" t="str">
        <f t="shared" ca="1" si="130"/>
        <v/>
      </c>
      <c r="Y183" s="92" t="str">
        <f t="shared" ca="1" si="131"/>
        <v/>
      </c>
      <c r="Z183" s="88" t="str">
        <f t="shared" ca="1" si="132"/>
        <v/>
      </c>
      <c r="AA183" s="89" t="str">
        <f t="shared" ca="1" si="133"/>
        <v/>
      </c>
      <c r="AB183" s="88" t="str">
        <f t="shared" ca="1" si="134"/>
        <v/>
      </c>
      <c r="AC183" s="92" t="str">
        <f t="shared" ca="1" si="135"/>
        <v/>
      </c>
      <c r="AD183" s="88" t="str">
        <f t="shared" ca="1" si="136"/>
        <v/>
      </c>
      <c r="AE183" s="92" t="str">
        <f t="shared" ca="1" si="137"/>
        <v/>
      </c>
      <c r="AF183" s="88" t="str">
        <f t="shared" ca="1" si="138"/>
        <v/>
      </c>
      <c r="AG183" s="92" t="str">
        <f t="shared" ca="1" si="139"/>
        <v/>
      </c>
      <c r="AH183" s="88" t="str">
        <f t="shared" ca="1" si="140"/>
        <v/>
      </c>
      <c r="AI183" s="92" t="str">
        <f t="shared" ca="1" si="141"/>
        <v/>
      </c>
      <c r="AJ183" s="88" t="str">
        <f t="shared" ca="1" si="142"/>
        <v/>
      </c>
      <c r="AK183" s="92" t="str">
        <f t="shared" ca="1" si="143"/>
        <v/>
      </c>
      <c r="AL183" s="77" t="str">
        <f t="shared" ca="1" si="144"/>
        <v/>
      </c>
      <c r="AM183" s="89" t="str">
        <f t="shared" ca="1" si="145"/>
        <v/>
      </c>
      <c r="AN183" s="88" t="str">
        <f t="shared" ca="1" si="146"/>
        <v/>
      </c>
      <c r="AO183" s="89" t="str">
        <f t="shared" ca="1" si="147"/>
        <v/>
      </c>
      <c r="AP183" s="77" t="str">
        <f t="shared" ca="1" si="148"/>
        <v/>
      </c>
      <c r="AQ183" s="94" t="str">
        <f t="shared" ca="1" si="149"/>
        <v/>
      </c>
      <c r="AR183" s="77" t="str">
        <f t="shared" ca="1" si="150"/>
        <v/>
      </c>
      <c r="AS183" s="94" t="str">
        <f t="shared" ca="1" si="151"/>
        <v/>
      </c>
      <c r="AT183" s="77" t="str">
        <f t="shared" ca="1" si="152"/>
        <v/>
      </c>
      <c r="AU183" s="93" t="str">
        <f t="shared" ca="1" si="153"/>
        <v/>
      </c>
      <c r="AV183" s="77" t="str">
        <f t="shared" ca="1" si="154"/>
        <v/>
      </c>
      <c r="AW183" s="93" t="str">
        <f t="shared" ca="1" si="155"/>
        <v/>
      </c>
      <c r="AX183" s="77" t="str">
        <f t="shared" ca="1" si="156"/>
        <v/>
      </c>
      <c r="AY183" s="93" t="str">
        <f t="shared" ca="1" si="157"/>
        <v/>
      </c>
      <c r="AZ183" s="77" t="str">
        <f t="shared" ca="1" si="158"/>
        <v/>
      </c>
      <c r="BA183" s="93" t="str">
        <f t="shared" ca="1" si="159"/>
        <v/>
      </c>
      <c r="BB183" s="77" t="str">
        <f t="shared" ca="1" si="160"/>
        <v/>
      </c>
      <c r="BC183" s="93" t="str">
        <f t="shared" ca="1" si="161"/>
        <v/>
      </c>
    </row>
    <row r="184" spans="1:55" ht="15.95" customHeight="1" x14ac:dyDescent="0.2">
      <c r="A184" s="41" t="str">
        <f>IF(Customization!B184="","",Customization!B184)</f>
        <v/>
      </c>
      <c r="B184" s="79" t="str">
        <f t="shared" ca="1" si="110"/>
        <v/>
      </c>
      <c r="C184" s="29" t="str">
        <f t="shared" ca="1" si="111"/>
        <v/>
      </c>
      <c r="D184" s="7" t="str">
        <f t="shared" ca="1" si="108"/>
        <v/>
      </c>
      <c r="E184" s="29" t="str">
        <f t="shared" ca="1" si="112"/>
        <v/>
      </c>
      <c r="F184" s="7" t="str">
        <f t="shared" ca="1" si="109"/>
        <v/>
      </c>
      <c r="G184" s="29" t="str">
        <f t="shared" ca="1" si="113"/>
        <v/>
      </c>
      <c r="H184" s="7" t="str">
        <f t="shared" ca="1" si="114"/>
        <v/>
      </c>
      <c r="I184" s="28" t="str">
        <f t="shared" ca="1" si="115"/>
        <v/>
      </c>
      <c r="J184" s="7" t="str">
        <f t="shared" ca="1" si="116"/>
        <v/>
      </c>
      <c r="K184" s="73" t="str">
        <f t="shared" ca="1" si="117"/>
        <v/>
      </c>
      <c r="L184" s="74" t="str">
        <f t="shared" ca="1" si="118"/>
        <v/>
      </c>
      <c r="M184" s="75" t="str">
        <f t="shared" ca="1" si="119"/>
        <v/>
      </c>
      <c r="N184" s="76" t="str">
        <f t="shared" ca="1" si="120"/>
        <v/>
      </c>
      <c r="O184" s="75" t="str">
        <f t="shared" ca="1" si="121"/>
        <v/>
      </c>
      <c r="P184" s="76" t="str">
        <f t="shared" ca="1" si="122"/>
        <v/>
      </c>
      <c r="Q184" s="75" t="str">
        <f t="shared" ca="1" si="123"/>
        <v/>
      </c>
      <c r="R184" s="77" t="str">
        <f t="shared" ca="1" si="124"/>
        <v/>
      </c>
      <c r="S184" s="89" t="str">
        <f t="shared" ca="1" si="125"/>
        <v/>
      </c>
      <c r="T184" s="88" t="str">
        <f t="shared" ca="1" si="126"/>
        <v/>
      </c>
      <c r="U184" s="92" t="str">
        <f t="shared" ca="1" si="127"/>
        <v/>
      </c>
      <c r="V184" s="88" t="str">
        <f t="shared" ca="1" si="128"/>
        <v/>
      </c>
      <c r="W184" s="92" t="str">
        <f t="shared" ca="1" si="129"/>
        <v/>
      </c>
      <c r="X184" s="88" t="str">
        <f t="shared" ca="1" si="130"/>
        <v/>
      </c>
      <c r="Y184" s="92" t="str">
        <f t="shared" ca="1" si="131"/>
        <v/>
      </c>
      <c r="Z184" s="88" t="str">
        <f t="shared" ca="1" si="132"/>
        <v/>
      </c>
      <c r="AA184" s="89" t="str">
        <f t="shared" ca="1" si="133"/>
        <v/>
      </c>
      <c r="AB184" s="88" t="str">
        <f t="shared" ca="1" si="134"/>
        <v/>
      </c>
      <c r="AC184" s="92" t="str">
        <f t="shared" ca="1" si="135"/>
        <v/>
      </c>
      <c r="AD184" s="88" t="str">
        <f t="shared" ca="1" si="136"/>
        <v/>
      </c>
      <c r="AE184" s="92" t="str">
        <f t="shared" ca="1" si="137"/>
        <v/>
      </c>
      <c r="AF184" s="88" t="str">
        <f t="shared" ca="1" si="138"/>
        <v/>
      </c>
      <c r="AG184" s="92" t="str">
        <f t="shared" ca="1" si="139"/>
        <v/>
      </c>
      <c r="AH184" s="88" t="str">
        <f t="shared" ca="1" si="140"/>
        <v/>
      </c>
      <c r="AI184" s="92" t="str">
        <f t="shared" ca="1" si="141"/>
        <v/>
      </c>
      <c r="AJ184" s="88" t="str">
        <f t="shared" ca="1" si="142"/>
        <v/>
      </c>
      <c r="AK184" s="92" t="str">
        <f t="shared" ca="1" si="143"/>
        <v/>
      </c>
      <c r="AL184" s="77" t="str">
        <f t="shared" ca="1" si="144"/>
        <v/>
      </c>
      <c r="AM184" s="89" t="str">
        <f t="shared" ca="1" si="145"/>
        <v/>
      </c>
      <c r="AN184" s="88" t="str">
        <f t="shared" ca="1" si="146"/>
        <v/>
      </c>
      <c r="AO184" s="89" t="str">
        <f t="shared" ca="1" si="147"/>
        <v/>
      </c>
      <c r="AP184" s="77" t="str">
        <f t="shared" ca="1" si="148"/>
        <v/>
      </c>
      <c r="AQ184" s="94" t="str">
        <f t="shared" ca="1" si="149"/>
        <v/>
      </c>
      <c r="AR184" s="77" t="str">
        <f t="shared" ca="1" si="150"/>
        <v/>
      </c>
      <c r="AS184" s="94" t="str">
        <f t="shared" ca="1" si="151"/>
        <v/>
      </c>
      <c r="AT184" s="77" t="str">
        <f t="shared" ca="1" si="152"/>
        <v/>
      </c>
      <c r="AU184" s="93" t="str">
        <f t="shared" ca="1" si="153"/>
        <v/>
      </c>
      <c r="AV184" s="77" t="str">
        <f t="shared" ca="1" si="154"/>
        <v/>
      </c>
      <c r="AW184" s="93" t="str">
        <f t="shared" ca="1" si="155"/>
        <v/>
      </c>
      <c r="AX184" s="77" t="str">
        <f t="shared" ca="1" si="156"/>
        <v/>
      </c>
      <c r="AY184" s="93" t="str">
        <f t="shared" ca="1" si="157"/>
        <v/>
      </c>
      <c r="AZ184" s="77" t="str">
        <f t="shared" ca="1" si="158"/>
        <v/>
      </c>
      <c r="BA184" s="93" t="str">
        <f t="shared" ca="1" si="159"/>
        <v/>
      </c>
      <c r="BB184" s="77" t="str">
        <f t="shared" ca="1" si="160"/>
        <v/>
      </c>
      <c r="BC184" s="93" t="str">
        <f t="shared" ca="1" si="161"/>
        <v/>
      </c>
    </row>
    <row r="185" spans="1:55" ht="15.95" customHeight="1" x14ac:dyDescent="0.2">
      <c r="A185" s="41" t="str">
        <f>IF(Customization!B185="","",Customization!B185)</f>
        <v/>
      </c>
      <c r="B185" s="79" t="str">
        <f t="shared" ca="1" si="110"/>
        <v/>
      </c>
      <c r="C185" s="29" t="str">
        <f t="shared" ca="1" si="111"/>
        <v/>
      </c>
      <c r="D185" s="7" t="str">
        <f t="shared" ca="1" si="108"/>
        <v/>
      </c>
      <c r="E185" s="29" t="str">
        <f t="shared" ca="1" si="112"/>
        <v/>
      </c>
      <c r="F185" s="7" t="str">
        <f t="shared" ca="1" si="109"/>
        <v/>
      </c>
      <c r="G185" s="29" t="str">
        <f t="shared" ca="1" si="113"/>
        <v/>
      </c>
      <c r="H185" s="7" t="str">
        <f t="shared" ca="1" si="114"/>
        <v/>
      </c>
      <c r="I185" s="28" t="str">
        <f t="shared" ca="1" si="115"/>
        <v/>
      </c>
      <c r="J185" s="7" t="str">
        <f t="shared" ca="1" si="116"/>
        <v/>
      </c>
      <c r="K185" s="73" t="str">
        <f t="shared" ca="1" si="117"/>
        <v/>
      </c>
      <c r="L185" s="74" t="str">
        <f t="shared" ca="1" si="118"/>
        <v/>
      </c>
      <c r="M185" s="75" t="str">
        <f t="shared" ca="1" si="119"/>
        <v/>
      </c>
      <c r="N185" s="76" t="str">
        <f t="shared" ca="1" si="120"/>
        <v/>
      </c>
      <c r="O185" s="75" t="str">
        <f t="shared" ca="1" si="121"/>
        <v/>
      </c>
      <c r="P185" s="76" t="str">
        <f t="shared" ca="1" si="122"/>
        <v/>
      </c>
      <c r="Q185" s="75" t="str">
        <f t="shared" ca="1" si="123"/>
        <v/>
      </c>
      <c r="R185" s="77" t="str">
        <f t="shared" ca="1" si="124"/>
        <v/>
      </c>
      <c r="S185" s="89" t="str">
        <f t="shared" ca="1" si="125"/>
        <v/>
      </c>
      <c r="T185" s="88" t="str">
        <f t="shared" ca="1" si="126"/>
        <v/>
      </c>
      <c r="U185" s="92" t="str">
        <f t="shared" ca="1" si="127"/>
        <v/>
      </c>
      <c r="V185" s="88" t="str">
        <f t="shared" ca="1" si="128"/>
        <v/>
      </c>
      <c r="W185" s="92" t="str">
        <f t="shared" ca="1" si="129"/>
        <v/>
      </c>
      <c r="X185" s="88" t="str">
        <f t="shared" ca="1" si="130"/>
        <v/>
      </c>
      <c r="Y185" s="92" t="str">
        <f t="shared" ca="1" si="131"/>
        <v/>
      </c>
      <c r="Z185" s="88" t="str">
        <f t="shared" ca="1" si="132"/>
        <v/>
      </c>
      <c r="AA185" s="89" t="str">
        <f t="shared" ca="1" si="133"/>
        <v/>
      </c>
      <c r="AB185" s="88" t="str">
        <f t="shared" ca="1" si="134"/>
        <v/>
      </c>
      <c r="AC185" s="92" t="str">
        <f t="shared" ca="1" si="135"/>
        <v/>
      </c>
      <c r="AD185" s="88" t="str">
        <f t="shared" ca="1" si="136"/>
        <v/>
      </c>
      <c r="AE185" s="92" t="str">
        <f t="shared" ca="1" si="137"/>
        <v/>
      </c>
      <c r="AF185" s="88" t="str">
        <f t="shared" ca="1" si="138"/>
        <v/>
      </c>
      <c r="AG185" s="92" t="str">
        <f t="shared" ca="1" si="139"/>
        <v/>
      </c>
      <c r="AH185" s="88" t="str">
        <f t="shared" ca="1" si="140"/>
        <v/>
      </c>
      <c r="AI185" s="92" t="str">
        <f t="shared" ca="1" si="141"/>
        <v/>
      </c>
      <c r="AJ185" s="88" t="str">
        <f t="shared" ca="1" si="142"/>
        <v/>
      </c>
      <c r="AK185" s="92" t="str">
        <f t="shared" ca="1" si="143"/>
        <v/>
      </c>
      <c r="AL185" s="77" t="str">
        <f t="shared" ca="1" si="144"/>
        <v/>
      </c>
      <c r="AM185" s="89" t="str">
        <f t="shared" ca="1" si="145"/>
        <v/>
      </c>
      <c r="AN185" s="88" t="str">
        <f t="shared" ca="1" si="146"/>
        <v/>
      </c>
      <c r="AO185" s="89" t="str">
        <f t="shared" ca="1" si="147"/>
        <v/>
      </c>
      <c r="AP185" s="77" t="str">
        <f t="shared" ca="1" si="148"/>
        <v/>
      </c>
      <c r="AQ185" s="94" t="str">
        <f t="shared" ca="1" si="149"/>
        <v/>
      </c>
      <c r="AR185" s="77" t="str">
        <f t="shared" ca="1" si="150"/>
        <v/>
      </c>
      <c r="AS185" s="94" t="str">
        <f t="shared" ca="1" si="151"/>
        <v/>
      </c>
      <c r="AT185" s="77" t="str">
        <f t="shared" ca="1" si="152"/>
        <v/>
      </c>
      <c r="AU185" s="93" t="str">
        <f t="shared" ca="1" si="153"/>
        <v/>
      </c>
      <c r="AV185" s="77" t="str">
        <f t="shared" ca="1" si="154"/>
        <v/>
      </c>
      <c r="AW185" s="93" t="str">
        <f t="shared" ca="1" si="155"/>
        <v/>
      </c>
      <c r="AX185" s="77" t="str">
        <f t="shared" ca="1" si="156"/>
        <v/>
      </c>
      <c r="AY185" s="93" t="str">
        <f t="shared" ca="1" si="157"/>
        <v/>
      </c>
      <c r="AZ185" s="77" t="str">
        <f t="shared" ca="1" si="158"/>
        <v/>
      </c>
      <c r="BA185" s="93" t="str">
        <f t="shared" ca="1" si="159"/>
        <v/>
      </c>
      <c r="BB185" s="77" t="str">
        <f t="shared" ca="1" si="160"/>
        <v/>
      </c>
      <c r="BC185" s="93" t="str">
        <f t="shared" ca="1" si="161"/>
        <v/>
      </c>
    </row>
    <row r="186" spans="1:55" ht="15.95" customHeight="1" x14ac:dyDescent="0.2">
      <c r="A186" s="41" t="str">
        <f>IF(Customization!B186="","",Customization!B186)</f>
        <v/>
      </c>
      <c r="B186" s="79" t="str">
        <f t="shared" ca="1" si="110"/>
        <v/>
      </c>
      <c r="C186" s="29" t="str">
        <f t="shared" ca="1" si="111"/>
        <v/>
      </c>
      <c r="D186" s="7" t="str">
        <f t="shared" ca="1" si="108"/>
        <v/>
      </c>
      <c r="E186" s="29" t="str">
        <f t="shared" ca="1" si="112"/>
        <v/>
      </c>
      <c r="F186" s="7" t="str">
        <f t="shared" ca="1" si="109"/>
        <v/>
      </c>
      <c r="G186" s="29" t="str">
        <f t="shared" ca="1" si="113"/>
        <v/>
      </c>
      <c r="H186" s="7" t="str">
        <f t="shared" ca="1" si="114"/>
        <v/>
      </c>
      <c r="I186" s="28" t="str">
        <f t="shared" ca="1" si="115"/>
        <v/>
      </c>
      <c r="J186" s="7" t="str">
        <f t="shared" ca="1" si="116"/>
        <v/>
      </c>
      <c r="K186" s="73" t="str">
        <f t="shared" ca="1" si="117"/>
        <v/>
      </c>
      <c r="L186" s="74" t="str">
        <f t="shared" ca="1" si="118"/>
        <v/>
      </c>
      <c r="M186" s="75" t="str">
        <f t="shared" ca="1" si="119"/>
        <v/>
      </c>
      <c r="N186" s="76" t="str">
        <f t="shared" ca="1" si="120"/>
        <v/>
      </c>
      <c r="O186" s="75" t="str">
        <f t="shared" ca="1" si="121"/>
        <v/>
      </c>
      <c r="P186" s="76" t="str">
        <f t="shared" ca="1" si="122"/>
        <v/>
      </c>
      <c r="Q186" s="75" t="str">
        <f t="shared" ca="1" si="123"/>
        <v/>
      </c>
      <c r="R186" s="77" t="str">
        <f t="shared" ca="1" si="124"/>
        <v/>
      </c>
      <c r="S186" s="89" t="str">
        <f t="shared" ca="1" si="125"/>
        <v/>
      </c>
      <c r="T186" s="88" t="str">
        <f t="shared" ca="1" si="126"/>
        <v/>
      </c>
      <c r="U186" s="92" t="str">
        <f t="shared" ca="1" si="127"/>
        <v/>
      </c>
      <c r="V186" s="88" t="str">
        <f t="shared" ca="1" si="128"/>
        <v/>
      </c>
      <c r="W186" s="92" t="str">
        <f t="shared" ca="1" si="129"/>
        <v/>
      </c>
      <c r="X186" s="88" t="str">
        <f t="shared" ca="1" si="130"/>
        <v/>
      </c>
      <c r="Y186" s="92" t="str">
        <f t="shared" ca="1" si="131"/>
        <v/>
      </c>
      <c r="Z186" s="88" t="str">
        <f t="shared" ca="1" si="132"/>
        <v/>
      </c>
      <c r="AA186" s="89" t="str">
        <f t="shared" ca="1" si="133"/>
        <v/>
      </c>
      <c r="AB186" s="88" t="str">
        <f t="shared" ca="1" si="134"/>
        <v/>
      </c>
      <c r="AC186" s="92" t="str">
        <f t="shared" ca="1" si="135"/>
        <v/>
      </c>
      <c r="AD186" s="88" t="str">
        <f t="shared" ca="1" si="136"/>
        <v/>
      </c>
      <c r="AE186" s="92" t="str">
        <f t="shared" ca="1" si="137"/>
        <v/>
      </c>
      <c r="AF186" s="88" t="str">
        <f t="shared" ca="1" si="138"/>
        <v/>
      </c>
      <c r="AG186" s="92" t="str">
        <f t="shared" ca="1" si="139"/>
        <v/>
      </c>
      <c r="AH186" s="88" t="str">
        <f t="shared" ca="1" si="140"/>
        <v/>
      </c>
      <c r="AI186" s="92" t="str">
        <f t="shared" ca="1" si="141"/>
        <v/>
      </c>
      <c r="AJ186" s="88" t="str">
        <f t="shared" ca="1" si="142"/>
        <v/>
      </c>
      <c r="AK186" s="92" t="str">
        <f t="shared" ca="1" si="143"/>
        <v/>
      </c>
      <c r="AL186" s="77" t="str">
        <f t="shared" ca="1" si="144"/>
        <v/>
      </c>
      <c r="AM186" s="89" t="str">
        <f t="shared" ca="1" si="145"/>
        <v/>
      </c>
      <c r="AN186" s="88" t="str">
        <f t="shared" ca="1" si="146"/>
        <v/>
      </c>
      <c r="AO186" s="89" t="str">
        <f t="shared" ca="1" si="147"/>
        <v/>
      </c>
      <c r="AP186" s="77" t="str">
        <f t="shared" ca="1" si="148"/>
        <v/>
      </c>
      <c r="AQ186" s="94" t="str">
        <f t="shared" ca="1" si="149"/>
        <v/>
      </c>
      <c r="AR186" s="77" t="str">
        <f t="shared" ca="1" si="150"/>
        <v/>
      </c>
      <c r="AS186" s="94" t="str">
        <f t="shared" ca="1" si="151"/>
        <v/>
      </c>
      <c r="AT186" s="77" t="str">
        <f t="shared" ca="1" si="152"/>
        <v/>
      </c>
      <c r="AU186" s="93" t="str">
        <f t="shared" ca="1" si="153"/>
        <v/>
      </c>
      <c r="AV186" s="77" t="str">
        <f t="shared" ca="1" si="154"/>
        <v/>
      </c>
      <c r="AW186" s="93" t="str">
        <f t="shared" ca="1" si="155"/>
        <v/>
      </c>
      <c r="AX186" s="77" t="str">
        <f t="shared" ca="1" si="156"/>
        <v/>
      </c>
      <c r="AY186" s="93" t="str">
        <f t="shared" ca="1" si="157"/>
        <v/>
      </c>
      <c r="AZ186" s="77" t="str">
        <f t="shared" ca="1" si="158"/>
        <v/>
      </c>
      <c r="BA186" s="93" t="str">
        <f t="shared" ca="1" si="159"/>
        <v/>
      </c>
      <c r="BB186" s="77" t="str">
        <f t="shared" ca="1" si="160"/>
        <v/>
      </c>
      <c r="BC186" s="93" t="str">
        <f t="shared" ca="1" si="161"/>
        <v/>
      </c>
    </row>
    <row r="187" spans="1:55" ht="15.95" customHeight="1" x14ac:dyDescent="0.2">
      <c r="A187" s="41" t="str">
        <f>IF(Customization!B187="","",Customization!B187)</f>
        <v/>
      </c>
      <c r="B187" s="79" t="str">
        <f t="shared" ca="1" si="110"/>
        <v/>
      </c>
      <c r="C187" s="29" t="str">
        <f t="shared" ca="1" si="111"/>
        <v/>
      </c>
      <c r="D187" s="7" t="str">
        <f t="shared" ca="1" si="108"/>
        <v/>
      </c>
      <c r="E187" s="29" t="str">
        <f t="shared" ca="1" si="112"/>
        <v/>
      </c>
      <c r="F187" s="7" t="str">
        <f t="shared" ca="1" si="109"/>
        <v/>
      </c>
      <c r="G187" s="29" t="str">
        <f t="shared" ca="1" si="113"/>
        <v/>
      </c>
      <c r="H187" s="7" t="str">
        <f t="shared" ca="1" si="114"/>
        <v/>
      </c>
      <c r="I187" s="28" t="str">
        <f t="shared" ca="1" si="115"/>
        <v/>
      </c>
      <c r="J187" s="7" t="str">
        <f t="shared" ca="1" si="116"/>
        <v/>
      </c>
      <c r="K187" s="73" t="str">
        <f t="shared" ca="1" si="117"/>
        <v/>
      </c>
      <c r="L187" s="74" t="str">
        <f t="shared" ca="1" si="118"/>
        <v/>
      </c>
      <c r="M187" s="75" t="str">
        <f t="shared" ca="1" si="119"/>
        <v/>
      </c>
      <c r="N187" s="76" t="str">
        <f t="shared" ca="1" si="120"/>
        <v/>
      </c>
      <c r="O187" s="75" t="str">
        <f t="shared" ca="1" si="121"/>
        <v/>
      </c>
      <c r="P187" s="76" t="str">
        <f t="shared" ca="1" si="122"/>
        <v/>
      </c>
      <c r="Q187" s="75" t="str">
        <f t="shared" ca="1" si="123"/>
        <v/>
      </c>
      <c r="R187" s="77" t="str">
        <f t="shared" ca="1" si="124"/>
        <v/>
      </c>
      <c r="S187" s="89" t="str">
        <f t="shared" ca="1" si="125"/>
        <v/>
      </c>
      <c r="T187" s="88" t="str">
        <f t="shared" ca="1" si="126"/>
        <v/>
      </c>
      <c r="U187" s="92" t="str">
        <f t="shared" ca="1" si="127"/>
        <v/>
      </c>
      <c r="V187" s="88" t="str">
        <f t="shared" ca="1" si="128"/>
        <v/>
      </c>
      <c r="W187" s="92" t="str">
        <f t="shared" ca="1" si="129"/>
        <v/>
      </c>
      <c r="X187" s="88" t="str">
        <f t="shared" ca="1" si="130"/>
        <v/>
      </c>
      <c r="Y187" s="92" t="str">
        <f t="shared" ca="1" si="131"/>
        <v/>
      </c>
      <c r="Z187" s="88" t="str">
        <f t="shared" ca="1" si="132"/>
        <v/>
      </c>
      <c r="AA187" s="89" t="str">
        <f t="shared" ca="1" si="133"/>
        <v/>
      </c>
      <c r="AB187" s="88" t="str">
        <f t="shared" ca="1" si="134"/>
        <v/>
      </c>
      <c r="AC187" s="92" t="str">
        <f t="shared" ca="1" si="135"/>
        <v/>
      </c>
      <c r="AD187" s="88" t="str">
        <f t="shared" ca="1" si="136"/>
        <v/>
      </c>
      <c r="AE187" s="92" t="str">
        <f t="shared" ca="1" si="137"/>
        <v/>
      </c>
      <c r="AF187" s="88" t="str">
        <f t="shared" ca="1" si="138"/>
        <v/>
      </c>
      <c r="AG187" s="92" t="str">
        <f t="shared" ca="1" si="139"/>
        <v/>
      </c>
      <c r="AH187" s="88" t="str">
        <f t="shared" ca="1" si="140"/>
        <v/>
      </c>
      <c r="AI187" s="92" t="str">
        <f t="shared" ca="1" si="141"/>
        <v/>
      </c>
      <c r="AJ187" s="88" t="str">
        <f t="shared" ca="1" si="142"/>
        <v/>
      </c>
      <c r="AK187" s="92" t="str">
        <f t="shared" ca="1" si="143"/>
        <v/>
      </c>
      <c r="AL187" s="77" t="str">
        <f t="shared" ca="1" si="144"/>
        <v/>
      </c>
      <c r="AM187" s="89" t="str">
        <f t="shared" ca="1" si="145"/>
        <v/>
      </c>
      <c r="AN187" s="88" t="str">
        <f t="shared" ca="1" si="146"/>
        <v/>
      </c>
      <c r="AO187" s="89" t="str">
        <f t="shared" ca="1" si="147"/>
        <v/>
      </c>
      <c r="AP187" s="77" t="str">
        <f t="shared" ca="1" si="148"/>
        <v/>
      </c>
      <c r="AQ187" s="94" t="str">
        <f t="shared" ca="1" si="149"/>
        <v/>
      </c>
      <c r="AR187" s="77" t="str">
        <f t="shared" ca="1" si="150"/>
        <v/>
      </c>
      <c r="AS187" s="94" t="str">
        <f t="shared" ca="1" si="151"/>
        <v/>
      </c>
      <c r="AT187" s="77" t="str">
        <f t="shared" ca="1" si="152"/>
        <v/>
      </c>
      <c r="AU187" s="93" t="str">
        <f t="shared" ca="1" si="153"/>
        <v/>
      </c>
      <c r="AV187" s="77" t="str">
        <f t="shared" ca="1" si="154"/>
        <v/>
      </c>
      <c r="AW187" s="93" t="str">
        <f t="shared" ca="1" si="155"/>
        <v/>
      </c>
      <c r="AX187" s="77" t="str">
        <f t="shared" ca="1" si="156"/>
        <v/>
      </c>
      <c r="AY187" s="93" t="str">
        <f t="shared" ca="1" si="157"/>
        <v/>
      </c>
      <c r="AZ187" s="77" t="str">
        <f t="shared" ca="1" si="158"/>
        <v/>
      </c>
      <c r="BA187" s="93" t="str">
        <f t="shared" ca="1" si="159"/>
        <v/>
      </c>
      <c r="BB187" s="77" t="str">
        <f t="shared" ca="1" si="160"/>
        <v/>
      </c>
      <c r="BC187" s="93" t="str">
        <f t="shared" ca="1" si="161"/>
        <v/>
      </c>
    </row>
    <row r="188" spans="1:55" ht="15.95" customHeight="1" x14ac:dyDescent="0.2">
      <c r="A188" s="41" t="str">
        <f>IF(Customization!B188="","",Customization!B188)</f>
        <v/>
      </c>
      <c r="B188" s="79" t="str">
        <f t="shared" ca="1" si="110"/>
        <v/>
      </c>
      <c r="C188" s="29" t="str">
        <f t="shared" ca="1" si="111"/>
        <v/>
      </c>
      <c r="D188" s="7" t="str">
        <f t="shared" ca="1" si="108"/>
        <v/>
      </c>
      <c r="E188" s="29" t="str">
        <f t="shared" ca="1" si="112"/>
        <v/>
      </c>
      <c r="F188" s="7" t="str">
        <f t="shared" ca="1" si="109"/>
        <v/>
      </c>
      <c r="G188" s="29" t="str">
        <f t="shared" ca="1" si="113"/>
        <v/>
      </c>
      <c r="H188" s="7" t="str">
        <f t="shared" ca="1" si="114"/>
        <v/>
      </c>
      <c r="I188" s="28" t="str">
        <f t="shared" ca="1" si="115"/>
        <v/>
      </c>
      <c r="J188" s="7" t="str">
        <f t="shared" ca="1" si="116"/>
        <v/>
      </c>
      <c r="K188" s="73" t="str">
        <f t="shared" ca="1" si="117"/>
        <v/>
      </c>
      <c r="L188" s="74" t="str">
        <f t="shared" ca="1" si="118"/>
        <v/>
      </c>
      <c r="M188" s="75" t="str">
        <f t="shared" ca="1" si="119"/>
        <v/>
      </c>
      <c r="N188" s="76" t="str">
        <f t="shared" ca="1" si="120"/>
        <v/>
      </c>
      <c r="O188" s="75" t="str">
        <f t="shared" ca="1" si="121"/>
        <v/>
      </c>
      <c r="P188" s="76" t="str">
        <f t="shared" ca="1" si="122"/>
        <v/>
      </c>
      <c r="Q188" s="75" t="str">
        <f t="shared" ca="1" si="123"/>
        <v/>
      </c>
      <c r="R188" s="77" t="str">
        <f t="shared" ca="1" si="124"/>
        <v/>
      </c>
      <c r="S188" s="89" t="str">
        <f t="shared" ca="1" si="125"/>
        <v/>
      </c>
      <c r="T188" s="88" t="str">
        <f t="shared" ca="1" si="126"/>
        <v/>
      </c>
      <c r="U188" s="92" t="str">
        <f t="shared" ca="1" si="127"/>
        <v/>
      </c>
      <c r="V188" s="88" t="str">
        <f t="shared" ca="1" si="128"/>
        <v/>
      </c>
      <c r="W188" s="92" t="str">
        <f t="shared" ca="1" si="129"/>
        <v/>
      </c>
      <c r="X188" s="88" t="str">
        <f t="shared" ca="1" si="130"/>
        <v/>
      </c>
      <c r="Y188" s="92" t="str">
        <f t="shared" ca="1" si="131"/>
        <v/>
      </c>
      <c r="Z188" s="88" t="str">
        <f t="shared" ca="1" si="132"/>
        <v/>
      </c>
      <c r="AA188" s="89" t="str">
        <f t="shared" ca="1" si="133"/>
        <v/>
      </c>
      <c r="AB188" s="88" t="str">
        <f t="shared" ca="1" si="134"/>
        <v/>
      </c>
      <c r="AC188" s="92" t="str">
        <f t="shared" ca="1" si="135"/>
        <v/>
      </c>
      <c r="AD188" s="88" t="str">
        <f t="shared" ca="1" si="136"/>
        <v/>
      </c>
      <c r="AE188" s="92" t="str">
        <f t="shared" ca="1" si="137"/>
        <v/>
      </c>
      <c r="AF188" s="88" t="str">
        <f t="shared" ca="1" si="138"/>
        <v/>
      </c>
      <c r="AG188" s="92" t="str">
        <f t="shared" ca="1" si="139"/>
        <v/>
      </c>
      <c r="AH188" s="88" t="str">
        <f t="shared" ca="1" si="140"/>
        <v/>
      </c>
      <c r="AI188" s="92" t="str">
        <f t="shared" ca="1" si="141"/>
        <v/>
      </c>
      <c r="AJ188" s="88" t="str">
        <f t="shared" ca="1" si="142"/>
        <v/>
      </c>
      <c r="AK188" s="92" t="str">
        <f t="shared" ca="1" si="143"/>
        <v/>
      </c>
      <c r="AL188" s="77" t="str">
        <f t="shared" ca="1" si="144"/>
        <v/>
      </c>
      <c r="AM188" s="89" t="str">
        <f t="shared" ca="1" si="145"/>
        <v/>
      </c>
      <c r="AN188" s="88" t="str">
        <f t="shared" ca="1" si="146"/>
        <v/>
      </c>
      <c r="AO188" s="89" t="str">
        <f t="shared" ca="1" si="147"/>
        <v/>
      </c>
      <c r="AP188" s="77" t="str">
        <f t="shared" ca="1" si="148"/>
        <v/>
      </c>
      <c r="AQ188" s="94" t="str">
        <f t="shared" ca="1" si="149"/>
        <v/>
      </c>
      <c r="AR188" s="77" t="str">
        <f t="shared" ca="1" si="150"/>
        <v/>
      </c>
      <c r="AS188" s="94" t="str">
        <f t="shared" ca="1" si="151"/>
        <v/>
      </c>
      <c r="AT188" s="77" t="str">
        <f t="shared" ca="1" si="152"/>
        <v/>
      </c>
      <c r="AU188" s="93" t="str">
        <f t="shared" ca="1" si="153"/>
        <v/>
      </c>
      <c r="AV188" s="77" t="str">
        <f t="shared" ca="1" si="154"/>
        <v/>
      </c>
      <c r="AW188" s="93" t="str">
        <f t="shared" ca="1" si="155"/>
        <v/>
      </c>
      <c r="AX188" s="77" t="str">
        <f t="shared" ca="1" si="156"/>
        <v/>
      </c>
      <c r="AY188" s="93" t="str">
        <f t="shared" ca="1" si="157"/>
        <v/>
      </c>
      <c r="AZ188" s="77" t="str">
        <f t="shared" ca="1" si="158"/>
        <v/>
      </c>
      <c r="BA188" s="93" t="str">
        <f t="shared" ca="1" si="159"/>
        <v/>
      </c>
      <c r="BB188" s="77" t="str">
        <f t="shared" ca="1" si="160"/>
        <v/>
      </c>
      <c r="BC188" s="93" t="str">
        <f t="shared" ca="1" si="161"/>
        <v/>
      </c>
    </row>
    <row r="189" spans="1:55" ht="15.95" customHeight="1" x14ac:dyDescent="0.2">
      <c r="A189" s="41" t="str">
        <f>IF(Customization!B189="","",Customization!B189)</f>
        <v/>
      </c>
      <c r="B189" s="79" t="str">
        <f t="shared" ca="1" si="110"/>
        <v/>
      </c>
      <c r="C189" s="29" t="str">
        <f t="shared" ca="1" si="111"/>
        <v/>
      </c>
      <c r="D189" s="7" t="str">
        <f t="shared" ca="1" si="108"/>
        <v/>
      </c>
      <c r="E189" s="29" t="str">
        <f t="shared" ca="1" si="112"/>
        <v/>
      </c>
      <c r="F189" s="7" t="str">
        <f t="shared" ca="1" si="109"/>
        <v/>
      </c>
      <c r="G189" s="29" t="str">
        <f t="shared" ca="1" si="113"/>
        <v/>
      </c>
      <c r="H189" s="7" t="str">
        <f t="shared" ca="1" si="114"/>
        <v/>
      </c>
      <c r="I189" s="28" t="str">
        <f t="shared" ca="1" si="115"/>
        <v/>
      </c>
      <c r="J189" s="7" t="str">
        <f t="shared" ca="1" si="116"/>
        <v/>
      </c>
      <c r="K189" s="73" t="str">
        <f t="shared" ca="1" si="117"/>
        <v/>
      </c>
      <c r="L189" s="74" t="str">
        <f t="shared" ca="1" si="118"/>
        <v/>
      </c>
      <c r="M189" s="75" t="str">
        <f t="shared" ca="1" si="119"/>
        <v/>
      </c>
      <c r="N189" s="76" t="str">
        <f t="shared" ca="1" si="120"/>
        <v/>
      </c>
      <c r="O189" s="75" t="str">
        <f t="shared" ca="1" si="121"/>
        <v/>
      </c>
      <c r="P189" s="76" t="str">
        <f t="shared" ca="1" si="122"/>
        <v/>
      </c>
      <c r="Q189" s="75" t="str">
        <f t="shared" ca="1" si="123"/>
        <v/>
      </c>
      <c r="R189" s="77" t="str">
        <f t="shared" ca="1" si="124"/>
        <v/>
      </c>
      <c r="S189" s="89" t="str">
        <f t="shared" ca="1" si="125"/>
        <v/>
      </c>
      <c r="T189" s="88" t="str">
        <f t="shared" ca="1" si="126"/>
        <v/>
      </c>
      <c r="U189" s="92" t="str">
        <f t="shared" ca="1" si="127"/>
        <v/>
      </c>
      <c r="V189" s="88" t="str">
        <f t="shared" ca="1" si="128"/>
        <v/>
      </c>
      <c r="W189" s="92" t="str">
        <f t="shared" ca="1" si="129"/>
        <v/>
      </c>
      <c r="X189" s="88" t="str">
        <f t="shared" ca="1" si="130"/>
        <v/>
      </c>
      <c r="Y189" s="92" t="str">
        <f t="shared" ca="1" si="131"/>
        <v/>
      </c>
      <c r="Z189" s="88" t="str">
        <f t="shared" ca="1" si="132"/>
        <v/>
      </c>
      <c r="AA189" s="89" t="str">
        <f t="shared" ca="1" si="133"/>
        <v/>
      </c>
      <c r="AB189" s="88" t="str">
        <f t="shared" ca="1" si="134"/>
        <v/>
      </c>
      <c r="AC189" s="92" t="str">
        <f t="shared" ca="1" si="135"/>
        <v/>
      </c>
      <c r="AD189" s="88" t="str">
        <f t="shared" ca="1" si="136"/>
        <v/>
      </c>
      <c r="AE189" s="92" t="str">
        <f t="shared" ca="1" si="137"/>
        <v/>
      </c>
      <c r="AF189" s="88" t="str">
        <f t="shared" ca="1" si="138"/>
        <v/>
      </c>
      <c r="AG189" s="92" t="str">
        <f t="shared" ca="1" si="139"/>
        <v/>
      </c>
      <c r="AH189" s="88" t="str">
        <f t="shared" ca="1" si="140"/>
        <v/>
      </c>
      <c r="AI189" s="92" t="str">
        <f t="shared" ca="1" si="141"/>
        <v/>
      </c>
      <c r="AJ189" s="88" t="str">
        <f t="shared" ca="1" si="142"/>
        <v/>
      </c>
      <c r="AK189" s="92" t="str">
        <f t="shared" ca="1" si="143"/>
        <v/>
      </c>
      <c r="AL189" s="77" t="str">
        <f t="shared" ca="1" si="144"/>
        <v/>
      </c>
      <c r="AM189" s="89" t="str">
        <f t="shared" ca="1" si="145"/>
        <v/>
      </c>
      <c r="AN189" s="88" t="str">
        <f t="shared" ca="1" si="146"/>
        <v/>
      </c>
      <c r="AO189" s="89" t="str">
        <f t="shared" ca="1" si="147"/>
        <v/>
      </c>
      <c r="AP189" s="77" t="str">
        <f t="shared" ca="1" si="148"/>
        <v/>
      </c>
      <c r="AQ189" s="94" t="str">
        <f t="shared" ca="1" si="149"/>
        <v/>
      </c>
      <c r="AR189" s="77" t="str">
        <f t="shared" ca="1" si="150"/>
        <v/>
      </c>
      <c r="AS189" s="94" t="str">
        <f t="shared" ca="1" si="151"/>
        <v/>
      </c>
      <c r="AT189" s="77" t="str">
        <f t="shared" ca="1" si="152"/>
        <v/>
      </c>
      <c r="AU189" s="93" t="str">
        <f t="shared" ca="1" si="153"/>
        <v/>
      </c>
      <c r="AV189" s="77" t="str">
        <f t="shared" ca="1" si="154"/>
        <v/>
      </c>
      <c r="AW189" s="93" t="str">
        <f t="shared" ca="1" si="155"/>
        <v/>
      </c>
      <c r="AX189" s="77" t="str">
        <f t="shared" ca="1" si="156"/>
        <v/>
      </c>
      <c r="AY189" s="93" t="str">
        <f t="shared" ca="1" si="157"/>
        <v/>
      </c>
      <c r="AZ189" s="77" t="str">
        <f t="shared" ca="1" si="158"/>
        <v/>
      </c>
      <c r="BA189" s="93" t="str">
        <f t="shared" ca="1" si="159"/>
        <v/>
      </c>
      <c r="BB189" s="77" t="str">
        <f t="shared" ca="1" si="160"/>
        <v/>
      </c>
      <c r="BC189" s="93" t="str">
        <f t="shared" ca="1" si="161"/>
        <v/>
      </c>
    </row>
    <row r="190" spans="1:55" ht="15.95" customHeight="1" x14ac:dyDescent="0.2">
      <c r="A190" s="41" t="str">
        <f>IF(Customization!B190="","",Customization!B190)</f>
        <v/>
      </c>
      <c r="B190" s="79" t="str">
        <f t="shared" ca="1" si="110"/>
        <v/>
      </c>
      <c r="C190" s="29" t="str">
        <f t="shared" ca="1" si="111"/>
        <v/>
      </c>
      <c r="D190" s="7" t="str">
        <f t="shared" ca="1" si="108"/>
        <v/>
      </c>
      <c r="E190" s="29" t="str">
        <f t="shared" ca="1" si="112"/>
        <v/>
      </c>
      <c r="F190" s="7" t="str">
        <f t="shared" ca="1" si="109"/>
        <v/>
      </c>
      <c r="G190" s="29" t="str">
        <f t="shared" ca="1" si="113"/>
        <v/>
      </c>
      <c r="H190" s="7" t="str">
        <f t="shared" ca="1" si="114"/>
        <v/>
      </c>
      <c r="I190" s="28" t="str">
        <f t="shared" ca="1" si="115"/>
        <v/>
      </c>
      <c r="J190" s="7" t="str">
        <f t="shared" ca="1" si="116"/>
        <v/>
      </c>
      <c r="K190" s="73" t="str">
        <f t="shared" ca="1" si="117"/>
        <v/>
      </c>
      <c r="L190" s="74" t="str">
        <f t="shared" ca="1" si="118"/>
        <v/>
      </c>
      <c r="M190" s="75" t="str">
        <f t="shared" ca="1" si="119"/>
        <v/>
      </c>
      <c r="N190" s="76" t="str">
        <f t="shared" ca="1" si="120"/>
        <v/>
      </c>
      <c r="O190" s="75" t="str">
        <f t="shared" ca="1" si="121"/>
        <v/>
      </c>
      <c r="P190" s="76" t="str">
        <f t="shared" ca="1" si="122"/>
        <v/>
      </c>
      <c r="Q190" s="75" t="str">
        <f t="shared" ca="1" si="123"/>
        <v/>
      </c>
      <c r="R190" s="77" t="str">
        <f t="shared" ca="1" si="124"/>
        <v/>
      </c>
      <c r="S190" s="89" t="str">
        <f t="shared" ca="1" si="125"/>
        <v/>
      </c>
      <c r="T190" s="88" t="str">
        <f t="shared" ca="1" si="126"/>
        <v/>
      </c>
      <c r="U190" s="92" t="str">
        <f t="shared" ca="1" si="127"/>
        <v/>
      </c>
      <c r="V190" s="88" t="str">
        <f t="shared" ca="1" si="128"/>
        <v/>
      </c>
      <c r="W190" s="92" t="str">
        <f t="shared" ca="1" si="129"/>
        <v/>
      </c>
      <c r="X190" s="88" t="str">
        <f t="shared" ca="1" si="130"/>
        <v/>
      </c>
      <c r="Y190" s="92" t="str">
        <f t="shared" ca="1" si="131"/>
        <v/>
      </c>
      <c r="Z190" s="88" t="str">
        <f t="shared" ca="1" si="132"/>
        <v/>
      </c>
      <c r="AA190" s="89" t="str">
        <f t="shared" ca="1" si="133"/>
        <v/>
      </c>
      <c r="AB190" s="88" t="str">
        <f t="shared" ca="1" si="134"/>
        <v/>
      </c>
      <c r="AC190" s="92" t="str">
        <f t="shared" ca="1" si="135"/>
        <v/>
      </c>
      <c r="AD190" s="88" t="str">
        <f t="shared" ca="1" si="136"/>
        <v/>
      </c>
      <c r="AE190" s="92" t="str">
        <f t="shared" ca="1" si="137"/>
        <v/>
      </c>
      <c r="AF190" s="88" t="str">
        <f t="shared" ca="1" si="138"/>
        <v/>
      </c>
      <c r="AG190" s="92" t="str">
        <f t="shared" ca="1" si="139"/>
        <v/>
      </c>
      <c r="AH190" s="88" t="str">
        <f t="shared" ca="1" si="140"/>
        <v/>
      </c>
      <c r="AI190" s="92" t="str">
        <f t="shared" ca="1" si="141"/>
        <v/>
      </c>
      <c r="AJ190" s="88" t="str">
        <f t="shared" ca="1" si="142"/>
        <v/>
      </c>
      <c r="AK190" s="92" t="str">
        <f t="shared" ca="1" si="143"/>
        <v/>
      </c>
      <c r="AL190" s="77" t="str">
        <f t="shared" ca="1" si="144"/>
        <v/>
      </c>
      <c r="AM190" s="89" t="str">
        <f t="shared" ca="1" si="145"/>
        <v/>
      </c>
      <c r="AN190" s="88" t="str">
        <f t="shared" ca="1" si="146"/>
        <v/>
      </c>
      <c r="AO190" s="89" t="str">
        <f t="shared" ca="1" si="147"/>
        <v/>
      </c>
      <c r="AP190" s="77" t="str">
        <f t="shared" ca="1" si="148"/>
        <v/>
      </c>
      <c r="AQ190" s="94" t="str">
        <f t="shared" ca="1" si="149"/>
        <v/>
      </c>
      <c r="AR190" s="77" t="str">
        <f t="shared" ca="1" si="150"/>
        <v/>
      </c>
      <c r="AS190" s="94" t="str">
        <f t="shared" ca="1" si="151"/>
        <v/>
      </c>
      <c r="AT190" s="77" t="str">
        <f t="shared" ca="1" si="152"/>
        <v/>
      </c>
      <c r="AU190" s="93" t="str">
        <f t="shared" ca="1" si="153"/>
        <v/>
      </c>
      <c r="AV190" s="77" t="str">
        <f t="shared" ca="1" si="154"/>
        <v/>
      </c>
      <c r="AW190" s="93" t="str">
        <f t="shared" ca="1" si="155"/>
        <v/>
      </c>
      <c r="AX190" s="77" t="str">
        <f t="shared" ca="1" si="156"/>
        <v/>
      </c>
      <c r="AY190" s="93" t="str">
        <f t="shared" ca="1" si="157"/>
        <v/>
      </c>
      <c r="AZ190" s="77" t="str">
        <f t="shared" ca="1" si="158"/>
        <v/>
      </c>
      <c r="BA190" s="93" t="str">
        <f t="shared" ca="1" si="159"/>
        <v/>
      </c>
      <c r="BB190" s="77" t="str">
        <f t="shared" ca="1" si="160"/>
        <v/>
      </c>
      <c r="BC190" s="93" t="str">
        <f t="shared" ca="1" si="161"/>
        <v/>
      </c>
    </row>
    <row r="191" spans="1:55" ht="15.95" customHeight="1" x14ac:dyDescent="0.2">
      <c r="A191" s="41" t="str">
        <f>IF(Customization!B191="","",Customization!B191)</f>
        <v/>
      </c>
      <c r="B191" s="79" t="str">
        <f t="shared" ca="1" si="110"/>
        <v/>
      </c>
      <c r="C191" s="29" t="str">
        <f t="shared" ca="1" si="111"/>
        <v/>
      </c>
      <c r="D191" s="7" t="str">
        <f t="shared" ca="1" si="108"/>
        <v/>
      </c>
      <c r="E191" s="29" t="str">
        <f t="shared" ca="1" si="112"/>
        <v/>
      </c>
      <c r="F191" s="7" t="str">
        <f t="shared" ca="1" si="109"/>
        <v/>
      </c>
      <c r="G191" s="29" t="str">
        <f t="shared" ca="1" si="113"/>
        <v/>
      </c>
      <c r="H191" s="7" t="str">
        <f t="shared" ca="1" si="114"/>
        <v/>
      </c>
      <c r="I191" s="28" t="str">
        <f t="shared" ca="1" si="115"/>
        <v/>
      </c>
      <c r="J191" s="7" t="str">
        <f t="shared" ca="1" si="116"/>
        <v/>
      </c>
      <c r="K191" s="73" t="str">
        <f t="shared" ca="1" si="117"/>
        <v/>
      </c>
      <c r="L191" s="74" t="str">
        <f t="shared" ca="1" si="118"/>
        <v/>
      </c>
      <c r="M191" s="75" t="str">
        <f t="shared" ca="1" si="119"/>
        <v/>
      </c>
      <c r="N191" s="76" t="str">
        <f t="shared" ca="1" si="120"/>
        <v/>
      </c>
      <c r="O191" s="75" t="str">
        <f t="shared" ca="1" si="121"/>
        <v/>
      </c>
      <c r="P191" s="76" t="str">
        <f t="shared" ca="1" si="122"/>
        <v/>
      </c>
      <c r="Q191" s="75" t="str">
        <f t="shared" ca="1" si="123"/>
        <v/>
      </c>
      <c r="R191" s="77" t="str">
        <f t="shared" ca="1" si="124"/>
        <v/>
      </c>
      <c r="S191" s="89" t="str">
        <f t="shared" ca="1" si="125"/>
        <v/>
      </c>
      <c r="T191" s="88" t="str">
        <f t="shared" ca="1" si="126"/>
        <v/>
      </c>
      <c r="U191" s="92" t="str">
        <f t="shared" ca="1" si="127"/>
        <v/>
      </c>
      <c r="V191" s="88" t="str">
        <f t="shared" ca="1" si="128"/>
        <v/>
      </c>
      <c r="W191" s="92" t="str">
        <f t="shared" ca="1" si="129"/>
        <v/>
      </c>
      <c r="X191" s="88" t="str">
        <f t="shared" ca="1" si="130"/>
        <v/>
      </c>
      <c r="Y191" s="92" t="str">
        <f t="shared" ca="1" si="131"/>
        <v/>
      </c>
      <c r="Z191" s="88" t="str">
        <f t="shared" ca="1" si="132"/>
        <v/>
      </c>
      <c r="AA191" s="89" t="str">
        <f t="shared" ca="1" si="133"/>
        <v/>
      </c>
      <c r="AB191" s="88" t="str">
        <f t="shared" ca="1" si="134"/>
        <v/>
      </c>
      <c r="AC191" s="92" t="str">
        <f t="shared" ca="1" si="135"/>
        <v/>
      </c>
      <c r="AD191" s="88" t="str">
        <f t="shared" ca="1" si="136"/>
        <v/>
      </c>
      <c r="AE191" s="92" t="str">
        <f t="shared" ca="1" si="137"/>
        <v/>
      </c>
      <c r="AF191" s="88" t="str">
        <f t="shared" ca="1" si="138"/>
        <v/>
      </c>
      <c r="AG191" s="92" t="str">
        <f t="shared" ca="1" si="139"/>
        <v/>
      </c>
      <c r="AH191" s="88" t="str">
        <f t="shared" ca="1" si="140"/>
        <v/>
      </c>
      <c r="AI191" s="92" t="str">
        <f t="shared" ca="1" si="141"/>
        <v/>
      </c>
      <c r="AJ191" s="88" t="str">
        <f t="shared" ca="1" si="142"/>
        <v/>
      </c>
      <c r="AK191" s="92" t="str">
        <f t="shared" ca="1" si="143"/>
        <v/>
      </c>
      <c r="AL191" s="77" t="str">
        <f t="shared" ca="1" si="144"/>
        <v/>
      </c>
      <c r="AM191" s="89" t="str">
        <f t="shared" ca="1" si="145"/>
        <v/>
      </c>
      <c r="AN191" s="88" t="str">
        <f t="shared" ca="1" si="146"/>
        <v/>
      </c>
      <c r="AO191" s="89" t="str">
        <f t="shared" ca="1" si="147"/>
        <v/>
      </c>
      <c r="AP191" s="77" t="str">
        <f t="shared" ca="1" si="148"/>
        <v/>
      </c>
      <c r="AQ191" s="94" t="str">
        <f t="shared" ca="1" si="149"/>
        <v/>
      </c>
      <c r="AR191" s="77" t="str">
        <f t="shared" ca="1" si="150"/>
        <v/>
      </c>
      <c r="AS191" s="94" t="str">
        <f t="shared" ca="1" si="151"/>
        <v/>
      </c>
      <c r="AT191" s="77" t="str">
        <f t="shared" ca="1" si="152"/>
        <v/>
      </c>
      <c r="AU191" s="93" t="str">
        <f t="shared" ca="1" si="153"/>
        <v/>
      </c>
      <c r="AV191" s="77" t="str">
        <f t="shared" ca="1" si="154"/>
        <v/>
      </c>
      <c r="AW191" s="93" t="str">
        <f t="shared" ca="1" si="155"/>
        <v/>
      </c>
      <c r="AX191" s="77" t="str">
        <f t="shared" ca="1" si="156"/>
        <v/>
      </c>
      <c r="AY191" s="93" t="str">
        <f t="shared" ca="1" si="157"/>
        <v/>
      </c>
      <c r="AZ191" s="77" t="str">
        <f t="shared" ca="1" si="158"/>
        <v/>
      </c>
      <c r="BA191" s="93" t="str">
        <f t="shared" ca="1" si="159"/>
        <v/>
      </c>
      <c r="BB191" s="77" t="str">
        <f t="shared" ca="1" si="160"/>
        <v/>
      </c>
      <c r="BC191" s="93" t="str">
        <f t="shared" ca="1" si="161"/>
        <v/>
      </c>
    </row>
    <row r="192" spans="1:55" ht="15.95" customHeight="1" x14ac:dyDescent="0.2">
      <c r="A192" s="41" t="str">
        <f>IF(Customization!B192="","",Customization!B192)</f>
        <v/>
      </c>
      <c r="B192" s="79" t="str">
        <f t="shared" ca="1" si="110"/>
        <v/>
      </c>
      <c r="C192" s="29" t="str">
        <f t="shared" ca="1" si="111"/>
        <v/>
      </c>
      <c r="D192" s="7" t="str">
        <f t="shared" ca="1" si="108"/>
        <v/>
      </c>
      <c r="E192" s="29" t="str">
        <f t="shared" ca="1" si="112"/>
        <v/>
      </c>
      <c r="F192" s="7" t="str">
        <f t="shared" ca="1" si="109"/>
        <v/>
      </c>
      <c r="G192" s="29" t="str">
        <f t="shared" ca="1" si="113"/>
        <v/>
      </c>
      <c r="H192" s="7" t="str">
        <f t="shared" ca="1" si="114"/>
        <v/>
      </c>
      <c r="I192" s="28" t="str">
        <f t="shared" ca="1" si="115"/>
        <v/>
      </c>
      <c r="J192" s="7" t="str">
        <f t="shared" ca="1" si="116"/>
        <v/>
      </c>
      <c r="K192" s="73" t="str">
        <f t="shared" ca="1" si="117"/>
        <v/>
      </c>
      <c r="L192" s="74" t="str">
        <f t="shared" ca="1" si="118"/>
        <v/>
      </c>
      <c r="M192" s="75" t="str">
        <f t="shared" ca="1" si="119"/>
        <v/>
      </c>
      <c r="N192" s="76" t="str">
        <f t="shared" ca="1" si="120"/>
        <v/>
      </c>
      <c r="O192" s="75" t="str">
        <f t="shared" ca="1" si="121"/>
        <v/>
      </c>
      <c r="P192" s="76" t="str">
        <f t="shared" ca="1" si="122"/>
        <v/>
      </c>
      <c r="Q192" s="75" t="str">
        <f t="shared" ca="1" si="123"/>
        <v/>
      </c>
      <c r="R192" s="77" t="str">
        <f t="shared" ca="1" si="124"/>
        <v/>
      </c>
      <c r="S192" s="89" t="str">
        <f t="shared" ca="1" si="125"/>
        <v/>
      </c>
      <c r="T192" s="88" t="str">
        <f t="shared" ca="1" si="126"/>
        <v/>
      </c>
      <c r="U192" s="92" t="str">
        <f t="shared" ca="1" si="127"/>
        <v/>
      </c>
      <c r="V192" s="88" t="str">
        <f t="shared" ca="1" si="128"/>
        <v/>
      </c>
      <c r="W192" s="92" t="str">
        <f t="shared" ca="1" si="129"/>
        <v/>
      </c>
      <c r="X192" s="88" t="str">
        <f t="shared" ca="1" si="130"/>
        <v/>
      </c>
      <c r="Y192" s="92" t="str">
        <f t="shared" ca="1" si="131"/>
        <v/>
      </c>
      <c r="Z192" s="88" t="str">
        <f t="shared" ca="1" si="132"/>
        <v/>
      </c>
      <c r="AA192" s="89" t="str">
        <f t="shared" ca="1" si="133"/>
        <v/>
      </c>
      <c r="AB192" s="88" t="str">
        <f t="shared" ca="1" si="134"/>
        <v/>
      </c>
      <c r="AC192" s="92" t="str">
        <f t="shared" ca="1" si="135"/>
        <v/>
      </c>
      <c r="AD192" s="88" t="str">
        <f t="shared" ca="1" si="136"/>
        <v/>
      </c>
      <c r="AE192" s="92" t="str">
        <f t="shared" ca="1" si="137"/>
        <v/>
      </c>
      <c r="AF192" s="88" t="str">
        <f t="shared" ca="1" si="138"/>
        <v/>
      </c>
      <c r="AG192" s="92" t="str">
        <f t="shared" ca="1" si="139"/>
        <v/>
      </c>
      <c r="AH192" s="88" t="str">
        <f t="shared" ca="1" si="140"/>
        <v/>
      </c>
      <c r="AI192" s="92" t="str">
        <f t="shared" ca="1" si="141"/>
        <v/>
      </c>
      <c r="AJ192" s="88" t="str">
        <f t="shared" ca="1" si="142"/>
        <v/>
      </c>
      <c r="AK192" s="92" t="str">
        <f t="shared" ca="1" si="143"/>
        <v/>
      </c>
      <c r="AL192" s="77" t="str">
        <f t="shared" ca="1" si="144"/>
        <v/>
      </c>
      <c r="AM192" s="89" t="str">
        <f t="shared" ca="1" si="145"/>
        <v/>
      </c>
      <c r="AN192" s="88" t="str">
        <f t="shared" ca="1" si="146"/>
        <v/>
      </c>
      <c r="AO192" s="89" t="str">
        <f t="shared" ca="1" si="147"/>
        <v/>
      </c>
      <c r="AP192" s="77" t="str">
        <f t="shared" ca="1" si="148"/>
        <v/>
      </c>
      <c r="AQ192" s="94" t="str">
        <f t="shared" ca="1" si="149"/>
        <v/>
      </c>
      <c r="AR192" s="77" t="str">
        <f t="shared" ca="1" si="150"/>
        <v/>
      </c>
      <c r="AS192" s="94" t="str">
        <f t="shared" ca="1" si="151"/>
        <v/>
      </c>
      <c r="AT192" s="77" t="str">
        <f t="shared" ca="1" si="152"/>
        <v/>
      </c>
      <c r="AU192" s="93" t="str">
        <f t="shared" ca="1" si="153"/>
        <v/>
      </c>
      <c r="AV192" s="77" t="str">
        <f t="shared" ca="1" si="154"/>
        <v/>
      </c>
      <c r="AW192" s="93" t="str">
        <f t="shared" ca="1" si="155"/>
        <v/>
      </c>
      <c r="AX192" s="77" t="str">
        <f t="shared" ca="1" si="156"/>
        <v/>
      </c>
      <c r="AY192" s="93" t="str">
        <f t="shared" ca="1" si="157"/>
        <v/>
      </c>
      <c r="AZ192" s="77" t="str">
        <f t="shared" ca="1" si="158"/>
        <v/>
      </c>
      <c r="BA192" s="93" t="str">
        <f t="shared" ca="1" si="159"/>
        <v/>
      </c>
      <c r="BB192" s="77" t="str">
        <f t="shared" ca="1" si="160"/>
        <v/>
      </c>
      <c r="BC192" s="93" t="str">
        <f t="shared" ca="1" si="161"/>
        <v/>
      </c>
    </row>
    <row r="193" spans="1:55" ht="15.95" customHeight="1" x14ac:dyDescent="0.2">
      <c r="A193" s="41" t="str">
        <f>IF(Customization!B193="","",Customization!B193)</f>
        <v/>
      </c>
      <c r="B193" s="79" t="str">
        <f t="shared" ca="1" si="110"/>
        <v/>
      </c>
      <c r="C193" s="29" t="str">
        <f t="shared" ca="1" si="111"/>
        <v/>
      </c>
      <c r="D193" s="7" t="str">
        <f t="shared" ca="1" si="108"/>
        <v/>
      </c>
      <c r="E193" s="29" t="str">
        <f t="shared" ca="1" si="112"/>
        <v/>
      </c>
      <c r="F193" s="7" t="str">
        <f t="shared" ca="1" si="109"/>
        <v/>
      </c>
      <c r="G193" s="29" t="str">
        <f t="shared" ca="1" si="113"/>
        <v/>
      </c>
      <c r="H193" s="7" t="str">
        <f t="shared" ca="1" si="114"/>
        <v/>
      </c>
      <c r="I193" s="28" t="str">
        <f t="shared" ca="1" si="115"/>
        <v/>
      </c>
      <c r="J193" s="7" t="str">
        <f t="shared" ca="1" si="116"/>
        <v/>
      </c>
      <c r="K193" s="73" t="str">
        <f t="shared" ca="1" si="117"/>
        <v/>
      </c>
      <c r="L193" s="74" t="str">
        <f t="shared" ca="1" si="118"/>
        <v/>
      </c>
      <c r="M193" s="75" t="str">
        <f t="shared" ca="1" si="119"/>
        <v/>
      </c>
      <c r="N193" s="76" t="str">
        <f t="shared" ca="1" si="120"/>
        <v/>
      </c>
      <c r="O193" s="75" t="str">
        <f t="shared" ca="1" si="121"/>
        <v/>
      </c>
      <c r="P193" s="76" t="str">
        <f t="shared" ca="1" si="122"/>
        <v/>
      </c>
      <c r="Q193" s="75" t="str">
        <f t="shared" ca="1" si="123"/>
        <v/>
      </c>
      <c r="R193" s="77" t="str">
        <f t="shared" ca="1" si="124"/>
        <v/>
      </c>
      <c r="S193" s="89" t="str">
        <f t="shared" ca="1" si="125"/>
        <v/>
      </c>
      <c r="T193" s="88" t="str">
        <f t="shared" ca="1" si="126"/>
        <v/>
      </c>
      <c r="U193" s="92" t="str">
        <f t="shared" ca="1" si="127"/>
        <v/>
      </c>
      <c r="V193" s="88" t="str">
        <f t="shared" ca="1" si="128"/>
        <v/>
      </c>
      <c r="W193" s="92" t="str">
        <f t="shared" ca="1" si="129"/>
        <v/>
      </c>
      <c r="X193" s="88" t="str">
        <f t="shared" ca="1" si="130"/>
        <v/>
      </c>
      <c r="Y193" s="92" t="str">
        <f t="shared" ca="1" si="131"/>
        <v/>
      </c>
      <c r="Z193" s="88" t="str">
        <f t="shared" ca="1" si="132"/>
        <v/>
      </c>
      <c r="AA193" s="89" t="str">
        <f t="shared" ca="1" si="133"/>
        <v/>
      </c>
      <c r="AB193" s="88" t="str">
        <f t="shared" ca="1" si="134"/>
        <v/>
      </c>
      <c r="AC193" s="92" t="str">
        <f t="shared" ca="1" si="135"/>
        <v/>
      </c>
      <c r="AD193" s="88" t="str">
        <f t="shared" ca="1" si="136"/>
        <v/>
      </c>
      <c r="AE193" s="92" t="str">
        <f t="shared" ca="1" si="137"/>
        <v/>
      </c>
      <c r="AF193" s="88" t="str">
        <f t="shared" ca="1" si="138"/>
        <v/>
      </c>
      <c r="AG193" s="92" t="str">
        <f t="shared" ca="1" si="139"/>
        <v/>
      </c>
      <c r="AH193" s="88" t="str">
        <f t="shared" ca="1" si="140"/>
        <v/>
      </c>
      <c r="AI193" s="92" t="str">
        <f t="shared" ca="1" si="141"/>
        <v/>
      </c>
      <c r="AJ193" s="88" t="str">
        <f t="shared" ca="1" si="142"/>
        <v/>
      </c>
      <c r="AK193" s="92" t="str">
        <f t="shared" ca="1" si="143"/>
        <v/>
      </c>
      <c r="AL193" s="77" t="str">
        <f t="shared" ca="1" si="144"/>
        <v/>
      </c>
      <c r="AM193" s="89" t="str">
        <f t="shared" ca="1" si="145"/>
        <v/>
      </c>
      <c r="AN193" s="88" t="str">
        <f t="shared" ca="1" si="146"/>
        <v/>
      </c>
      <c r="AO193" s="89" t="str">
        <f t="shared" ca="1" si="147"/>
        <v/>
      </c>
      <c r="AP193" s="77" t="str">
        <f t="shared" ca="1" si="148"/>
        <v/>
      </c>
      <c r="AQ193" s="94" t="str">
        <f t="shared" ca="1" si="149"/>
        <v/>
      </c>
      <c r="AR193" s="77" t="str">
        <f t="shared" ca="1" si="150"/>
        <v/>
      </c>
      <c r="AS193" s="94" t="str">
        <f t="shared" ca="1" si="151"/>
        <v/>
      </c>
      <c r="AT193" s="77" t="str">
        <f t="shared" ca="1" si="152"/>
        <v/>
      </c>
      <c r="AU193" s="93" t="str">
        <f t="shared" ca="1" si="153"/>
        <v/>
      </c>
      <c r="AV193" s="77" t="str">
        <f t="shared" ca="1" si="154"/>
        <v/>
      </c>
      <c r="AW193" s="93" t="str">
        <f t="shared" ca="1" si="155"/>
        <v/>
      </c>
      <c r="AX193" s="77" t="str">
        <f t="shared" ca="1" si="156"/>
        <v/>
      </c>
      <c r="AY193" s="93" t="str">
        <f t="shared" ca="1" si="157"/>
        <v/>
      </c>
      <c r="AZ193" s="77" t="str">
        <f t="shared" ca="1" si="158"/>
        <v/>
      </c>
      <c r="BA193" s="93" t="str">
        <f t="shared" ca="1" si="159"/>
        <v/>
      </c>
      <c r="BB193" s="77" t="str">
        <f t="shared" ca="1" si="160"/>
        <v/>
      </c>
      <c r="BC193" s="93" t="str">
        <f t="shared" ca="1" si="161"/>
        <v/>
      </c>
    </row>
    <row r="194" spans="1:55" ht="15.95" customHeight="1" x14ac:dyDescent="0.2">
      <c r="A194" s="41" t="str">
        <f>IF(Customization!B194="","",Customization!B194)</f>
        <v/>
      </c>
      <c r="B194" s="79" t="str">
        <f t="shared" ca="1" si="110"/>
        <v/>
      </c>
      <c r="C194" s="29" t="str">
        <f t="shared" ca="1" si="111"/>
        <v/>
      </c>
      <c r="D194" s="7" t="str">
        <f t="shared" ca="1" si="108"/>
        <v/>
      </c>
      <c r="E194" s="29" t="str">
        <f t="shared" ca="1" si="112"/>
        <v/>
      </c>
      <c r="F194" s="7" t="str">
        <f t="shared" ca="1" si="109"/>
        <v/>
      </c>
      <c r="G194" s="29" t="str">
        <f t="shared" ca="1" si="113"/>
        <v/>
      </c>
      <c r="H194" s="7" t="str">
        <f t="shared" ca="1" si="114"/>
        <v/>
      </c>
      <c r="I194" s="28" t="str">
        <f t="shared" ca="1" si="115"/>
        <v/>
      </c>
      <c r="J194" s="7" t="str">
        <f t="shared" ca="1" si="116"/>
        <v/>
      </c>
      <c r="K194" s="73" t="str">
        <f t="shared" ca="1" si="117"/>
        <v/>
      </c>
      <c r="L194" s="74" t="str">
        <f t="shared" ca="1" si="118"/>
        <v/>
      </c>
      <c r="M194" s="75" t="str">
        <f t="shared" ca="1" si="119"/>
        <v/>
      </c>
      <c r="N194" s="76" t="str">
        <f t="shared" ca="1" si="120"/>
        <v/>
      </c>
      <c r="O194" s="75" t="str">
        <f t="shared" ca="1" si="121"/>
        <v/>
      </c>
      <c r="P194" s="76" t="str">
        <f t="shared" ca="1" si="122"/>
        <v/>
      </c>
      <c r="Q194" s="75" t="str">
        <f t="shared" ca="1" si="123"/>
        <v/>
      </c>
      <c r="R194" s="77" t="str">
        <f t="shared" ca="1" si="124"/>
        <v/>
      </c>
      <c r="S194" s="89" t="str">
        <f t="shared" ca="1" si="125"/>
        <v/>
      </c>
      <c r="T194" s="88" t="str">
        <f t="shared" ca="1" si="126"/>
        <v/>
      </c>
      <c r="U194" s="92" t="str">
        <f t="shared" ca="1" si="127"/>
        <v/>
      </c>
      <c r="V194" s="88" t="str">
        <f t="shared" ca="1" si="128"/>
        <v/>
      </c>
      <c r="W194" s="92" t="str">
        <f t="shared" ca="1" si="129"/>
        <v/>
      </c>
      <c r="X194" s="88" t="str">
        <f t="shared" ca="1" si="130"/>
        <v/>
      </c>
      <c r="Y194" s="92" t="str">
        <f t="shared" ca="1" si="131"/>
        <v/>
      </c>
      <c r="Z194" s="88" t="str">
        <f t="shared" ca="1" si="132"/>
        <v/>
      </c>
      <c r="AA194" s="89" t="str">
        <f t="shared" ca="1" si="133"/>
        <v/>
      </c>
      <c r="AB194" s="88" t="str">
        <f t="shared" ca="1" si="134"/>
        <v/>
      </c>
      <c r="AC194" s="92" t="str">
        <f t="shared" ca="1" si="135"/>
        <v/>
      </c>
      <c r="AD194" s="88" t="str">
        <f t="shared" ca="1" si="136"/>
        <v/>
      </c>
      <c r="AE194" s="92" t="str">
        <f t="shared" ca="1" si="137"/>
        <v/>
      </c>
      <c r="AF194" s="88" t="str">
        <f t="shared" ca="1" si="138"/>
        <v/>
      </c>
      <c r="AG194" s="92" t="str">
        <f t="shared" ca="1" si="139"/>
        <v/>
      </c>
      <c r="AH194" s="88" t="str">
        <f t="shared" ca="1" si="140"/>
        <v/>
      </c>
      <c r="AI194" s="92" t="str">
        <f t="shared" ca="1" si="141"/>
        <v/>
      </c>
      <c r="AJ194" s="88" t="str">
        <f t="shared" ca="1" si="142"/>
        <v/>
      </c>
      <c r="AK194" s="92" t="str">
        <f t="shared" ca="1" si="143"/>
        <v/>
      </c>
      <c r="AL194" s="77" t="str">
        <f t="shared" ca="1" si="144"/>
        <v/>
      </c>
      <c r="AM194" s="89" t="str">
        <f t="shared" ca="1" si="145"/>
        <v/>
      </c>
      <c r="AN194" s="88" t="str">
        <f t="shared" ca="1" si="146"/>
        <v/>
      </c>
      <c r="AO194" s="89" t="str">
        <f t="shared" ca="1" si="147"/>
        <v/>
      </c>
      <c r="AP194" s="77" t="str">
        <f t="shared" ca="1" si="148"/>
        <v/>
      </c>
      <c r="AQ194" s="94" t="str">
        <f t="shared" ca="1" si="149"/>
        <v/>
      </c>
      <c r="AR194" s="77" t="str">
        <f t="shared" ca="1" si="150"/>
        <v/>
      </c>
      <c r="AS194" s="94" t="str">
        <f t="shared" ca="1" si="151"/>
        <v/>
      </c>
      <c r="AT194" s="77" t="str">
        <f t="shared" ca="1" si="152"/>
        <v/>
      </c>
      <c r="AU194" s="93" t="str">
        <f t="shared" ca="1" si="153"/>
        <v/>
      </c>
      <c r="AV194" s="77" t="str">
        <f t="shared" ca="1" si="154"/>
        <v/>
      </c>
      <c r="AW194" s="93" t="str">
        <f t="shared" ca="1" si="155"/>
        <v/>
      </c>
      <c r="AX194" s="77" t="str">
        <f t="shared" ca="1" si="156"/>
        <v/>
      </c>
      <c r="AY194" s="93" t="str">
        <f t="shared" ca="1" si="157"/>
        <v/>
      </c>
      <c r="AZ194" s="77" t="str">
        <f t="shared" ca="1" si="158"/>
        <v/>
      </c>
      <c r="BA194" s="93" t="str">
        <f t="shared" ca="1" si="159"/>
        <v/>
      </c>
      <c r="BB194" s="77" t="str">
        <f t="shared" ca="1" si="160"/>
        <v/>
      </c>
      <c r="BC194" s="93" t="str">
        <f t="shared" ca="1" si="161"/>
        <v/>
      </c>
    </row>
    <row r="195" spans="1:55" ht="15.95" customHeight="1" x14ac:dyDescent="0.2">
      <c r="A195" s="41" t="str">
        <f>IF(Customization!B195="","",Customization!B195)</f>
        <v/>
      </c>
      <c r="B195" s="79" t="str">
        <f t="shared" ca="1" si="110"/>
        <v/>
      </c>
      <c r="C195" s="29" t="str">
        <f t="shared" ca="1" si="111"/>
        <v/>
      </c>
      <c r="D195" s="7" t="str">
        <f t="shared" ref="D195:D250" ca="1" si="162">IFERROR(INDIRECT("'"&amp;$A195&amp;"'!Q5"),"")</f>
        <v/>
      </c>
      <c r="E195" s="29" t="str">
        <f t="shared" ca="1" si="112"/>
        <v/>
      </c>
      <c r="F195" s="7" t="str">
        <f t="shared" ref="F195:F250" ca="1" si="163">IFERROR(INDIRECT("'"&amp;$A195&amp;"'!S5"),"")</f>
        <v/>
      </c>
      <c r="G195" s="29" t="str">
        <f t="shared" ca="1" si="113"/>
        <v/>
      </c>
      <c r="H195" s="7" t="str">
        <f t="shared" ca="1" si="114"/>
        <v/>
      </c>
      <c r="I195" s="28" t="str">
        <f t="shared" ca="1" si="115"/>
        <v/>
      </c>
      <c r="J195" s="7" t="str">
        <f t="shared" ca="1" si="116"/>
        <v/>
      </c>
      <c r="K195" s="73" t="str">
        <f t="shared" ca="1" si="117"/>
        <v/>
      </c>
      <c r="L195" s="74" t="str">
        <f t="shared" ca="1" si="118"/>
        <v/>
      </c>
      <c r="M195" s="75" t="str">
        <f t="shared" ca="1" si="119"/>
        <v/>
      </c>
      <c r="N195" s="76" t="str">
        <f t="shared" ca="1" si="120"/>
        <v/>
      </c>
      <c r="O195" s="75" t="str">
        <f t="shared" ca="1" si="121"/>
        <v/>
      </c>
      <c r="P195" s="76" t="str">
        <f t="shared" ca="1" si="122"/>
        <v/>
      </c>
      <c r="Q195" s="75" t="str">
        <f t="shared" ca="1" si="123"/>
        <v/>
      </c>
      <c r="R195" s="77" t="str">
        <f t="shared" ca="1" si="124"/>
        <v/>
      </c>
      <c r="S195" s="89" t="str">
        <f t="shared" ca="1" si="125"/>
        <v/>
      </c>
      <c r="T195" s="88" t="str">
        <f t="shared" ca="1" si="126"/>
        <v/>
      </c>
      <c r="U195" s="92" t="str">
        <f t="shared" ca="1" si="127"/>
        <v/>
      </c>
      <c r="V195" s="88" t="str">
        <f t="shared" ca="1" si="128"/>
        <v/>
      </c>
      <c r="W195" s="92" t="str">
        <f t="shared" ca="1" si="129"/>
        <v/>
      </c>
      <c r="X195" s="88" t="str">
        <f t="shared" ca="1" si="130"/>
        <v/>
      </c>
      <c r="Y195" s="92" t="str">
        <f t="shared" ca="1" si="131"/>
        <v/>
      </c>
      <c r="Z195" s="88" t="str">
        <f t="shared" ca="1" si="132"/>
        <v/>
      </c>
      <c r="AA195" s="89" t="str">
        <f t="shared" ca="1" si="133"/>
        <v/>
      </c>
      <c r="AB195" s="88" t="str">
        <f t="shared" ca="1" si="134"/>
        <v/>
      </c>
      <c r="AC195" s="92" t="str">
        <f t="shared" ca="1" si="135"/>
        <v/>
      </c>
      <c r="AD195" s="88" t="str">
        <f t="shared" ca="1" si="136"/>
        <v/>
      </c>
      <c r="AE195" s="92" t="str">
        <f t="shared" ca="1" si="137"/>
        <v/>
      </c>
      <c r="AF195" s="88" t="str">
        <f t="shared" ca="1" si="138"/>
        <v/>
      </c>
      <c r="AG195" s="92" t="str">
        <f t="shared" ca="1" si="139"/>
        <v/>
      </c>
      <c r="AH195" s="88" t="str">
        <f t="shared" ca="1" si="140"/>
        <v/>
      </c>
      <c r="AI195" s="92" t="str">
        <f t="shared" ca="1" si="141"/>
        <v/>
      </c>
      <c r="AJ195" s="88" t="str">
        <f t="shared" ca="1" si="142"/>
        <v/>
      </c>
      <c r="AK195" s="92" t="str">
        <f t="shared" ca="1" si="143"/>
        <v/>
      </c>
      <c r="AL195" s="77" t="str">
        <f t="shared" ca="1" si="144"/>
        <v/>
      </c>
      <c r="AM195" s="89" t="str">
        <f t="shared" ca="1" si="145"/>
        <v/>
      </c>
      <c r="AN195" s="88" t="str">
        <f t="shared" ca="1" si="146"/>
        <v/>
      </c>
      <c r="AO195" s="89" t="str">
        <f t="shared" ca="1" si="147"/>
        <v/>
      </c>
      <c r="AP195" s="77" t="str">
        <f t="shared" ca="1" si="148"/>
        <v/>
      </c>
      <c r="AQ195" s="94" t="str">
        <f t="shared" ca="1" si="149"/>
        <v/>
      </c>
      <c r="AR195" s="77" t="str">
        <f t="shared" ca="1" si="150"/>
        <v/>
      </c>
      <c r="AS195" s="94" t="str">
        <f t="shared" ca="1" si="151"/>
        <v/>
      </c>
      <c r="AT195" s="77" t="str">
        <f t="shared" ca="1" si="152"/>
        <v/>
      </c>
      <c r="AU195" s="93" t="str">
        <f t="shared" ca="1" si="153"/>
        <v/>
      </c>
      <c r="AV195" s="77" t="str">
        <f t="shared" ca="1" si="154"/>
        <v/>
      </c>
      <c r="AW195" s="93" t="str">
        <f t="shared" ca="1" si="155"/>
        <v/>
      </c>
      <c r="AX195" s="77" t="str">
        <f t="shared" ca="1" si="156"/>
        <v/>
      </c>
      <c r="AY195" s="93" t="str">
        <f t="shared" ca="1" si="157"/>
        <v/>
      </c>
      <c r="AZ195" s="77" t="str">
        <f t="shared" ca="1" si="158"/>
        <v/>
      </c>
      <c r="BA195" s="93" t="str">
        <f t="shared" ca="1" si="159"/>
        <v/>
      </c>
      <c r="BB195" s="77" t="str">
        <f t="shared" ca="1" si="160"/>
        <v/>
      </c>
      <c r="BC195" s="93" t="str">
        <f t="shared" ca="1" si="161"/>
        <v/>
      </c>
    </row>
    <row r="196" spans="1:55" ht="15.95" customHeight="1" x14ac:dyDescent="0.2">
      <c r="A196" s="41" t="str">
        <f>IF(Customization!B196="","",Customization!B196)</f>
        <v/>
      </c>
      <c r="B196" s="79" t="str">
        <f t="shared" ref="B196:B251" ca="1" si="164">IFERROR(INDIRECT("'"&amp;$A196&amp;"'!O5"),"")</f>
        <v/>
      </c>
      <c r="C196" s="29" t="str">
        <f t="shared" ref="C196:C251" ca="1" si="165">IFERROR(INDIRECT("'"&amp;$A196&amp;"'!P5"),"")</f>
        <v/>
      </c>
      <c r="D196" s="7" t="str">
        <f t="shared" ca="1" si="162"/>
        <v/>
      </c>
      <c r="E196" s="29" t="str">
        <f t="shared" ref="E196:E251" ca="1" si="166">IFERROR(INDIRECT("'"&amp;$A196&amp;"'!R5"),"")</f>
        <v/>
      </c>
      <c r="F196" s="7" t="str">
        <f t="shared" ca="1" si="163"/>
        <v/>
      </c>
      <c r="G196" s="29" t="str">
        <f t="shared" ref="G196:G251" ca="1" si="167">IFERROR(INDIRECT("'"&amp;$A196&amp;"'!T5"),"")</f>
        <v/>
      </c>
      <c r="H196" s="7" t="str">
        <f t="shared" ref="H196:H251" ca="1" si="168">IFERROR(INDIRECT("'"&amp;$A196&amp;"'!U5"),"")</f>
        <v/>
      </c>
      <c r="I196" s="28" t="str">
        <f t="shared" ref="I196:I251" ca="1" si="169">IFERROR(INDIRECT("'"&amp;$A196&amp;"'!V5"),"")</f>
        <v/>
      </c>
      <c r="J196" s="7" t="str">
        <f t="shared" ref="J196:J251" ca="1" si="170">IFERROR(INDIRECT("'"&amp;$A196&amp;"'!W5"),"")</f>
        <v/>
      </c>
      <c r="K196" s="73" t="str">
        <f t="shared" ref="K196:K251" ca="1" si="171">IFERROR(INDIRECT("'"&amp;A196&amp;"'!O11"),"")</f>
        <v/>
      </c>
      <c r="L196" s="74" t="str">
        <f t="shared" ref="L196:L251" ca="1" si="172">IFERROR(INDIRECT("'"&amp;A196&amp;"'!P11"),"")</f>
        <v/>
      </c>
      <c r="M196" s="75" t="str">
        <f t="shared" ref="M196:M251" ca="1" si="173">IFERROR(INDIRECT("'"&amp;A196&amp;"'!Q11"),"")</f>
        <v/>
      </c>
      <c r="N196" s="76" t="str">
        <f t="shared" ref="N196:N251" ca="1" si="174">IFERROR(INDIRECT("'"&amp;A196&amp;"'!R11"),"")</f>
        <v/>
      </c>
      <c r="O196" s="75" t="str">
        <f t="shared" ref="O196:O251" ca="1" si="175">IFERROR(INDIRECT("'"&amp;A196&amp;"'!S11"),"")</f>
        <v/>
      </c>
      <c r="P196" s="76" t="str">
        <f t="shared" ref="P196:P251" ca="1" si="176">IFERROR(INDIRECT("'"&amp;A196&amp;"'!T11"),"")</f>
        <v/>
      </c>
      <c r="Q196" s="75" t="str">
        <f t="shared" ref="Q196:Q251" ca="1" si="177">IFERROR(INDIRECT("'"&amp;A196&amp;"'!U11"),"")</f>
        <v/>
      </c>
      <c r="R196" s="77" t="str">
        <f t="shared" ref="R196:R251" ca="1" si="178">IFERROR(INDIRECT("'"&amp;A196&amp;"'!V11"),"")</f>
        <v/>
      </c>
      <c r="S196" s="89" t="str">
        <f t="shared" ref="S196:S251" ca="1" si="179">IFERROR(INDIRECT("'"&amp;A196&amp;"'!W11"),"")</f>
        <v/>
      </c>
      <c r="T196" s="88" t="str">
        <f t="shared" ref="T196:T251" ca="1" si="180">IFERROR(INDIRECT("'"&amp;A196&amp;"'!O17"),"")</f>
        <v/>
      </c>
      <c r="U196" s="92" t="str">
        <f t="shared" ref="U196:U251" ca="1" si="181">IFERROR(INDIRECT("'"&amp;A196&amp;"'!P17"),"")</f>
        <v/>
      </c>
      <c r="V196" s="88" t="str">
        <f t="shared" ref="V196:V251" ca="1" si="182">IFERROR(INDIRECT("'"&amp;A196&amp;"'!Q17"),"")</f>
        <v/>
      </c>
      <c r="W196" s="92" t="str">
        <f t="shared" ref="W196:W251" ca="1" si="183">IFERROR(INDIRECT("'"&amp;A196&amp;"'!R17"),"")</f>
        <v/>
      </c>
      <c r="X196" s="88" t="str">
        <f t="shared" ref="X196:X251" ca="1" si="184">IFERROR(INDIRECT("'"&amp;A196&amp;"'!S17"),"")</f>
        <v/>
      </c>
      <c r="Y196" s="92" t="str">
        <f t="shared" ref="Y196:Y251" ca="1" si="185">IFERROR(INDIRECT("'"&amp;A196&amp;"'!T17"),"")</f>
        <v/>
      </c>
      <c r="Z196" s="88" t="str">
        <f t="shared" ref="Z196:Z251" ca="1" si="186">IFERROR(INDIRECT("'"&amp;A196&amp;"'!U17"),"")</f>
        <v/>
      </c>
      <c r="AA196" s="89" t="str">
        <f t="shared" ref="AA196:AA251" ca="1" si="187">IFERROR(INDIRECT("'"&amp;A196&amp;"'!V17"),"")</f>
        <v/>
      </c>
      <c r="AB196" s="88" t="str">
        <f t="shared" ref="AB196:AB251" ca="1" si="188">IFERROR(INDIRECT("'"&amp;A196&amp;"'!W17"),"")</f>
        <v/>
      </c>
      <c r="AC196" s="92" t="str">
        <f t="shared" ref="AC196:AC251" ca="1" si="189">IFERROR(INDIRECT("'"&amp;A196&amp;"'!X5"),"")</f>
        <v/>
      </c>
      <c r="AD196" s="88" t="str">
        <f t="shared" ref="AD196:AD251" ca="1" si="190">IFERROR(INDIRECT("'"&amp;A196&amp;"'!Y5"),"")</f>
        <v/>
      </c>
      <c r="AE196" s="92" t="str">
        <f t="shared" ref="AE196:AE251" ca="1" si="191">IFERROR(INDIRECT("'"&amp;A196&amp;"'!Z5"),"")</f>
        <v/>
      </c>
      <c r="AF196" s="88" t="str">
        <f t="shared" ref="AF196:AF251" ca="1" si="192">IFERROR(INDIRECT("'"&amp;A196&amp;"'!AA5"),"")</f>
        <v/>
      </c>
      <c r="AG196" s="92" t="str">
        <f t="shared" ref="AG196:AG251" ca="1" si="193">IFERROR(INDIRECT("'"&amp;A196&amp;"'!AB5"),"")</f>
        <v/>
      </c>
      <c r="AH196" s="88" t="str">
        <f t="shared" ref="AH196:AH251" ca="1" si="194">IFERROR(INDIRECT("'"&amp;A196&amp;"'!AC5"),"")</f>
        <v/>
      </c>
      <c r="AI196" s="92" t="str">
        <f t="shared" ref="AI196:AI251" ca="1" si="195">IFERROR(INDIRECT("'"&amp;A196&amp;"'!AD5"),"")</f>
        <v/>
      </c>
      <c r="AJ196" s="88" t="str">
        <f t="shared" ref="AJ196:AJ251" ca="1" si="196">IFERROR(INDIRECT("'"&amp;A196&amp;"'!AE5"),"")</f>
        <v/>
      </c>
      <c r="AK196" s="92" t="str">
        <f t="shared" ref="AK196:AK251" ca="1" si="197">IFERROR(INDIRECT("'"&amp;A196&amp;"'!AF5"),"")</f>
        <v/>
      </c>
      <c r="AL196" s="77" t="str">
        <f t="shared" ref="AL196:AL251" ca="1" si="198">IFERROR(INDIRECT("'"&amp;A196&amp;"'!X11"),"")</f>
        <v/>
      </c>
      <c r="AM196" s="89" t="str">
        <f t="shared" ref="AM196:AM251" ca="1" si="199">IFERROR(INDIRECT("'"&amp;A196&amp;"'!Y11"),"")</f>
        <v/>
      </c>
      <c r="AN196" s="88" t="str">
        <f t="shared" ref="AN196:AN251" ca="1" si="200">IFERROR(INDIRECT("'"&amp;A196&amp;"'!Z11"),"")</f>
        <v/>
      </c>
      <c r="AO196" s="89" t="str">
        <f t="shared" ref="AO196:AO251" ca="1" si="201">IFERROR(INDIRECT("'"&amp;A196&amp;"'!AA11"),"")</f>
        <v/>
      </c>
      <c r="AP196" s="77" t="str">
        <f t="shared" ref="AP196:AP251" ca="1" si="202">IFERROR(INDIRECT("'"&amp;A196&amp;"'!AB11"),"")</f>
        <v/>
      </c>
      <c r="AQ196" s="94" t="str">
        <f t="shared" ref="AQ196:AQ251" ca="1" si="203">IFERROR(INDIRECT("'"&amp;A196&amp;"'!AC11"),"")</f>
        <v/>
      </c>
      <c r="AR196" s="77" t="str">
        <f t="shared" ref="AR196:AR251" ca="1" si="204">IFERROR(INDIRECT("'"&amp;A196&amp;"'!AD11"),"")</f>
        <v/>
      </c>
      <c r="AS196" s="94" t="str">
        <f t="shared" ref="AS196:AS251" ca="1" si="205">IFERROR(INDIRECT("'"&amp;A196&amp;"'!AE11"),"")</f>
        <v/>
      </c>
      <c r="AT196" s="77" t="str">
        <f t="shared" ref="AT196:AT251" ca="1" si="206">IFERROR(INDIRECT("'"&amp;A196&amp;"'!AF11"),"")</f>
        <v/>
      </c>
      <c r="AU196" s="93" t="str">
        <f t="shared" ref="AU196:AU251" ca="1" si="207">IFERROR(INDIRECT("'"&amp;A196&amp;"'!X17"),"")</f>
        <v/>
      </c>
      <c r="AV196" s="77" t="str">
        <f t="shared" ref="AV196:AV251" ca="1" si="208">IFERROR(INDIRECT("'"&amp;A196&amp;"'!Y17"),"")</f>
        <v/>
      </c>
      <c r="AW196" s="93" t="str">
        <f t="shared" ref="AW196:AW251" ca="1" si="209">IFERROR(INDIRECT("'"&amp;A196&amp;"'!Z17"),"")</f>
        <v/>
      </c>
      <c r="AX196" s="77" t="str">
        <f t="shared" ref="AX196:AX251" ca="1" si="210">IFERROR(INDIRECT("'"&amp;A196&amp;"'!AA17"),"")</f>
        <v/>
      </c>
      <c r="AY196" s="93" t="str">
        <f t="shared" ref="AY196:AY251" ca="1" si="211">IFERROR(INDIRECT("'"&amp;A196&amp;"'!AB17"),"")</f>
        <v/>
      </c>
      <c r="AZ196" s="77" t="str">
        <f t="shared" ref="AZ196:AZ250" ca="1" si="212">IFERROR(INDIRECT("'"&amp;$A196&amp;"'!AC17"),"")</f>
        <v/>
      </c>
      <c r="BA196" s="93" t="str">
        <f t="shared" ref="BA196:BA251" ca="1" si="213">IFERROR(INDIRECT("'"&amp;$A196&amp;"'!AD17"),"")</f>
        <v/>
      </c>
      <c r="BB196" s="77" t="str">
        <f t="shared" ref="BB196:BB251" ca="1" si="214">IFERROR(INDIRECT("'"&amp;$A196&amp;"'!AE17"),"")</f>
        <v/>
      </c>
      <c r="BC196" s="93" t="str">
        <f t="shared" ref="BC196:BC251" ca="1" si="215">IFERROR(INDIRECT("'"&amp;$A196&amp;"'!AF17"),"")</f>
        <v/>
      </c>
    </row>
    <row r="197" spans="1:55" ht="15.95" customHeight="1" x14ac:dyDescent="0.2">
      <c r="A197" s="41" t="str">
        <f>IF(Customization!B197="","",Customization!B197)</f>
        <v/>
      </c>
      <c r="B197" s="79" t="str">
        <f t="shared" ca="1" si="164"/>
        <v/>
      </c>
      <c r="C197" s="29" t="str">
        <f t="shared" ca="1" si="165"/>
        <v/>
      </c>
      <c r="D197" s="7" t="str">
        <f t="shared" ca="1" si="162"/>
        <v/>
      </c>
      <c r="E197" s="29" t="str">
        <f t="shared" ca="1" si="166"/>
        <v/>
      </c>
      <c r="F197" s="7" t="str">
        <f t="shared" ca="1" si="163"/>
        <v/>
      </c>
      <c r="G197" s="29" t="str">
        <f t="shared" ca="1" si="167"/>
        <v/>
      </c>
      <c r="H197" s="7" t="str">
        <f t="shared" ca="1" si="168"/>
        <v/>
      </c>
      <c r="I197" s="28" t="str">
        <f t="shared" ca="1" si="169"/>
        <v/>
      </c>
      <c r="J197" s="7" t="str">
        <f t="shared" ca="1" si="170"/>
        <v/>
      </c>
      <c r="K197" s="73" t="str">
        <f t="shared" ca="1" si="171"/>
        <v/>
      </c>
      <c r="L197" s="74" t="str">
        <f t="shared" ca="1" si="172"/>
        <v/>
      </c>
      <c r="M197" s="75" t="str">
        <f t="shared" ca="1" si="173"/>
        <v/>
      </c>
      <c r="N197" s="76" t="str">
        <f t="shared" ca="1" si="174"/>
        <v/>
      </c>
      <c r="O197" s="75" t="str">
        <f t="shared" ca="1" si="175"/>
        <v/>
      </c>
      <c r="P197" s="76" t="str">
        <f t="shared" ca="1" si="176"/>
        <v/>
      </c>
      <c r="Q197" s="75" t="str">
        <f t="shared" ca="1" si="177"/>
        <v/>
      </c>
      <c r="R197" s="77" t="str">
        <f t="shared" ca="1" si="178"/>
        <v/>
      </c>
      <c r="S197" s="89" t="str">
        <f t="shared" ca="1" si="179"/>
        <v/>
      </c>
      <c r="T197" s="88" t="str">
        <f t="shared" ca="1" si="180"/>
        <v/>
      </c>
      <c r="U197" s="92" t="str">
        <f t="shared" ca="1" si="181"/>
        <v/>
      </c>
      <c r="V197" s="88" t="str">
        <f t="shared" ca="1" si="182"/>
        <v/>
      </c>
      <c r="W197" s="92" t="str">
        <f t="shared" ca="1" si="183"/>
        <v/>
      </c>
      <c r="X197" s="88" t="str">
        <f t="shared" ca="1" si="184"/>
        <v/>
      </c>
      <c r="Y197" s="92" t="str">
        <f t="shared" ca="1" si="185"/>
        <v/>
      </c>
      <c r="Z197" s="88" t="str">
        <f t="shared" ca="1" si="186"/>
        <v/>
      </c>
      <c r="AA197" s="89" t="str">
        <f t="shared" ca="1" si="187"/>
        <v/>
      </c>
      <c r="AB197" s="88" t="str">
        <f t="shared" ca="1" si="188"/>
        <v/>
      </c>
      <c r="AC197" s="92" t="str">
        <f t="shared" ca="1" si="189"/>
        <v/>
      </c>
      <c r="AD197" s="88" t="str">
        <f t="shared" ca="1" si="190"/>
        <v/>
      </c>
      <c r="AE197" s="92" t="str">
        <f t="shared" ca="1" si="191"/>
        <v/>
      </c>
      <c r="AF197" s="88" t="str">
        <f t="shared" ca="1" si="192"/>
        <v/>
      </c>
      <c r="AG197" s="92" t="str">
        <f t="shared" ca="1" si="193"/>
        <v/>
      </c>
      <c r="AH197" s="88" t="str">
        <f t="shared" ca="1" si="194"/>
        <v/>
      </c>
      <c r="AI197" s="92" t="str">
        <f t="shared" ca="1" si="195"/>
        <v/>
      </c>
      <c r="AJ197" s="88" t="str">
        <f t="shared" ca="1" si="196"/>
        <v/>
      </c>
      <c r="AK197" s="92" t="str">
        <f t="shared" ca="1" si="197"/>
        <v/>
      </c>
      <c r="AL197" s="77" t="str">
        <f t="shared" ca="1" si="198"/>
        <v/>
      </c>
      <c r="AM197" s="89" t="str">
        <f t="shared" ca="1" si="199"/>
        <v/>
      </c>
      <c r="AN197" s="88" t="str">
        <f t="shared" ca="1" si="200"/>
        <v/>
      </c>
      <c r="AO197" s="89" t="str">
        <f t="shared" ca="1" si="201"/>
        <v/>
      </c>
      <c r="AP197" s="77" t="str">
        <f t="shared" ca="1" si="202"/>
        <v/>
      </c>
      <c r="AQ197" s="94" t="str">
        <f t="shared" ca="1" si="203"/>
        <v/>
      </c>
      <c r="AR197" s="77" t="str">
        <f t="shared" ca="1" si="204"/>
        <v/>
      </c>
      <c r="AS197" s="94" t="str">
        <f t="shared" ca="1" si="205"/>
        <v/>
      </c>
      <c r="AT197" s="77" t="str">
        <f t="shared" ca="1" si="206"/>
        <v/>
      </c>
      <c r="AU197" s="93" t="str">
        <f t="shared" ca="1" si="207"/>
        <v/>
      </c>
      <c r="AV197" s="77" t="str">
        <f t="shared" ca="1" si="208"/>
        <v/>
      </c>
      <c r="AW197" s="93" t="str">
        <f t="shared" ca="1" si="209"/>
        <v/>
      </c>
      <c r="AX197" s="77" t="str">
        <f t="shared" ca="1" si="210"/>
        <v/>
      </c>
      <c r="AY197" s="93" t="str">
        <f t="shared" ca="1" si="211"/>
        <v/>
      </c>
      <c r="AZ197" s="77" t="str">
        <f t="shared" ca="1" si="212"/>
        <v/>
      </c>
      <c r="BA197" s="93" t="str">
        <f t="shared" ca="1" si="213"/>
        <v/>
      </c>
      <c r="BB197" s="77" t="str">
        <f t="shared" ca="1" si="214"/>
        <v/>
      </c>
      <c r="BC197" s="93" t="str">
        <f t="shared" ca="1" si="215"/>
        <v/>
      </c>
    </row>
    <row r="198" spans="1:55" ht="15.95" customHeight="1" x14ac:dyDescent="0.2">
      <c r="A198" s="41" t="str">
        <f>IF(Customization!B198="","",Customization!B198)</f>
        <v/>
      </c>
      <c r="B198" s="79" t="str">
        <f t="shared" ca="1" si="164"/>
        <v/>
      </c>
      <c r="C198" s="29" t="str">
        <f t="shared" ca="1" si="165"/>
        <v/>
      </c>
      <c r="D198" s="7" t="str">
        <f t="shared" ca="1" si="162"/>
        <v/>
      </c>
      <c r="E198" s="29" t="str">
        <f t="shared" ca="1" si="166"/>
        <v/>
      </c>
      <c r="F198" s="7" t="str">
        <f t="shared" ca="1" si="163"/>
        <v/>
      </c>
      <c r="G198" s="29" t="str">
        <f t="shared" ca="1" si="167"/>
        <v/>
      </c>
      <c r="H198" s="7" t="str">
        <f t="shared" ca="1" si="168"/>
        <v/>
      </c>
      <c r="I198" s="28" t="str">
        <f t="shared" ca="1" si="169"/>
        <v/>
      </c>
      <c r="J198" s="7" t="str">
        <f t="shared" ca="1" si="170"/>
        <v/>
      </c>
      <c r="K198" s="73" t="str">
        <f t="shared" ca="1" si="171"/>
        <v/>
      </c>
      <c r="L198" s="74" t="str">
        <f t="shared" ca="1" si="172"/>
        <v/>
      </c>
      <c r="M198" s="75" t="str">
        <f t="shared" ca="1" si="173"/>
        <v/>
      </c>
      <c r="N198" s="76" t="str">
        <f t="shared" ca="1" si="174"/>
        <v/>
      </c>
      <c r="O198" s="75" t="str">
        <f t="shared" ca="1" si="175"/>
        <v/>
      </c>
      <c r="P198" s="76" t="str">
        <f t="shared" ca="1" si="176"/>
        <v/>
      </c>
      <c r="Q198" s="75" t="str">
        <f t="shared" ca="1" si="177"/>
        <v/>
      </c>
      <c r="R198" s="77" t="str">
        <f t="shared" ca="1" si="178"/>
        <v/>
      </c>
      <c r="S198" s="89" t="str">
        <f t="shared" ca="1" si="179"/>
        <v/>
      </c>
      <c r="T198" s="88" t="str">
        <f t="shared" ca="1" si="180"/>
        <v/>
      </c>
      <c r="U198" s="92" t="str">
        <f t="shared" ca="1" si="181"/>
        <v/>
      </c>
      <c r="V198" s="88" t="str">
        <f t="shared" ca="1" si="182"/>
        <v/>
      </c>
      <c r="W198" s="92" t="str">
        <f t="shared" ca="1" si="183"/>
        <v/>
      </c>
      <c r="X198" s="88" t="str">
        <f t="shared" ca="1" si="184"/>
        <v/>
      </c>
      <c r="Y198" s="92" t="str">
        <f t="shared" ca="1" si="185"/>
        <v/>
      </c>
      <c r="Z198" s="88" t="str">
        <f t="shared" ca="1" si="186"/>
        <v/>
      </c>
      <c r="AA198" s="89" t="str">
        <f t="shared" ca="1" si="187"/>
        <v/>
      </c>
      <c r="AB198" s="88" t="str">
        <f t="shared" ca="1" si="188"/>
        <v/>
      </c>
      <c r="AC198" s="92" t="str">
        <f t="shared" ca="1" si="189"/>
        <v/>
      </c>
      <c r="AD198" s="88" t="str">
        <f t="shared" ca="1" si="190"/>
        <v/>
      </c>
      <c r="AE198" s="92" t="str">
        <f t="shared" ca="1" si="191"/>
        <v/>
      </c>
      <c r="AF198" s="88" t="str">
        <f t="shared" ca="1" si="192"/>
        <v/>
      </c>
      <c r="AG198" s="92" t="str">
        <f t="shared" ca="1" si="193"/>
        <v/>
      </c>
      <c r="AH198" s="88" t="str">
        <f t="shared" ca="1" si="194"/>
        <v/>
      </c>
      <c r="AI198" s="92" t="str">
        <f t="shared" ca="1" si="195"/>
        <v/>
      </c>
      <c r="AJ198" s="88" t="str">
        <f t="shared" ca="1" si="196"/>
        <v/>
      </c>
      <c r="AK198" s="92" t="str">
        <f t="shared" ca="1" si="197"/>
        <v/>
      </c>
      <c r="AL198" s="77" t="str">
        <f t="shared" ca="1" si="198"/>
        <v/>
      </c>
      <c r="AM198" s="89" t="str">
        <f t="shared" ca="1" si="199"/>
        <v/>
      </c>
      <c r="AN198" s="88" t="str">
        <f t="shared" ca="1" si="200"/>
        <v/>
      </c>
      <c r="AO198" s="89" t="str">
        <f t="shared" ca="1" si="201"/>
        <v/>
      </c>
      <c r="AP198" s="77" t="str">
        <f t="shared" ca="1" si="202"/>
        <v/>
      </c>
      <c r="AQ198" s="94" t="str">
        <f t="shared" ca="1" si="203"/>
        <v/>
      </c>
      <c r="AR198" s="77" t="str">
        <f t="shared" ca="1" si="204"/>
        <v/>
      </c>
      <c r="AS198" s="94" t="str">
        <f t="shared" ca="1" si="205"/>
        <v/>
      </c>
      <c r="AT198" s="77" t="str">
        <f t="shared" ca="1" si="206"/>
        <v/>
      </c>
      <c r="AU198" s="93" t="str">
        <f t="shared" ca="1" si="207"/>
        <v/>
      </c>
      <c r="AV198" s="77" t="str">
        <f t="shared" ca="1" si="208"/>
        <v/>
      </c>
      <c r="AW198" s="93" t="str">
        <f t="shared" ca="1" si="209"/>
        <v/>
      </c>
      <c r="AX198" s="77" t="str">
        <f t="shared" ca="1" si="210"/>
        <v/>
      </c>
      <c r="AY198" s="93" t="str">
        <f t="shared" ca="1" si="211"/>
        <v/>
      </c>
      <c r="AZ198" s="77" t="str">
        <f t="shared" ca="1" si="212"/>
        <v/>
      </c>
      <c r="BA198" s="93" t="str">
        <f t="shared" ca="1" si="213"/>
        <v/>
      </c>
      <c r="BB198" s="77" t="str">
        <f t="shared" ca="1" si="214"/>
        <v/>
      </c>
      <c r="BC198" s="93" t="str">
        <f t="shared" ca="1" si="215"/>
        <v/>
      </c>
    </row>
    <row r="199" spans="1:55" ht="15.95" customHeight="1" x14ac:dyDescent="0.2">
      <c r="A199" s="41" t="str">
        <f>IF(Customization!B199="","",Customization!B199)</f>
        <v/>
      </c>
      <c r="B199" s="79" t="str">
        <f t="shared" ca="1" si="164"/>
        <v/>
      </c>
      <c r="C199" s="29" t="str">
        <f t="shared" ca="1" si="165"/>
        <v/>
      </c>
      <c r="D199" s="7" t="str">
        <f t="shared" ca="1" si="162"/>
        <v/>
      </c>
      <c r="E199" s="29" t="str">
        <f t="shared" ca="1" si="166"/>
        <v/>
      </c>
      <c r="F199" s="7" t="str">
        <f t="shared" ca="1" si="163"/>
        <v/>
      </c>
      <c r="G199" s="29" t="str">
        <f t="shared" ca="1" si="167"/>
        <v/>
      </c>
      <c r="H199" s="7" t="str">
        <f t="shared" ca="1" si="168"/>
        <v/>
      </c>
      <c r="I199" s="28" t="str">
        <f t="shared" ca="1" si="169"/>
        <v/>
      </c>
      <c r="J199" s="7" t="str">
        <f t="shared" ca="1" si="170"/>
        <v/>
      </c>
      <c r="K199" s="73" t="str">
        <f t="shared" ca="1" si="171"/>
        <v/>
      </c>
      <c r="L199" s="74" t="str">
        <f t="shared" ca="1" si="172"/>
        <v/>
      </c>
      <c r="M199" s="75" t="str">
        <f t="shared" ca="1" si="173"/>
        <v/>
      </c>
      <c r="N199" s="76" t="str">
        <f t="shared" ca="1" si="174"/>
        <v/>
      </c>
      <c r="O199" s="75" t="str">
        <f t="shared" ca="1" si="175"/>
        <v/>
      </c>
      <c r="P199" s="76" t="str">
        <f t="shared" ca="1" si="176"/>
        <v/>
      </c>
      <c r="Q199" s="75" t="str">
        <f t="shared" ca="1" si="177"/>
        <v/>
      </c>
      <c r="R199" s="77" t="str">
        <f t="shared" ca="1" si="178"/>
        <v/>
      </c>
      <c r="S199" s="89" t="str">
        <f t="shared" ca="1" si="179"/>
        <v/>
      </c>
      <c r="T199" s="88" t="str">
        <f t="shared" ca="1" si="180"/>
        <v/>
      </c>
      <c r="U199" s="92" t="str">
        <f t="shared" ca="1" si="181"/>
        <v/>
      </c>
      <c r="V199" s="88" t="str">
        <f t="shared" ca="1" si="182"/>
        <v/>
      </c>
      <c r="W199" s="92" t="str">
        <f t="shared" ca="1" si="183"/>
        <v/>
      </c>
      <c r="X199" s="88" t="str">
        <f t="shared" ca="1" si="184"/>
        <v/>
      </c>
      <c r="Y199" s="92" t="str">
        <f t="shared" ca="1" si="185"/>
        <v/>
      </c>
      <c r="Z199" s="88" t="str">
        <f t="shared" ca="1" si="186"/>
        <v/>
      </c>
      <c r="AA199" s="89" t="str">
        <f t="shared" ca="1" si="187"/>
        <v/>
      </c>
      <c r="AB199" s="88" t="str">
        <f t="shared" ca="1" si="188"/>
        <v/>
      </c>
      <c r="AC199" s="92" t="str">
        <f t="shared" ca="1" si="189"/>
        <v/>
      </c>
      <c r="AD199" s="88" t="str">
        <f t="shared" ca="1" si="190"/>
        <v/>
      </c>
      <c r="AE199" s="92" t="str">
        <f t="shared" ca="1" si="191"/>
        <v/>
      </c>
      <c r="AF199" s="88" t="str">
        <f t="shared" ca="1" si="192"/>
        <v/>
      </c>
      <c r="AG199" s="92" t="str">
        <f t="shared" ca="1" si="193"/>
        <v/>
      </c>
      <c r="AH199" s="88" t="str">
        <f t="shared" ca="1" si="194"/>
        <v/>
      </c>
      <c r="AI199" s="92" t="str">
        <f t="shared" ca="1" si="195"/>
        <v/>
      </c>
      <c r="AJ199" s="88" t="str">
        <f t="shared" ca="1" si="196"/>
        <v/>
      </c>
      <c r="AK199" s="92" t="str">
        <f t="shared" ca="1" si="197"/>
        <v/>
      </c>
      <c r="AL199" s="77" t="str">
        <f t="shared" ca="1" si="198"/>
        <v/>
      </c>
      <c r="AM199" s="89" t="str">
        <f t="shared" ca="1" si="199"/>
        <v/>
      </c>
      <c r="AN199" s="88" t="str">
        <f t="shared" ca="1" si="200"/>
        <v/>
      </c>
      <c r="AO199" s="89" t="str">
        <f t="shared" ca="1" si="201"/>
        <v/>
      </c>
      <c r="AP199" s="77" t="str">
        <f t="shared" ca="1" si="202"/>
        <v/>
      </c>
      <c r="AQ199" s="94" t="str">
        <f t="shared" ca="1" si="203"/>
        <v/>
      </c>
      <c r="AR199" s="77" t="str">
        <f t="shared" ca="1" si="204"/>
        <v/>
      </c>
      <c r="AS199" s="94" t="str">
        <f t="shared" ca="1" si="205"/>
        <v/>
      </c>
      <c r="AT199" s="77" t="str">
        <f t="shared" ca="1" si="206"/>
        <v/>
      </c>
      <c r="AU199" s="93" t="str">
        <f t="shared" ca="1" si="207"/>
        <v/>
      </c>
      <c r="AV199" s="77" t="str">
        <f t="shared" ca="1" si="208"/>
        <v/>
      </c>
      <c r="AW199" s="93" t="str">
        <f t="shared" ca="1" si="209"/>
        <v/>
      </c>
      <c r="AX199" s="77" t="str">
        <f t="shared" ca="1" si="210"/>
        <v/>
      </c>
      <c r="AY199" s="93" t="str">
        <f t="shared" ca="1" si="211"/>
        <v/>
      </c>
      <c r="AZ199" s="77" t="str">
        <f t="shared" ca="1" si="212"/>
        <v/>
      </c>
      <c r="BA199" s="93" t="str">
        <f t="shared" ca="1" si="213"/>
        <v/>
      </c>
      <c r="BB199" s="77" t="str">
        <f t="shared" ca="1" si="214"/>
        <v/>
      </c>
      <c r="BC199" s="93" t="str">
        <f t="shared" ca="1" si="215"/>
        <v/>
      </c>
    </row>
    <row r="200" spans="1:55" ht="15.95" customHeight="1" x14ac:dyDescent="0.2">
      <c r="A200" s="41" t="str">
        <f>IF(Customization!B200="","",Customization!B200)</f>
        <v/>
      </c>
      <c r="B200" s="79" t="str">
        <f t="shared" ca="1" si="164"/>
        <v/>
      </c>
      <c r="C200" s="29" t="str">
        <f t="shared" ca="1" si="165"/>
        <v/>
      </c>
      <c r="D200" s="7" t="str">
        <f t="shared" ca="1" si="162"/>
        <v/>
      </c>
      <c r="E200" s="29" t="str">
        <f t="shared" ca="1" si="166"/>
        <v/>
      </c>
      <c r="F200" s="7" t="str">
        <f t="shared" ca="1" si="163"/>
        <v/>
      </c>
      <c r="G200" s="29" t="str">
        <f t="shared" ca="1" si="167"/>
        <v/>
      </c>
      <c r="H200" s="7" t="str">
        <f t="shared" ca="1" si="168"/>
        <v/>
      </c>
      <c r="I200" s="28" t="str">
        <f t="shared" ca="1" si="169"/>
        <v/>
      </c>
      <c r="J200" s="7" t="str">
        <f t="shared" ca="1" si="170"/>
        <v/>
      </c>
      <c r="K200" s="73" t="str">
        <f t="shared" ca="1" si="171"/>
        <v/>
      </c>
      <c r="L200" s="74" t="str">
        <f t="shared" ca="1" si="172"/>
        <v/>
      </c>
      <c r="M200" s="75" t="str">
        <f t="shared" ca="1" si="173"/>
        <v/>
      </c>
      <c r="N200" s="76" t="str">
        <f t="shared" ca="1" si="174"/>
        <v/>
      </c>
      <c r="O200" s="75" t="str">
        <f t="shared" ca="1" si="175"/>
        <v/>
      </c>
      <c r="P200" s="76" t="str">
        <f t="shared" ca="1" si="176"/>
        <v/>
      </c>
      <c r="Q200" s="75" t="str">
        <f t="shared" ca="1" si="177"/>
        <v/>
      </c>
      <c r="R200" s="77" t="str">
        <f t="shared" ca="1" si="178"/>
        <v/>
      </c>
      <c r="S200" s="89" t="str">
        <f t="shared" ca="1" si="179"/>
        <v/>
      </c>
      <c r="T200" s="88" t="str">
        <f t="shared" ca="1" si="180"/>
        <v/>
      </c>
      <c r="U200" s="92" t="str">
        <f t="shared" ca="1" si="181"/>
        <v/>
      </c>
      <c r="V200" s="88" t="str">
        <f t="shared" ca="1" si="182"/>
        <v/>
      </c>
      <c r="W200" s="92" t="str">
        <f t="shared" ca="1" si="183"/>
        <v/>
      </c>
      <c r="X200" s="88" t="str">
        <f t="shared" ca="1" si="184"/>
        <v/>
      </c>
      <c r="Y200" s="92" t="str">
        <f t="shared" ca="1" si="185"/>
        <v/>
      </c>
      <c r="Z200" s="88" t="str">
        <f t="shared" ca="1" si="186"/>
        <v/>
      </c>
      <c r="AA200" s="89" t="str">
        <f t="shared" ca="1" si="187"/>
        <v/>
      </c>
      <c r="AB200" s="88" t="str">
        <f t="shared" ca="1" si="188"/>
        <v/>
      </c>
      <c r="AC200" s="92" t="str">
        <f t="shared" ca="1" si="189"/>
        <v/>
      </c>
      <c r="AD200" s="88" t="str">
        <f t="shared" ca="1" si="190"/>
        <v/>
      </c>
      <c r="AE200" s="92" t="str">
        <f t="shared" ca="1" si="191"/>
        <v/>
      </c>
      <c r="AF200" s="88" t="str">
        <f t="shared" ca="1" si="192"/>
        <v/>
      </c>
      <c r="AG200" s="92" t="str">
        <f t="shared" ca="1" si="193"/>
        <v/>
      </c>
      <c r="AH200" s="88" t="str">
        <f t="shared" ca="1" si="194"/>
        <v/>
      </c>
      <c r="AI200" s="92" t="str">
        <f t="shared" ca="1" si="195"/>
        <v/>
      </c>
      <c r="AJ200" s="88" t="str">
        <f t="shared" ca="1" si="196"/>
        <v/>
      </c>
      <c r="AK200" s="92" t="str">
        <f t="shared" ca="1" si="197"/>
        <v/>
      </c>
      <c r="AL200" s="77" t="str">
        <f t="shared" ca="1" si="198"/>
        <v/>
      </c>
      <c r="AM200" s="89" t="str">
        <f t="shared" ca="1" si="199"/>
        <v/>
      </c>
      <c r="AN200" s="88" t="str">
        <f t="shared" ca="1" si="200"/>
        <v/>
      </c>
      <c r="AO200" s="89" t="str">
        <f t="shared" ca="1" si="201"/>
        <v/>
      </c>
      <c r="AP200" s="77" t="str">
        <f t="shared" ca="1" si="202"/>
        <v/>
      </c>
      <c r="AQ200" s="94" t="str">
        <f t="shared" ca="1" si="203"/>
        <v/>
      </c>
      <c r="AR200" s="77" t="str">
        <f t="shared" ca="1" si="204"/>
        <v/>
      </c>
      <c r="AS200" s="94" t="str">
        <f t="shared" ca="1" si="205"/>
        <v/>
      </c>
      <c r="AT200" s="77" t="str">
        <f t="shared" ca="1" si="206"/>
        <v/>
      </c>
      <c r="AU200" s="93" t="str">
        <f t="shared" ca="1" si="207"/>
        <v/>
      </c>
      <c r="AV200" s="77" t="str">
        <f t="shared" ca="1" si="208"/>
        <v/>
      </c>
      <c r="AW200" s="93" t="str">
        <f t="shared" ca="1" si="209"/>
        <v/>
      </c>
      <c r="AX200" s="77" t="str">
        <f t="shared" ca="1" si="210"/>
        <v/>
      </c>
      <c r="AY200" s="93" t="str">
        <f t="shared" ca="1" si="211"/>
        <v/>
      </c>
      <c r="AZ200" s="77" t="str">
        <f t="shared" ca="1" si="212"/>
        <v/>
      </c>
      <c r="BA200" s="93" t="str">
        <f t="shared" ca="1" si="213"/>
        <v/>
      </c>
      <c r="BB200" s="77" t="str">
        <f t="shared" ca="1" si="214"/>
        <v/>
      </c>
      <c r="BC200" s="93" t="str">
        <f t="shared" ca="1" si="215"/>
        <v/>
      </c>
    </row>
    <row r="201" spans="1:55" ht="15.95" customHeight="1" x14ac:dyDescent="0.2">
      <c r="A201" s="41" t="str">
        <f>IF(Customization!B201="","",Customization!B201)</f>
        <v/>
      </c>
      <c r="B201" s="79" t="str">
        <f t="shared" ca="1" si="164"/>
        <v/>
      </c>
      <c r="C201" s="29" t="str">
        <f t="shared" ca="1" si="165"/>
        <v/>
      </c>
      <c r="D201" s="7" t="str">
        <f t="shared" ca="1" si="162"/>
        <v/>
      </c>
      <c r="E201" s="29" t="str">
        <f t="shared" ca="1" si="166"/>
        <v/>
      </c>
      <c r="F201" s="7" t="str">
        <f t="shared" ca="1" si="163"/>
        <v/>
      </c>
      <c r="G201" s="29" t="str">
        <f t="shared" ca="1" si="167"/>
        <v/>
      </c>
      <c r="H201" s="7" t="str">
        <f t="shared" ca="1" si="168"/>
        <v/>
      </c>
      <c r="I201" s="28" t="str">
        <f t="shared" ca="1" si="169"/>
        <v/>
      </c>
      <c r="J201" s="7" t="str">
        <f t="shared" ca="1" si="170"/>
        <v/>
      </c>
      <c r="K201" s="73" t="str">
        <f t="shared" ca="1" si="171"/>
        <v/>
      </c>
      <c r="L201" s="74" t="str">
        <f t="shared" ca="1" si="172"/>
        <v/>
      </c>
      <c r="M201" s="75" t="str">
        <f t="shared" ca="1" si="173"/>
        <v/>
      </c>
      <c r="N201" s="76" t="str">
        <f t="shared" ca="1" si="174"/>
        <v/>
      </c>
      <c r="O201" s="75" t="str">
        <f t="shared" ca="1" si="175"/>
        <v/>
      </c>
      <c r="P201" s="76" t="str">
        <f t="shared" ca="1" si="176"/>
        <v/>
      </c>
      <c r="Q201" s="75" t="str">
        <f t="shared" ca="1" si="177"/>
        <v/>
      </c>
      <c r="R201" s="77" t="str">
        <f t="shared" ca="1" si="178"/>
        <v/>
      </c>
      <c r="S201" s="89" t="str">
        <f t="shared" ca="1" si="179"/>
        <v/>
      </c>
      <c r="T201" s="88" t="str">
        <f t="shared" ca="1" si="180"/>
        <v/>
      </c>
      <c r="U201" s="92" t="str">
        <f t="shared" ca="1" si="181"/>
        <v/>
      </c>
      <c r="V201" s="88" t="str">
        <f t="shared" ca="1" si="182"/>
        <v/>
      </c>
      <c r="W201" s="92" t="str">
        <f t="shared" ca="1" si="183"/>
        <v/>
      </c>
      <c r="X201" s="88" t="str">
        <f t="shared" ca="1" si="184"/>
        <v/>
      </c>
      <c r="Y201" s="92" t="str">
        <f t="shared" ca="1" si="185"/>
        <v/>
      </c>
      <c r="Z201" s="88" t="str">
        <f t="shared" ca="1" si="186"/>
        <v/>
      </c>
      <c r="AA201" s="89" t="str">
        <f t="shared" ca="1" si="187"/>
        <v/>
      </c>
      <c r="AB201" s="88" t="str">
        <f t="shared" ca="1" si="188"/>
        <v/>
      </c>
      <c r="AC201" s="92" t="str">
        <f t="shared" ca="1" si="189"/>
        <v/>
      </c>
      <c r="AD201" s="88" t="str">
        <f t="shared" ca="1" si="190"/>
        <v/>
      </c>
      <c r="AE201" s="92" t="str">
        <f t="shared" ca="1" si="191"/>
        <v/>
      </c>
      <c r="AF201" s="88" t="str">
        <f t="shared" ca="1" si="192"/>
        <v/>
      </c>
      <c r="AG201" s="92" t="str">
        <f t="shared" ca="1" si="193"/>
        <v/>
      </c>
      <c r="AH201" s="88" t="str">
        <f t="shared" ca="1" si="194"/>
        <v/>
      </c>
      <c r="AI201" s="92" t="str">
        <f t="shared" ca="1" si="195"/>
        <v/>
      </c>
      <c r="AJ201" s="88" t="str">
        <f t="shared" ca="1" si="196"/>
        <v/>
      </c>
      <c r="AK201" s="92" t="str">
        <f t="shared" ca="1" si="197"/>
        <v/>
      </c>
      <c r="AL201" s="77" t="str">
        <f t="shared" ca="1" si="198"/>
        <v/>
      </c>
      <c r="AM201" s="89" t="str">
        <f t="shared" ca="1" si="199"/>
        <v/>
      </c>
      <c r="AN201" s="88" t="str">
        <f t="shared" ca="1" si="200"/>
        <v/>
      </c>
      <c r="AO201" s="89" t="str">
        <f t="shared" ca="1" si="201"/>
        <v/>
      </c>
      <c r="AP201" s="77" t="str">
        <f t="shared" ca="1" si="202"/>
        <v/>
      </c>
      <c r="AQ201" s="94" t="str">
        <f t="shared" ca="1" si="203"/>
        <v/>
      </c>
      <c r="AR201" s="77" t="str">
        <f t="shared" ca="1" si="204"/>
        <v/>
      </c>
      <c r="AS201" s="94" t="str">
        <f t="shared" ca="1" si="205"/>
        <v/>
      </c>
      <c r="AT201" s="77" t="str">
        <f t="shared" ca="1" si="206"/>
        <v/>
      </c>
      <c r="AU201" s="93" t="str">
        <f t="shared" ca="1" si="207"/>
        <v/>
      </c>
      <c r="AV201" s="77" t="str">
        <f t="shared" ca="1" si="208"/>
        <v/>
      </c>
      <c r="AW201" s="93" t="str">
        <f t="shared" ca="1" si="209"/>
        <v/>
      </c>
      <c r="AX201" s="77" t="str">
        <f t="shared" ca="1" si="210"/>
        <v/>
      </c>
      <c r="AY201" s="93" t="str">
        <f t="shared" ca="1" si="211"/>
        <v/>
      </c>
      <c r="AZ201" s="77" t="str">
        <f t="shared" ca="1" si="212"/>
        <v/>
      </c>
      <c r="BA201" s="93" t="str">
        <f t="shared" ca="1" si="213"/>
        <v/>
      </c>
      <c r="BB201" s="77" t="str">
        <f t="shared" ca="1" si="214"/>
        <v/>
      </c>
      <c r="BC201" s="93" t="str">
        <f t="shared" ca="1" si="215"/>
        <v/>
      </c>
    </row>
    <row r="202" spans="1:55" ht="15.95" customHeight="1" x14ac:dyDescent="0.2">
      <c r="A202" s="41" t="str">
        <f>IF(Customization!B202="","",Customization!B202)</f>
        <v/>
      </c>
      <c r="B202" s="79" t="str">
        <f t="shared" ca="1" si="164"/>
        <v/>
      </c>
      <c r="C202" s="29" t="str">
        <f t="shared" ca="1" si="165"/>
        <v/>
      </c>
      <c r="D202" s="7" t="str">
        <f t="shared" ca="1" si="162"/>
        <v/>
      </c>
      <c r="E202" s="29" t="str">
        <f t="shared" ca="1" si="166"/>
        <v/>
      </c>
      <c r="F202" s="7" t="str">
        <f t="shared" ca="1" si="163"/>
        <v/>
      </c>
      <c r="G202" s="29" t="str">
        <f t="shared" ca="1" si="167"/>
        <v/>
      </c>
      <c r="H202" s="7" t="str">
        <f t="shared" ca="1" si="168"/>
        <v/>
      </c>
      <c r="I202" s="28" t="str">
        <f t="shared" ca="1" si="169"/>
        <v/>
      </c>
      <c r="J202" s="7" t="str">
        <f t="shared" ca="1" si="170"/>
        <v/>
      </c>
      <c r="K202" s="73" t="str">
        <f t="shared" ca="1" si="171"/>
        <v/>
      </c>
      <c r="L202" s="74" t="str">
        <f t="shared" ca="1" si="172"/>
        <v/>
      </c>
      <c r="M202" s="75" t="str">
        <f t="shared" ca="1" si="173"/>
        <v/>
      </c>
      <c r="N202" s="76" t="str">
        <f t="shared" ca="1" si="174"/>
        <v/>
      </c>
      <c r="O202" s="75" t="str">
        <f t="shared" ca="1" si="175"/>
        <v/>
      </c>
      <c r="P202" s="76" t="str">
        <f t="shared" ca="1" si="176"/>
        <v/>
      </c>
      <c r="Q202" s="75" t="str">
        <f t="shared" ca="1" si="177"/>
        <v/>
      </c>
      <c r="R202" s="77" t="str">
        <f t="shared" ca="1" si="178"/>
        <v/>
      </c>
      <c r="S202" s="89" t="str">
        <f t="shared" ca="1" si="179"/>
        <v/>
      </c>
      <c r="T202" s="88" t="str">
        <f t="shared" ca="1" si="180"/>
        <v/>
      </c>
      <c r="U202" s="92" t="str">
        <f t="shared" ca="1" si="181"/>
        <v/>
      </c>
      <c r="V202" s="88" t="str">
        <f t="shared" ca="1" si="182"/>
        <v/>
      </c>
      <c r="W202" s="92" t="str">
        <f t="shared" ca="1" si="183"/>
        <v/>
      </c>
      <c r="X202" s="88" t="str">
        <f t="shared" ca="1" si="184"/>
        <v/>
      </c>
      <c r="Y202" s="92" t="str">
        <f t="shared" ca="1" si="185"/>
        <v/>
      </c>
      <c r="Z202" s="88" t="str">
        <f t="shared" ca="1" si="186"/>
        <v/>
      </c>
      <c r="AA202" s="89" t="str">
        <f t="shared" ca="1" si="187"/>
        <v/>
      </c>
      <c r="AB202" s="88" t="str">
        <f t="shared" ca="1" si="188"/>
        <v/>
      </c>
      <c r="AC202" s="92" t="str">
        <f t="shared" ca="1" si="189"/>
        <v/>
      </c>
      <c r="AD202" s="88" t="str">
        <f t="shared" ca="1" si="190"/>
        <v/>
      </c>
      <c r="AE202" s="92" t="str">
        <f t="shared" ca="1" si="191"/>
        <v/>
      </c>
      <c r="AF202" s="88" t="str">
        <f t="shared" ca="1" si="192"/>
        <v/>
      </c>
      <c r="AG202" s="92" t="str">
        <f t="shared" ca="1" si="193"/>
        <v/>
      </c>
      <c r="AH202" s="88" t="str">
        <f t="shared" ca="1" si="194"/>
        <v/>
      </c>
      <c r="AI202" s="92" t="str">
        <f t="shared" ca="1" si="195"/>
        <v/>
      </c>
      <c r="AJ202" s="88" t="str">
        <f t="shared" ca="1" si="196"/>
        <v/>
      </c>
      <c r="AK202" s="92" t="str">
        <f t="shared" ca="1" si="197"/>
        <v/>
      </c>
      <c r="AL202" s="77" t="str">
        <f t="shared" ca="1" si="198"/>
        <v/>
      </c>
      <c r="AM202" s="89" t="str">
        <f t="shared" ca="1" si="199"/>
        <v/>
      </c>
      <c r="AN202" s="88" t="str">
        <f t="shared" ca="1" si="200"/>
        <v/>
      </c>
      <c r="AO202" s="89" t="str">
        <f t="shared" ca="1" si="201"/>
        <v/>
      </c>
      <c r="AP202" s="77" t="str">
        <f t="shared" ca="1" si="202"/>
        <v/>
      </c>
      <c r="AQ202" s="94" t="str">
        <f t="shared" ca="1" si="203"/>
        <v/>
      </c>
      <c r="AR202" s="77" t="str">
        <f t="shared" ca="1" si="204"/>
        <v/>
      </c>
      <c r="AS202" s="94" t="str">
        <f t="shared" ca="1" si="205"/>
        <v/>
      </c>
      <c r="AT202" s="77" t="str">
        <f t="shared" ca="1" si="206"/>
        <v/>
      </c>
      <c r="AU202" s="93" t="str">
        <f t="shared" ca="1" si="207"/>
        <v/>
      </c>
      <c r="AV202" s="77" t="str">
        <f t="shared" ca="1" si="208"/>
        <v/>
      </c>
      <c r="AW202" s="93" t="str">
        <f t="shared" ca="1" si="209"/>
        <v/>
      </c>
      <c r="AX202" s="77" t="str">
        <f t="shared" ca="1" si="210"/>
        <v/>
      </c>
      <c r="AY202" s="93" t="str">
        <f t="shared" ca="1" si="211"/>
        <v/>
      </c>
      <c r="AZ202" s="77" t="str">
        <f t="shared" ca="1" si="212"/>
        <v/>
      </c>
      <c r="BA202" s="93" t="str">
        <f t="shared" ca="1" si="213"/>
        <v/>
      </c>
      <c r="BB202" s="77" t="str">
        <f t="shared" ca="1" si="214"/>
        <v/>
      </c>
      <c r="BC202" s="93" t="str">
        <f t="shared" ca="1" si="215"/>
        <v/>
      </c>
    </row>
    <row r="203" spans="1:55" ht="15.95" customHeight="1" x14ac:dyDescent="0.2">
      <c r="A203" s="41" t="str">
        <f>IF(Customization!B203="","",Customization!B203)</f>
        <v/>
      </c>
      <c r="B203" s="79" t="str">
        <f t="shared" ca="1" si="164"/>
        <v/>
      </c>
      <c r="C203" s="29" t="str">
        <f t="shared" ca="1" si="165"/>
        <v/>
      </c>
      <c r="D203" s="7" t="str">
        <f t="shared" ca="1" si="162"/>
        <v/>
      </c>
      <c r="E203" s="29" t="str">
        <f t="shared" ca="1" si="166"/>
        <v/>
      </c>
      <c r="F203" s="7" t="str">
        <f t="shared" ca="1" si="163"/>
        <v/>
      </c>
      <c r="G203" s="29" t="str">
        <f t="shared" ca="1" si="167"/>
        <v/>
      </c>
      <c r="H203" s="7" t="str">
        <f t="shared" ca="1" si="168"/>
        <v/>
      </c>
      <c r="I203" s="28" t="str">
        <f t="shared" ca="1" si="169"/>
        <v/>
      </c>
      <c r="J203" s="7" t="str">
        <f t="shared" ca="1" si="170"/>
        <v/>
      </c>
      <c r="K203" s="73" t="str">
        <f t="shared" ca="1" si="171"/>
        <v/>
      </c>
      <c r="L203" s="74" t="str">
        <f t="shared" ca="1" si="172"/>
        <v/>
      </c>
      <c r="M203" s="75" t="str">
        <f t="shared" ca="1" si="173"/>
        <v/>
      </c>
      <c r="N203" s="76" t="str">
        <f t="shared" ca="1" si="174"/>
        <v/>
      </c>
      <c r="O203" s="75" t="str">
        <f t="shared" ca="1" si="175"/>
        <v/>
      </c>
      <c r="P203" s="76" t="str">
        <f t="shared" ca="1" si="176"/>
        <v/>
      </c>
      <c r="Q203" s="75" t="str">
        <f t="shared" ca="1" si="177"/>
        <v/>
      </c>
      <c r="R203" s="77" t="str">
        <f t="shared" ca="1" si="178"/>
        <v/>
      </c>
      <c r="S203" s="89" t="str">
        <f t="shared" ca="1" si="179"/>
        <v/>
      </c>
      <c r="T203" s="88" t="str">
        <f t="shared" ca="1" si="180"/>
        <v/>
      </c>
      <c r="U203" s="92" t="str">
        <f t="shared" ca="1" si="181"/>
        <v/>
      </c>
      <c r="V203" s="88" t="str">
        <f t="shared" ca="1" si="182"/>
        <v/>
      </c>
      <c r="W203" s="92" t="str">
        <f t="shared" ca="1" si="183"/>
        <v/>
      </c>
      <c r="X203" s="88" t="str">
        <f t="shared" ca="1" si="184"/>
        <v/>
      </c>
      <c r="Y203" s="92" t="str">
        <f t="shared" ca="1" si="185"/>
        <v/>
      </c>
      <c r="Z203" s="88" t="str">
        <f t="shared" ca="1" si="186"/>
        <v/>
      </c>
      <c r="AA203" s="89" t="str">
        <f t="shared" ca="1" si="187"/>
        <v/>
      </c>
      <c r="AB203" s="88" t="str">
        <f t="shared" ca="1" si="188"/>
        <v/>
      </c>
      <c r="AC203" s="92" t="str">
        <f t="shared" ca="1" si="189"/>
        <v/>
      </c>
      <c r="AD203" s="88" t="str">
        <f t="shared" ca="1" si="190"/>
        <v/>
      </c>
      <c r="AE203" s="92" t="str">
        <f t="shared" ca="1" si="191"/>
        <v/>
      </c>
      <c r="AF203" s="88" t="str">
        <f t="shared" ca="1" si="192"/>
        <v/>
      </c>
      <c r="AG203" s="92" t="str">
        <f t="shared" ca="1" si="193"/>
        <v/>
      </c>
      <c r="AH203" s="88" t="str">
        <f t="shared" ca="1" si="194"/>
        <v/>
      </c>
      <c r="AI203" s="92" t="str">
        <f t="shared" ca="1" si="195"/>
        <v/>
      </c>
      <c r="AJ203" s="88" t="str">
        <f t="shared" ca="1" si="196"/>
        <v/>
      </c>
      <c r="AK203" s="92" t="str">
        <f t="shared" ca="1" si="197"/>
        <v/>
      </c>
      <c r="AL203" s="77" t="str">
        <f t="shared" ca="1" si="198"/>
        <v/>
      </c>
      <c r="AM203" s="89" t="str">
        <f t="shared" ca="1" si="199"/>
        <v/>
      </c>
      <c r="AN203" s="88" t="str">
        <f t="shared" ca="1" si="200"/>
        <v/>
      </c>
      <c r="AO203" s="89" t="str">
        <f t="shared" ca="1" si="201"/>
        <v/>
      </c>
      <c r="AP203" s="77" t="str">
        <f t="shared" ca="1" si="202"/>
        <v/>
      </c>
      <c r="AQ203" s="94" t="str">
        <f t="shared" ca="1" si="203"/>
        <v/>
      </c>
      <c r="AR203" s="77" t="str">
        <f t="shared" ca="1" si="204"/>
        <v/>
      </c>
      <c r="AS203" s="94" t="str">
        <f t="shared" ca="1" si="205"/>
        <v/>
      </c>
      <c r="AT203" s="77" t="str">
        <f t="shared" ca="1" si="206"/>
        <v/>
      </c>
      <c r="AU203" s="93" t="str">
        <f t="shared" ca="1" si="207"/>
        <v/>
      </c>
      <c r="AV203" s="77" t="str">
        <f t="shared" ca="1" si="208"/>
        <v/>
      </c>
      <c r="AW203" s="93" t="str">
        <f t="shared" ca="1" si="209"/>
        <v/>
      </c>
      <c r="AX203" s="77" t="str">
        <f t="shared" ca="1" si="210"/>
        <v/>
      </c>
      <c r="AY203" s="93" t="str">
        <f t="shared" ca="1" si="211"/>
        <v/>
      </c>
      <c r="AZ203" s="77" t="str">
        <f t="shared" ca="1" si="212"/>
        <v/>
      </c>
      <c r="BA203" s="93" t="str">
        <f t="shared" ca="1" si="213"/>
        <v/>
      </c>
      <c r="BB203" s="77" t="str">
        <f t="shared" ca="1" si="214"/>
        <v/>
      </c>
      <c r="BC203" s="93" t="str">
        <f t="shared" ca="1" si="215"/>
        <v/>
      </c>
    </row>
    <row r="204" spans="1:55" ht="15.95" customHeight="1" x14ac:dyDescent="0.2">
      <c r="A204" s="41" t="str">
        <f>IF(Customization!B204="","",Customization!B204)</f>
        <v/>
      </c>
      <c r="B204" s="79" t="str">
        <f t="shared" ca="1" si="164"/>
        <v/>
      </c>
      <c r="C204" s="29" t="str">
        <f t="shared" ca="1" si="165"/>
        <v/>
      </c>
      <c r="D204" s="7" t="str">
        <f t="shared" ca="1" si="162"/>
        <v/>
      </c>
      <c r="E204" s="29" t="str">
        <f t="shared" ca="1" si="166"/>
        <v/>
      </c>
      <c r="F204" s="7" t="str">
        <f t="shared" ca="1" si="163"/>
        <v/>
      </c>
      <c r="G204" s="29" t="str">
        <f t="shared" ca="1" si="167"/>
        <v/>
      </c>
      <c r="H204" s="7" t="str">
        <f t="shared" ca="1" si="168"/>
        <v/>
      </c>
      <c r="I204" s="28" t="str">
        <f t="shared" ca="1" si="169"/>
        <v/>
      </c>
      <c r="J204" s="7" t="str">
        <f t="shared" ca="1" si="170"/>
        <v/>
      </c>
      <c r="K204" s="73" t="str">
        <f t="shared" ca="1" si="171"/>
        <v/>
      </c>
      <c r="L204" s="74" t="str">
        <f t="shared" ca="1" si="172"/>
        <v/>
      </c>
      <c r="M204" s="75" t="str">
        <f t="shared" ca="1" si="173"/>
        <v/>
      </c>
      <c r="N204" s="76" t="str">
        <f t="shared" ca="1" si="174"/>
        <v/>
      </c>
      <c r="O204" s="75" t="str">
        <f t="shared" ca="1" si="175"/>
        <v/>
      </c>
      <c r="P204" s="76" t="str">
        <f t="shared" ca="1" si="176"/>
        <v/>
      </c>
      <c r="Q204" s="75" t="str">
        <f t="shared" ca="1" si="177"/>
        <v/>
      </c>
      <c r="R204" s="77" t="str">
        <f t="shared" ca="1" si="178"/>
        <v/>
      </c>
      <c r="S204" s="89" t="str">
        <f t="shared" ca="1" si="179"/>
        <v/>
      </c>
      <c r="T204" s="88" t="str">
        <f t="shared" ca="1" si="180"/>
        <v/>
      </c>
      <c r="U204" s="92" t="str">
        <f t="shared" ca="1" si="181"/>
        <v/>
      </c>
      <c r="V204" s="88" t="str">
        <f t="shared" ca="1" si="182"/>
        <v/>
      </c>
      <c r="W204" s="92" t="str">
        <f t="shared" ca="1" si="183"/>
        <v/>
      </c>
      <c r="X204" s="88" t="str">
        <f t="shared" ca="1" si="184"/>
        <v/>
      </c>
      <c r="Y204" s="92" t="str">
        <f t="shared" ca="1" si="185"/>
        <v/>
      </c>
      <c r="Z204" s="88" t="str">
        <f t="shared" ca="1" si="186"/>
        <v/>
      </c>
      <c r="AA204" s="89" t="str">
        <f t="shared" ca="1" si="187"/>
        <v/>
      </c>
      <c r="AB204" s="88" t="str">
        <f t="shared" ca="1" si="188"/>
        <v/>
      </c>
      <c r="AC204" s="92" t="str">
        <f t="shared" ca="1" si="189"/>
        <v/>
      </c>
      <c r="AD204" s="88" t="str">
        <f t="shared" ca="1" si="190"/>
        <v/>
      </c>
      <c r="AE204" s="92" t="str">
        <f t="shared" ca="1" si="191"/>
        <v/>
      </c>
      <c r="AF204" s="88" t="str">
        <f t="shared" ca="1" si="192"/>
        <v/>
      </c>
      <c r="AG204" s="92" t="str">
        <f t="shared" ca="1" si="193"/>
        <v/>
      </c>
      <c r="AH204" s="88" t="str">
        <f t="shared" ca="1" si="194"/>
        <v/>
      </c>
      <c r="AI204" s="92" t="str">
        <f t="shared" ca="1" si="195"/>
        <v/>
      </c>
      <c r="AJ204" s="88" t="str">
        <f t="shared" ca="1" si="196"/>
        <v/>
      </c>
      <c r="AK204" s="92" t="str">
        <f t="shared" ca="1" si="197"/>
        <v/>
      </c>
      <c r="AL204" s="77" t="str">
        <f t="shared" ca="1" si="198"/>
        <v/>
      </c>
      <c r="AM204" s="89" t="str">
        <f t="shared" ca="1" si="199"/>
        <v/>
      </c>
      <c r="AN204" s="88" t="str">
        <f t="shared" ca="1" si="200"/>
        <v/>
      </c>
      <c r="AO204" s="89" t="str">
        <f t="shared" ca="1" si="201"/>
        <v/>
      </c>
      <c r="AP204" s="77" t="str">
        <f t="shared" ca="1" si="202"/>
        <v/>
      </c>
      <c r="AQ204" s="94" t="str">
        <f t="shared" ca="1" si="203"/>
        <v/>
      </c>
      <c r="AR204" s="77" t="str">
        <f t="shared" ca="1" si="204"/>
        <v/>
      </c>
      <c r="AS204" s="94" t="str">
        <f t="shared" ca="1" si="205"/>
        <v/>
      </c>
      <c r="AT204" s="77" t="str">
        <f t="shared" ca="1" si="206"/>
        <v/>
      </c>
      <c r="AU204" s="93" t="str">
        <f t="shared" ca="1" si="207"/>
        <v/>
      </c>
      <c r="AV204" s="77" t="str">
        <f t="shared" ca="1" si="208"/>
        <v/>
      </c>
      <c r="AW204" s="93" t="str">
        <f t="shared" ca="1" si="209"/>
        <v/>
      </c>
      <c r="AX204" s="77" t="str">
        <f t="shared" ca="1" si="210"/>
        <v/>
      </c>
      <c r="AY204" s="93" t="str">
        <f t="shared" ca="1" si="211"/>
        <v/>
      </c>
      <c r="AZ204" s="77" t="str">
        <f t="shared" ca="1" si="212"/>
        <v/>
      </c>
      <c r="BA204" s="93" t="str">
        <f t="shared" ca="1" si="213"/>
        <v/>
      </c>
      <c r="BB204" s="77" t="str">
        <f t="shared" ca="1" si="214"/>
        <v/>
      </c>
      <c r="BC204" s="93" t="str">
        <f t="shared" ca="1" si="215"/>
        <v/>
      </c>
    </row>
    <row r="205" spans="1:55" ht="15.95" customHeight="1" x14ac:dyDescent="0.2">
      <c r="A205" s="41" t="str">
        <f>IF(Customization!B205="","",Customization!B205)</f>
        <v/>
      </c>
      <c r="B205" s="79" t="str">
        <f t="shared" ca="1" si="164"/>
        <v/>
      </c>
      <c r="C205" s="29" t="str">
        <f t="shared" ca="1" si="165"/>
        <v/>
      </c>
      <c r="D205" s="7" t="str">
        <f t="shared" ca="1" si="162"/>
        <v/>
      </c>
      <c r="E205" s="29" t="str">
        <f t="shared" ca="1" si="166"/>
        <v/>
      </c>
      <c r="F205" s="7" t="str">
        <f t="shared" ca="1" si="163"/>
        <v/>
      </c>
      <c r="G205" s="29" t="str">
        <f t="shared" ca="1" si="167"/>
        <v/>
      </c>
      <c r="H205" s="7" t="str">
        <f t="shared" ca="1" si="168"/>
        <v/>
      </c>
      <c r="I205" s="28" t="str">
        <f t="shared" ca="1" si="169"/>
        <v/>
      </c>
      <c r="J205" s="7" t="str">
        <f t="shared" ca="1" si="170"/>
        <v/>
      </c>
      <c r="K205" s="73" t="str">
        <f t="shared" ca="1" si="171"/>
        <v/>
      </c>
      <c r="L205" s="74" t="str">
        <f t="shared" ca="1" si="172"/>
        <v/>
      </c>
      <c r="M205" s="75" t="str">
        <f t="shared" ca="1" si="173"/>
        <v/>
      </c>
      <c r="N205" s="76" t="str">
        <f t="shared" ca="1" si="174"/>
        <v/>
      </c>
      <c r="O205" s="75" t="str">
        <f t="shared" ca="1" si="175"/>
        <v/>
      </c>
      <c r="P205" s="76" t="str">
        <f t="shared" ca="1" si="176"/>
        <v/>
      </c>
      <c r="Q205" s="75" t="str">
        <f t="shared" ca="1" si="177"/>
        <v/>
      </c>
      <c r="R205" s="77" t="str">
        <f t="shared" ca="1" si="178"/>
        <v/>
      </c>
      <c r="S205" s="89" t="str">
        <f t="shared" ca="1" si="179"/>
        <v/>
      </c>
      <c r="T205" s="88" t="str">
        <f t="shared" ca="1" si="180"/>
        <v/>
      </c>
      <c r="U205" s="92" t="str">
        <f t="shared" ca="1" si="181"/>
        <v/>
      </c>
      <c r="V205" s="88" t="str">
        <f t="shared" ca="1" si="182"/>
        <v/>
      </c>
      <c r="W205" s="92" t="str">
        <f t="shared" ca="1" si="183"/>
        <v/>
      </c>
      <c r="X205" s="88" t="str">
        <f t="shared" ca="1" si="184"/>
        <v/>
      </c>
      <c r="Y205" s="92" t="str">
        <f t="shared" ca="1" si="185"/>
        <v/>
      </c>
      <c r="Z205" s="88" t="str">
        <f t="shared" ca="1" si="186"/>
        <v/>
      </c>
      <c r="AA205" s="89" t="str">
        <f t="shared" ca="1" si="187"/>
        <v/>
      </c>
      <c r="AB205" s="88" t="str">
        <f t="shared" ca="1" si="188"/>
        <v/>
      </c>
      <c r="AC205" s="92" t="str">
        <f t="shared" ca="1" si="189"/>
        <v/>
      </c>
      <c r="AD205" s="88" t="str">
        <f t="shared" ca="1" si="190"/>
        <v/>
      </c>
      <c r="AE205" s="92" t="str">
        <f t="shared" ca="1" si="191"/>
        <v/>
      </c>
      <c r="AF205" s="88" t="str">
        <f t="shared" ca="1" si="192"/>
        <v/>
      </c>
      <c r="AG205" s="92" t="str">
        <f t="shared" ca="1" si="193"/>
        <v/>
      </c>
      <c r="AH205" s="88" t="str">
        <f t="shared" ca="1" si="194"/>
        <v/>
      </c>
      <c r="AI205" s="92" t="str">
        <f t="shared" ca="1" si="195"/>
        <v/>
      </c>
      <c r="AJ205" s="88" t="str">
        <f t="shared" ca="1" si="196"/>
        <v/>
      </c>
      <c r="AK205" s="92" t="str">
        <f t="shared" ca="1" si="197"/>
        <v/>
      </c>
      <c r="AL205" s="77" t="str">
        <f t="shared" ca="1" si="198"/>
        <v/>
      </c>
      <c r="AM205" s="89" t="str">
        <f t="shared" ca="1" si="199"/>
        <v/>
      </c>
      <c r="AN205" s="88" t="str">
        <f t="shared" ca="1" si="200"/>
        <v/>
      </c>
      <c r="AO205" s="89" t="str">
        <f t="shared" ca="1" si="201"/>
        <v/>
      </c>
      <c r="AP205" s="77" t="str">
        <f t="shared" ca="1" si="202"/>
        <v/>
      </c>
      <c r="AQ205" s="94" t="str">
        <f t="shared" ca="1" si="203"/>
        <v/>
      </c>
      <c r="AR205" s="77" t="str">
        <f t="shared" ca="1" si="204"/>
        <v/>
      </c>
      <c r="AS205" s="94" t="str">
        <f t="shared" ca="1" si="205"/>
        <v/>
      </c>
      <c r="AT205" s="77" t="str">
        <f t="shared" ca="1" si="206"/>
        <v/>
      </c>
      <c r="AU205" s="93" t="str">
        <f t="shared" ca="1" si="207"/>
        <v/>
      </c>
      <c r="AV205" s="77" t="str">
        <f t="shared" ca="1" si="208"/>
        <v/>
      </c>
      <c r="AW205" s="93" t="str">
        <f t="shared" ca="1" si="209"/>
        <v/>
      </c>
      <c r="AX205" s="77" t="str">
        <f t="shared" ca="1" si="210"/>
        <v/>
      </c>
      <c r="AY205" s="93" t="str">
        <f t="shared" ca="1" si="211"/>
        <v/>
      </c>
      <c r="AZ205" s="77" t="str">
        <f t="shared" ca="1" si="212"/>
        <v/>
      </c>
      <c r="BA205" s="93" t="str">
        <f t="shared" ca="1" si="213"/>
        <v/>
      </c>
      <c r="BB205" s="77" t="str">
        <f t="shared" ca="1" si="214"/>
        <v/>
      </c>
      <c r="BC205" s="93" t="str">
        <f t="shared" ca="1" si="215"/>
        <v/>
      </c>
    </row>
    <row r="206" spans="1:55" ht="15.95" customHeight="1" x14ac:dyDescent="0.2">
      <c r="A206" s="41" t="str">
        <f>IF(Customization!B206="","",Customization!B206)</f>
        <v/>
      </c>
      <c r="B206" s="79" t="str">
        <f t="shared" ca="1" si="164"/>
        <v/>
      </c>
      <c r="C206" s="29" t="str">
        <f t="shared" ca="1" si="165"/>
        <v/>
      </c>
      <c r="D206" s="7" t="str">
        <f t="shared" ca="1" si="162"/>
        <v/>
      </c>
      <c r="E206" s="29" t="str">
        <f t="shared" ca="1" si="166"/>
        <v/>
      </c>
      <c r="F206" s="7" t="str">
        <f t="shared" ca="1" si="163"/>
        <v/>
      </c>
      <c r="G206" s="29" t="str">
        <f t="shared" ca="1" si="167"/>
        <v/>
      </c>
      <c r="H206" s="7" t="str">
        <f t="shared" ca="1" si="168"/>
        <v/>
      </c>
      <c r="I206" s="28" t="str">
        <f t="shared" ca="1" si="169"/>
        <v/>
      </c>
      <c r="J206" s="7" t="str">
        <f t="shared" ca="1" si="170"/>
        <v/>
      </c>
      <c r="K206" s="73" t="str">
        <f t="shared" ca="1" si="171"/>
        <v/>
      </c>
      <c r="L206" s="74" t="str">
        <f t="shared" ca="1" si="172"/>
        <v/>
      </c>
      <c r="M206" s="75" t="str">
        <f t="shared" ca="1" si="173"/>
        <v/>
      </c>
      <c r="N206" s="76" t="str">
        <f t="shared" ca="1" si="174"/>
        <v/>
      </c>
      <c r="O206" s="75" t="str">
        <f t="shared" ca="1" si="175"/>
        <v/>
      </c>
      <c r="P206" s="76" t="str">
        <f t="shared" ca="1" si="176"/>
        <v/>
      </c>
      <c r="Q206" s="75" t="str">
        <f t="shared" ca="1" si="177"/>
        <v/>
      </c>
      <c r="R206" s="77" t="str">
        <f t="shared" ca="1" si="178"/>
        <v/>
      </c>
      <c r="S206" s="89" t="str">
        <f t="shared" ca="1" si="179"/>
        <v/>
      </c>
      <c r="T206" s="88" t="str">
        <f t="shared" ca="1" si="180"/>
        <v/>
      </c>
      <c r="U206" s="92" t="str">
        <f t="shared" ca="1" si="181"/>
        <v/>
      </c>
      <c r="V206" s="88" t="str">
        <f t="shared" ca="1" si="182"/>
        <v/>
      </c>
      <c r="W206" s="92" t="str">
        <f t="shared" ca="1" si="183"/>
        <v/>
      </c>
      <c r="X206" s="88" t="str">
        <f t="shared" ca="1" si="184"/>
        <v/>
      </c>
      <c r="Y206" s="92" t="str">
        <f t="shared" ca="1" si="185"/>
        <v/>
      </c>
      <c r="Z206" s="88" t="str">
        <f t="shared" ca="1" si="186"/>
        <v/>
      </c>
      <c r="AA206" s="89" t="str">
        <f t="shared" ca="1" si="187"/>
        <v/>
      </c>
      <c r="AB206" s="88" t="str">
        <f t="shared" ca="1" si="188"/>
        <v/>
      </c>
      <c r="AC206" s="92" t="str">
        <f t="shared" ca="1" si="189"/>
        <v/>
      </c>
      <c r="AD206" s="88" t="str">
        <f t="shared" ca="1" si="190"/>
        <v/>
      </c>
      <c r="AE206" s="92" t="str">
        <f t="shared" ca="1" si="191"/>
        <v/>
      </c>
      <c r="AF206" s="88" t="str">
        <f t="shared" ca="1" si="192"/>
        <v/>
      </c>
      <c r="AG206" s="92" t="str">
        <f t="shared" ca="1" si="193"/>
        <v/>
      </c>
      <c r="AH206" s="88" t="str">
        <f t="shared" ca="1" si="194"/>
        <v/>
      </c>
      <c r="AI206" s="92" t="str">
        <f t="shared" ca="1" si="195"/>
        <v/>
      </c>
      <c r="AJ206" s="88" t="str">
        <f t="shared" ca="1" si="196"/>
        <v/>
      </c>
      <c r="AK206" s="92" t="str">
        <f t="shared" ca="1" si="197"/>
        <v/>
      </c>
      <c r="AL206" s="77" t="str">
        <f t="shared" ca="1" si="198"/>
        <v/>
      </c>
      <c r="AM206" s="89" t="str">
        <f t="shared" ca="1" si="199"/>
        <v/>
      </c>
      <c r="AN206" s="88" t="str">
        <f t="shared" ca="1" si="200"/>
        <v/>
      </c>
      <c r="AO206" s="89" t="str">
        <f t="shared" ca="1" si="201"/>
        <v/>
      </c>
      <c r="AP206" s="77" t="str">
        <f t="shared" ca="1" si="202"/>
        <v/>
      </c>
      <c r="AQ206" s="94" t="str">
        <f t="shared" ca="1" si="203"/>
        <v/>
      </c>
      <c r="AR206" s="77" t="str">
        <f t="shared" ca="1" si="204"/>
        <v/>
      </c>
      <c r="AS206" s="94" t="str">
        <f t="shared" ca="1" si="205"/>
        <v/>
      </c>
      <c r="AT206" s="77" t="str">
        <f t="shared" ca="1" si="206"/>
        <v/>
      </c>
      <c r="AU206" s="93" t="str">
        <f t="shared" ca="1" si="207"/>
        <v/>
      </c>
      <c r="AV206" s="77" t="str">
        <f t="shared" ca="1" si="208"/>
        <v/>
      </c>
      <c r="AW206" s="93" t="str">
        <f t="shared" ca="1" si="209"/>
        <v/>
      </c>
      <c r="AX206" s="77" t="str">
        <f t="shared" ca="1" si="210"/>
        <v/>
      </c>
      <c r="AY206" s="93" t="str">
        <f t="shared" ca="1" si="211"/>
        <v/>
      </c>
      <c r="AZ206" s="77" t="str">
        <f t="shared" ca="1" si="212"/>
        <v/>
      </c>
      <c r="BA206" s="93" t="str">
        <f t="shared" ca="1" si="213"/>
        <v/>
      </c>
      <c r="BB206" s="77" t="str">
        <f t="shared" ca="1" si="214"/>
        <v/>
      </c>
      <c r="BC206" s="93" t="str">
        <f t="shared" ca="1" si="215"/>
        <v/>
      </c>
    </row>
    <row r="207" spans="1:55" ht="15.95" customHeight="1" x14ac:dyDescent="0.2">
      <c r="A207" s="41" t="str">
        <f>IF(Customization!B207="","",Customization!B207)</f>
        <v/>
      </c>
      <c r="B207" s="79" t="str">
        <f t="shared" ca="1" si="164"/>
        <v/>
      </c>
      <c r="C207" s="29" t="str">
        <f t="shared" ca="1" si="165"/>
        <v/>
      </c>
      <c r="D207" s="7" t="str">
        <f t="shared" ca="1" si="162"/>
        <v/>
      </c>
      <c r="E207" s="29" t="str">
        <f t="shared" ca="1" si="166"/>
        <v/>
      </c>
      <c r="F207" s="7" t="str">
        <f t="shared" ca="1" si="163"/>
        <v/>
      </c>
      <c r="G207" s="29" t="str">
        <f t="shared" ca="1" si="167"/>
        <v/>
      </c>
      <c r="H207" s="7" t="str">
        <f t="shared" ca="1" si="168"/>
        <v/>
      </c>
      <c r="I207" s="28" t="str">
        <f t="shared" ca="1" si="169"/>
        <v/>
      </c>
      <c r="J207" s="7" t="str">
        <f t="shared" ca="1" si="170"/>
        <v/>
      </c>
      <c r="K207" s="73" t="str">
        <f t="shared" ca="1" si="171"/>
        <v/>
      </c>
      <c r="L207" s="74" t="str">
        <f t="shared" ca="1" si="172"/>
        <v/>
      </c>
      <c r="M207" s="75" t="str">
        <f t="shared" ca="1" si="173"/>
        <v/>
      </c>
      <c r="N207" s="76" t="str">
        <f t="shared" ca="1" si="174"/>
        <v/>
      </c>
      <c r="O207" s="75" t="str">
        <f t="shared" ca="1" si="175"/>
        <v/>
      </c>
      <c r="P207" s="76" t="str">
        <f t="shared" ca="1" si="176"/>
        <v/>
      </c>
      <c r="Q207" s="75" t="str">
        <f t="shared" ca="1" si="177"/>
        <v/>
      </c>
      <c r="R207" s="77" t="str">
        <f t="shared" ca="1" si="178"/>
        <v/>
      </c>
      <c r="S207" s="89" t="str">
        <f t="shared" ca="1" si="179"/>
        <v/>
      </c>
      <c r="T207" s="88" t="str">
        <f t="shared" ca="1" si="180"/>
        <v/>
      </c>
      <c r="U207" s="92" t="str">
        <f t="shared" ca="1" si="181"/>
        <v/>
      </c>
      <c r="V207" s="88" t="str">
        <f t="shared" ca="1" si="182"/>
        <v/>
      </c>
      <c r="W207" s="92" t="str">
        <f t="shared" ca="1" si="183"/>
        <v/>
      </c>
      <c r="X207" s="88" t="str">
        <f t="shared" ca="1" si="184"/>
        <v/>
      </c>
      <c r="Y207" s="92" t="str">
        <f t="shared" ca="1" si="185"/>
        <v/>
      </c>
      <c r="Z207" s="88" t="str">
        <f t="shared" ca="1" si="186"/>
        <v/>
      </c>
      <c r="AA207" s="89" t="str">
        <f t="shared" ca="1" si="187"/>
        <v/>
      </c>
      <c r="AB207" s="88" t="str">
        <f t="shared" ca="1" si="188"/>
        <v/>
      </c>
      <c r="AC207" s="92" t="str">
        <f t="shared" ca="1" si="189"/>
        <v/>
      </c>
      <c r="AD207" s="88" t="str">
        <f t="shared" ca="1" si="190"/>
        <v/>
      </c>
      <c r="AE207" s="92" t="str">
        <f t="shared" ca="1" si="191"/>
        <v/>
      </c>
      <c r="AF207" s="88" t="str">
        <f t="shared" ca="1" si="192"/>
        <v/>
      </c>
      <c r="AG207" s="92" t="str">
        <f t="shared" ca="1" si="193"/>
        <v/>
      </c>
      <c r="AH207" s="88" t="str">
        <f t="shared" ca="1" si="194"/>
        <v/>
      </c>
      <c r="AI207" s="92" t="str">
        <f t="shared" ca="1" si="195"/>
        <v/>
      </c>
      <c r="AJ207" s="88" t="str">
        <f t="shared" ca="1" si="196"/>
        <v/>
      </c>
      <c r="AK207" s="92" t="str">
        <f t="shared" ca="1" si="197"/>
        <v/>
      </c>
      <c r="AL207" s="77" t="str">
        <f t="shared" ca="1" si="198"/>
        <v/>
      </c>
      <c r="AM207" s="89" t="str">
        <f t="shared" ca="1" si="199"/>
        <v/>
      </c>
      <c r="AN207" s="88" t="str">
        <f t="shared" ca="1" si="200"/>
        <v/>
      </c>
      <c r="AO207" s="89" t="str">
        <f t="shared" ca="1" si="201"/>
        <v/>
      </c>
      <c r="AP207" s="77" t="str">
        <f t="shared" ca="1" si="202"/>
        <v/>
      </c>
      <c r="AQ207" s="94" t="str">
        <f t="shared" ca="1" si="203"/>
        <v/>
      </c>
      <c r="AR207" s="77" t="str">
        <f t="shared" ca="1" si="204"/>
        <v/>
      </c>
      <c r="AS207" s="94" t="str">
        <f t="shared" ca="1" si="205"/>
        <v/>
      </c>
      <c r="AT207" s="77" t="str">
        <f t="shared" ca="1" si="206"/>
        <v/>
      </c>
      <c r="AU207" s="93" t="str">
        <f t="shared" ca="1" si="207"/>
        <v/>
      </c>
      <c r="AV207" s="77" t="str">
        <f t="shared" ca="1" si="208"/>
        <v/>
      </c>
      <c r="AW207" s="93" t="str">
        <f t="shared" ca="1" si="209"/>
        <v/>
      </c>
      <c r="AX207" s="77" t="str">
        <f t="shared" ca="1" si="210"/>
        <v/>
      </c>
      <c r="AY207" s="93" t="str">
        <f t="shared" ca="1" si="211"/>
        <v/>
      </c>
      <c r="AZ207" s="77" t="str">
        <f t="shared" ca="1" si="212"/>
        <v/>
      </c>
      <c r="BA207" s="93" t="str">
        <f t="shared" ca="1" si="213"/>
        <v/>
      </c>
      <c r="BB207" s="77" t="str">
        <f t="shared" ca="1" si="214"/>
        <v/>
      </c>
      <c r="BC207" s="93" t="str">
        <f t="shared" ca="1" si="215"/>
        <v/>
      </c>
    </row>
    <row r="208" spans="1:55" ht="15.95" customHeight="1" x14ac:dyDescent="0.2">
      <c r="A208" s="41" t="str">
        <f>IF(Customization!B208="","",Customization!B208)</f>
        <v/>
      </c>
      <c r="B208" s="79" t="str">
        <f t="shared" ca="1" si="164"/>
        <v/>
      </c>
      <c r="C208" s="29" t="str">
        <f t="shared" ca="1" si="165"/>
        <v/>
      </c>
      <c r="D208" s="7" t="str">
        <f t="shared" ca="1" si="162"/>
        <v/>
      </c>
      <c r="E208" s="29" t="str">
        <f t="shared" ca="1" si="166"/>
        <v/>
      </c>
      <c r="F208" s="7" t="str">
        <f t="shared" ca="1" si="163"/>
        <v/>
      </c>
      <c r="G208" s="29" t="str">
        <f t="shared" ca="1" si="167"/>
        <v/>
      </c>
      <c r="H208" s="7" t="str">
        <f t="shared" ca="1" si="168"/>
        <v/>
      </c>
      <c r="I208" s="28" t="str">
        <f t="shared" ca="1" si="169"/>
        <v/>
      </c>
      <c r="J208" s="7" t="str">
        <f t="shared" ca="1" si="170"/>
        <v/>
      </c>
      <c r="K208" s="73" t="str">
        <f t="shared" ca="1" si="171"/>
        <v/>
      </c>
      <c r="L208" s="74" t="str">
        <f t="shared" ca="1" si="172"/>
        <v/>
      </c>
      <c r="M208" s="75" t="str">
        <f t="shared" ca="1" si="173"/>
        <v/>
      </c>
      <c r="N208" s="76" t="str">
        <f t="shared" ca="1" si="174"/>
        <v/>
      </c>
      <c r="O208" s="75" t="str">
        <f t="shared" ca="1" si="175"/>
        <v/>
      </c>
      <c r="P208" s="76" t="str">
        <f t="shared" ca="1" si="176"/>
        <v/>
      </c>
      <c r="Q208" s="75" t="str">
        <f t="shared" ca="1" si="177"/>
        <v/>
      </c>
      <c r="R208" s="77" t="str">
        <f t="shared" ca="1" si="178"/>
        <v/>
      </c>
      <c r="S208" s="89" t="str">
        <f t="shared" ca="1" si="179"/>
        <v/>
      </c>
      <c r="T208" s="88" t="str">
        <f t="shared" ca="1" si="180"/>
        <v/>
      </c>
      <c r="U208" s="92" t="str">
        <f t="shared" ca="1" si="181"/>
        <v/>
      </c>
      <c r="V208" s="88" t="str">
        <f t="shared" ca="1" si="182"/>
        <v/>
      </c>
      <c r="W208" s="92" t="str">
        <f t="shared" ca="1" si="183"/>
        <v/>
      </c>
      <c r="X208" s="88" t="str">
        <f t="shared" ca="1" si="184"/>
        <v/>
      </c>
      <c r="Y208" s="92" t="str">
        <f t="shared" ca="1" si="185"/>
        <v/>
      </c>
      <c r="Z208" s="88" t="str">
        <f t="shared" ca="1" si="186"/>
        <v/>
      </c>
      <c r="AA208" s="89" t="str">
        <f t="shared" ca="1" si="187"/>
        <v/>
      </c>
      <c r="AB208" s="88" t="str">
        <f t="shared" ca="1" si="188"/>
        <v/>
      </c>
      <c r="AC208" s="92" t="str">
        <f t="shared" ca="1" si="189"/>
        <v/>
      </c>
      <c r="AD208" s="88" t="str">
        <f t="shared" ca="1" si="190"/>
        <v/>
      </c>
      <c r="AE208" s="92" t="str">
        <f t="shared" ca="1" si="191"/>
        <v/>
      </c>
      <c r="AF208" s="88" t="str">
        <f t="shared" ca="1" si="192"/>
        <v/>
      </c>
      <c r="AG208" s="92" t="str">
        <f t="shared" ca="1" si="193"/>
        <v/>
      </c>
      <c r="AH208" s="88" t="str">
        <f t="shared" ca="1" si="194"/>
        <v/>
      </c>
      <c r="AI208" s="92" t="str">
        <f t="shared" ca="1" si="195"/>
        <v/>
      </c>
      <c r="AJ208" s="88" t="str">
        <f t="shared" ca="1" si="196"/>
        <v/>
      </c>
      <c r="AK208" s="92" t="str">
        <f t="shared" ca="1" si="197"/>
        <v/>
      </c>
      <c r="AL208" s="77" t="str">
        <f t="shared" ca="1" si="198"/>
        <v/>
      </c>
      <c r="AM208" s="89" t="str">
        <f t="shared" ca="1" si="199"/>
        <v/>
      </c>
      <c r="AN208" s="88" t="str">
        <f t="shared" ca="1" si="200"/>
        <v/>
      </c>
      <c r="AO208" s="89" t="str">
        <f t="shared" ca="1" si="201"/>
        <v/>
      </c>
      <c r="AP208" s="77" t="str">
        <f t="shared" ca="1" si="202"/>
        <v/>
      </c>
      <c r="AQ208" s="94" t="str">
        <f t="shared" ca="1" si="203"/>
        <v/>
      </c>
      <c r="AR208" s="77" t="str">
        <f t="shared" ca="1" si="204"/>
        <v/>
      </c>
      <c r="AS208" s="94" t="str">
        <f t="shared" ca="1" si="205"/>
        <v/>
      </c>
      <c r="AT208" s="77" t="str">
        <f t="shared" ca="1" si="206"/>
        <v/>
      </c>
      <c r="AU208" s="93" t="str">
        <f t="shared" ca="1" si="207"/>
        <v/>
      </c>
      <c r="AV208" s="77" t="str">
        <f t="shared" ca="1" si="208"/>
        <v/>
      </c>
      <c r="AW208" s="93" t="str">
        <f t="shared" ca="1" si="209"/>
        <v/>
      </c>
      <c r="AX208" s="77" t="str">
        <f t="shared" ca="1" si="210"/>
        <v/>
      </c>
      <c r="AY208" s="93" t="str">
        <f t="shared" ca="1" si="211"/>
        <v/>
      </c>
      <c r="AZ208" s="77" t="str">
        <f t="shared" ca="1" si="212"/>
        <v/>
      </c>
      <c r="BA208" s="93" t="str">
        <f t="shared" ca="1" si="213"/>
        <v/>
      </c>
      <c r="BB208" s="77" t="str">
        <f t="shared" ca="1" si="214"/>
        <v/>
      </c>
      <c r="BC208" s="93" t="str">
        <f t="shared" ca="1" si="215"/>
        <v/>
      </c>
    </row>
    <row r="209" spans="1:55" ht="15.95" customHeight="1" x14ac:dyDescent="0.2">
      <c r="A209" s="41" t="str">
        <f>IF(Customization!B209="","",Customization!B209)</f>
        <v/>
      </c>
      <c r="B209" s="79" t="str">
        <f t="shared" ca="1" si="164"/>
        <v/>
      </c>
      <c r="C209" s="29" t="str">
        <f t="shared" ca="1" si="165"/>
        <v/>
      </c>
      <c r="D209" s="7" t="str">
        <f t="shared" ca="1" si="162"/>
        <v/>
      </c>
      <c r="E209" s="29" t="str">
        <f t="shared" ca="1" si="166"/>
        <v/>
      </c>
      <c r="F209" s="7" t="str">
        <f t="shared" ca="1" si="163"/>
        <v/>
      </c>
      <c r="G209" s="29" t="str">
        <f t="shared" ca="1" si="167"/>
        <v/>
      </c>
      <c r="H209" s="7" t="str">
        <f t="shared" ca="1" si="168"/>
        <v/>
      </c>
      <c r="I209" s="28" t="str">
        <f t="shared" ca="1" si="169"/>
        <v/>
      </c>
      <c r="J209" s="7" t="str">
        <f t="shared" ca="1" si="170"/>
        <v/>
      </c>
      <c r="K209" s="73" t="str">
        <f t="shared" ca="1" si="171"/>
        <v/>
      </c>
      <c r="L209" s="74" t="str">
        <f t="shared" ca="1" si="172"/>
        <v/>
      </c>
      <c r="M209" s="75" t="str">
        <f t="shared" ca="1" si="173"/>
        <v/>
      </c>
      <c r="N209" s="76" t="str">
        <f t="shared" ca="1" si="174"/>
        <v/>
      </c>
      <c r="O209" s="75" t="str">
        <f t="shared" ca="1" si="175"/>
        <v/>
      </c>
      <c r="P209" s="76" t="str">
        <f t="shared" ca="1" si="176"/>
        <v/>
      </c>
      <c r="Q209" s="75" t="str">
        <f t="shared" ca="1" si="177"/>
        <v/>
      </c>
      <c r="R209" s="77" t="str">
        <f t="shared" ca="1" si="178"/>
        <v/>
      </c>
      <c r="S209" s="89" t="str">
        <f t="shared" ca="1" si="179"/>
        <v/>
      </c>
      <c r="T209" s="88" t="str">
        <f t="shared" ca="1" si="180"/>
        <v/>
      </c>
      <c r="U209" s="92" t="str">
        <f t="shared" ca="1" si="181"/>
        <v/>
      </c>
      <c r="V209" s="88" t="str">
        <f t="shared" ca="1" si="182"/>
        <v/>
      </c>
      <c r="W209" s="92" t="str">
        <f t="shared" ca="1" si="183"/>
        <v/>
      </c>
      <c r="X209" s="88" t="str">
        <f t="shared" ca="1" si="184"/>
        <v/>
      </c>
      <c r="Y209" s="92" t="str">
        <f t="shared" ca="1" si="185"/>
        <v/>
      </c>
      <c r="Z209" s="88" t="str">
        <f t="shared" ca="1" si="186"/>
        <v/>
      </c>
      <c r="AA209" s="89" t="str">
        <f t="shared" ca="1" si="187"/>
        <v/>
      </c>
      <c r="AB209" s="88" t="str">
        <f t="shared" ca="1" si="188"/>
        <v/>
      </c>
      <c r="AC209" s="92" t="str">
        <f t="shared" ca="1" si="189"/>
        <v/>
      </c>
      <c r="AD209" s="88" t="str">
        <f t="shared" ca="1" si="190"/>
        <v/>
      </c>
      <c r="AE209" s="92" t="str">
        <f t="shared" ca="1" si="191"/>
        <v/>
      </c>
      <c r="AF209" s="88" t="str">
        <f t="shared" ca="1" si="192"/>
        <v/>
      </c>
      <c r="AG209" s="92" t="str">
        <f t="shared" ca="1" si="193"/>
        <v/>
      </c>
      <c r="AH209" s="88" t="str">
        <f t="shared" ca="1" si="194"/>
        <v/>
      </c>
      <c r="AI209" s="92" t="str">
        <f t="shared" ca="1" si="195"/>
        <v/>
      </c>
      <c r="AJ209" s="88" t="str">
        <f t="shared" ca="1" si="196"/>
        <v/>
      </c>
      <c r="AK209" s="92" t="str">
        <f t="shared" ca="1" si="197"/>
        <v/>
      </c>
      <c r="AL209" s="77" t="str">
        <f t="shared" ca="1" si="198"/>
        <v/>
      </c>
      <c r="AM209" s="89" t="str">
        <f t="shared" ca="1" si="199"/>
        <v/>
      </c>
      <c r="AN209" s="88" t="str">
        <f t="shared" ca="1" si="200"/>
        <v/>
      </c>
      <c r="AO209" s="89" t="str">
        <f t="shared" ca="1" si="201"/>
        <v/>
      </c>
      <c r="AP209" s="77" t="str">
        <f t="shared" ca="1" si="202"/>
        <v/>
      </c>
      <c r="AQ209" s="94" t="str">
        <f t="shared" ca="1" si="203"/>
        <v/>
      </c>
      <c r="AR209" s="77" t="str">
        <f t="shared" ca="1" si="204"/>
        <v/>
      </c>
      <c r="AS209" s="94" t="str">
        <f t="shared" ca="1" si="205"/>
        <v/>
      </c>
      <c r="AT209" s="77" t="str">
        <f t="shared" ca="1" si="206"/>
        <v/>
      </c>
      <c r="AU209" s="93" t="str">
        <f t="shared" ca="1" si="207"/>
        <v/>
      </c>
      <c r="AV209" s="77" t="str">
        <f t="shared" ca="1" si="208"/>
        <v/>
      </c>
      <c r="AW209" s="93" t="str">
        <f t="shared" ca="1" si="209"/>
        <v/>
      </c>
      <c r="AX209" s="77" t="str">
        <f t="shared" ca="1" si="210"/>
        <v/>
      </c>
      <c r="AY209" s="93" t="str">
        <f t="shared" ca="1" si="211"/>
        <v/>
      </c>
      <c r="AZ209" s="77" t="str">
        <f t="shared" ca="1" si="212"/>
        <v/>
      </c>
      <c r="BA209" s="93" t="str">
        <f t="shared" ca="1" si="213"/>
        <v/>
      </c>
      <c r="BB209" s="77" t="str">
        <f t="shared" ca="1" si="214"/>
        <v/>
      </c>
      <c r="BC209" s="93" t="str">
        <f t="shared" ca="1" si="215"/>
        <v/>
      </c>
    </row>
    <row r="210" spans="1:55" ht="15.95" customHeight="1" x14ac:dyDescent="0.2">
      <c r="A210" s="41" t="str">
        <f>IF(Customization!B210="","",Customization!B210)</f>
        <v/>
      </c>
      <c r="B210" s="79" t="str">
        <f t="shared" ca="1" si="164"/>
        <v/>
      </c>
      <c r="C210" s="29" t="str">
        <f t="shared" ca="1" si="165"/>
        <v/>
      </c>
      <c r="D210" s="7" t="str">
        <f t="shared" ca="1" si="162"/>
        <v/>
      </c>
      <c r="E210" s="29" t="str">
        <f t="shared" ca="1" si="166"/>
        <v/>
      </c>
      <c r="F210" s="7" t="str">
        <f t="shared" ca="1" si="163"/>
        <v/>
      </c>
      <c r="G210" s="29" t="str">
        <f t="shared" ca="1" si="167"/>
        <v/>
      </c>
      <c r="H210" s="7" t="str">
        <f t="shared" ca="1" si="168"/>
        <v/>
      </c>
      <c r="I210" s="28" t="str">
        <f t="shared" ca="1" si="169"/>
        <v/>
      </c>
      <c r="J210" s="7" t="str">
        <f t="shared" ca="1" si="170"/>
        <v/>
      </c>
      <c r="K210" s="73" t="str">
        <f t="shared" ca="1" si="171"/>
        <v/>
      </c>
      <c r="L210" s="74" t="str">
        <f t="shared" ca="1" si="172"/>
        <v/>
      </c>
      <c r="M210" s="75" t="str">
        <f t="shared" ca="1" si="173"/>
        <v/>
      </c>
      <c r="N210" s="76" t="str">
        <f t="shared" ca="1" si="174"/>
        <v/>
      </c>
      <c r="O210" s="75" t="str">
        <f t="shared" ca="1" si="175"/>
        <v/>
      </c>
      <c r="P210" s="76" t="str">
        <f t="shared" ca="1" si="176"/>
        <v/>
      </c>
      <c r="Q210" s="75" t="str">
        <f t="shared" ca="1" si="177"/>
        <v/>
      </c>
      <c r="R210" s="77" t="str">
        <f t="shared" ca="1" si="178"/>
        <v/>
      </c>
      <c r="S210" s="89" t="str">
        <f t="shared" ca="1" si="179"/>
        <v/>
      </c>
      <c r="T210" s="88" t="str">
        <f t="shared" ca="1" si="180"/>
        <v/>
      </c>
      <c r="U210" s="92" t="str">
        <f t="shared" ca="1" si="181"/>
        <v/>
      </c>
      <c r="V210" s="88" t="str">
        <f t="shared" ca="1" si="182"/>
        <v/>
      </c>
      <c r="W210" s="92" t="str">
        <f t="shared" ca="1" si="183"/>
        <v/>
      </c>
      <c r="X210" s="88" t="str">
        <f t="shared" ca="1" si="184"/>
        <v/>
      </c>
      <c r="Y210" s="92" t="str">
        <f t="shared" ca="1" si="185"/>
        <v/>
      </c>
      <c r="Z210" s="88" t="str">
        <f t="shared" ca="1" si="186"/>
        <v/>
      </c>
      <c r="AA210" s="89" t="str">
        <f t="shared" ca="1" si="187"/>
        <v/>
      </c>
      <c r="AB210" s="88" t="str">
        <f t="shared" ca="1" si="188"/>
        <v/>
      </c>
      <c r="AC210" s="92" t="str">
        <f t="shared" ca="1" si="189"/>
        <v/>
      </c>
      <c r="AD210" s="88" t="str">
        <f t="shared" ca="1" si="190"/>
        <v/>
      </c>
      <c r="AE210" s="92" t="str">
        <f t="shared" ca="1" si="191"/>
        <v/>
      </c>
      <c r="AF210" s="88" t="str">
        <f t="shared" ca="1" si="192"/>
        <v/>
      </c>
      <c r="AG210" s="92" t="str">
        <f t="shared" ca="1" si="193"/>
        <v/>
      </c>
      <c r="AH210" s="88" t="str">
        <f t="shared" ca="1" si="194"/>
        <v/>
      </c>
      <c r="AI210" s="92" t="str">
        <f t="shared" ca="1" si="195"/>
        <v/>
      </c>
      <c r="AJ210" s="88" t="str">
        <f t="shared" ca="1" si="196"/>
        <v/>
      </c>
      <c r="AK210" s="92" t="str">
        <f t="shared" ca="1" si="197"/>
        <v/>
      </c>
      <c r="AL210" s="77" t="str">
        <f t="shared" ca="1" si="198"/>
        <v/>
      </c>
      <c r="AM210" s="89" t="str">
        <f t="shared" ca="1" si="199"/>
        <v/>
      </c>
      <c r="AN210" s="88" t="str">
        <f t="shared" ca="1" si="200"/>
        <v/>
      </c>
      <c r="AO210" s="89" t="str">
        <f t="shared" ca="1" si="201"/>
        <v/>
      </c>
      <c r="AP210" s="77" t="str">
        <f t="shared" ca="1" si="202"/>
        <v/>
      </c>
      <c r="AQ210" s="94" t="str">
        <f t="shared" ca="1" si="203"/>
        <v/>
      </c>
      <c r="AR210" s="77" t="str">
        <f t="shared" ca="1" si="204"/>
        <v/>
      </c>
      <c r="AS210" s="94" t="str">
        <f t="shared" ca="1" si="205"/>
        <v/>
      </c>
      <c r="AT210" s="77" t="str">
        <f t="shared" ca="1" si="206"/>
        <v/>
      </c>
      <c r="AU210" s="93" t="str">
        <f t="shared" ca="1" si="207"/>
        <v/>
      </c>
      <c r="AV210" s="77" t="str">
        <f t="shared" ca="1" si="208"/>
        <v/>
      </c>
      <c r="AW210" s="93" t="str">
        <f t="shared" ca="1" si="209"/>
        <v/>
      </c>
      <c r="AX210" s="77" t="str">
        <f t="shared" ca="1" si="210"/>
        <v/>
      </c>
      <c r="AY210" s="93" t="str">
        <f t="shared" ca="1" si="211"/>
        <v/>
      </c>
      <c r="AZ210" s="77" t="str">
        <f t="shared" ca="1" si="212"/>
        <v/>
      </c>
      <c r="BA210" s="93" t="str">
        <f t="shared" ca="1" si="213"/>
        <v/>
      </c>
      <c r="BB210" s="77" t="str">
        <f t="shared" ca="1" si="214"/>
        <v/>
      </c>
      <c r="BC210" s="93" t="str">
        <f t="shared" ca="1" si="215"/>
        <v/>
      </c>
    </row>
    <row r="211" spans="1:55" ht="15.95" customHeight="1" x14ac:dyDescent="0.2">
      <c r="A211" s="41" t="str">
        <f>IF(Customization!B211="","",Customization!B211)</f>
        <v/>
      </c>
      <c r="B211" s="79" t="str">
        <f t="shared" ca="1" si="164"/>
        <v/>
      </c>
      <c r="C211" s="29" t="str">
        <f t="shared" ca="1" si="165"/>
        <v/>
      </c>
      <c r="D211" s="7" t="str">
        <f t="shared" ca="1" si="162"/>
        <v/>
      </c>
      <c r="E211" s="29" t="str">
        <f t="shared" ca="1" si="166"/>
        <v/>
      </c>
      <c r="F211" s="7" t="str">
        <f t="shared" ca="1" si="163"/>
        <v/>
      </c>
      <c r="G211" s="29" t="str">
        <f t="shared" ca="1" si="167"/>
        <v/>
      </c>
      <c r="H211" s="7" t="str">
        <f t="shared" ca="1" si="168"/>
        <v/>
      </c>
      <c r="I211" s="28" t="str">
        <f t="shared" ca="1" si="169"/>
        <v/>
      </c>
      <c r="J211" s="7" t="str">
        <f t="shared" ca="1" si="170"/>
        <v/>
      </c>
      <c r="K211" s="73" t="str">
        <f t="shared" ca="1" si="171"/>
        <v/>
      </c>
      <c r="L211" s="74" t="str">
        <f t="shared" ca="1" si="172"/>
        <v/>
      </c>
      <c r="M211" s="75" t="str">
        <f t="shared" ca="1" si="173"/>
        <v/>
      </c>
      <c r="N211" s="76" t="str">
        <f t="shared" ca="1" si="174"/>
        <v/>
      </c>
      <c r="O211" s="75" t="str">
        <f t="shared" ca="1" si="175"/>
        <v/>
      </c>
      <c r="P211" s="76" t="str">
        <f t="shared" ca="1" si="176"/>
        <v/>
      </c>
      <c r="Q211" s="75" t="str">
        <f t="shared" ca="1" si="177"/>
        <v/>
      </c>
      <c r="R211" s="77" t="str">
        <f t="shared" ca="1" si="178"/>
        <v/>
      </c>
      <c r="S211" s="89" t="str">
        <f t="shared" ca="1" si="179"/>
        <v/>
      </c>
      <c r="T211" s="88" t="str">
        <f t="shared" ca="1" si="180"/>
        <v/>
      </c>
      <c r="U211" s="92" t="str">
        <f t="shared" ca="1" si="181"/>
        <v/>
      </c>
      <c r="V211" s="88" t="str">
        <f t="shared" ca="1" si="182"/>
        <v/>
      </c>
      <c r="W211" s="92" t="str">
        <f t="shared" ca="1" si="183"/>
        <v/>
      </c>
      <c r="X211" s="88" t="str">
        <f t="shared" ca="1" si="184"/>
        <v/>
      </c>
      <c r="Y211" s="92" t="str">
        <f t="shared" ca="1" si="185"/>
        <v/>
      </c>
      <c r="Z211" s="88" t="str">
        <f t="shared" ca="1" si="186"/>
        <v/>
      </c>
      <c r="AA211" s="89" t="str">
        <f t="shared" ca="1" si="187"/>
        <v/>
      </c>
      <c r="AB211" s="88" t="str">
        <f t="shared" ca="1" si="188"/>
        <v/>
      </c>
      <c r="AC211" s="92" t="str">
        <f t="shared" ca="1" si="189"/>
        <v/>
      </c>
      <c r="AD211" s="88" t="str">
        <f t="shared" ca="1" si="190"/>
        <v/>
      </c>
      <c r="AE211" s="92" t="str">
        <f t="shared" ca="1" si="191"/>
        <v/>
      </c>
      <c r="AF211" s="88" t="str">
        <f t="shared" ca="1" si="192"/>
        <v/>
      </c>
      <c r="AG211" s="92" t="str">
        <f t="shared" ca="1" si="193"/>
        <v/>
      </c>
      <c r="AH211" s="88" t="str">
        <f t="shared" ca="1" si="194"/>
        <v/>
      </c>
      <c r="AI211" s="92" t="str">
        <f t="shared" ca="1" si="195"/>
        <v/>
      </c>
      <c r="AJ211" s="88" t="str">
        <f t="shared" ca="1" si="196"/>
        <v/>
      </c>
      <c r="AK211" s="92" t="str">
        <f t="shared" ca="1" si="197"/>
        <v/>
      </c>
      <c r="AL211" s="77" t="str">
        <f t="shared" ca="1" si="198"/>
        <v/>
      </c>
      <c r="AM211" s="89" t="str">
        <f t="shared" ca="1" si="199"/>
        <v/>
      </c>
      <c r="AN211" s="88" t="str">
        <f t="shared" ca="1" si="200"/>
        <v/>
      </c>
      <c r="AO211" s="89" t="str">
        <f t="shared" ca="1" si="201"/>
        <v/>
      </c>
      <c r="AP211" s="77" t="str">
        <f t="shared" ca="1" si="202"/>
        <v/>
      </c>
      <c r="AQ211" s="94" t="str">
        <f t="shared" ca="1" si="203"/>
        <v/>
      </c>
      <c r="AR211" s="77" t="str">
        <f t="shared" ca="1" si="204"/>
        <v/>
      </c>
      <c r="AS211" s="94" t="str">
        <f t="shared" ca="1" si="205"/>
        <v/>
      </c>
      <c r="AT211" s="77" t="str">
        <f t="shared" ca="1" si="206"/>
        <v/>
      </c>
      <c r="AU211" s="93" t="str">
        <f t="shared" ca="1" si="207"/>
        <v/>
      </c>
      <c r="AV211" s="77" t="str">
        <f t="shared" ca="1" si="208"/>
        <v/>
      </c>
      <c r="AW211" s="93" t="str">
        <f t="shared" ca="1" si="209"/>
        <v/>
      </c>
      <c r="AX211" s="77" t="str">
        <f t="shared" ca="1" si="210"/>
        <v/>
      </c>
      <c r="AY211" s="93" t="str">
        <f t="shared" ca="1" si="211"/>
        <v/>
      </c>
      <c r="AZ211" s="77" t="str">
        <f t="shared" ca="1" si="212"/>
        <v/>
      </c>
      <c r="BA211" s="93" t="str">
        <f t="shared" ca="1" si="213"/>
        <v/>
      </c>
      <c r="BB211" s="77" t="str">
        <f t="shared" ca="1" si="214"/>
        <v/>
      </c>
      <c r="BC211" s="93" t="str">
        <f t="shared" ca="1" si="215"/>
        <v/>
      </c>
    </row>
    <row r="212" spans="1:55" ht="15.95" customHeight="1" x14ac:dyDescent="0.2">
      <c r="A212" s="41" t="str">
        <f>IF(Customization!B212="","",Customization!B212)</f>
        <v/>
      </c>
      <c r="B212" s="79" t="str">
        <f t="shared" ca="1" si="164"/>
        <v/>
      </c>
      <c r="C212" s="29" t="str">
        <f t="shared" ca="1" si="165"/>
        <v/>
      </c>
      <c r="D212" s="7" t="str">
        <f t="shared" ca="1" si="162"/>
        <v/>
      </c>
      <c r="E212" s="29" t="str">
        <f t="shared" ca="1" si="166"/>
        <v/>
      </c>
      <c r="F212" s="7" t="str">
        <f t="shared" ca="1" si="163"/>
        <v/>
      </c>
      <c r="G212" s="29" t="str">
        <f t="shared" ca="1" si="167"/>
        <v/>
      </c>
      <c r="H212" s="7" t="str">
        <f t="shared" ca="1" si="168"/>
        <v/>
      </c>
      <c r="I212" s="28" t="str">
        <f t="shared" ca="1" si="169"/>
        <v/>
      </c>
      <c r="J212" s="7" t="str">
        <f t="shared" ca="1" si="170"/>
        <v/>
      </c>
      <c r="K212" s="73" t="str">
        <f t="shared" ca="1" si="171"/>
        <v/>
      </c>
      <c r="L212" s="74" t="str">
        <f t="shared" ca="1" si="172"/>
        <v/>
      </c>
      <c r="M212" s="75" t="str">
        <f t="shared" ca="1" si="173"/>
        <v/>
      </c>
      <c r="N212" s="76" t="str">
        <f t="shared" ca="1" si="174"/>
        <v/>
      </c>
      <c r="O212" s="75" t="str">
        <f t="shared" ca="1" si="175"/>
        <v/>
      </c>
      <c r="P212" s="76" t="str">
        <f t="shared" ca="1" si="176"/>
        <v/>
      </c>
      <c r="Q212" s="75" t="str">
        <f t="shared" ca="1" si="177"/>
        <v/>
      </c>
      <c r="R212" s="77" t="str">
        <f t="shared" ca="1" si="178"/>
        <v/>
      </c>
      <c r="S212" s="89" t="str">
        <f t="shared" ca="1" si="179"/>
        <v/>
      </c>
      <c r="T212" s="88" t="str">
        <f t="shared" ca="1" si="180"/>
        <v/>
      </c>
      <c r="U212" s="92" t="str">
        <f t="shared" ca="1" si="181"/>
        <v/>
      </c>
      <c r="V212" s="88" t="str">
        <f t="shared" ca="1" si="182"/>
        <v/>
      </c>
      <c r="W212" s="92" t="str">
        <f t="shared" ca="1" si="183"/>
        <v/>
      </c>
      <c r="X212" s="88" t="str">
        <f t="shared" ca="1" si="184"/>
        <v/>
      </c>
      <c r="Y212" s="92" t="str">
        <f t="shared" ca="1" si="185"/>
        <v/>
      </c>
      <c r="Z212" s="88" t="str">
        <f t="shared" ca="1" si="186"/>
        <v/>
      </c>
      <c r="AA212" s="89" t="str">
        <f t="shared" ca="1" si="187"/>
        <v/>
      </c>
      <c r="AB212" s="88" t="str">
        <f t="shared" ca="1" si="188"/>
        <v/>
      </c>
      <c r="AC212" s="92" t="str">
        <f t="shared" ca="1" si="189"/>
        <v/>
      </c>
      <c r="AD212" s="88" t="str">
        <f t="shared" ca="1" si="190"/>
        <v/>
      </c>
      <c r="AE212" s="92" t="str">
        <f t="shared" ca="1" si="191"/>
        <v/>
      </c>
      <c r="AF212" s="88" t="str">
        <f t="shared" ca="1" si="192"/>
        <v/>
      </c>
      <c r="AG212" s="92" t="str">
        <f t="shared" ca="1" si="193"/>
        <v/>
      </c>
      <c r="AH212" s="88" t="str">
        <f t="shared" ca="1" si="194"/>
        <v/>
      </c>
      <c r="AI212" s="92" t="str">
        <f t="shared" ca="1" si="195"/>
        <v/>
      </c>
      <c r="AJ212" s="88" t="str">
        <f t="shared" ca="1" si="196"/>
        <v/>
      </c>
      <c r="AK212" s="92" t="str">
        <f t="shared" ca="1" si="197"/>
        <v/>
      </c>
      <c r="AL212" s="77" t="str">
        <f t="shared" ca="1" si="198"/>
        <v/>
      </c>
      <c r="AM212" s="89" t="str">
        <f t="shared" ca="1" si="199"/>
        <v/>
      </c>
      <c r="AN212" s="88" t="str">
        <f t="shared" ca="1" si="200"/>
        <v/>
      </c>
      <c r="AO212" s="89" t="str">
        <f t="shared" ca="1" si="201"/>
        <v/>
      </c>
      <c r="AP212" s="77" t="str">
        <f t="shared" ca="1" si="202"/>
        <v/>
      </c>
      <c r="AQ212" s="94" t="str">
        <f t="shared" ca="1" si="203"/>
        <v/>
      </c>
      <c r="AR212" s="77" t="str">
        <f t="shared" ca="1" si="204"/>
        <v/>
      </c>
      <c r="AS212" s="94" t="str">
        <f t="shared" ca="1" si="205"/>
        <v/>
      </c>
      <c r="AT212" s="77" t="str">
        <f t="shared" ca="1" si="206"/>
        <v/>
      </c>
      <c r="AU212" s="93" t="str">
        <f t="shared" ca="1" si="207"/>
        <v/>
      </c>
      <c r="AV212" s="77" t="str">
        <f t="shared" ca="1" si="208"/>
        <v/>
      </c>
      <c r="AW212" s="93" t="str">
        <f t="shared" ca="1" si="209"/>
        <v/>
      </c>
      <c r="AX212" s="77" t="str">
        <f t="shared" ca="1" si="210"/>
        <v/>
      </c>
      <c r="AY212" s="93" t="str">
        <f t="shared" ca="1" si="211"/>
        <v/>
      </c>
      <c r="AZ212" s="77" t="str">
        <f t="shared" ca="1" si="212"/>
        <v/>
      </c>
      <c r="BA212" s="93" t="str">
        <f t="shared" ca="1" si="213"/>
        <v/>
      </c>
      <c r="BB212" s="77" t="str">
        <f t="shared" ca="1" si="214"/>
        <v/>
      </c>
      <c r="BC212" s="93" t="str">
        <f t="shared" ca="1" si="215"/>
        <v/>
      </c>
    </row>
    <row r="213" spans="1:55" ht="15.95" customHeight="1" x14ac:dyDescent="0.2">
      <c r="A213" s="41" t="str">
        <f>IF(Customization!B213="","",Customization!B213)</f>
        <v/>
      </c>
      <c r="B213" s="79" t="str">
        <f t="shared" ca="1" si="164"/>
        <v/>
      </c>
      <c r="C213" s="29" t="str">
        <f t="shared" ca="1" si="165"/>
        <v/>
      </c>
      <c r="D213" s="7" t="str">
        <f t="shared" ca="1" si="162"/>
        <v/>
      </c>
      <c r="E213" s="29" t="str">
        <f t="shared" ca="1" si="166"/>
        <v/>
      </c>
      <c r="F213" s="7" t="str">
        <f t="shared" ca="1" si="163"/>
        <v/>
      </c>
      <c r="G213" s="29" t="str">
        <f t="shared" ca="1" si="167"/>
        <v/>
      </c>
      <c r="H213" s="7" t="str">
        <f t="shared" ca="1" si="168"/>
        <v/>
      </c>
      <c r="I213" s="28" t="str">
        <f t="shared" ca="1" si="169"/>
        <v/>
      </c>
      <c r="J213" s="7" t="str">
        <f t="shared" ca="1" si="170"/>
        <v/>
      </c>
      <c r="K213" s="73" t="str">
        <f t="shared" ca="1" si="171"/>
        <v/>
      </c>
      <c r="L213" s="74" t="str">
        <f t="shared" ca="1" si="172"/>
        <v/>
      </c>
      <c r="M213" s="75" t="str">
        <f t="shared" ca="1" si="173"/>
        <v/>
      </c>
      <c r="N213" s="76" t="str">
        <f t="shared" ca="1" si="174"/>
        <v/>
      </c>
      <c r="O213" s="75" t="str">
        <f t="shared" ca="1" si="175"/>
        <v/>
      </c>
      <c r="P213" s="76" t="str">
        <f t="shared" ca="1" si="176"/>
        <v/>
      </c>
      <c r="Q213" s="75" t="str">
        <f t="shared" ca="1" si="177"/>
        <v/>
      </c>
      <c r="R213" s="77" t="str">
        <f t="shared" ca="1" si="178"/>
        <v/>
      </c>
      <c r="S213" s="89" t="str">
        <f t="shared" ca="1" si="179"/>
        <v/>
      </c>
      <c r="T213" s="88" t="str">
        <f t="shared" ca="1" si="180"/>
        <v/>
      </c>
      <c r="U213" s="92" t="str">
        <f t="shared" ca="1" si="181"/>
        <v/>
      </c>
      <c r="V213" s="88" t="str">
        <f t="shared" ca="1" si="182"/>
        <v/>
      </c>
      <c r="W213" s="92" t="str">
        <f t="shared" ca="1" si="183"/>
        <v/>
      </c>
      <c r="X213" s="88" t="str">
        <f t="shared" ca="1" si="184"/>
        <v/>
      </c>
      <c r="Y213" s="92" t="str">
        <f t="shared" ca="1" si="185"/>
        <v/>
      </c>
      <c r="Z213" s="88" t="str">
        <f t="shared" ca="1" si="186"/>
        <v/>
      </c>
      <c r="AA213" s="89" t="str">
        <f t="shared" ca="1" si="187"/>
        <v/>
      </c>
      <c r="AB213" s="88" t="str">
        <f t="shared" ca="1" si="188"/>
        <v/>
      </c>
      <c r="AC213" s="92" t="str">
        <f t="shared" ca="1" si="189"/>
        <v/>
      </c>
      <c r="AD213" s="88" t="str">
        <f t="shared" ca="1" si="190"/>
        <v/>
      </c>
      <c r="AE213" s="92" t="str">
        <f t="shared" ca="1" si="191"/>
        <v/>
      </c>
      <c r="AF213" s="88" t="str">
        <f t="shared" ca="1" si="192"/>
        <v/>
      </c>
      <c r="AG213" s="92" t="str">
        <f t="shared" ca="1" si="193"/>
        <v/>
      </c>
      <c r="AH213" s="88" t="str">
        <f t="shared" ca="1" si="194"/>
        <v/>
      </c>
      <c r="AI213" s="92" t="str">
        <f t="shared" ca="1" si="195"/>
        <v/>
      </c>
      <c r="AJ213" s="88" t="str">
        <f t="shared" ca="1" si="196"/>
        <v/>
      </c>
      <c r="AK213" s="92" t="str">
        <f t="shared" ca="1" si="197"/>
        <v/>
      </c>
      <c r="AL213" s="77" t="str">
        <f t="shared" ca="1" si="198"/>
        <v/>
      </c>
      <c r="AM213" s="89" t="str">
        <f t="shared" ca="1" si="199"/>
        <v/>
      </c>
      <c r="AN213" s="88" t="str">
        <f t="shared" ca="1" si="200"/>
        <v/>
      </c>
      <c r="AO213" s="89" t="str">
        <f t="shared" ca="1" si="201"/>
        <v/>
      </c>
      <c r="AP213" s="77" t="str">
        <f t="shared" ca="1" si="202"/>
        <v/>
      </c>
      <c r="AQ213" s="94" t="str">
        <f t="shared" ca="1" si="203"/>
        <v/>
      </c>
      <c r="AR213" s="77" t="str">
        <f t="shared" ca="1" si="204"/>
        <v/>
      </c>
      <c r="AS213" s="94" t="str">
        <f t="shared" ca="1" si="205"/>
        <v/>
      </c>
      <c r="AT213" s="77" t="str">
        <f t="shared" ca="1" si="206"/>
        <v/>
      </c>
      <c r="AU213" s="93" t="str">
        <f t="shared" ca="1" si="207"/>
        <v/>
      </c>
      <c r="AV213" s="77" t="str">
        <f t="shared" ca="1" si="208"/>
        <v/>
      </c>
      <c r="AW213" s="93" t="str">
        <f t="shared" ca="1" si="209"/>
        <v/>
      </c>
      <c r="AX213" s="77" t="str">
        <f t="shared" ca="1" si="210"/>
        <v/>
      </c>
      <c r="AY213" s="93" t="str">
        <f t="shared" ca="1" si="211"/>
        <v/>
      </c>
      <c r="AZ213" s="77" t="str">
        <f t="shared" ca="1" si="212"/>
        <v/>
      </c>
      <c r="BA213" s="93" t="str">
        <f t="shared" ca="1" si="213"/>
        <v/>
      </c>
      <c r="BB213" s="77" t="str">
        <f t="shared" ca="1" si="214"/>
        <v/>
      </c>
      <c r="BC213" s="93" t="str">
        <f t="shared" ca="1" si="215"/>
        <v/>
      </c>
    </row>
    <row r="214" spans="1:55" ht="15.95" customHeight="1" x14ac:dyDescent="0.2">
      <c r="A214" s="41" t="str">
        <f>IF(Customization!B214="","",Customization!B214)</f>
        <v/>
      </c>
      <c r="B214" s="79" t="str">
        <f t="shared" ca="1" si="164"/>
        <v/>
      </c>
      <c r="C214" s="29" t="str">
        <f t="shared" ca="1" si="165"/>
        <v/>
      </c>
      <c r="D214" s="7" t="str">
        <f t="shared" ca="1" si="162"/>
        <v/>
      </c>
      <c r="E214" s="29" t="str">
        <f t="shared" ca="1" si="166"/>
        <v/>
      </c>
      <c r="F214" s="7" t="str">
        <f t="shared" ca="1" si="163"/>
        <v/>
      </c>
      <c r="G214" s="29" t="str">
        <f t="shared" ca="1" si="167"/>
        <v/>
      </c>
      <c r="H214" s="7" t="str">
        <f t="shared" ca="1" si="168"/>
        <v/>
      </c>
      <c r="I214" s="28" t="str">
        <f t="shared" ca="1" si="169"/>
        <v/>
      </c>
      <c r="J214" s="7" t="str">
        <f t="shared" ca="1" si="170"/>
        <v/>
      </c>
      <c r="K214" s="73" t="str">
        <f t="shared" ca="1" si="171"/>
        <v/>
      </c>
      <c r="L214" s="74" t="str">
        <f t="shared" ca="1" si="172"/>
        <v/>
      </c>
      <c r="M214" s="75" t="str">
        <f t="shared" ca="1" si="173"/>
        <v/>
      </c>
      <c r="N214" s="76" t="str">
        <f t="shared" ca="1" si="174"/>
        <v/>
      </c>
      <c r="O214" s="75" t="str">
        <f t="shared" ca="1" si="175"/>
        <v/>
      </c>
      <c r="P214" s="76" t="str">
        <f t="shared" ca="1" si="176"/>
        <v/>
      </c>
      <c r="Q214" s="75" t="str">
        <f t="shared" ca="1" si="177"/>
        <v/>
      </c>
      <c r="R214" s="77" t="str">
        <f t="shared" ca="1" si="178"/>
        <v/>
      </c>
      <c r="S214" s="89" t="str">
        <f t="shared" ca="1" si="179"/>
        <v/>
      </c>
      <c r="T214" s="88" t="str">
        <f t="shared" ca="1" si="180"/>
        <v/>
      </c>
      <c r="U214" s="92" t="str">
        <f t="shared" ca="1" si="181"/>
        <v/>
      </c>
      <c r="V214" s="88" t="str">
        <f t="shared" ca="1" si="182"/>
        <v/>
      </c>
      <c r="W214" s="92" t="str">
        <f t="shared" ca="1" si="183"/>
        <v/>
      </c>
      <c r="X214" s="88" t="str">
        <f t="shared" ca="1" si="184"/>
        <v/>
      </c>
      <c r="Y214" s="92" t="str">
        <f t="shared" ca="1" si="185"/>
        <v/>
      </c>
      <c r="Z214" s="88" t="str">
        <f t="shared" ca="1" si="186"/>
        <v/>
      </c>
      <c r="AA214" s="89" t="str">
        <f t="shared" ca="1" si="187"/>
        <v/>
      </c>
      <c r="AB214" s="88" t="str">
        <f t="shared" ca="1" si="188"/>
        <v/>
      </c>
      <c r="AC214" s="92" t="str">
        <f t="shared" ca="1" si="189"/>
        <v/>
      </c>
      <c r="AD214" s="88" t="str">
        <f t="shared" ca="1" si="190"/>
        <v/>
      </c>
      <c r="AE214" s="92" t="str">
        <f t="shared" ca="1" si="191"/>
        <v/>
      </c>
      <c r="AF214" s="88" t="str">
        <f t="shared" ca="1" si="192"/>
        <v/>
      </c>
      <c r="AG214" s="92" t="str">
        <f t="shared" ca="1" si="193"/>
        <v/>
      </c>
      <c r="AH214" s="88" t="str">
        <f t="shared" ca="1" si="194"/>
        <v/>
      </c>
      <c r="AI214" s="92" t="str">
        <f t="shared" ca="1" si="195"/>
        <v/>
      </c>
      <c r="AJ214" s="88" t="str">
        <f t="shared" ca="1" si="196"/>
        <v/>
      </c>
      <c r="AK214" s="92" t="str">
        <f t="shared" ca="1" si="197"/>
        <v/>
      </c>
      <c r="AL214" s="77" t="str">
        <f t="shared" ca="1" si="198"/>
        <v/>
      </c>
      <c r="AM214" s="89" t="str">
        <f t="shared" ca="1" si="199"/>
        <v/>
      </c>
      <c r="AN214" s="88" t="str">
        <f t="shared" ca="1" si="200"/>
        <v/>
      </c>
      <c r="AO214" s="89" t="str">
        <f t="shared" ca="1" si="201"/>
        <v/>
      </c>
      <c r="AP214" s="77" t="str">
        <f t="shared" ca="1" si="202"/>
        <v/>
      </c>
      <c r="AQ214" s="94" t="str">
        <f t="shared" ca="1" si="203"/>
        <v/>
      </c>
      <c r="AR214" s="77" t="str">
        <f t="shared" ca="1" si="204"/>
        <v/>
      </c>
      <c r="AS214" s="94" t="str">
        <f t="shared" ca="1" si="205"/>
        <v/>
      </c>
      <c r="AT214" s="77" t="str">
        <f t="shared" ca="1" si="206"/>
        <v/>
      </c>
      <c r="AU214" s="93" t="str">
        <f t="shared" ca="1" si="207"/>
        <v/>
      </c>
      <c r="AV214" s="77" t="str">
        <f t="shared" ca="1" si="208"/>
        <v/>
      </c>
      <c r="AW214" s="93" t="str">
        <f t="shared" ca="1" si="209"/>
        <v/>
      </c>
      <c r="AX214" s="77" t="str">
        <f t="shared" ca="1" si="210"/>
        <v/>
      </c>
      <c r="AY214" s="93" t="str">
        <f t="shared" ca="1" si="211"/>
        <v/>
      </c>
      <c r="AZ214" s="77" t="str">
        <f t="shared" ca="1" si="212"/>
        <v/>
      </c>
      <c r="BA214" s="93" t="str">
        <f t="shared" ca="1" si="213"/>
        <v/>
      </c>
      <c r="BB214" s="77" t="str">
        <f t="shared" ca="1" si="214"/>
        <v/>
      </c>
      <c r="BC214" s="93" t="str">
        <f t="shared" ca="1" si="215"/>
        <v/>
      </c>
    </row>
    <row r="215" spans="1:55" ht="15.95" customHeight="1" x14ac:dyDescent="0.2">
      <c r="A215" s="41" t="str">
        <f>IF(Customization!B215="","",Customization!B215)</f>
        <v/>
      </c>
      <c r="B215" s="79" t="str">
        <f t="shared" ca="1" si="164"/>
        <v/>
      </c>
      <c r="C215" s="29" t="str">
        <f t="shared" ca="1" si="165"/>
        <v/>
      </c>
      <c r="D215" s="7" t="str">
        <f t="shared" ca="1" si="162"/>
        <v/>
      </c>
      <c r="E215" s="29" t="str">
        <f t="shared" ca="1" si="166"/>
        <v/>
      </c>
      <c r="F215" s="7" t="str">
        <f t="shared" ca="1" si="163"/>
        <v/>
      </c>
      <c r="G215" s="29" t="str">
        <f t="shared" ca="1" si="167"/>
        <v/>
      </c>
      <c r="H215" s="7" t="str">
        <f t="shared" ca="1" si="168"/>
        <v/>
      </c>
      <c r="I215" s="28" t="str">
        <f t="shared" ca="1" si="169"/>
        <v/>
      </c>
      <c r="J215" s="7" t="str">
        <f t="shared" ca="1" si="170"/>
        <v/>
      </c>
      <c r="K215" s="73" t="str">
        <f t="shared" ca="1" si="171"/>
        <v/>
      </c>
      <c r="L215" s="74" t="str">
        <f t="shared" ca="1" si="172"/>
        <v/>
      </c>
      <c r="M215" s="75" t="str">
        <f t="shared" ca="1" si="173"/>
        <v/>
      </c>
      <c r="N215" s="76" t="str">
        <f t="shared" ca="1" si="174"/>
        <v/>
      </c>
      <c r="O215" s="75" t="str">
        <f t="shared" ca="1" si="175"/>
        <v/>
      </c>
      <c r="P215" s="76" t="str">
        <f t="shared" ca="1" si="176"/>
        <v/>
      </c>
      <c r="Q215" s="75" t="str">
        <f t="shared" ca="1" si="177"/>
        <v/>
      </c>
      <c r="R215" s="77" t="str">
        <f t="shared" ca="1" si="178"/>
        <v/>
      </c>
      <c r="S215" s="89" t="str">
        <f t="shared" ca="1" si="179"/>
        <v/>
      </c>
      <c r="T215" s="88" t="str">
        <f t="shared" ca="1" si="180"/>
        <v/>
      </c>
      <c r="U215" s="92" t="str">
        <f t="shared" ca="1" si="181"/>
        <v/>
      </c>
      <c r="V215" s="88" t="str">
        <f t="shared" ca="1" si="182"/>
        <v/>
      </c>
      <c r="W215" s="92" t="str">
        <f t="shared" ca="1" si="183"/>
        <v/>
      </c>
      <c r="X215" s="88" t="str">
        <f t="shared" ca="1" si="184"/>
        <v/>
      </c>
      <c r="Y215" s="92" t="str">
        <f t="shared" ca="1" si="185"/>
        <v/>
      </c>
      <c r="Z215" s="88" t="str">
        <f t="shared" ca="1" si="186"/>
        <v/>
      </c>
      <c r="AA215" s="89" t="str">
        <f t="shared" ca="1" si="187"/>
        <v/>
      </c>
      <c r="AB215" s="88" t="str">
        <f t="shared" ca="1" si="188"/>
        <v/>
      </c>
      <c r="AC215" s="92" t="str">
        <f t="shared" ca="1" si="189"/>
        <v/>
      </c>
      <c r="AD215" s="88" t="str">
        <f t="shared" ca="1" si="190"/>
        <v/>
      </c>
      <c r="AE215" s="92" t="str">
        <f t="shared" ca="1" si="191"/>
        <v/>
      </c>
      <c r="AF215" s="88" t="str">
        <f t="shared" ca="1" si="192"/>
        <v/>
      </c>
      <c r="AG215" s="92" t="str">
        <f t="shared" ca="1" si="193"/>
        <v/>
      </c>
      <c r="AH215" s="88" t="str">
        <f t="shared" ca="1" si="194"/>
        <v/>
      </c>
      <c r="AI215" s="92" t="str">
        <f t="shared" ca="1" si="195"/>
        <v/>
      </c>
      <c r="AJ215" s="88" t="str">
        <f t="shared" ca="1" si="196"/>
        <v/>
      </c>
      <c r="AK215" s="92" t="str">
        <f t="shared" ca="1" si="197"/>
        <v/>
      </c>
      <c r="AL215" s="77" t="str">
        <f t="shared" ca="1" si="198"/>
        <v/>
      </c>
      <c r="AM215" s="89" t="str">
        <f t="shared" ca="1" si="199"/>
        <v/>
      </c>
      <c r="AN215" s="88" t="str">
        <f t="shared" ca="1" si="200"/>
        <v/>
      </c>
      <c r="AO215" s="89" t="str">
        <f t="shared" ca="1" si="201"/>
        <v/>
      </c>
      <c r="AP215" s="77" t="str">
        <f t="shared" ca="1" si="202"/>
        <v/>
      </c>
      <c r="AQ215" s="94" t="str">
        <f t="shared" ca="1" si="203"/>
        <v/>
      </c>
      <c r="AR215" s="77" t="str">
        <f t="shared" ca="1" si="204"/>
        <v/>
      </c>
      <c r="AS215" s="94" t="str">
        <f t="shared" ca="1" si="205"/>
        <v/>
      </c>
      <c r="AT215" s="77" t="str">
        <f t="shared" ca="1" si="206"/>
        <v/>
      </c>
      <c r="AU215" s="93" t="str">
        <f t="shared" ca="1" si="207"/>
        <v/>
      </c>
      <c r="AV215" s="77" t="str">
        <f t="shared" ca="1" si="208"/>
        <v/>
      </c>
      <c r="AW215" s="93" t="str">
        <f t="shared" ca="1" si="209"/>
        <v/>
      </c>
      <c r="AX215" s="77" t="str">
        <f t="shared" ca="1" si="210"/>
        <v/>
      </c>
      <c r="AY215" s="93" t="str">
        <f t="shared" ca="1" si="211"/>
        <v/>
      </c>
      <c r="AZ215" s="77" t="str">
        <f t="shared" ca="1" si="212"/>
        <v/>
      </c>
      <c r="BA215" s="93" t="str">
        <f t="shared" ca="1" si="213"/>
        <v/>
      </c>
      <c r="BB215" s="77" t="str">
        <f t="shared" ca="1" si="214"/>
        <v/>
      </c>
      <c r="BC215" s="93" t="str">
        <f t="shared" ca="1" si="215"/>
        <v/>
      </c>
    </row>
    <row r="216" spans="1:55" ht="15.95" customHeight="1" x14ac:dyDescent="0.2">
      <c r="A216" s="41" t="str">
        <f>IF(Customization!B216="","",Customization!B216)</f>
        <v/>
      </c>
      <c r="B216" s="79" t="str">
        <f t="shared" ca="1" si="164"/>
        <v/>
      </c>
      <c r="C216" s="29" t="str">
        <f t="shared" ca="1" si="165"/>
        <v/>
      </c>
      <c r="D216" s="7" t="str">
        <f t="shared" ca="1" si="162"/>
        <v/>
      </c>
      <c r="E216" s="29" t="str">
        <f t="shared" ca="1" si="166"/>
        <v/>
      </c>
      <c r="F216" s="7" t="str">
        <f t="shared" ca="1" si="163"/>
        <v/>
      </c>
      <c r="G216" s="29" t="str">
        <f t="shared" ca="1" si="167"/>
        <v/>
      </c>
      <c r="H216" s="7" t="str">
        <f t="shared" ca="1" si="168"/>
        <v/>
      </c>
      <c r="I216" s="28" t="str">
        <f t="shared" ca="1" si="169"/>
        <v/>
      </c>
      <c r="J216" s="7" t="str">
        <f t="shared" ca="1" si="170"/>
        <v/>
      </c>
      <c r="K216" s="73" t="str">
        <f t="shared" ca="1" si="171"/>
        <v/>
      </c>
      <c r="L216" s="74" t="str">
        <f t="shared" ca="1" si="172"/>
        <v/>
      </c>
      <c r="M216" s="75" t="str">
        <f t="shared" ca="1" si="173"/>
        <v/>
      </c>
      <c r="N216" s="76" t="str">
        <f t="shared" ca="1" si="174"/>
        <v/>
      </c>
      <c r="O216" s="75" t="str">
        <f t="shared" ca="1" si="175"/>
        <v/>
      </c>
      <c r="P216" s="76" t="str">
        <f t="shared" ca="1" si="176"/>
        <v/>
      </c>
      <c r="Q216" s="75" t="str">
        <f t="shared" ca="1" si="177"/>
        <v/>
      </c>
      <c r="R216" s="77" t="str">
        <f t="shared" ca="1" si="178"/>
        <v/>
      </c>
      <c r="S216" s="89" t="str">
        <f t="shared" ca="1" si="179"/>
        <v/>
      </c>
      <c r="T216" s="88" t="str">
        <f t="shared" ca="1" si="180"/>
        <v/>
      </c>
      <c r="U216" s="92" t="str">
        <f t="shared" ca="1" si="181"/>
        <v/>
      </c>
      <c r="V216" s="88" t="str">
        <f t="shared" ca="1" si="182"/>
        <v/>
      </c>
      <c r="W216" s="92" t="str">
        <f t="shared" ca="1" si="183"/>
        <v/>
      </c>
      <c r="X216" s="88" t="str">
        <f t="shared" ca="1" si="184"/>
        <v/>
      </c>
      <c r="Y216" s="92" t="str">
        <f t="shared" ca="1" si="185"/>
        <v/>
      </c>
      <c r="Z216" s="88" t="str">
        <f t="shared" ca="1" si="186"/>
        <v/>
      </c>
      <c r="AA216" s="89" t="str">
        <f t="shared" ca="1" si="187"/>
        <v/>
      </c>
      <c r="AB216" s="88" t="str">
        <f t="shared" ca="1" si="188"/>
        <v/>
      </c>
      <c r="AC216" s="92" t="str">
        <f t="shared" ca="1" si="189"/>
        <v/>
      </c>
      <c r="AD216" s="88" t="str">
        <f t="shared" ca="1" si="190"/>
        <v/>
      </c>
      <c r="AE216" s="92" t="str">
        <f t="shared" ca="1" si="191"/>
        <v/>
      </c>
      <c r="AF216" s="88" t="str">
        <f t="shared" ca="1" si="192"/>
        <v/>
      </c>
      <c r="AG216" s="92" t="str">
        <f t="shared" ca="1" si="193"/>
        <v/>
      </c>
      <c r="AH216" s="88" t="str">
        <f t="shared" ca="1" si="194"/>
        <v/>
      </c>
      <c r="AI216" s="92" t="str">
        <f t="shared" ca="1" si="195"/>
        <v/>
      </c>
      <c r="AJ216" s="88" t="str">
        <f t="shared" ca="1" si="196"/>
        <v/>
      </c>
      <c r="AK216" s="92" t="str">
        <f t="shared" ca="1" si="197"/>
        <v/>
      </c>
      <c r="AL216" s="77" t="str">
        <f t="shared" ca="1" si="198"/>
        <v/>
      </c>
      <c r="AM216" s="89" t="str">
        <f t="shared" ca="1" si="199"/>
        <v/>
      </c>
      <c r="AN216" s="88" t="str">
        <f t="shared" ca="1" si="200"/>
        <v/>
      </c>
      <c r="AO216" s="89" t="str">
        <f t="shared" ca="1" si="201"/>
        <v/>
      </c>
      <c r="AP216" s="77" t="str">
        <f t="shared" ca="1" si="202"/>
        <v/>
      </c>
      <c r="AQ216" s="94" t="str">
        <f t="shared" ca="1" si="203"/>
        <v/>
      </c>
      <c r="AR216" s="77" t="str">
        <f t="shared" ca="1" si="204"/>
        <v/>
      </c>
      <c r="AS216" s="94" t="str">
        <f t="shared" ca="1" si="205"/>
        <v/>
      </c>
      <c r="AT216" s="77" t="str">
        <f t="shared" ca="1" si="206"/>
        <v/>
      </c>
      <c r="AU216" s="93" t="str">
        <f t="shared" ca="1" si="207"/>
        <v/>
      </c>
      <c r="AV216" s="77" t="str">
        <f t="shared" ca="1" si="208"/>
        <v/>
      </c>
      <c r="AW216" s="93" t="str">
        <f t="shared" ca="1" si="209"/>
        <v/>
      </c>
      <c r="AX216" s="77" t="str">
        <f t="shared" ca="1" si="210"/>
        <v/>
      </c>
      <c r="AY216" s="93" t="str">
        <f t="shared" ca="1" si="211"/>
        <v/>
      </c>
      <c r="AZ216" s="77" t="str">
        <f t="shared" ca="1" si="212"/>
        <v/>
      </c>
      <c r="BA216" s="93" t="str">
        <f t="shared" ca="1" si="213"/>
        <v/>
      </c>
      <c r="BB216" s="77" t="str">
        <f t="shared" ca="1" si="214"/>
        <v/>
      </c>
      <c r="BC216" s="93" t="str">
        <f t="shared" ca="1" si="215"/>
        <v/>
      </c>
    </row>
    <row r="217" spans="1:55" ht="15.95" customHeight="1" x14ac:dyDescent="0.2">
      <c r="A217" s="41" t="str">
        <f>IF(Customization!B217="","",Customization!B217)</f>
        <v/>
      </c>
      <c r="B217" s="79" t="str">
        <f t="shared" ca="1" si="164"/>
        <v/>
      </c>
      <c r="C217" s="29" t="str">
        <f t="shared" ca="1" si="165"/>
        <v/>
      </c>
      <c r="D217" s="7" t="str">
        <f t="shared" ca="1" si="162"/>
        <v/>
      </c>
      <c r="E217" s="29" t="str">
        <f t="shared" ca="1" si="166"/>
        <v/>
      </c>
      <c r="F217" s="7" t="str">
        <f t="shared" ca="1" si="163"/>
        <v/>
      </c>
      <c r="G217" s="29" t="str">
        <f t="shared" ca="1" si="167"/>
        <v/>
      </c>
      <c r="H217" s="7" t="str">
        <f t="shared" ca="1" si="168"/>
        <v/>
      </c>
      <c r="I217" s="28" t="str">
        <f t="shared" ca="1" si="169"/>
        <v/>
      </c>
      <c r="J217" s="7" t="str">
        <f t="shared" ca="1" si="170"/>
        <v/>
      </c>
      <c r="K217" s="73" t="str">
        <f t="shared" ca="1" si="171"/>
        <v/>
      </c>
      <c r="L217" s="74" t="str">
        <f t="shared" ca="1" si="172"/>
        <v/>
      </c>
      <c r="M217" s="75" t="str">
        <f t="shared" ca="1" si="173"/>
        <v/>
      </c>
      <c r="N217" s="76" t="str">
        <f t="shared" ca="1" si="174"/>
        <v/>
      </c>
      <c r="O217" s="75" t="str">
        <f t="shared" ca="1" si="175"/>
        <v/>
      </c>
      <c r="P217" s="76" t="str">
        <f t="shared" ca="1" si="176"/>
        <v/>
      </c>
      <c r="Q217" s="75" t="str">
        <f t="shared" ca="1" si="177"/>
        <v/>
      </c>
      <c r="R217" s="77" t="str">
        <f t="shared" ca="1" si="178"/>
        <v/>
      </c>
      <c r="S217" s="89" t="str">
        <f t="shared" ca="1" si="179"/>
        <v/>
      </c>
      <c r="T217" s="88" t="str">
        <f t="shared" ca="1" si="180"/>
        <v/>
      </c>
      <c r="U217" s="92" t="str">
        <f t="shared" ca="1" si="181"/>
        <v/>
      </c>
      <c r="V217" s="88" t="str">
        <f t="shared" ca="1" si="182"/>
        <v/>
      </c>
      <c r="W217" s="92" t="str">
        <f t="shared" ca="1" si="183"/>
        <v/>
      </c>
      <c r="X217" s="88" t="str">
        <f t="shared" ca="1" si="184"/>
        <v/>
      </c>
      <c r="Y217" s="92" t="str">
        <f t="shared" ca="1" si="185"/>
        <v/>
      </c>
      <c r="Z217" s="88" t="str">
        <f t="shared" ca="1" si="186"/>
        <v/>
      </c>
      <c r="AA217" s="89" t="str">
        <f t="shared" ca="1" si="187"/>
        <v/>
      </c>
      <c r="AB217" s="88" t="str">
        <f t="shared" ca="1" si="188"/>
        <v/>
      </c>
      <c r="AC217" s="92" t="str">
        <f t="shared" ca="1" si="189"/>
        <v/>
      </c>
      <c r="AD217" s="88" t="str">
        <f t="shared" ca="1" si="190"/>
        <v/>
      </c>
      <c r="AE217" s="92" t="str">
        <f t="shared" ca="1" si="191"/>
        <v/>
      </c>
      <c r="AF217" s="88" t="str">
        <f t="shared" ca="1" si="192"/>
        <v/>
      </c>
      <c r="AG217" s="92" t="str">
        <f t="shared" ca="1" si="193"/>
        <v/>
      </c>
      <c r="AH217" s="88" t="str">
        <f t="shared" ca="1" si="194"/>
        <v/>
      </c>
      <c r="AI217" s="92" t="str">
        <f t="shared" ca="1" si="195"/>
        <v/>
      </c>
      <c r="AJ217" s="88" t="str">
        <f t="shared" ca="1" si="196"/>
        <v/>
      </c>
      <c r="AK217" s="92" t="str">
        <f t="shared" ca="1" si="197"/>
        <v/>
      </c>
      <c r="AL217" s="77" t="str">
        <f t="shared" ca="1" si="198"/>
        <v/>
      </c>
      <c r="AM217" s="89" t="str">
        <f t="shared" ca="1" si="199"/>
        <v/>
      </c>
      <c r="AN217" s="88" t="str">
        <f t="shared" ca="1" si="200"/>
        <v/>
      </c>
      <c r="AO217" s="89" t="str">
        <f t="shared" ca="1" si="201"/>
        <v/>
      </c>
      <c r="AP217" s="77" t="str">
        <f t="shared" ca="1" si="202"/>
        <v/>
      </c>
      <c r="AQ217" s="94" t="str">
        <f t="shared" ca="1" si="203"/>
        <v/>
      </c>
      <c r="AR217" s="77" t="str">
        <f t="shared" ca="1" si="204"/>
        <v/>
      </c>
      <c r="AS217" s="94" t="str">
        <f t="shared" ca="1" si="205"/>
        <v/>
      </c>
      <c r="AT217" s="77" t="str">
        <f t="shared" ca="1" si="206"/>
        <v/>
      </c>
      <c r="AU217" s="93" t="str">
        <f t="shared" ca="1" si="207"/>
        <v/>
      </c>
      <c r="AV217" s="77" t="str">
        <f t="shared" ca="1" si="208"/>
        <v/>
      </c>
      <c r="AW217" s="93" t="str">
        <f t="shared" ca="1" si="209"/>
        <v/>
      </c>
      <c r="AX217" s="77" t="str">
        <f t="shared" ca="1" si="210"/>
        <v/>
      </c>
      <c r="AY217" s="93" t="str">
        <f t="shared" ca="1" si="211"/>
        <v/>
      </c>
      <c r="AZ217" s="77" t="str">
        <f t="shared" ca="1" si="212"/>
        <v/>
      </c>
      <c r="BA217" s="93" t="str">
        <f t="shared" ca="1" si="213"/>
        <v/>
      </c>
      <c r="BB217" s="77" t="str">
        <f t="shared" ca="1" si="214"/>
        <v/>
      </c>
      <c r="BC217" s="93" t="str">
        <f t="shared" ca="1" si="215"/>
        <v/>
      </c>
    </row>
    <row r="218" spans="1:55" ht="15.95" customHeight="1" x14ac:dyDescent="0.2">
      <c r="A218" s="41" t="str">
        <f>IF(Customization!B218="","",Customization!B218)</f>
        <v/>
      </c>
      <c r="B218" s="79" t="str">
        <f t="shared" ca="1" si="164"/>
        <v/>
      </c>
      <c r="C218" s="29" t="str">
        <f t="shared" ca="1" si="165"/>
        <v/>
      </c>
      <c r="D218" s="7" t="str">
        <f t="shared" ca="1" si="162"/>
        <v/>
      </c>
      <c r="E218" s="29" t="str">
        <f t="shared" ca="1" si="166"/>
        <v/>
      </c>
      <c r="F218" s="7" t="str">
        <f t="shared" ca="1" si="163"/>
        <v/>
      </c>
      <c r="G218" s="29" t="str">
        <f t="shared" ca="1" si="167"/>
        <v/>
      </c>
      <c r="H218" s="7" t="str">
        <f t="shared" ca="1" si="168"/>
        <v/>
      </c>
      <c r="I218" s="28" t="str">
        <f t="shared" ca="1" si="169"/>
        <v/>
      </c>
      <c r="J218" s="7" t="str">
        <f t="shared" ca="1" si="170"/>
        <v/>
      </c>
      <c r="K218" s="73" t="str">
        <f t="shared" ca="1" si="171"/>
        <v/>
      </c>
      <c r="L218" s="74" t="str">
        <f t="shared" ca="1" si="172"/>
        <v/>
      </c>
      <c r="M218" s="75" t="str">
        <f t="shared" ca="1" si="173"/>
        <v/>
      </c>
      <c r="N218" s="76" t="str">
        <f t="shared" ca="1" si="174"/>
        <v/>
      </c>
      <c r="O218" s="75" t="str">
        <f t="shared" ca="1" si="175"/>
        <v/>
      </c>
      <c r="P218" s="76" t="str">
        <f t="shared" ca="1" si="176"/>
        <v/>
      </c>
      <c r="Q218" s="75" t="str">
        <f t="shared" ca="1" si="177"/>
        <v/>
      </c>
      <c r="R218" s="77" t="str">
        <f t="shared" ca="1" si="178"/>
        <v/>
      </c>
      <c r="S218" s="89" t="str">
        <f t="shared" ca="1" si="179"/>
        <v/>
      </c>
      <c r="T218" s="88" t="str">
        <f t="shared" ca="1" si="180"/>
        <v/>
      </c>
      <c r="U218" s="92" t="str">
        <f t="shared" ca="1" si="181"/>
        <v/>
      </c>
      <c r="V218" s="88" t="str">
        <f t="shared" ca="1" si="182"/>
        <v/>
      </c>
      <c r="W218" s="92" t="str">
        <f t="shared" ca="1" si="183"/>
        <v/>
      </c>
      <c r="X218" s="88" t="str">
        <f t="shared" ca="1" si="184"/>
        <v/>
      </c>
      <c r="Y218" s="92" t="str">
        <f t="shared" ca="1" si="185"/>
        <v/>
      </c>
      <c r="Z218" s="88" t="str">
        <f t="shared" ca="1" si="186"/>
        <v/>
      </c>
      <c r="AA218" s="89" t="str">
        <f t="shared" ca="1" si="187"/>
        <v/>
      </c>
      <c r="AB218" s="88" t="str">
        <f t="shared" ca="1" si="188"/>
        <v/>
      </c>
      <c r="AC218" s="92" t="str">
        <f t="shared" ca="1" si="189"/>
        <v/>
      </c>
      <c r="AD218" s="88" t="str">
        <f t="shared" ca="1" si="190"/>
        <v/>
      </c>
      <c r="AE218" s="92" t="str">
        <f t="shared" ca="1" si="191"/>
        <v/>
      </c>
      <c r="AF218" s="88" t="str">
        <f t="shared" ca="1" si="192"/>
        <v/>
      </c>
      <c r="AG218" s="92" t="str">
        <f t="shared" ca="1" si="193"/>
        <v/>
      </c>
      <c r="AH218" s="88" t="str">
        <f t="shared" ca="1" si="194"/>
        <v/>
      </c>
      <c r="AI218" s="92" t="str">
        <f t="shared" ca="1" si="195"/>
        <v/>
      </c>
      <c r="AJ218" s="88" t="str">
        <f t="shared" ca="1" si="196"/>
        <v/>
      </c>
      <c r="AK218" s="92" t="str">
        <f t="shared" ca="1" si="197"/>
        <v/>
      </c>
      <c r="AL218" s="77" t="str">
        <f t="shared" ca="1" si="198"/>
        <v/>
      </c>
      <c r="AM218" s="89" t="str">
        <f t="shared" ca="1" si="199"/>
        <v/>
      </c>
      <c r="AN218" s="88" t="str">
        <f t="shared" ca="1" si="200"/>
        <v/>
      </c>
      <c r="AO218" s="89" t="str">
        <f t="shared" ca="1" si="201"/>
        <v/>
      </c>
      <c r="AP218" s="77" t="str">
        <f t="shared" ca="1" si="202"/>
        <v/>
      </c>
      <c r="AQ218" s="94" t="str">
        <f t="shared" ca="1" si="203"/>
        <v/>
      </c>
      <c r="AR218" s="77" t="str">
        <f t="shared" ca="1" si="204"/>
        <v/>
      </c>
      <c r="AS218" s="94" t="str">
        <f t="shared" ca="1" si="205"/>
        <v/>
      </c>
      <c r="AT218" s="77" t="str">
        <f t="shared" ca="1" si="206"/>
        <v/>
      </c>
      <c r="AU218" s="93" t="str">
        <f t="shared" ca="1" si="207"/>
        <v/>
      </c>
      <c r="AV218" s="77" t="str">
        <f t="shared" ca="1" si="208"/>
        <v/>
      </c>
      <c r="AW218" s="93" t="str">
        <f t="shared" ca="1" si="209"/>
        <v/>
      </c>
      <c r="AX218" s="77" t="str">
        <f t="shared" ca="1" si="210"/>
        <v/>
      </c>
      <c r="AY218" s="93" t="str">
        <f t="shared" ca="1" si="211"/>
        <v/>
      </c>
      <c r="AZ218" s="77" t="str">
        <f t="shared" ca="1" si="212"/>
        <v/>
      </c>
      <c r="BA218" s="93" t="str">
        <f t="shared" ca="1" si="213"/>
        <v/>
      </c>
      <c r="BB218" s="77" t="str">
        <f t="shared" ca="1" si="214"/>
        <v/>
      </c>
      <c r="BC218" s="93" t="str">
        <f t="shared" ca="1" si="215"/>
        <v/>
      </c>
    </row>
    <row r="219" spans="1:55" ht="15.95" customHeight="1" x14ac:dyDescent="0.2">
      <c r="A219" s="41" t="str">
        <f>IF(Customization!B219="","",Customization!B219)</f>
        <v/>
      </c>
      <c r="B219" s="79" t="str">
        <f t="shared" ca="1" si="164"/>
        <v/>
      </c>
      <c r="C219" s="29" t="str">
        <f t="shared" ca="1" si="165"/>
        <v/>
      </c>
      <c r="D219" s="7" t="str">
        <f t="shared" ca="1" si="162"/>
        <v/>
      </c>
      <c r="E219" s="29" t="str">
        <f t="shared" ca="1" si="166"/>
        <v/>
      </c>
      <c r="F219" s="7" t="str">
        <f t="shared" ca="1" si="163"/>
        <v/>
      </c>
      <c r="G219" s="29" t="str">
        <f t="shared" ca="1" si="167"/>
        <v/>
      </c>
      <c r="H219" s="7" t="str">
        <f t="shared" ca="1" si="168"/>
        <v/>
      </c>
      <c r="I219" s="28" t="str">
        <f t="shared" ca="1" si="169"/>
        <v/>
      </c>
      <c r="J219" s="7" t="str">
        <f t="shared" ca="1" si="170"/>
        <v/>
      </c>
      <c r="K219" s="73" t="str">
        <f t="shared" ca="1" si="171"/>
        <v/>
      </c>
      <c r="L219" s="74" t="str">
        <f t="shared" ca="1" si="172"/>
        <v/>
      </c>
      <c r="M219" s="75" t="str">
        <f t="shared" ca="1" si="173"/>
        <v/>
      </c>
      <c r="N219" s="76" t="str">
        <f t="shared" ca="1" si="174"/>
        <v/>
      </c>
      <c r="O219" s="75" t="str">
        <f t="shared" ca="1" si="175"/>
        <v/>
      </c>
      <c r="P219" s="76" t="str">
        <f t="shared" ca="1" si="176"/>
        <v/>
      </c>
      <c r="Q219" s="75" t="str">
        <f t="shared" ca="1" si="177"/>
        <v/>
      </c>
      <c r="R219" s="77" t="str">
        <f t="shared" ca="1" si="178"/>
        <v/>
      </c>
      <c r="S219" s="89" t="str">
        <f t="shared" ca="1" si="179"/>
        <v/>
      </c>
      <c r="T219" s="88" t="str">
        <f t="shared" ca="1" si="180"/>
        <v/>
      </c>
      <c r="U219" s="92" t="str">
        <f t="shared" ca="1" si="181"/>
        <v/>
      </c>
      <c r="V219" s="88" t="str">
        <f t="shared" ca="1" si="182"/>
        <v/>
      </c>
      <c r="W219" s="92" t="str">
        <f t="shared" ca="1" si="183"/>
        <v/>
      </c>
      <c r="X219" s="88" t="str">
        <f t="shared" ca="1" si="184"/>
        <v/>
      </c>
      <c r="Y219" s="92" t="str">
        <f t="shared" ca="1" si="185"/>
        <v/>
      </c>
      <c r="Z219" s="88" t="str">
        <f t="shared" ca="1" si="186"/>
        <v/>
      </c>
      <c r="AA219" s="89" t="str">
        <f t="shared" ca="1" si="187"/>
        <v/>
      </c>
      <c r="AB219" s="88" t="str">
        <f t="shared" ca="1" si="188"/>
        <v/>
      </c>
      <c r="AC219" s="92" t="str">
        <f t="shared" ca="1" si="189"/>
        <v/>
      </c>
      <c r="AD219" s="88" t="str">
        <f t="shared" ca="1" si="190"/>
        <v/>
      </c>
      <c r="AE219" s="92" t="str">
        <f t="shared" ca="1" si="191"/>
        <v/>
      </c>
      <c r="AF219" s="88" t="str">
        <f t="shared" ca="1" si="192"/>
        <v/>
      </c>
      <c r="AG219" s="92" t="str">
        <f t="shared" ca="1" si="193"/>
        <v/>
      </c>
      <c r="AH219" s="88" t="str">
        <f t="shared" ca="1" si="194"/>
        <v/>
      </c>
      <c r="AI219" s="92" t="str">
        <f t="shared" ca="1" si="195"/>
        <v/>
      </c>
      <c r="AJ219" s="88" t="str">
        <f t="shared" ca="1" si="196"/>
        <v/>
      </c>
      <c r="AK219" s="92" t="str">
        <f t="shared" ca="1" si="197"/>
        <v/>
      </c>
      <c r="AL219" s="77" t="str">
        <f t="shared" ca="1" si="198"/>
        <v/>
      </c>
      <c r="AM219" s="89" t="str">
        <f t="shared" ca="1" si="199"/>
        <v/>
      </c>
      <c r="AN219" s="88" t="str">
        <f t="shared" ca="1" si="200"/>
        <v/>
      </c>
      <c r="AO219" s="89" t="str">
        <f t="shared" ca="1" si="201"/>
        <v/>
      </c>
      <c r="AP219" s="77" t="str">
        <f t="shared" ca="1" si="202"/>
        <v/>
      </c>
      <c r="AQ219" s="94" t="str">
        <f t="shared" ca="1" si="203"/>
        <v/>
      </c>
      <c r="AR219" s="77" t="str">
        <f t="shared" ca="1" si="204"/>
        <v/>
      </c>
      <c r="AS219" s="94" t="str">
        <f t="shared" ca="1" si="205"/>
        <v/>
      </c>
      <c r="AT219" s="77" t="str">
        <f t="shared" ca="1" si="206"/>
        <v/>
      </c>
      <c r="AU219" s="93" t="str">
        <f t="shared" ca="1" si="207"/>
        <v/>
      </c>
      <c r="AV219" s="77" t="str">
        <f t="shared" ca="1" si="208"/>
        <v/>
      </c>
      <c r="AW219" s="93" t="str">
        <f t="shared" ca="1" si="209"/>
        <v/>
      </c>
      <c r="AX219" s="77" t="str">
        <f t="shared" ca="1" si="210"/>
        <v/>
      </c>
      <c r="AY219" s="93" t="str">
        <f t="shared" ca="1" si="211"/>
        <v/>
      </c>
      <c r="AZ219" s="77" t="str">
        <f t="shared" ca="1" si="212"/>
        <v/>
      </c>
      <c r="BA219" s="93" t="str">
        <f t="shared" ca="1" si="213"/>
        <v/>
      </c>
      <c r="BB219" s="77" t="str">
        <f t="shared" ca="1" si="214"/>
        <v/>
      </c>
      <c r="BC219" s="93" t="str">
        <f t="shared" ca="1" si="215"/>
        <v/>
      </c>
    </row>
    <row r="220" spans="1:55" ht="15.95" customHeight="1" x14ac:dyDescent="0.2">
      <c r="A220" s="41" t="str">
        <f>IF(Customization!B220="","",Customization!B220)</f>
        <v/>
      </c>
      <c r="B220" s="79" t="str">
        <f t="shared" ca="1" si="164"/>
        <v/>
      </c>
      <c r="C220" s="29" t="str">
        <f t="shared" ca="1" si="165"/>
        <v/>
      </c>
      <c r="D220" s="7" t="str">
        <f t="shared" ca="1" si="162"/>
        <v/>
      </c>
      <c r="E220" s="29" t="str">
        <f t="shared" ca="1" si="166"/>
        <v/>
      </c>
      <c r="F220" s="7" t="str">
        <f t="shared" ca="1" si="163"/>
        <v/>
      </c>
      <c r="G220" s="29" t="str">
        <f t="shared" ca="1" si="167"/>
        <v/>
      </c>
      <c r="H220" s="7" t="str">
        <f t="shared" ca="1" si="168"/>
        <v/>
      </c>
      <c r="I220" s="28" t="str">
        <f t="shared" ca="1" si="169"/>
        <v/>
      </c>
      <c r="J220" s="7" t="str">
        <f t="shared" ca="1" si="170"/>
        <v/>
      </c>
      <c r="K220" s="73" t="str">
        <f t="shared" ca="1" si="171"/>
        <v/>
      </c>
      <c r="L220" s="74" t="str">
        <f t="shared" ca="1" si="172"/>
        <v/>
      </c>
      <c r="M220" s="75" t="str">
        <f t="shared" ca="1" si="173"/>
        <v/>
      </c>
      <c r="N220" s="76" t="str">
        <f t="shared" ca="1" si="174"/>
        <v/>
      </c>
      <c r="O220" s="75" t="str">
        <f t="shared" ca="1" si="175"/>
        <v/>
      </c>
      <c r="P220" s="76" t="str">
        <f t="shared" ca="1" si="176"/>
        <v/>
      </c>
      <c r="Q220" s="75" t="str">
        <f t="shared" ca="1" si="177"/>
        <v/>
      </c>
      <c r="R220" s="77" t="str">
        <f t="shared" ca="1" si="178"/>
        <v/>
      </c>
      <c r="S220" s="89" t="str">
        <f t="shared" ca="1" si="179"/>
        <v/>
      </c>
      <c r="T220" s="88" t="str">
        <f t="shared" ca="1" si="180"/>
        <v/>
      </c>
      <c r="U220" s="92" t="str">
        <f t="shared" ca="1" si="181"/>
        <v/>
      </c>
      <c r="V220" s="88" t="str">
        <f t="shared" ca="1" si="182"/>
        <v/>
      </c>
      <c r="W220" s="92" t="str">
        <f t="shared" ca="1" si="183"/>
        <v/>
      </c>
      <c r="X220" s="88" t="str">
        <f t="shared" ca="1" si="184"/>
        <v/>
      </c>
      <c r="Y220" s="92" t="str">
        <f t="shared" ca="1" si="185"/>
        <v/>
      </c>
      <c r="Z220" s="88" t="str">
        <f t="shared" ca="1" si="186"/>
        <v/>
      </c>
      <c r="AA220" s="89" t="str">
        <f t="shared" ca="1" si="187"/>
        <v/>
      </c>
      <c r="AB220" s="88" t="str">
        <f t="shared" ca="1" si="188"/>
        <v/>
      </c>
      <c r="AC220" s="92" t="str">
        <f t="shared" ca="1" si="189"/>
        <v/>
      </c>
      <c r="AD220" s="88" t="str">
        <f t="shared" ca="1" si="190"/>
        <v/>
      </c>
      <c r="AE220" s="92" t="str">
        <f t="shared" ca="1" si="191"/>
        <v/>
      </c>
      <c r="AF220" s="88" t="str">
        <f t="shared" ca="1" si="192"/>
        <v/>
      </c>
      <c r="AG220" s="92" t="str">
        <f t="shared" ca="1" si="193"/>
        <v/>
      </c>
      <c r="AH220" s="88" t="str">
        <f t="shared" ca="1" si="194"/>
        <v/>
      </c>
      <c r="AI220" s="92" t="str">
        <f t="shared" ca="1" si="195"/>
        <v/>
      </c>
      <c r="AJ220" s="88" t="str">
        <f t="shared" ca="1" si="196"/>
        <v/>
      </c>
      <c r="AK220" s="92" t="str">
        <f t="shared" ca="1" si="197"/>
        <v/>
      </c>
      <c r="AL220" s="77" t="str">
        <f t="shared" ca="1" si="198"/>
        <v/>
      </c>
      <c r="AM220" s="89" t="str">
        <f t="shared" ca="1" si="199"/>
        <v/>
      </c>
      <c r="AN220" s="88" t="str">
        <f t="shared" ca="1" si="200"/>
        <v/>
      </c>
      <c r="AO220" s="89" t="str">
        <f t="shared" ca="1" si="201"/>
        <v/>
      </c>
      <c r="AP220" s="77" t="str">
        <f t="shared" ca="1" si="202"/>
        <v/>
      </c>
      <c r="AQ220" s="94" t="str">
        <f t="shared" ca="1" si="203"/>
        <v/>
      </c>
      <c r="AR220" s="77" t="str">
        <f t="shared" ca="1" si="204"/>
        <v/>
      </c>
      <c r="AS220" s="94" t="str">
        <f t="shared" ca="1" si="205"/>
        <v/>
      </c>
      <c r="AT220" s="77" t="str">
        <f t="shared" ca="1" si="206"/>
        <v/>
      </c>
      <c r="AU220" s="93" t="str">
        <f t="shared" ca="1" si="207"/>
        <v/>
      </c>
      <c r="AV220" s="77" t="str">
        <f t="shared" ca="1" si="208"/>
        <v/>
      </c>
      <c r="AW220" s="93" t="str">
        <f t="shared" ca="1" si="209"/>
        <v/>
      </c>
      <c r="AX220" s="77" t="str">
        <f t="shared" ca="1" si="210"/>
        <v/>
      </c>
      <c r="AY220" s="93" t="str">
        <f t="shared" ca="1" si="211"/>
        <v/>
      </c>
      <c r="AZ220" s="77" t="str">
        <f t="shared" ca="1" si="212"/>
        <v/>
      </c>
      <c r="BA220" s="93" t="str">
        <f t="shared" ca="1" si="213"/>
        <v/>
      </c>
      <c r="BB220" s="77" t="str">
        <f t="shared" ca="1" si="214"/>
        <v/>
      </c>
      <c r="BC220" s="93" t="str">
        <f t="shared" ca="1" si="215"/>
        <v/>
      </c>
    </row>
    <row r="221" spans="1:55" ht="15.95" customHeight="1" x14ac:dyDescent="0.2">
      <c r="A221" s="41" t="str">
        <f>IF(Customization!B221="","",Customization!B221)</f>
        <v/>
      </c>
      <c r="B221" s="79" t="str">
        <f t="shared" ca="1" si="164"/>
        <v/>
      </c>
      <c r="C221" s="29" t="str">
        <f t="shared" ca="1" si="165"/>
        <v/>
      </c>
      <c r="D221" s="7" t="str">
        <f t="shared" ca="1" si="162"/>
        <v/>
      </c>
      <c r="E221" s="29" t="str">
        <f t="shared" ca="1" si="166"/>
        <v/>
      </c>
      <c r="F221" s="7" t="str">
        <f t="shared" ca="1" si="163"/>
        <v/>
      </c>
      <c r="G221" s="29" t="str">
        <f t="shared" ca="1" si="167"/>
        <v/>
      </c>
      <c r="H221" s="7" t="str">
        <f t="shared" ca="1" si="168"/>
        <v/>
      </c>
      <c r="I221" s="28" t="str">
        <f t="shared" ca="1" si="169"/>
        <v/>
      </c>
      <c r="J221" s="7" t="str">
        <f t="shared" ca="1" si="170"/>
        <v/>
      </c>
      <c r="K221" s="73" t="str">
        <f t="shared" ca="1" si="171"/>
        <v/>
      </c>
      <c r="L221" s="74" t="str">
        <f t="shared" ca="1" si="172"/>
        <v/>
      </c>
      <c r="M221" s="75" t="str">
        <f t="shared" ca="1" si="173"/>
        <v/>
      </c>
      <c r="N221" s="76" t="str">
        <f t="shared" ca="1" si="174"/>
        <v/>
      </c>
      <c r="O221" s="75" t="str">
        <f t="shared" ca="1" si="175"/>
        <v/>
      </c>
      <c r="P221" s="76" t="str">
        <f t="shared" ca="1" si="176"/>
        <v/>
      </c>
      <c r="Q221" s="75" t="str">
        <f t="shared" ca="1" si="177"/>
        <v/>
      </c>
      <c r="R221" s="77" t="str">
        <f t="shared" ca="1" si="178"/>
        <v/>
      </c>
      <c r="S221" s="89" t="str">
        <f t="shared" ca="1" si="179"/>
        <v/>
      </c>
      <c r="T221" s="88" t="str">
        <f t="shared" ca="1" si="180"/>
        <v/>
      </c>
      <c r="U221" s="92" t="str">
        <f t="shared" ca="1" si="181"/>
        <v/>
      </c>
      <c r="V221" s="88" t="str">
        <f t="shared" ca="1" si="182"/>
        <v/>
      </c>
      <c r="W221" s="92" t="str">
        <f t="shared" ca="1" si="183"/>
        <v/>
      </c>
      <c r="X221" s="88" t="str">
        <f t="shared" ca="1" si="184"/>
        <v/>
      </c>
      <c r="Y221" s="92" t="str">
        <f t="shared" ca="1" si="185"/>
        <v/>
      </c>
      <c r="Z221" s="88" t="str">
        <f t="shared" ca="1" si="186"/>
        <v/>
      </c>
      <c r="AA221" s="89" t="str">
        <f t="shared" ca="1" si="187"/>
        <v/>
      </c>
      <c r="AB221" s="88" t="str">
        <f t="shared" ca="1" si="188"/>
        <v/>
      </c>
      <c r="AC221" s="92" t="str">
        <f t="shared" ca="1" si="189"/>
        <v/>
      </c>
      <c r="AD221" s="88" t="str">
        <f t="shared" ca="1" si="190"/>
        <v/>
      </c>
      <c r="AE221" s="92" t="str">
        <f t="shared" ca="1" si="191"/>
        <v/>
      </c>
      <c r="AF221" s="88" t="str">
        <f t="shared" ca="1" si="192"/>
        <v/>
      </c>
      <c r="AG221" s="92" t="str">
        <f t="shared" ca="1" si="193"/>
        <v/>
      </c>
      <c r="AH221" s="88" t="str">
        <f t="shared" ca="1" si="194"/>
        <v/>
      </c>
      <c r="AI221" s="92" t="str">
        <f t="shared" ca="1" si="195"/>
        <v/>
      </c>
      <c r="AJ221" s="88" t="str">
        <f t="shared" ca="1" si="196"/>
        <v/>
      </c>
      <c r="AK221" s="92" t="str">
        <f t="shared" ca="1" si="197"/>
        <v/>
      </c>
      <c r="AL221" s="77" t="str">
        <f t="shared" ca="1" si="198"/>
        <v/>
      </c>
      <c r="AM221" s="89" t="str">
        <f t="shared" ca="1" si="199"/>
        <v/>
      </c>
      <c r="AN221" s="88" t="str">
        <f t="shared" ca="1" si="200"/>
        <v/>
      </c>
      <c r="AO221" s="89" t="str">
        <f t="shared" ca="1" si="201"/>
        <v/>
      </c>
      <c r="AP221" s="77" t="str">
        <f t="shared" ca="1" si="202"/>
        <v/>
      </c>
      <c r="AQ221" s="94" t="str">
        <f t="shared" ca="1" si="203"/>
        <v/>
      </c>
      <c r="AR221" s="77" t="str">
        <f t="shared" ca="1" si="204"/>
        <v/>
      </c>
      <c r="AS221" s="94" t="str">
        <f t="shared" ca="1" si="205"/>
        <v/>
      </c>
      <c r="AT221" s="77" t="str">
        <f t="shared" ca="1" si="206"/>
        <v/>
      </c>
      <c r="AU221" s="93" t="str">
        <f t="shared" ca="1" si="207"/>
        <v/>
      </c>
      <c r="AV221" s="77" t="str">
        <f t="shared" ca="1" si="208"/>
        <v/>
      </c>
      <c r="AW221" s="93" t="str">
        <f t="shared" ca="1" si="209"/>
        <v/>
      </c>
      <c r="AX221" s="77" t="str">
        <f t="shared" ca="1" si="210"/>
        <v/>
      </c>
      <c r="AY221" s="93" t="str">
        <f t="shared" ca="1" si="211"/>
        <v/>
      </c>
      <c r="AZ221" s="77" t="str">
        <f t="shared" ca="1" si="212"/>
        <v/>
      </c>
      <c r="BA221" s="93" t="str">
        <f t="shared" ca="1" si="213"/>
        <v/>
      </c>
      <c r="BB221" s="77" t="str">
        <f t="shared" ca="1" si="214"/>
        <v/>
      </c>
      <c r="BC221" s="93" t="str">
        <f t="shared" ca="1" si="215"/>
        <v/>
      </c>
    </row>
    <row r="222" spans="1:55" ht="15.95" customHeight="1" x14ac:dyDescent="0.2">
      <c r="A222" s="41" t="str">
        <f>IF(Customization!B222="","",Customization!B222)</f>
        <v/>
      </c>
      <c r="B222" s="79" t="str">
        <f t="shared" ca="1" si="164"/>
        <v/>
      </c>
      <c r="C222" s="29" t="str">
        <f t="shared" ca="1" si="165"/>
        <v/>
      </c>
      <c r="D222" s="7" t="str">
        <f t="shared" ca="1" si="162"/>
        <v/>
      </c>
      <c r="E222" s="29" t="str">
        <f t="shared" ca="1" si="166"/>
        <v/>
      </c>
      <c r="F222" s="7" t="str">
        <f t="shared" ca="1" si="163"/>
        <v/>
      </c>
      <c r="G222" s="29" t="str">
        <f t="shared" ca="1" si="167"/>
        <v/>
      </c>
      <c r="H222" s="7" t="str">
        <f t="shared" ca="1" si="168"/>
        <v/>
      </c>
      <c r="I222" s="28" t="str">
        <f t="shared" ca="1" si="169"/>
        <v/>
      </c>
      <c r="J222" s="7" t="str">
        <f t="shared" ca="1" si="170"/>
        <v/>
      </c>
      <c r="K222" s="73" t="str">
        <f t="shared" ca="1" si="171"/>
        <v/>
      </c>
      <c r="L222" s="74" t="str">
        <f t="shared" ca="1" si="172"/>
        <v/>
      </c>
      <c r="M222" s="75" t="str">
        <f t="shared" ca="1" si="173"/>
        <v/>
      </c>
      <c r="N222" s="76" t="str">
        <f t="shared" ca="1" si="174"/>
        <v/>
      </c>
      <c r="O222" s="75" t="str">
        <f t="shared" ca="1" si="175"/>
        <v/>
      </c>
      <c r="P222" s="76" t="str">
        <f t="shared" ca="1" si="176"/>
        <v/>
      </c>
      <c r="Q222" s="75" t="str">
        <f t="shared" ca="1" si="177"/>
        <v/>
      </c>
      <c r="R222" s="77" t="str">
        <f t="shared" ca="1" si="178"/>
        <v/>
      </c>
      <c r="S222" s="89" t="str">
        <f t="shared" ca="1" si="179"/>
        <v/>
      </c>
      <c r="T222" s="88" t="str">
        <f t="shared" ca="1" si="180"/>
        <v/>
      </c>
      <c r="U222" s="92" t="str">
        <f t="shared" ca="1" si="181"/>
        <v/>
      </c>
      <c r="V222" s="88" t="str">
        <f t="shared" ca="1" si="182"/>
        <v/>
      </c>
      <c r="W222" s="92" t="str">
        <f t="shared" ca="1" si="183"/>
        <v/>
      </c>
      <c r="X222" s="88" t="str">
        <f t="shared" ca="1" si="184"/>
        <v/>
      </c>
      <c r="Y222" s="92" t="str">
        <f t="shared" ca="1" si="185"/>
        <v/>
      </c>
      <c r="Z222" s="88" t="str">
        <f t="shared" ca="1" si="186"/>
        <v/>
      </c>
      <c r="AA222" s="89" t="str">
        <f t="shared" ca="1" si="187"/>
        <v/>
      </c>
      <c r="AB222" s="88" t="str">
        <f t="shared" ca="1" si="188"/>
        <v/>
      </c>
      <c r="AC222" s="92" t="str">
        <f t="shared" ca="1" si="189"/>
        <v/>
      </c>
      <c r="AD222" s="88" t="str">
        <f t="shared" ca="1" si="190"/>
        <v/>
      </c>
      <c r="AE222" s="92" t="str">
        <f t="shared" ca="1" si="191"/>
        <v/>
      </c>
      <c r="AF222" s="88" t="str">
        <f t="shared" ca="1" si="192"/>
        <v/>
      </c>
      <c r="AG222" s="92" t="str">
        <f t="shared" ca="1" si="193"/>
        <v/>
      </c>
      <c r="AH222" s="88" t="str">
        <f t="shared" ca="1" si="194"/>
        <v/>
      </c>
      <c r="AI222" s="92" t="str">
        <f t="shared" ca="1" si="195"/>
        <v/>
      </c>
      <c r="AJ222" s="88" t="str">
        <f t="shared" ca="1" si="196"/>
        <v/>
      </c>
      <c r="AK222" s="92" t="str">
        <f t="shared" ca="1" si="197"/>
        <v/>
      </c>
      <c r="AL222" s="77" t="str">
        <f t="shared" ca="1" si="198"/>
        <v/>
      </c>
      <c r="AM222" s="89" t="str">
        <f t="shared" ca="1" si="199"/>
        <v/>
      </c>
      <c r="AN222" s="88" t="str">
        <f t="shared" ca="1" si="200"/>
        <v/>
      </c>
      <c r="AO222" s="89" t="str">
        <f t="shared" ca="1" si="201"/>
        <v/>
      </c>
      <c r="AP222" s="77" t="str">
        <f t="shared" ca="1" si="202"/>
        <v/>
      </c>
      <c r="AQ222" s="94" t="str">
        <f t="shared" ca="1" si="203"/>
        <v/>
      </c>
      <c r="AR222" s="77" t="str">
        <f t="shared" ca="1" si="204"/>
        <v/>
      </c>
      <c r="AS222" s="94" t="str">
        <f t="shared" ca="1" si="205"/>
        <v/>
      </c>
      <c r="AT222" s="77" t="str">
        <f t="shared" ca="1" si="206"/>
        <v/>
      </c>
      <c r="AU222" s="93" t="str">
        <f t="shared" ca="1" si="207"/>
        <v/>
      </c>
      <c r="AV222" s="77" t="str">
        <f t="shared" ca="1" si="208"/>
        <v/>
      </c>
      <c r="AW222" s="93" t="str">
        <f t="shared" ca="1" si="209"/>
        <v/>
      </c>
      <c r="AX222" s="77" t="str">
        <f t="shared" ca="1" si="210"/>
        <v/>
      </c>
      <c r="AY222" s="93" t="str">
        <f t="shared" ca="1" si="211"/>
        <v/>
      </c>
      <c r="AZ222" s="77" t="str">
        <f t="shared" ca="1" si="212"/>
        <v/>
      </c>
      <c r="BA222" s="93" t="str">
        <f t="shared" ca="1" si="213"/>
        <v/>
      </c>
      <c r="BB222" s="77" t="str">
        <f t="shared" ca="1" si="214"/>
        <v/>
      </c>
      <c r="BC222" s="93" t="str">
        <f t="shared" ca="1" si="215"/>
        <v/>
      </c>
    </row>
    <row r="223" spans="1:55" ht="15.95" customHeight="1" x14ac:dyDescent="0.2">
      <c r="A223" s="41" t="str">
        <f>IF(Customization!B223="","",Customization!B223)</f>
        <v/>
      </c>
      <c r="B223" s="79" t="str">
        <f t="shared" ca="1" si="164"/>
        <v/>
      </c>
      <c r="C223" s="29" t="str">
        <f t="shared" ca="1" si="165"/>
        <v/>
      </c>
      <c r="D223" s="7" t="str">
        <f t="shared" ca="1" si="162"/>
        <v/>
      </c>
      <c r="E223" s="29" t="str">
        <f t="shared" ca="1" si="166"/>
        <v/>
      </c>
      <c r="F223" s="7" t="str">
        <f t="shared" ca="1" si="163"/>
        <v/>
      </c>
      <c r="G223" s="29" t="str">
        <f t="shared" ca="1" si="167"/>
        <v/>
      </c>
      <c r="H223" s="7" t="str">
        <f t="shared" ca="1" si="168"/>
        <v/>
      </c>
      <c r="I223" s="28" t="str">
        <f t="shared" ca="1" si="169"/>
        <v/>
      </c>
      <c r="J223" s="7" t="str">
        <f t="shared" ca="1" si="170"/>
        <v/>
      </c>
      <c r="K223" s="73" t="str">
        <f t="shared" ca="1" si="171"/>
        <v/>
      </c>
      <c r="L223" s="74" t="str">
        <f t="shared" ca="1" si="172"/>
        <v/>
      </c>
      <c r="M223" s="75" t="str">
        <f t="shared" ca="1" si="173"/>
        <v/>
      </c>
      <c r="N223" s="76" t="str">
        <f t="shared" ca="1" si="174"/>
        <v/>
      </c>
      <c r="O223" s="75" t="str">
        <f t="shared" ca="1" si="175"/>
        <v/>
      </c>
      <c r="P223" s="76" t="str">
        <f t="shared" ca="1" si="176"/>
        <v/>
      </c>
      <c r="Q223" s="75" t="str">
        <f t="shared" ca="1" si="177"/>
        <v/>
      </c>
      <c r="R223" s="77" t="str">
        <f t="shared" ca="1" si="178"/>
        <v/>
      </c>
      <c r="S223" s="89" t="str">
        <f t="shared" ca="1" si="179"/>
        <v/>
      </c>
      <c r="T223" s="88" t="str">
        <f t="shared" ca="1" si="180"/>
        <v/>
      </c>
      <c r="U223" s="92" t="str">
        <f t="shared" ca="1" si="181"/>
        <v/>
      </c>
      <c r="V223" s="88" t="str">
        <f t="shared" ca="1" si="182"/>
        <v/>
      </c>
      <c r="W223" s="92" t="str">
        <f t="shared" ca="1" si="183"/>
        <v/>
      </c>
      <c r="X223" s="88" t="str">
        <f t="shared" ca="1" si="184"/>
        <v/>
      </c>
      <c r="Y223" s="92" t="str">
        <f t="shared" ca="1" si="185"/>
        <v/>
      </c>
      <c r="Z223" s="88" t="str">
        <f t="shared" ca="1" si="186"/>
        <v/>
      </c>
      <c r="AA223" s="89" t="str">
        <f t="shared" ca="1" si="187"/>
        <v/>
      </c>
      <c r="AB223" s="88" t="str">
        <f t="shared" ca="1" si="188"/>
        <v/>
      </c>
      <c r="AC223" s="92" t="str">
        <f t="shared" ca="1" si="189"/>
        <v/>
      </c>
      <c r="AD223" s="88" t="str">
        <f t="shared" ca="1" si="190"/>
        <v/>
      </c>
      <c r="AE223" s="92" t="str">
        <f t="shared" ca="1" si="191"/>
        <v/>
      </c>
      <c r="AF223" s="88" t="str">
        <f t="shared" ca="1" si="192"/>
        <v/>
      </c>
      <c r="AG223" s="92" t="str">
        <f t="shared" ca="1" si="193"/>
        <v/>
      </c>
      <c r="AH223" s="88" t="str">
        <f t="shared" ca="1" si="194"/>
        <v/>
      </c>
      <c r="AI223" s="92" t="str">
        <f t="shared" ca="1" si="195"/>
        <v/>
      </c>
      <c r="AJ223" s="88" t="str">
        <f t="shared" ca="1" si="196"/>
        <v/>
      </c>
      <c r="AK223" s="92" t="str">
        <f t="shared" ca="1" si="197"/>
        <v/>
      </c>
      <c r="AL223" s="77" t="str">
        <f t="shared" ca="1" si="198"/>
        <v/>
      </c>
      <c r="AM223" s="89" t="str">
        <f t="shared" ca="1" si="199"/>
        <v/>
      </c>
      <c r="AN223" s="88" t="str">
        <f t="shared" ca="1" si="200"/>
        <v/>
      </c>
      <c r="AO223" s="89" t="str">
        <f t="shared" ca="1" si="201"/>
        <v/>
      </c>
      <c r="AP223" s="77" t="str">
        <f t="shared" ca="1" si="202"/>
        <v/>
      </c>
      <c r="AQ223" s="94" t="str">
        <f t="shared" ca="1" si="203"/>
        <v/>
      </c>
      <c r="AR223" s="77" t="str">
        <f t="shared" ca="1" si="204"/>
        <v/>
      </c>
      <c r="AS223" s="94" t="str">
        <f t="shared" ca="1" si="205"/>
        <v/>
      </c>
      <c r="AT223" s="77" t="str">
        <f t="shared" ca="1" si="206"/>
        <v/>
      </c>
      <c r="AU223" s="93" t="str">
        <f t="shared" ca="1" si="207"/>
        <v/>
      </c>
      <c r="AV223" s="77" t="str">
        <f t="shared" ca="1" si="208"/>
        <v/>
      </c>
      <c r="AW223" s="93" t="str">
        <f t="shared" ca="1" si="209"/>
        <v/>
      </c>
      <c r="AX223" s="77" t="str">
        <f t="shared" ca="1" si="210"/>
        <v/>
      </c>
      <c r="AY223" s="93" t="str">
        <f t="shared" ca="1" si="211"/>
        <v/>
      </c>
      <c r="AZ223" s="77" t="str">
        <f t="shared" ca="1" si="212"/>
        <v/>
      </c>
      <c r="BA223" s="93" t="str">
        <f t="shared" ca="1" si="213"/>
        <v/>
      </c>
      <c r="BB223" s="77" t="str">
        <f t="shared" ca="1" si="214"/>
        <v/>
      </c>
      <c r="BC223" s="93" t="str">
        <f t="shared" ca="1" si="215"/>
        <v/>
      </c>
    </row>
    <row r="224" spans="1:55" ht="15.95" customHeight="1" x14ac:dyDescent="0.2">
      <c r="A224" s="41" t="str">
        <f>IF(Customization!B224="","",Customization!B224)</f>
        <v/>
      </c>
      <c r="B224" s="79" t="str">
        <f t="shared" ca="1" si="164"/>
        <v/>
      </c>
      <c r="C224" s="29" t="str">
        <f t="shared" ca="1" si="165"/>
        <v/>
      </c>
      <c r="D224" s="7" t="str">
        <f t="shared" ca="1" si="162"/>
        <v/>
      </c>
      <c r="E224" s="29" t="str">
        <f t="shared" ca="1" si="166"/>
        <v/>
      </c>
      <c r="F224" s="7" t="str">
        <f t="shared" ca="1" si="163"/>
        <v/>
      </c>
      <c r="G224" s="29" t="str">
        <f t="shared" ca="1" si="167"/>
        <v/>
      </c>
      <c r="H224" s="7" t="str">
        <f t="shared" ca="1" si="168"/>
        <v/>
      </c>
      <c r="I224" s="28" t="str">
        <f t="shared" ca="1" si="169"/>
        <v/>
      </c>
      <c r="J224" s="7" t="str">
        <f t="shared" ca="1" si="170"/>
        <v/>
      </c>
      <c r="K224" s="73" t="str">
        <f t="shared" ca="1" si="171"/>
        <v/>
      </c>
      <c r="L224" s="74" t="str">
        <f t="shared" ca="1" si="172"/>
        <v/>
      </c>
      <c r="M224" s="75" t="str">
        <f t="shared" ca="1" si="173"/>
        <v/>
      </c>
      <c r="N224" s="76" t="str">
        <f t="shared" ca="1" si="174"/>
        <v/>
      </c>
      <c r="O224" s="75" t="str">
        <f t="shared" ca="1" si="175"/>
        <v/>
      </c>
      <c r="P224" s="76" t="str">
        <f t="shared" ca="1" si="176"/>
        <v/>
      </c>
      <c r="Q224" s="75" t="str">
        <f t="shared" ca="1" si="177"/>
        <v/>
      </c>
      <c r="R224" s="77" t="str">
        <f t="shared" ca="1" si="178"/>
        <v/>
      </c>
      <c r="S224" s="89" t="str">
        <f t="shared" ca="1" si="179"/>
        <v/>
      </c>
      <c r="T224" s="88" t="str">
        <f t="shared" ca="1" si="180"/>
        <v/>
      </c>
      <c r="U224" s="92" t="str">
        <f t="shared" ca="1" si="181"/>
        <v/>
      </c>
      <c r="V224" s="88" t="str">
        <f t="shared" ca="1" si="182"/>
        <v/>
      </c>
      <c r="W224" s="92" t="str">
        <f t="shared" ca="1" si="183"/>
        <v/>
      </c>
      <c r="X224" s="88" t="str">
        <f t="shared" ca="1" si="184"/>
        <v/>
      </c>
      <c r="Y224" s="92" t="str">
        <f t="shared" ca="1" si="185"/>
        <v/>
      </c>
      <c r="Z224" s="88" t="str">
        <f t="shared" ca="1" si="186"/>
        <v/>
      </c>
      <c r="AA224" s="89" t="str">
        <f t="shared" ca="1" si="187"/>
        <v/>
      </c>
      <c r="AB224" s="88" t="str">
        <f t="shared" ca="1" si="188"/>
        <v/>
      </c>
      <c r="AC224" s="92" t="str">
        <f t="shared" ca="1" si="189"/>
        <v/>
      </c>
      <c r="AD224" s="88" t="str">
        <f t="shared" ca="1" si="190"/>
        <v/>
      </c>
      <c r="AE224" s="92" t="str">
        <f t="shared" ca="1" si="191"/>
        <v/>
      </c>
      <c r="AF224" s="88" t="str">
        <f t="shared" ca="1" si="192"/>
        <v/>
      </c>
      <c r="AG224" s="92" t="str">
        <f t="shared" ca="1" si="193"/>
        <v/>
      </c>
      <c r="AH224" s="88" t="str">
        <f t="shared" ca="1" si="194"/>
        <v/>
      </c>
      <c r="AI224" s="92" t="str">
        <f t="shared" ca="1" si="195"/>
        <v/>
      </c>
      <c r="AJ224" s="88" t="str">
        <f t="shared" ca="1" si="196"/>
        <v/>
      </c>
      <c r="AK224" s="92" t="str">
        <f t="shared" ca="1" si="197"/>
        <v/>
      </c>
      <c r="AL224" s="77" t="str">
        <f t="shared" ca="1" si="198"/>
        <v/>
      </c>
      <c r="AM224" s="89" t="str">
        <f t="shared" ca="1" si="199"/>
        <v/>
      </c>
      <c r="AN224" s="88" t="str">
        <f t="shared" ca="1" si="200"/>
        <v/>
      </c>
      <c r="AO224" s="89" t="str">
        <f t="shared" ca="1" si="201"/>
        <v/>
      </c>
      <c r="AP224" s="77" t="str">
        <f t="shared" ca="1" si="202"/>
        <v/>
      </c>
      <c r="AQ224" s="94" t="str">
        <f t="shared" ca="1" si="203"/>
        <v/>
      </c>
      <c r="AR224" s="77" t="str">
        <f t="shared" ca="1" si="204"/>
        <v/>
      </c>
      <c r="AS224" s="94" t="str">
        <f t="shared" ca="1" si="205"/>
        <v/>
      </c>
      <c r="AT224" s="77" t="str">
        <f t="shared" ca="1" si="206"/>
        <v/>
      </c>
      <c r="AU224" s="93" t="str">
        <f t="shared" ca="1" si="207"/>
        <v/>
      </c>
      <c r="AV224" s="77" t="str">
        <f t="shared" ca="1" si="208"/>
        <v/>
      </c>
      <c r="AW224" s="93" t="str">
        <f t="shared" ca="1" si="209"/>
        <v/>
      </c>
      <c r="AX224" s="77" t="str">
        <f t="shared" ca="1" si="210"/>
        <v/>
      </c>
      <c r="AY224" s="93" t="str">
        <f t="shared" ca="1" si="211"/>
        <v/>
      </c>
      <c r="AZ224" s="77" t="str">
        <f t="shared" ca="1" si="212"/>
        <v/>
      </c>
      <c r="BA224" s="93" t="str">
        <f t="shared" ca="1" si="213"/>
        <v/>
      </c>
      <c r="BB224" s="77" t="str">
        <f t="shared" ca="1" si="214"/>
        <v/>
      </c>
      <c r="BC224" s="93" t="str">
        <f t="shared" ca="1" si="215"/>
        <v/>
      </c>
    </row>
    <row r="225" spans="1:55" ht="15.95" customHeight="1" x14ac:dyDescent="0.2">
      <c r="A225" s="41" t="str">
        <f>IF(Customization!B225="","",Customization!B225)</f>
        <v/>
      </c>
      <c r="B225" s="79" t="str">
        <f t="shared" ca="1" si="164"/>
        <v/>
      </c>
      <c r="C225" s="29" t="str">
        <f t="shared" ca="1" si="165"/>
        <v/>
      </c>
      <c r="D225" s="7" t="str">
        <f t="shared" ca="1" si="162"/>
        <v/>
      </c>
      <c r="E225" s="29" t="str">
        <f t="shared" ca="1" si="166"/>
        <v/>
      </c>
      <c r="F225" s="7" t="str">
        <f t="shared" ca="1" si="163"/>
        <v/>
      </c>
      <c r="G225" s="29" t="str">
        <f t="shared" ca="1" si="167"/>
        <v/>
      </c>
      <c r="H225" s="7" t="str">
        <f t="shared" ca="1" si="168"/>
        <v/>
      </c>
      <c r="I225" s="28" t="str">
        <f t="shared" ca="1" si="169"/>
        <v/>
      </c>
      <c r="J225" s="7" t="str">
        <f t="shared" ca="1" si="170"/>
        <v/>
      </c>
      <c r="K225" s="73" t="str">
        <f t="shared" ca="1" si="171"/>
        <v/>
      </c>
      <c r="L225" s="74" t="str">
        <f t="shared" ca="1" si="172"/>
        <v/>
      </c>
      <c r="M225" s="75" t="str">
        <f t="shared" ca="1" si="173"/>
        <v/>
      </c>
      <c r="N225" s="76" t="str">
        <f t="shared" ca="1" si="174"/>
        <v/>
      </c>
      <c r="O225" s="75" t="str">
        <f t="shared" ca="1" si="175"/>
        <v/>
      </c>
      <c r="P225" s="76" t="str">
        <f t="shared" ca="1" si="176"/>
        <v/>
      </c>
      <c r="Q225" s="75" t="str">
        <f t="shared" ca="1" si="177"/>
        <v/>
      </c>
      <c r="R225" s="77" t="str">
        <f t="shared" ca="1" si="178"/>
        <v/>
      </c>
      <c r="S225" s="89" t="str">
        <f t="shared" ca="1" si="179"/>
        <v/>
      </c>
      <c r="T225" s="88" t="str">
        <f t="shared" ca="1" si="180"/>
        <v/>
      </c>
      <c r="U225" s="92" t="str">
        <f t="shared" ca="1" si="181"/>
        <v/>
      </c>
      <c r="V225" s="88" t="str">
        <f t="shared" ca="1" si="182"/>
        <v/>
      </c>
      <c r="W225" s="92" t="str">
        <f t="shared" ca="1" si="183"/>
        <v/>
      </c>
      <c r="X225" s="88" t="str">
        <f t="shared" ca="1" si="184"/>
        <v/>
      </c>
      <c r="Y225" s="92" t="str">
        <f t="shared" ca="1" si="185"/>
        <v/>
      </c>
      <c r="Z225" s="88" t="str">
        <f t="shared" ca="1" si="186"/>
        <v/>
      </c>
      <c r="AA225" s="89" t="str">
        <f t="shared" ca="1" si="187"/>
        <v/>
      </c>
      <c r="AB225" s="88" t="str">
        <f t="shared" ca="1" si="188"/>
        <v/>
      </c>
      <c r="AC225" s="92" t="str">
        <f t="shared" ca="1" si="189"/>
        <v/>
      </c>
      <c r="AD225" s="88" t="str">
        <f t="shared" ca="1" si="190"/>
        <v/>
      </c>
      <c r="AE225" s="92" t="str">
        <f t="shared" ca="1" si="191"/>
        <v/>
      </c>
      <c r="AF225" s="88" t="str">
        <f t="shared" ca="1" si="192"/>
        <v/>
      </c>
      <c r="AG225" s="92" t="str">
        <f t="shared" ca="1" si="193"/>
        <v/>
      </c>
      <c r="AH225" s="88" t="str">
        <f t="shared" ca="1" si="194"/>
        <v/>
      </c>
      <c r="AI225" s="92" t="str">
        <f t="shared" ca="1" si="195"/>
        <v/>
      </c>
      <c r="AJ225" s="88" t="str">
        <f t="shared" ca="1" si="196"/>
        <v/>
      </c>
      <c r="AK225" s="92" t="str">
        <f t="shared" ca="1" si="197"/>
        <v/>
      </c>
      <c r="AL225" s="77" t="str">
        <f t="shared" ca="1" si="198"/>
        <v/>
      </c>
      <c r="AM225" s="89" t="str">
        <f t="shared" ca="1" si="199"/>
        <v/>
      </c>
      <c r="AN225" s="88" t="str">
        <f t="shared" ca="1" si="200"/>
        <v/>
      </c>
      <c r="AO225" s="89" t="str">
        <f t="shared" ca="1" si="201"/>
        <v/>
      </c>
      <c r="AP225" s="77" t="str">
        <f t="shared" ca="1" si="202"/>
        <v/>
      </c>
      <c r="AQ225" s="94" t="str">
        <f t="shared" ca="1" si="203"/>
        <v/>
      </c>
      <c r="AR225" s="77" t="str">
        <f t="shared" ca="1" si="204"/>
        <v/>
      </c>
      <c r="AS225" s="94" t="str">
        <f t="shared" ca="1" si="205"/>
        <v/>
      </c>
      <c r="AT225" s="77" t="str">
        <f t="shared" ca="1" si="206"/>
        <v/>
      </c>
      <c r="AU225" s="93" t="str">
        <f t="shared" ca="1" si="207"/>
        <v/>
      </c>
      <c r="AV225" s="77" t="str">
        <f t="shared" ca="1" si="208"/>
        <v/>
      </c>
      <c r="AW225" s="93" t="str">
        <f t="shared" ca="1" si="209"/>
        <v/>
      </c>
      <c r="AX225" s="77" t="str">
        <f t="shared" ca="1" si="210"/>
        <v/>
      </c>
      <c r="AY225" s="93" t="str">
        <f t="shared" ca="1" si="211"/>
        <v/>
      </c>
      <c r="AZ225" s="77" t="str">
        <f t="shared" ca="1" si="212"/>
        <v/>
      </c>
      <c r="BA225" s="93" t="str">
        <f t="shared" ca="1" si="213"/>
        <v/>
      </c>
      <c r="BB225" s="77" t="str">
        <f t="shared" ca="1" si="214"/>
        <v/>
      </c>
      <c r="BC225" s="93" t="str">
        <f t="shared" ca="1" si="215"/>
        <v/>
      </c>
    </row>
    <row r="226" spans="1:55" ht="15.95" customHeight="1" x14ac:dyDescent="0.2">
      <c r="A226" s="41" t="str">
        <f>IF(Customization!B226="","",Customization!B226)</f>
        <v/>
      </c>
      <c r="B226" s="79" t="str">
        <f t="shared" ca="1" si="164"/>
        <v/>
      </c>
      <c r="C226" s="29" t="str">
        <f t="shared" ca="1" si="165"/>
        <v/>
      </c>
      <c r="D226" s="7" t="str">
        <f t="shared" ca="1" si="162"/>
        <v/>
      </c>
      <c r="E226" s="29" t="str">
        <f t="shared" ca="1" si="166"/>
        <v/>
      </c>
      <c r="F226" s="7" t="str">
        <f t="shared" ca="1" si="163"/>
        <v/>
      </c>
      <c r="G226" s="29" t="str">
        <f t="shared" ca="1" si="167"/>
        <v/>
      </c>
      <c r="H226" s="7" t="str">
        <f t="shared" ca="1" si="168"/>
        <v/>
      </c>
      <c r="I226" s="28" t="str">
        <f t="shared" ca="1" si="169"/>
        <v/>
      </c>
      <c r="J226" s="7" t="str">
        <f t="shared" ca="1" si="170"/>
        <v/>
      </c>
      <c r="K226" s="73" t="str">
        <f t="shared" ca="1" si="171"/>
        <v/>
      </c>
      <c r="L226" s="74" t="str">
        <f t="shared" ca="1" si="172"/>
        <v/>
      </c>
      <c r="M226" s="75" t="str">
        <f t="shared" ca="1" si="173"/>
        <v/>
      </c>
      <c r="N226" s="76" t="str">
        <f t="shared" ca="1" si="174"/>
        <v/>
      </c>
      <c r="O226" s="75" t="str">
        <f t="shared" ca="1" si="175"/>
        <v/>
      </c>
      <c r="P226" s="76" t="str">
        <f t="shared" ca="1" si="176"/>
        <v/>
      </c>
      <c r="Q226" s="75" t="str">
        <f t="shared" ca="1" si="177"/>
        <v/>
      </c>
      <c r="R226" s="77" t="str">
        <f t="shared" ca="1" si="178"/>
        <v/>
      </c>
      <c r="S226" s="89" t="str">
        <f t="shared" ca="1" si="179"/>
        <v/>
      </c>
      <c r="T226" s="88" t="str">
        <f t="shared" ca="1" si="180"/>
        <v/>
      </c>
      <c r="U226" s="92" t="str">
        <f t="shared" ca="1" si="181"/>
        <v/>
      </c>
      <c r="V226" s="88" t="str">
        <f t="shared" ca="1" si="182"/>
        <v/>
      </c>
      <c r="W226" s="92" t="str">
        <f t="shared" ca="1" si="183"/>
        <v/>
      </c>
      <c r="X226" s="88" t="str">
        <f t="shared" ca="1" si="184"/>
        <v/>
      </c>
      <c r="Y226" s="92" t="str">
        <f t="shared" ca="1" si="185"/>
        <v/>
      </c>
      <c r="Z226" s="88" t="str">
        <f t="shared" ca="1" si="186"/>
        <v/>
      </c>
      <c r="AA226" s="89" t="str">
        <f t="shared" ca="1" si="187"/>
        <v/>
      </c>
      <c r="AB226" s="88" t="str">
        <f t="shared" ca="1" si="188"/>
        <v/>
      </c>
      <c r="AC226" s="92" t="str">
        <f t="shared" ca="1" si="189"/>
        <v/>
      </c>
      <c r="AD226" s="88" t="str">
        <f t="shared" ca="1" si="190"/>
        <v/>
      </c>
      <c r="AE226" s="92" t="str">
        <f t="shared" ca="1" si="191"/>
        <v/>
      </c>
      <c r="AF226" s="88" t="str">
        <f t="shared" ca="1" si="192"/>
        <v/>
      </c>
      <c r="AG226" s="92" t="str">
        <f t="shared" ca="1" si="193"/>
        <v/>
      </c>
      <c r="AH226" s="88" t="str">
        <f t="shared" ca="1" si="194"/>
        <v/>
      </c>
      <c r="AI226" s="92" t="str">
        <f t="shared" ca="1" si="195"/>
        <v/>
      </c>
      <c r="AJ226" s="88" t="str">
        <f t="shared" ca="1" si="196"/>
        <v/>
      </c>
      <c r="AK226" s="92" t="str">
        <f t="shared" ca="1" si="197"/>
        <v/>
      </c>
      <c r="AL226" s="77" t="str">
        <f t="shared" ca="1" si="198"/>
        <v/>
      </c>
      <c r="AM226" s="89" t="str">
        <f t="shared" ca="1" si="199"/>
        <v/>
      </c>
      <c r="AN226" s="88" t="str">
        <f t="shared" ca="1" si="200"/>
        <v/>
      </c>
      <c r="AO226" s="89" t="str">
        <f t="shared" ca="1" si="201"/>
        <v/>
      </c>
      <c r="AP226" s="77" t="str">
        <f t="shared" ca="1" si="202"/>
        <v/>
      </c>
      <c r="AQ226" s="94" t="str">
        <f t="shared" ca="1" si="203"/>
        <v/>
      </c>
      <c r="AR226" s="77" t="str">
        <f t="shared" ca="1" si="204"/>
        <v/>
      </c>
      <c r="AS226" s="94" t="str">
        <f t="shared" ca="1" si="205"/>
        <v/>
      </c>
      <c r="AT226" s="77" t="str">
        <f t="shared" ca="1" si="206"/>
        <v/>
      </c>
      <c r="AU226" s="93" t="str">
        <f t="shared" ca="1" si="207"/>
        <v/>
      </c>
      <c r="AV226" s="77" t="str">
        <f t="shared" ca="1" si="208"/>
        <v/>
      </c>
      <c r="AW226" s="93" t="str">
        <f t="shared" ca="1" si="209"/>
        <v/>
      </c>
      <c r="AX226" s="77" t="str">
        <f t="shared" ca="1" si="210"/>
        <v/>
      </c>
      <c r="AY226" s="93" t="str">
        <f t="shared" ca="1" si="211"/>
        <v/>
      </c>
      <c r="AZ226" s="77" t="str">
        <f t="shared" ca="1" si="212"/>
        <v/>
      </c>
      <c r="BA226" s="93" t="str">
        <f t="shared" ca="1" si="213"/>
        <v/>
      </c>
      <c r="BB226" s="77" t="str">
        <f t="shared" ca="1" si="214"/>
        <v/>
      </c>
      <c r="BC226" s="93" t="str">
        <f t="shared" ca="1" si="215"/>
        <v/>
      </c>
    </row>
    <row r="227" spans="1:55" ht="15.95" customHeight="1" x14ac:dyDescent="0.2">
      <c r="A227" s="41" t="str">
        <f>IF(Customization!B227="","",Customization!B227)</f>
        <v/>
      </c>
      <c r="B227" s="79" t="str">
        <f t="shared" ca="1" si="164"/>
        <v/>
      </c>
      <c r="C227" s="29" t="str">
        <f t="shared" ca="1" si="165"/>
        <v/>
      </c>
      <c r="D227" s="7" t="str">
        <f t="shared" ca="1" si="162"/>
        <v/>
      </c>
      <c r="E227" s="29" t="str">
        <f t="shared" ca="1" si="166"/>
        <v/>
      </c>
      <c r="F227" s="7" t="str">
        <f t="shared" ca="1" si="163"/>
        <v/>
      </c>
      <c r="G227" s="29" t="str">
        <f t="shared" ca="1" si="167"/>
        <v/>
      </c>
      <c r="H227" s="7" t="str">
        <f t="shared" ca="1" si="168"/>
        <v/>
      </c>
      <c r="I227" s="28" t="str">
        <f t="shared" ca="1" si="169"/>
        <v/>
      </c>
      <c r="J227" s="7" t="str">
        <f t="shared" ca="1" si="170"/>
        <v/>
      </c>
      <c r="K227" s="73" t="str">
        <f t="shared" ca="1" si="171"/>
        <v/>
      </c>
      <c r="L227" s="74" t="str">
        <f t="shared" ca="1" si="172"/>
        <v/>
      </c>
      <c r="M227" s="75" t="str">
        <f t="shared" ca="1" si="173"/>
        <v/>
      </c>
      <c r="N227" s="76" t="str">
        <f t="shared" ca="1" si="174"/>
        <v/>
      </c>
      <c r="O227" s="75" t="str">
        <f t="shared" ca="1" si="175"/>
        <v/>
      </c>
      <c r="P227" s="76" t="str">
        <f t="shared" ca="1" si="176"/>
        <v/>
      </c>
      <c r="Q227" s="75" t="str">
        <f t="shared" ca="1" si="177"/>
        <v/>
      </c>
      <c r="R227" s="77" t="str">
        <f t="shared" ca="1" si="178"/>
        <v/>
      </c>
      <c r="S227" s="89" t="str">
        <f t="shared" ca="1" si="179"/>
        <v/>
      </c>
      <c r="T227" s="88" t="str">
        <f t="shared" ca="1" si="180"/>
        <v/>
      </c>
      <c r="U227" s="92" t="str">
        <f t="shared" ca="1" si="181"/>
        <v/>
      </c>
      <c r="V227" s="88" t="str">
        <f t="shared" ca="1" si="182"/>
        <v/>
      </c>
      <c r="W227" s="92" t="str">
        <f t="shared" ca="1" si="183"/>
        <v/>
      </c>
      <c r="X227" s="88" t="str">
        <f t="shared" ca="1" si="184"/>
        <v/>
      </c>
      <c r="Y227" s="92" t="str">
        <f t="shared" ca="1" si="185"/>
        <v/>
      </c>
      <c r="Z227" s="88" t="str">
        <f t="shared" ca="1" si="186"/>
        <v/>
      </c>
      <c r="AA227" s="89" t="str">
        <f t="shared" ca="1" si="187"/>
        <v/>
      </c>
      <c r="AB227" s="88" t="str">
        <f t="shared" ca="1" si="188"/>
        <v/>
      </c>
      <c r="AC227" s="92" t="str">
        <f t="shared" ca="1" si="189"/>
        <v/>
      </c>
      <c r="AD227" s="88" t="str">
        <f t="shared" ca="1" si="190"/>
        <v/>
      </c>
      <c r="AE227" s="92" t="str">
        <f t="shared" ca="1" si="191"/>
        <v/>
      </c>
      <c r="AF227" s="88" t="str">
        <f t="shared" ca="1" si="192"/>
        <v/>
      </c>
      <c r="AG227" s="92" t="str">
        <f t="shared" ca="1" si="193"/>
        <v/>
      </c>
      <c r="AH227" s="88" t="str">
        <f t="shared" ca="1" si="194"/>
        <v/>
      </c>
      <c r="AI227" s="92" t="str">
        <f t="shared" ca="1" si="195"/>
        <v/>
      </c>
      <c r="AJ227" s="88" t="str">
        <f t="shared" ca="1" si="196"/>
        <v/>
      </c>
      <c r="AK227" s="92" t="str">
        <f t="shared" ca="1" si="197"/>
        <v/>
      </c>
      <c r="AL227" s="77" t="str">
        <f t="shared" ca="1" si="198"/>
        <v/>
      </c>
      <c r="AM227" s="89" t="str">
        <f t="shared" ca="1" si="199"/>
        <v/>
      </c>
      <c r="AN227" s="88" t="str">
        <f t="shared" ca="1" si="200"/>
        <v/>
      </c>
      <c r="AO227" s="89" t="str">
        <f t="shared" ca="1" si="201"/>
        <v/>
      </c>
      <c r="AP227" s="77" t="str">
        <f t="shared" ca="1" si="202"/>
        <v/>
      </c>
      <c r="AQ227" s="94" t="str">
        <f t="shared" ca="1" si="203"/>
        <v/>
      </c>
      <c r="AR227" s="77" t="str">
        <f t="shared" ca="1" si="204"/>
        <v/>
      </c>
      <c r="AS227" s="94" t="str">
        <f t="shared" ca="1" si="205"/>
        <v/>
      </c>
      <c r="AT227" s="77" t="str">
        <f t="shared" ca="1" si="206"/>
        <v/>
      </c>
      <c r="AU227" s="93" t="str">
        <f t="shared" ca="1" si="207"/>
        <v/>
      </c>
      <c r="AV227" s="77" t="str">
        <f t="shared" ca="1" si="208"/>
        <v/>
      </c>
      <c r="AW227" s="93" t="str">
        <f t="shared" ca="1" si="209"/>
        <v/>
      </c>
      <c r="AX227" s="77" t="str">
        <f t="shared" ca="1" si="210"/>
        <v/>
      </c>
      <c r="AY227" s="93" t="str">
        <f t="shared" ca="1" si="211"/>
        <v/>
      </c>
      <c r="AZ227" s="77" t="str">
        <f t="shared" ca="1" si="212"/>
        <v/>
      </c>
      <c r="BA227" s="93" t="str">
        <f t="shared" ca="1" si="213"/>
        <v/>
      </c>
      <c r="BB227" s="77" t="str">
        <f t="shared" ca="1" si="214"/>
        <v/>
      </c>
      <c r="BC227" s="93" t="str">
        <f t="shared" ca="1" si="215"/>
        <v/>
      </c>
    </row>
    <row r="228" spans="1:55" ht="15.95" customHeight="1" x14ac:dyDescent="0.2">
      <c r="A228" s="41" t="str">
        <f>IF(Customization!B228="","",Customization!B228)</f>
        <v/>
      </c>
      <c r="B228" s="79" t="str">
        <f t="shared" ca="1" si="164"/>
        <v/>
      </c>
      <c r="C228" s="29" t="str">
        <f t="shared" ca="1" si="165"/>
        <v/>
      </c>
      <c r="D228" s="7" t="str">
        <f t="shared" ca="1" si="162"/>
        <v/>
      </c>
      <c r="E228" s="29" t="str">
        <f t="shared" ca="1" si="166"/>
        <v/>
      </c>
      <c r="F228" s="7" t="str">
        <f t="shared" ca="1" si="163"/>
        <v/>
      </c>
      <c r="G228" s="29" t="str">
        <f t="shared" ca="1" si="167"/>
        <v/>
      </c>
      <c r="H228" s="7" t="str">
        <f t="shared" ca="1" si="168"/>
        <v/>
      </c>
      <c r="I228" s="28" t="str">
        <f t="shared" ca="1" si="169"/>
        <v/>
      </c>
      <c r="J228" s="7" t="str">
        <f t="shared" ca="1" si="170"/>
        <v/>
      </c>
      <c r="K228" s="73" t="str">
        <f t="shared" ca="1" si="171"/>
        <v/>
      </c>
      <c r="L228" s="74" t="str">
        <f t="shared" ca="1" si="172"/>
        <v/>
      </c>
      <c r="M228" s="75" t="str">
        <f t="shared" ca="1" si="173"/>
        <v/>
      </c>
      <c r="N228" s="76" t="str">
        <f t="shared" ca="1" si="174"/>
        <v/>
      </c>
      <c r="O228" s="75" t="str">
        <f t="shared" ca="1" si="175"/>
        <v/>
      </c>
      <c r="P228" s="76" t="str">
        <f t="shared" ca="1" si="176"/>
        <v/>
      </c>
      <c r="Q228" s="75" t="str">
        <f t="shared" ca="1" si="177"/>
        <v/>
      </c>
      <c r="R228" s="77" t="str">
        <f t="shared" ca="1" si="178"/>
        <v/>
      </c>
      <c r="S228" s="89" t="str">
        <f t="shared" ca="1" si="179"/>
        <v/>
      </c>
      <c r="T228" s="88" t="str">
        <f t="shared" ca="1" si="180"/>
        <v/>
      </c>
      <c r="U228" s="92" t="str">
        <f t="shared" ca="1" si="181"/>
        <v/>
      </c>
      <c r="V228" s="88" t="str">
        <f t="shared" ca="1" si="182"/>
        <v/>
      </c>
      <c r="W228" s="92" t="str">
        <f t="shared" ca="1" si="183"/>
        <v/>
      </c>
      <c r="X228" s="88" t="str">
        <f t="shared" ca="1" si="184"/>
        <v/>
      </c>
      <c r="Y228" s="92" t="str">
        <f t="shared" ca="1" si="185"/>
        <v/>
      </c>
      <c r="Z228" s="88" t="str">
        <f t="shared" ca="1" si="186"/>
        <v/>
      </c>
      <c r="AA228" s="89" t="str">
        <f t="shared" ca="1" si="187"/>
        <v/>
      </c>
      <c r="AB228" s="88" t="str">
        <f t="shared" ca="1" si="188"/>
        <v/>
      </c>
      <c r="AC228" s="92" t="str">
        <f t="shared" ca="1" si="189"/>
        <v/>
      </c>
      <c r="AD228" s="88" t="str">
        <f t="shared" ca="1" si="190"/>
        <v/>
      </c>
      <c r="AE228" s="92" t="str">
        <f t="shared" ca="1" si="191"/>
        <v/>
      </c>
      <c r="AF228" s="88" t="str">
        <f t="shared" ca="1" si="192"/>
        <v/>
      </c>
      <c r="AG228" s="92" t="str">
        <f t="shared" ca="1" si="193"/>
        <v/>
      </c>
      <c r="AH228" s="88" t="str">
        <f t="shared" ca="1" si="194"/>
        <v/>
      </c>
      <c r="AI228" s="92" t="str">
        <f t="shared" ca="1" si="195"/>
        <v/>
      </c>
      <c r="AJ228" s="88" t="str">
        <f t="shared" ca="1" si="196"/>
        <v/>
      </c>
      <c r="AK228" s="92" t="str">
        <f t="shared" ca="1" si="197"/>
        <v/>
      </c>
      <c r="AL228" s="77" t="str">
        <f t="shared" ca="1" si="198"/>
        <v/>
      </c>
      <c r="AM228" s="89" t="str">
        <f t="shared" ca="1" si="199"/>
        <v/>
      </c>
      <c r="AN228" s="88" t="str">
        <f t="shared" ca="1" si="200"/>
        <v/>
      </c>
      <c r="AO228" s="89" t="str">
        <f t="shared" ca="1" si="201"/>
        <v/>
      </c>
      <c r="AP228" s="77" t="str">
        <f t="shared" ca="1" si="202"/>
        <v/>
      </c>
      <c r="AQ228" s="94" t="str">
        <f t="shared" ca="1" si="203"/>
        <v/>
      </c>
      <c r="AR228" s="77" t="str">
        <f t="shared" ca="1" si="204"/>
        <v/>
      </c>
      <c r="AS228" s="94" t="str">
        <f t="shared" ca="1" si="205"/>
        <v/>
      </c>
      <c r="AT228" s="77" t="str">
        <f t="shared" ca="1" si="206"/>
        <v/>
      </c>
      <c r="AU228" s="93" t="str">
        <f t="shared" ca="1" si="207"/>
        <v/>
      </c>
      <c r="AV228" s="77" t="str">
        <f t="shared" ca="1" si="208"/>
        <v/>
      </c>
      <c r="AW228" s="93" t="str">
        <f t="shared" ca="1" si="209"/>
        <v/>
      </c>
      <c r="AX228" s="77" t="str">
        <f t="shared" ca="1" si="210"/>
        <v/>
      </c>
      <c r="AY228" s="93" t="str">
        <f t="shared" ca="1" si="211"/>
        <v/>
      </c>
      <c r="AZ228" s="77" t="str">
        <f t="shared" ca="1" si="212"/>
        <v/>
      </c>
      <c r="BA228" s="93" t="str">
        <f t="shared" ca="1" si="213"/>
        <v/>
      </c>
      <c r="BB228" s="77" t="str">
        <f t="shared" ca="1" si="214"/>
        <v/>
      </c>
      <c r="BC228" s="93" t="str">
        <f t="shared" ca="1" si="215"/>
        <v/>
      </c>
    </row>
    <row r="229" spans="1:55" ht="15.95" customHeight="1" x14ac:dyDescent="0.2">
      <c r="A229" s="41" t="str">
        <f>IF(Customization!B229="","",Customization!B229)</f>
        <v/>
      </c>
      <c r="B229" s="79" t="str">
        <f t="shared" ca="1" si="164"/>
        <v/>
      </c>
      <c r="C229" s="29" t="str">
        <f t="shared" ca="1" si="165"/>
        <v/>
      </c>
      <c r="D229" s="7" t="str">
        <f t="shared" ca="1" si="162"/>
        <v/>
      </c>
      <c r="E229" s="29" t="str">
        <f t="shared" ca="1" si="166"/>
        <v/>
      </c>
      <c r="F229" s="7" t="str">
        <f t="shared" ca="1" si="163"/>
        <v/>
      </c>
      <c r="G229" s="29" t="str">
        <f t="shared" ca="1" si="167"/>
        <v/>
      </c>
      <c r="H229" s="7" t="str">
        <f t="shared" ca="1" si="168"/>
        <v/>
      </c>
      <c r="I229" s="28" t="str">
        <f t="shared" ca="1" si="169"/>
        <v/>
      </c>
      <c r="J229" s="7" t="str">
        <f t="shared" ca="1" si="170"/>
        <v/>
      </c>
      <c r="K229" s="73" t="str">
        <f t="shared" ca="1" si="171"/>
        <v/>
      </c>
      <c r="L229" s="74" t="str">
        <f t="shared" ca="1" si="172"/>
        <v/>
      </c>
      <c r="M229" s="75" t="str">
        <f t="shared" ca="1" si="173"/>
        <v/>
      </c>
      <c r="N229" s="76" t="str">
        <f t="shared" ca="1" si="174"/>
        <v/>
      </c>
      <c r="O229" s="75" t="str">
        <f t="shared" ca="1" si="175"/>
        <v/>
      </c>
      <c r="P229" s="76" t="str">
        <f t="shared" ca="1" si="176"/>
        <v/>
      </c>
      <c r="Q229" s="75" t="str">
        <f t="shared" ca="1" si="177"/>
        <v/>
      </c>
      <c r="R229" s="77" t="str">
        <f t="shared" ca="1" si="178"/>
        <v/>
      </c>
      <c r="S229" s="89" t="str">
        <f t="shared" ca="1" si="179"/>
        <v/>
      </c>
      <c r="T229" s="88" t="str">
        <f t="shared" ca="1" si="180"/>
        <v/>
      </c>
      <c r="U229" s="92" t="str">
        <f t="shared" ca="1" si="181"/>
        <v/>
      </c>
      <c r="V229" s="88" t="str">
        <f t="shared" ca="1" si="182"/>
        <v/>
      </c>
      <c r="W229" s="92" t="str">
        <f t="shared" ca="1" si="183"/>
        <v/>
      </c>
      <c r="X229" s="88" t="str">
        <f t="shared" ca="1" si="184"/>
        <v/>
      </c>
      <c r="Y229" s="92" t="str">
        <f t="shared" ca="1" si="185"/>
        <v/>
      </c>
      <c r="Z229" s="88" t="str">
        <f t="shared" ca="1" si="186"/>
        <v/>
      </c>
      <c r="AA229" s="89" t="str">
        <f t="shared" ca="1" si="187"/>
        <v/>
      </c>
      <c r="AB229" s="88" t="str">
        <f t="shared" ca="1" si="188"/>
        <v/>
      </c>
      <c r="AC229" s="92" t="str">
        <f t="shared" ca="1" si="189"/>
        <v/>
      </c>
      <c r="AD229" s="88" t="str">
        <f t="shared" ca="1" si="190"/>
        <v/>
      </c>
      <c r="AE229" s="92" t="str">
        <f t="shared" ca="1" si="191"/>
        <v/>
      </c>
      <c r="AF229" s="88" t="str">
        <f t="shared" ca="1" si="192"/>
        <v/>
      </c>
      <c r="AG229" s="92" t="str">
        <f t="shared" ca="1" si="193"/>
        <v/>
      </c>
      <c r="AH229" s="88" t="str">
        <f t="shared" ca="1" si="194"/>
        <v/>
      </c>
      <c r="AI229" s="92" t="str">
        <f t="shared" ca="1" si="195"/>
        <v/>
      </c>
      <c r="AJ229" s="88" t="str">
        <f t="shared" ca="1" si="196"/>
        <v/>
      </c>
      <c r="AK229" s="92" t="str">
        <f t="shared" ca="1" si="197"/>
        <v/>
      </c>
      <c r="AL229" s="77" t="str">
        <f t="shared" ca="1" si="198"/>
        <v/>
      </c>
      <c r="AM229" s="89" t="str">
        <f t="shared" ca="1" si="199"/>
        <v/>
      </c>
      <c r="AN229" s="88" t="str">
        <f t="shared" ca="1" si="200"/>
        <v/>
      </c>
      <c r="AO229" s="89" t="str">
        <f t="shared" ca="1" si="201"/>
        <v/>
      </c>
      <c r="AP229" s="77" t="str">
        <f t="shared" ca="1" si="202"/>
        <v/>
      </c>
      <c r="AQ229" s="94" t="str">
        <f t="shared" ca="1" si="203"/>
        <v/>
      </c>
      <c r="AR229" s="77" t="str">
        <f t="shared" ca="1" si="204"/>
        <v/>
      </c>
      <c r="AS229" s="94" t="str">
        <f t="shared" ca="1" si="205"/>
        <v/>
      </c>
      <c r="AT229" s="77" t="str">
        <f t="shared" ca="1" si="206"/>
        <v/>
      </c>
      <c r="AU229" s="93" t="str">
        <f t="shared" ca="1" si="207"/>
        <v/>
      </c>
      <c r="AV229" s="77" t="str">
        <f t="shared" ca="1" si="208"/>
        <v/>
      </c>
      <c r="AW229" s="93" t="str">
        <f t="shared" ca="1" si="209"/>
        <v/>
      </c>
      <c r="AX229" s="77" t="str">
        <f t="shared" ca="1" si="210"/>
        <v/>
      </c>
      <c r="AY229" s="93" t="str">
        <f t="shared" ca="1" si="211"/>
        <v/>
      </c>
      <c r="AZ229" s="77" t="str">
        <f t="shared" ca="1" si="212"/>
        <v/>
      </c>
      <c r="BA229" s="93" t="str">
        <f t="shared" ca="1" si="213"/>
        <v/>
      </c>
      <c r="BB229" s="77" t="str">
        <f t="shared" ca="1" si="214"/>
        <v/>
      </c>
      <c r="BC229" s="93" t="str">
        <f t="shared" ca="1" si="215"/>
        <v/>
      </c>
    </row>
    <row r="230" spans="1:55" ht="15.95" customHeight="1" x14ac:dyDescent="0.2">
      <c r="A230" s="41" t="str">
        <f>IF(Customization!B230="","",Customization!B230)</f>
        <v/>
      </c>
      <c r="B230" s="79" t="str">
        <f t="shared" ca="1" si="164"/>
        <v/>
      </c>
      <c r="C230" s="29" t="str">
        <f t="shared" ca="1" si="165"/>
        <v/>
      </c>
      <c r="D230" s="7" t="str">
        <f t="shared" ca="1" si="162"/>
        <v/>
      </c>
      <c r="E230" s="29" t="str">
        <f t="shared" ca="1" si="166"/>
        <v/>
      </c>
      <c r="F230" s="7" t="str">
        <f t="shared" ca="1" si="163"/>
        <v/>
      </c>
      <c r="G230" s="29" t="str">
        <f t="shared" ca="1" si="167"/>
        <v/>
      </c>
      <c r="H230" s="7" t="str">
        <f t="shared" ca="1" si="168"/>
        <v/>
      </c>
      <c r="I230" s="28" t="str">
        <f t="shared" ca="1" si="169"/>
        <v/>
      </c>
      <c r="J230" s="7" t="str">
        <f t="shared" ca="1" si="170"/>
        <v/>
      </c>
      <c r="K230" s="73" t="str">
        <f t="shared" ca="1" si="171"/>
        <v/>
      </c>
      <c r="L230" s="74" t="str">
        <f t="shared" ca="1" si="172"/>
        <v/>
      </c>
      <c r="M230" s="75" t="str">
        <f t="shared" ca="1" si="173"/>
        <v/>
      </c>
      <c r="N230" s="76" t="str">
        <f t="shared" ca="1" si="174"/>
        <v/>
      </c>
      <c r="O230" s="75" t="str">
        <f t="shared" ca="1" si="175"/>
        <v/>
      </c>
      <c r="P230" s="76" t="str">
        <f t="shared" ca="1" si="176"/>
        <v/>
      </c>
      <c r="Q230" s="75" t="str">
        <f t="shared" ca="1" si="177"/>
        <v/>
      </c>
      <c r="R230" s="77" t="str">
        <f t="shared" ca="1" si="178"/>
        <v/>
      </c>
      <c r="S230" s="89" t="str">
        <f t="shared" ca="1" si="179"/>
        <v/>
      </c>
      <c r="T230" s="88" t="str">
        <f t="shared" ca="1" si="180"/>
        <v/>
      </c>
      <c r="U230" s="92" t="str">
        <f t="shared" ca="1" si="181"/>
        <v/>
      </c>
      <c r="V230" s="88" t="str">
        <f t="shared" ca="1" si="182"/>
        <v/>
      </c>
      <c r="W230" s="92" t="str">
        <f t="shared" ca="1" si="183"/>
        <v/>
      </c>
      <c r="X230" s="88" t="str">
        <f t="shared" ca="1" si="184"/>
        <v/>
      </c>
      <c r="Y230" s="92" t="str">
        <f t="shared" ca="1" si="185"/>
        <v/>
      </c>
      <c r="Z230" s="88" t="str">
        <f t="shared" ca="1" si="186"/>
        <v/>
      </c>
      <c r="AA230" s="89" t="str">
        <f t="shared" ca="1" si="187"/>
        <v/>
      </c>
      <c r="AB230" s="88" t="str">
        <f t="shared" ca="1" si="188"/>
        <v/>
      </c>
      <c r="AC230" s="92" t="str">
        <f t="shared" ca="1" si="189"/>
        <v/>
      </c>
      <c r="AD230" s="88" t="str">
        <f t="shared" ca="1" si="190"/>
        <v/>
      </c>
      <c r="AE230" s="92" t="str">
        <f t="shared" ca="1" si="191"/>
        <v/>
      </c>
      <c r="AF230" s="88" t="str">
        <f t="shared" ca="1" si="192"/>
        <v/>
      </c>
      <c r="AG230" s="92" t="str">
        <f t="shared" ca="1" si="193"/>
        <v/>
      </c>
      <c r="AH230" s="88" t="str">
        <f t="shared" ca="1" si="194"/>
        <v/>
      </c>
      <c r="AI230" s="92" t="str">
        <f t="shared" ca="1" si="195"/>
        <v/>
      </c>
      <c r="AJ230" s="88" t="str">
        <f t="shared" ca="1" si="196"/>
        <v/>
      </c>
      <c r="AK230" s="92" t="str">
        <f t="shared" ca="1" si="197"/>
        <v/>
      </c>
      <c r="AL230" s="77" t="str">
        <f t="shared" ca="1" si="198"/>
        <v/>
      </c>
      <c r="AM230" s="89" t="str">
        <f t="shared" ca="1" si="199"/>
        <v/>
      </c>
      <c r="AN230" s="88" t="str">
        <f t="shared" ca="1" si="200"/>
        <v/>
      </c>
      <c r="AO230" s="89" t="str">
        <f t="shared" ca="1" si="201"/>
        <v/>
      </c>
      <c r="AP230" s="77" t="str">
        <f t="shared" ca="1" si="202"/>
        <v/>
      </c>
      <c r="AQ230" s="94" t="str">
        <f t="shared" ca="1" si="203"/>
        <v/>
      </c>
      <c r="AR230" s="77" t="str">
        <f t="shared" ca="1" si="204"/>
        <v/>
      </c>
      <c r="AS230" s="94" t="str">
        <f t="shared" ca="1" si="205"/>
        <v/>
      </c>
      <c r="AT230" s="77" t="str">
        <f t="shared" ca="1" si="206"/>
        <v/>
      </c>
      <c r="AU230" s="93" t="str">
        <f t="shared" ca="1" si="207"/>
        <v/>
      </c>
      <c r="AV230" s="77" t="str">
        <f t="shared" ca="1" si="208"/>
        <v/>
      </c>
      <c r="AW230" s="93" t="str">
        <f t="shared" ca="1" si="209"/>
        <v/>
      </c>
      <c r="AX230" s="77" t="str">
        <f t="shared" ca="1" si="210"/>
        <v/>
      </c>
      <c r="AY230" s="93" t="str">
        <f t="shared" ca="1" si="211"/>
        <v/>
      </c>
      <c r="AZ230" s="77" t="str">
        <f t="shared" ca="1" si="212"/>
        <v/>
      </c>
      <c r="BA230" s="93" t="str">
        <f t="shared" ca="1" si="213"/>
        <v/>
      </c>
      <c r="BB230" s="77" t="str">
        <f t="shared" ca="1" si="214"/>
        <v/>
      </c>
      <c r="BC230" s="93" t="str">
        <f t="shared" ca="1" si="215"/>
        <v/>
      </c>
    </row>
    <row r="231" spans="1:55" ht="15.95" customHeight="1" x14ac:dyDescent="0.2">
      <c r="A231" s="41" t="str">
        <f>IF(Customization!B231="","",Customization!B231)</f>
        <v/>
      </c>
      <c r="B231" s="79" t="str">
        <f t="shared" ca="1" si="164"/>
        <v/>
      </c>
      <c r="C231" s="29" t="str">
        <f t="shared" ca="1" si="165"/>
        <v/>
      </c>
      <c r="D231" s="7" t="str">
        <f t="shared" ca="1" si="162"/>
        <v/>
      </c>
      <c r="E231" s="29" t="str">
        <f t="shared" ca="1" si="166"/>
        <v/>
      </c>
      <c r="F231" s="7" t="str">
        <f t="shared" ca="1" si="163"/>
        <v/>
      </c>
      <c r="G231" s="29" t="str">
        <f t="shared" ca="1" si="167"/>
        <v/>
      </c>
      <c r="H231" s="7" t="str">
        <f t="shared" ca="1" si="168"/>
        <v/>
      </c>
      <c r="I231" s="28" t="str">
        <f t="shared" ca="1" si="169"/>
        <v/>
      </c>
      <c r="J231" s="7" t="str">
        <f t="shared" ca="1" si="170"/>
        <v/>
      </c>
      <c r="K231" s="73" t="str">
        <f t="shared" ca="1" si="171"/>
        <v/>
      </c>
      <c r="L231" s="74" t="str">
        <f t="shared" ca="1" si="172"/>
        <v/>
      </c>
      <c r="M231" s="75" t="str">
        <f t="shared" ca="1" si="173"/>
        <v/>
      </c>
      <c r="N231" s="76" t="str">
        <f t="shared" ca="1" si="174"/>
        <v/>
      </c>
      <c r="O231" s="75" t="str">
        <f t="shared" ca="1" si="175"/>
        <v/>
      </c>
      <c r="P231" s="76" t="str">
        <f t="shared" ca="1" si="176"/>
        <v/>
      </c>
      <c r="Q231" s="75" t="str">
        <f t="shared" ca="1" si="177"/>
        <v/>
      </c>
      <c r="R231" s="77" t="str">
        <f t="shared" ca="1" si="178"/>
        <v/>
      </c>
      <c r="S231" s="89" t="str">
        <f t="shared" ca="1" si="179"/>
        <v/>
      </c>
      <c r="T231" s="88" t="str">
        <f t="shared" ca="1" si="180"/>
        <v/>
      </c>
      <c r="U231" s="92" t="str">
        <f t="shared" ca="1" si="181"/>
        <v/>
      </c>
      <c r="V231" s="88" t="str">
        <f t="shared" ca="1" si="182"/>
        <v/>
      </c>
      <c r="W231" s="92" t="str">
        <f t="shared" ca="1" si="183"/>
        <v/>
      </c>
      <c r="X231" s="88" t="str">
        <f t="shared" ca="1" si="184"/>
        <v/>
      </c>
      <c r="Y231" s="92" t="str">
        <f t="shared" ca="1" si="185"/>
        <v/>
      </c>
      <c r="Z231" s="88" t="str">
        <f t="shared" ca="1" si="186"/>
        <v/>
      </c>
      <c r="AA231" s="89" t="str">
        <f t="shared" ca="1" si="187"/>
        <v/>
      </c>
      <c r="AB231" s="88" t="str">
        <f t="shared" ca="1" si="188"/>
        <v/>
      </c>
      <c r="AC231" s="92" t="str">
        <f t="shared" ca="1" si="189"/>
        <v/>
      </c>
      <c r="AD231" s="88" t="str">
        <f t="shared" ca="1" si="190"/>
        <v/>
      </c>
      <c r="AE231" s="92" t="str">
        <f t="shared" ca="1" si="191"/>
        <v/>
      </c>
      <c r="AF231" s="88" t="str">
        <f t="shared" ca="1" si="192"/>
        <v/>
      </c>
      <c r="AG231" s="92" t="str">
        <f t="shared" ca="1" si="193"/>
        <v/>
      </c>
      <c r="AH231" s="88" t="str">
        <f t="shared" ca="1" si="194"/>
        <v/>
      </c>
      <c r="AI231" s="92" t="str">
        <f t="shared" ca="1" si="195"/>
        <v/>
      </c>
      <c r="AJ231" s="88" t="str">
        <f t="shared" ca="1" si="196"/>
        <v/>
      </c>
      <c r="AK231" s="92" t="str">
        <f t="shared" ca="1" si="197"/>
        <v/>
      </c>
      <c r="AL231" s="77" t="str">
        <f t="shared" ca="1" si="198"/>
        <v/>
      </c>
      <c r="AM231" s="89" t="str">
        <f t="shared" ca="1" si="199"/>
        <v/>
      </c>
      <c r="AN231" s="88" t="str">
        <f t="shared" ca="1" si="200"/>
        <v/>
      </c>
      <c r="AO231" s="89" t="str">
        <f t="shared" ca="1" si="201"/>
        <v/>
      </c>
      <c r="AP231" s="77" t="str">
        <f t="shared" ca="1" si="202"/>
        <v/>
      </c>
      <c r="AQ231" s="94" t="str">
        <f t="shared" ca="1" si="203"/>
        <v/>
      </c>
      <c r="AR231" s="77" t="str">
        <f t="shared" ca="1" si="204"/>
        <v/>
      </c>
      <c r="AS231" s="94" t="str">
        <f t="shared" ca="1" si="205"/>
        <v/>
      </c>
      <c r="AT231" s="77" t="str">
        <f t="shared" ca="1" si="206"/>
        <v/>
      </c>
      <c r="AU231" s="93" t="str">
        <f t="shared" ca="1" si="207"/>
        <v/>
      </c>
      <c r="AV231" s="77" t="str">
        <f t="shared" ca="1" si="208"/>
        <v/>
      </c>
      <c r="AW231" s="93" t="str">
        <f t="shared" ca="1" si="209"/>
        <v/>
      </c>
      <c r="AX231" s="77" t="str">
        <f t="shared" ca="1" si="210"/>
        <v/>
      </c>
      <c r="AY231" s="93" t="str">
        <f t="shared" ca="1" si="211"/>
        <v/>
      </c>
      <c r="AZ231" s="77" t="str">
        <f t="shared" ca="1" si="212"/>
        <v/>
      </c>
      <c r="BA231" s="93" t="str">
        <f t="shared" ca="1" si="213"/>
        <v/>
      </c>
      <c r="BB231" s="77" t="str">
        <f t="shared" ca="1" si="214"/>
        <v/>
      </c>
      <c r="BC231" s="93" t="str">
        <f t="shared" ca="1" si="215"/>
        <v/>
      </c>
    </row>
    <row r="232" spans="1:55" ht="15.95" customHeight="1" x14ac:dyDescent="0.2">
      <c r="A232" s="41" t="str">
        <f>IF(Customization!B232="","",Customization!B232)</f>
        <v/>
      </c>
      <c r="B232" s="79" t="str">
        <f t="shared" ca="1" si="164"/>
        <v/>
      </c>
      <c r="C232" s="29" t="str">
        <f t="shared" ca="1" si="165"/>
        <v/>
      </c>
      <c r="D232" s="7" t="str">
        <f t="shared" ca="1" si="162"/>
        <v/>
      </c>
      <c r="E232" s="29" t="str">
        <f t="shared" ca="1" si="166"/>
        <v/>
      </c>
      <c r="F232" s="7" t="str">
        <f t="shared" ca="1" si="163"/>
        <v/>
      </c>
      <c r="G232" s="29" t="str">
        <f t="shared" ca="1" si="167"/>
        <v/>
      </c>
      <c r="H232" s="7" t="str">
        <f t="shared" ca="1" si="168"/>
        <v/>
      </c>
      <c r="I232" s="28" t="str">
        <f t="shared" ca="1" si="169"/>
        <v/>
      </c>
      <c r="J232" s="7" t="str">
        <f t="shared" ca="1" si="170"/>
        <v/>
      </c>
      <c r="K232" s="73" t="str">
        <f t="shared" ca="1" si="171"/>
        <v/>
      </c>
      <c r="L232" s="74" t="str">
        <f t="shared" ca="1" si="172"/>
        <v/>
      </c>
      <c r="M232" s="75" t="str">
        <f t="shared" ca="1" si="173"/>
        <v/>
      </c>
      <c r="N232" s="76" t="str">
        <f t="shared" ca="1" si="174"/>
        <v/>
      </c>
      <c r="O232" s="75" t="str">
        <f t="shared" ca="1" si="175"/>
        <v/>
      </c>
      <c r="P232" s="76" t="str">
        <f t="shared" ca="1" si="176"/>
        <v/>
      </c>
      <c r="Q232" s="75" t="str">
        <f t="shared" ca="1" si="177"/>
        <v/>
      </c>
      <c r="R232" s="77" t="str">
        <f t="shared" ca="1" si="178"/>
        <v/>
      </c>
      <c r="S232" s="89" t="str">
        <f t="shared" ca="1" si="179"/>
        <v/>
      </c>
      <c r="T232" s="88" t="str">
        <f t="shared" ca="1" si="180"/>
        <v/>
      </c>
      <c r="U232" s="92" t="str">
        <f t="shared" ca="1" si="181"/>
        <v/>
      </c>
      <c r="V232" s="88" t="str">
        <f t="shared" ca="1" si="182"/>
        <v/>
      </c>
      <c r="W232" s="92" t="str">
        <f t="shared" ca="1" si="183"/>
        <v/>
      </c>
      <c r="X232" s="88" t="str">
        <f t="shared" ca="1" si="184"/>
        <v/>
      </c>
      <c r="Y232" s="92" t="str">
        <f t="shared" ca="1" si="185"/>
        <v/>
      </c>
      <c r="Z232" s="88" t="str">
        <f t="shared" ca="1" si="186"/>
        <v/>
      </c>
      <c r="AA232" s="89" t="str">
        <f t="shared" ca="1" si="187"/>
        <v/>
      </c>
      <c r="AB232" s="88" t="str">
        <f t="shared" ca="1" si="188"/>
        <v/>
      </c>
      <c r="AC232" s="92" t="str">
        <f t="shared" ca="1" si="189"/>
        <v/>
      </c>
      <c r="AD232" s="88" t="str">
        <f t="shared" ca="1" si="190"/>
        <v/>
      </c>
      <c r="AE232" s="92" t="str">
        <f t="shared" ca="1" si="191"/>
        <v/>
      </c>
      <c r="AF232" s="88" t="str">
        <f t="shared" ca="1" si="192"/>
        <v/>
      </c>
      <c r="AG232" s="92" t="str">
        <f t="shared" ca="1" si="193"/>
        <v/>
      </c>
      <c r="AH232" s="88" t="str">
        <f t="shared" ca="1" si="194"/>
        <v/>
      </c>
      <c r="AI232" s="92" t="str">
        <f t="shared" ca="1" si="195"/>
        <v/>
      </c>
      <c r="AJ232" s="88" t="str">
        <f t="shared" ca="1" si="196"/>
        <v/>
      </c>
      <c r="AK232" s="92" t="str">
        <f t="shared" ca="1" si="197"/>
        <v/>
      </c>
      <c r="AL232" s="77" t="str">
        <f t="shared" ca="1" si="198"/>
        <v/>
      </c>
      <c r="AM232" s="89" t="str">
        <f t="shared" ca="1" si="199"/>
        <v/>
      </c>
      <c r="AN232" s="88" t="str">
        <f t="shared" ca="1" si="200"/>
        <v/>
      </c>
      <c r="AO232" s="89" t="str">
        <f t="shared" ca="1" si="201"/>
        <v/>
      </c>
      <c r="AP232" s="77" t="str">
        <f t="shared" ca="1" si="202"/>
        <v/>
      </c>
      <c r="AQ232" s="94" t="str">
        <f t="shared" ca="1" si="203"/>
        <v/>
      </c>
      <c r="AR232" s="77" t="str">
        <f t="shared" ca="1" si="204"/>
        <v/>
      </c>
      <c r="AS232" s="94" t="str">
        <f t="shared" ca="1" si="205"/>
        <v/>
      </c>
      <c r="AT232" s="77" t="str">
        <f t="shared" ca="1" si="206"/>
        <v/>
      </c>
      <c r="AU232" s="93" t="str">
        <f t="shared" ca="1" si="207"/>
        <v/>
      </c>
      <c r="AV232" s="77" t="str">
        <f t="shared" ca="1" si="208"/>
        <v/>
      </c>
      <c r="AW232" s="93" t="str">
        <f t="shared" ca="1" si="209"/>
        <v/>
      </c>
      <c r="AX232" s="77" t="str">
        <f t="shared" ca="1" si="210"/>
        <v/>
      </c>
      <c r="AY232" s="93" t="str">
        <f t="shared" ca="1" si="211"/>
        <v/>
      </c>
      <c r="AZ232" s="77" t="str">
        <f t="shared" ca="1" si="212"/>
        <v/>
      </c>
      <c r="BA232" s="93" t="str">
        <f t="shared" ca="1" si="213"/>
        <v/>
      </c>
      <c r="BB232" s="77" t="str">
        <f t="shared" ca="1" si="214"/>
        <v/>
      </c>
      <c r="BC232" s="93" t="str">
        <f t="shared" ca="1" si="215"/>
        <v/>
      </c>
    </row>
    <row r="233" spans="1:55" ht="15.95" customHeight="1" x14ac:dyDescent="0.2">
      <c r="A233" s="41" t="str">
        <f>IF(Customization!B233="","",Customization!B233)</f>
        <v/>
      </c>
      <c r="B233" s="79" t="str">
        <f t="shared" ca="1" si="164"/>
        <v/>
      </c>
      <c r="C233" s="29" t="str">
        <f t="shared" ca="1" si="165"/>
        <v/>
      </c>
      <c r="D233" s="7" t="str">
        <f t="shared" ca="1" si="162"/>
        <v/>
      </c>
      <c r="E233" s="29" t="str">
        <f t="shared" ca="1" si="166"/>
        <v/>
      </c>
      <c r="F233" s="7" t="str">
        <f t="shared" ca="1" si="163"/>
        <v/>
      </c>
      <c r="G233" s="29" t="str">
        <f t="shared" ca="1" si="167"/>
        <v/>
      </c>
      <c r="H233" s="7" t="str">
        <f t="shared" ca="1" si="168"/>
        <v/>
      </c>
      <c r="I233" s="28" t="str">
        <f t="shared" ca="1" si="169"/>
        <v/>
      </c>
      <c r="J233" s="7" t="str">
        <f t="shared" ca="1" si="170"/>
        <v/>
      </c>
      <c r="K233" s="73" t="str">
        <f t="shared" ca="1" si="171"/>
        <v/>
      </c>
      <c r="L233" s="74" t="str">
        <f t="shared" ca="1" si="172"/>
        <v/>
      </c>
      <c r="M233" s="75" t="str">
        <f t="shared" ca="1" si="173"/>
        <v/>
      </c>
      <c r="N233" s="76" t="str">
        <f t="shared" ca="1" si="174"/>
        <v/>
      </c>
      <c r="O233" s="75" t="str">
        <f t="shared" ca="1" si="175"/>
        <v/>
      </c>
      <c r="P233" s="76" t="str">
        <f t="shared" ca="1" si="176"/>
        <v/>
      </c>
      <c r="Q233" s="75" t="str">
        <f t="shared" ca="1" si="177"/>
        <v/>
      </c>
      <c r="R233" s="77" t="str">
        <f t="shared" ca="1" si="178"/>
        <v/>
      </c>
      <c r="S233" s="89" t="str">
        <f t="shared" ca="1" si="179"/>
        <v/>
      </c>
      <c r="T233" s="88" t="str">
        <f t="shared" ca="1" si="180"/>
        <v/>
      </c>
      <c r="U233" s="92" t="str">
        <f t="shared" ca="1" si="181"/>
        <v/>
      </c>
      <c r="V233" s="88" t="str">
        <f t="shared" ca="1" si="182"/>
        <v/>
      </c>
      <c r="W233" s="92" t="str">
        <f t="shared" ca="1" si="183"/>
        <v/>
      </c>
      <c r="X233" s="88" t="str">
        <f t="shared" ca="1" si="184"/>
        <v/>
      </c>
      <c r="Y233" s="92" t="str">
        <f t="shared" ca="1" si="185"/>
        <v/>
      </c>
      <c r="Z233" s="88" t="str">
        <f t="shared" ca="1" si="186"/>
        <v/>
      </c>
      <c r="AA233" s="89" t="str">
        <f t="shared" ca="1" si="187"/>
        <v/>
      </c>
      <c r="AB233" s="88" t="str">
        <f t="shared" ca="1" si="188"/>
        <v/>
      </c>
      <c r="AC233" s="92" t="str">
        <f t="shared" ca="1" si="189"/>
        <v/>
      </c>
      <c r="AD233" s="88" t="str">
        <f t="shared" ca="1" si="190"/>
        <v/>
      </c>
      <c r="AE233" s="92" t="str">
        <f t="shared" ca="1" si="191"/>
        <v/>
      </c>
      <c r="AF233" s="88" t="str">
        <f t="shared" ca="1" si="192"/>
        <v/>
      </c>
      <c r="AG233" s="92" t="str">
        <f t="shared" ca="1" si="193"/>
        <v/>
      </c>
      <c r="AH233" s="88" t="str">
        <f t="shared" ca="1" si="194"/>
        <v/>
      </c>
      <c r="AI233" s="92" t="str">
        <f t="shared" ca="1" si="195"/>
        <v/>
      </c>
      <c r="AJ233" s="88" t="str">
        <f t="shared" ca="1" si="196"/>
        <v/>
      </c>
      <c r="AK233" s="92" t="str">
        <f t="shared" ca="1" si="197"/>
        <v/>
      </c>
      <c r="AL233" s="77" t="str">
        <f t="shared" ca="1" si="198"/>
        <v/>
      </c>
      <c r="AM233" s="89" t="str">
        <f t="shared" ca="1" si="199"/>
        <v/>
      </c>
      <c r="AN233" s="88" t="str">
        <f t="shared" ca="1" si="200"/>
        <v/>
      </c>
      <c r="AO233" s="89" t="str">
        <f t="shared" ca="1" si="201"/>
        <v/>
      </c>
      <c r="AP233" s="77" t="str">
        <f t="shared" ca="1" si="202"/>
        <v/>
      </c>
      <c r="AQ233" s="94" t="str">
        <f t="shared" ca="1" si="203"/>
        <v/>
      </c>
      <c r="AR233" s="77" t="str">
        <f t="shared" ca="1" si="204"/>
        <v/>
      </c>
      <c r="AS233" s="94" t="str">
        <f t="shared" ca="1" si="205"/>
        <v/>
      </c>
      <c r="AT233" s="77" t="str">
        <f t="shared" ca="1" si="206"/>
        <v/>
      </c>
      <c r="AU233" s="93" t="str">
        <f t="shared" ca="1" si="207"/>
        <v/>
      </c>
      <c r="AV233" s="77" t="str">
        <f t="shared" ca="1" si="208"/>
        <v/>
      </c>
      <c r="AW233" s="93" t="str">
        <f t="shared" ca="1" si="209"/>
        <v/>
      </c>
      <c r="AX233" s="77" t="str">
        <f t="shared" ca="1" si="210"/>
        <v/>
      </c>
      <c r="AY233" s="93" t="str">
        <f t="shared" ca="1" si="211"/>
        <v/>
      </c>
      <c r="AZ233" s="77" t="str">
        <f t="shared" ca="1" si="212"/>
        <v/>
      </c>
      <c r="BA233" s="93" t="str">
        <f t="shared" ca="1" si="213"/>
        <v/>
      </c>
      <c r="BB233" s="77" t="str">
        <f t="shared" ca="1" si="214"/>
        <v/>
      </c>
      <c r="BC233" s="93" t="str">
        <f t="shared" ca="1" si="215"/>
        <v/>
      </c>
    </row>
    <row r="234" spans="1:55" ht="15.95" customHeight="1" x14ac:dyDescent="0.2">
      <c r="A234" s="41" t="str">
        <f>IF(Customization!B234="","",Customization!B234)</f>
        <v/>
      </c>
      <c r="B234" s="79" t="str">
        <f t="shared" ca="1" si="164"/>
        <v/>
      </c>
      <c r="C234" s="29" t="str">
        <f t="shared" ca="1" si="165"/>
        <v/>
      </c>
      <c r="D234" s="7" t="str">
        <f t="shared" ca="1" si="162"/>
        <v/>
      </c>
      <c r="E234" s="29" t="str">
        <f t="shared" ca="1" si="166"/>
        <v/>
      </c>
      <c r="F234" s="7" t="str">
        <f t="shared" ca="1" si="163"/>
        <v/>
      </c>
      <c r="G234" s="29" t="str">
        <f t="shared" ca="1" si="167"/>
        <v/>
      </c>
      <c r="H234" s="7" t="str">
        <f t="shared" ca="1" si="168"/>
        <v/>
      </c>
      <c r="I234" s="28" t="str">
        <f t="shared" ca="1" si="169"/>
        <v/>
      </c>
      <c r="J234" s="7" t="str">
        <f t="shared" ca="1" si="170"/>
        <v/>
      </c>
      <c r="K234" s="73" t="str">
        <f t="shared" ca="1" si="171"/>
        <v/>
      </c>
      <c r="L234" s="74" t="str">
        <f t="shared" ca="1" si="172"/>
        <v/>
      </c>
      <c r="M234" s="75" t="str">
        <f t="shared" ca="1" si="173"/>
        <v/>
      </c>
      <c r="N234" s="76" t="str">
        <f t="shared" ca="1" si="174"/>
        <v/>
      </c>
      <c r="O234" s="75" t="str">
        <f t="shared" ca="1" si="175"/>
        <v/>
      </c>
      <c r="P234" s="76" t="str">
        <f t="shared" ca="1" si="176"/>
        <v/>
      </c>
      <c r="Q234" s="75" t="str">
        <f t="shared" ca="1" si="177"/>
        <v/>
      </c>
      <c r="R234" s="77" t="str">
        <f t="shared" ca="1" si="178"/>
        <v/>
      </c>
      <c r="S234" s="89" t="str">
        <f t="shared" ca="1" si="179"/>
        <v/>
      </c>
      <c r="T234" s="88" t="str">
        <f t="shared" ca="1" si="180"/>
        <v/>
      </c>
      <c r="U234" s="92" t="str">
        <f t="shared" ca="1" si="181"/>
        <v/>
      </c>
      <c r="V234" s="88" t="str">
        <f t="shared" ca="1" si="182"/>
        <v/>
      </c>
      <c r="W234" s="92" t="str">
        <f t="shared" ca="1" si="183"/>
        <v/>
      </c>
      <c r="X234" s="88" t="str">
        <f t="shared" ca="1" si="184"/>
        <v/>
      </c>
      <c r="Y234" s="92" t="str">
        <f t="shared" ca="1" si="185"/>
        <v/>
      </c>
      <c r="Z234" s="88" t="str">
        <f t="shared" ca="1" si="186"/>
        <v/>
      </c>
      <c r="AA234" s="89" t="str">
        <f t="shared" ca="1" si="187"/>
        <v/>
      </c>
      <c r="AB234" s="88" t="str">
        <f t="shared" ca="1" si="188"/>
        <v/>
      </c>
      <c r="AC234" s="92" t="str">
        <f t="shared" ca="1" si="189"/>
        <v/>
      </c>
      <c r="AD234" s="88" t="str">
        <f t="shared" ca="1" si="190"/>
        <v/>
      </c>
      <c r="AE234" s="92" t="str">
        <f t="shared" ca="1" si="191"/>
        <v/>
      </c>
      <c r="AF234" s="88" t="str">
        <f t="shared" ca="1" si="192"/>
        <v/>
      </c>
      <c r="AG234" s="92" t="str">
        <f t="shared" ca="1" si="193"/>
        <v/>
      </c>
      <c r="AH234" s="88" t="str">
        <f t="shared" ca="1" si="194"/>
        <v/>
      </c>
      <c r="AI234" s="92" t="str">
        <f t="shared" ca="1" si="195"/>
        <v/>
      </c>
      <c r="AJ234" s="88" t="str">
        <f t="shared" ca="1" si="196"/>
        <v/>
      </c>
      <c r="AK234" s="92" t="str">
        <f t="shared" ca="1" si="197"/>
        <v/>
      </c>
      <c r="AL234" s="77" t="str">
        <f t="shared" ca="1" si="198"/>
        <v/>
      </c>
      <c r="AM234" s="89" t="str">
        <f t="shared" ca="1" si="199"/>
        <v/>
      </c>
      <c r="AN234" s="88" t="str">
        <f t="shared" ca="1" si="200"/>
        <v/>
      </c>
      <c r="AO234" s="89" t="str">
        <f t="shared" ca="1" si="201"/>
        <v/>
      </c>
      <c r="AP234" s="77" t="str">
        <f t="shared" ca="1" si="202"/>
        <v/>
      </c>
      <c r="AQ234" s="94" t="str">
        <f t="shared" ca="1" si="203"/>
        <v/>
      </c>
      <c r="AR234" s="77" t="str">
        <f t="shared" ca="1" si="204"/>
        <v/>
      </c>
      <c r="AS234" s="94" t="str">
        <f t="shared" ca="1" si="205"/>
        <v/>
      </c>
      <c r="AT234" s="77" t="str">
        <f t="shared" ca="1" si="206"/>
        <v/>
      </c>
      <c r="AU234" s="93" t="str">
        <f t="shared" ca="1" si="207"/>
        <v/>
      </c>
      <c r="AV234" s="77" t="str">
        <f t="shared" ca="1" si="208"/>
        <v/>
      </c>
      <c r="AW234" s="93" t="str">
        <f t="shared" ca="1" si="209"/>
        <v/>
      </c>
      <c r="AX234" s="77" t="str">
        <f t="shared" ca="1" si="210"/>
        <v/>
      </c>
      <c r="AY234" s="93" t="str">
        <f t="shared" ca="1" si="211"/>
        <v/>
      </c>
      <c r="AZ234" s="77" t="str">
        <f t="shared" ca="1" si="212"/>
        <v/>
      </c>
      <c r="BA234" s="93" t="str">
        <f t="shared" ca="1" si="213"/>
        <v/>
      </c>
      <c r="BB234" s="77" t="str">
        <f t="shared" ca="1" si="214"/>
        <v/>
      </c>
      <c r="BC234" s="93" t="str">
        <f t="shared" ca="1" si="215"/>
        <v/>
      </c>
    </row>
    <row r="235" spans="1:55" ht="15.95" customHeight="1" x14ac:dyDescent="0.2">
      <c r="A235" s="41" t="str">
        <f>IF(Customization!B235="","",Customization!B235)</f>
        <v/>
      </c>
      <c r="B235" s="79" t="str">
        <f t="shared" ca="1" si="164"/>
        <v/>
      </c>
      <c r="C235" s="29" t="str">
        <f t="shared" ca="1" si="165"/>
        <v/>
      </c>
      <c r="D235" s="7" t="str">
        <f t="shared" ca="1" si="162"/>
        <v/>
      </c>
      <c r="E235" s="29" t="str">
        <f t="shared" ca="1" si="166"/>
        <v/>
      </c>
      <c r="F235" s="7" t="str">
        <f t="shared" ca="1" si="163"/>
        <v/>
      </c>
      <c r="G235" s="29" t="str">
        <f t="shared" ca="1" si="167"/>
        <v/>
      </c>
      <c r="H235" s="7" t="str">
        <f t="shared" ca="1" si="168"/>
        <v/>
      </c>
      <c r="I235" s="28" t="str">
        <f t="shared" ca="1" si="169"/>
        <v/>
      </c>
      <c r="J235" s="7" t="str">
        <f t="shared" ca="1" si="170"/>
        <v/>
      </c>
      <c r="K235" s="73" t="str">
        <f t="shared" ca="1" si="171"/>
        <v/>
      </c>
      <c r="L235" s="74" t="str">
        <f t="shared" ca="1" si="172"/>
        <v/>
      </c>
      <c r="M235" s="75" t="str">
        <f t="shared" ca="1" si="173"/>
        <v/>
      </c>
      <c r="N235" s="76" t="str">
        <f t="shared" ca="1" si="174"/>
        <v/>
      </c>
      <c r="O235" s="75" t="str">
        <f t="shared" ca="1" si="175"/>
        <v/>
      </c>
      <c r="P235" s="76" t="str">
        <f t="shared" ca="1" si="176"/>
        <v/>
      </c>
      <c r="Q235" s="75" t="str">
        <f t="shared" ca="1" si="177"/>
        <v/>
      </c>
      <c r="R235" s="77" t="str">
        <f t="shared" ca="1" si="178"/>
        <v/>
      </c>
      <c r="S235" s="89" t="str">
        <f t="shared" ca="1" si="179"/>
        <v/>
      </c>
      <c r="T235" s="88" t="str">
        <f t="shared" ca="1" si="180"/>
        <v/>
      </c>
      <c r="U235" s="92" t="str">
        <f t="shared" ca="1" si="181"/>
        <v/>
      </c>
      <c r="V235" s="88" t="str">
        <f t="shared" ca="1" si="182"/>
        <v/>
      </c>
      <c r="W235" s="92" t="str">
        <f t="shared" ca="1" si="183"/>
        <v/>
      </c>
      <c r="X235" s="88" t="str">
        <f t="shared" ca="1" si="184"/>
        <v/>
      </c>
      <c r="Y235" s="92" t="str">
        <f t="shared" ca="1" si="185"/>
        <v/>
      </c>
      <c r="Z235" s="88" t="str">
        <f t="shared" ca="1" si="186"/>
        <v/>
      </c>
      <c r="AA235" s="89" t="str">
        <f t="shared" ca="1" si="187"/>
        <v/>
      </c>
      <c r="AB235" s="88" t="str">
        <f t="shared" ca="1" si="188"/>
        <v/>
      </c>
      <c r="AC235" s="92" t="str">
        <f t="shared" ca="1" si="189"/>
        <v/>
      </c>
      <c r="AD235" s="88" t="str">
        <f t="shared" ca="1" si="190"/>
        <v/>
      </c>
      <c r="AE235" s="92" t="str">
        <f t="shared" ca="1" si="191"/>
        <v/>
      </c>
      <c r="AF235" s="88" t="str">
        <f t="shared" ca="1" si="192"/>
        <v/>
      </c>
      <c r="AG235" s="92" t="str">
        <f t="shared" ca="1" si="193"/>
        <v/>
      </c>
      <c r="AH235" s="88" t="str">
        <f t="shared" ca="1" si="194"/>
        <v/>
      </c>
      <c r="AI235" s="92" t="str">
        <f t="shared" ca="1" si="195"/>
        <v/>
      </c>
      <c r="AJ235" s="88" t="str">
        <f t="shared" ca="1" si="196"/>
        <v/>
      </c>
      <c r="AK235" s="92" t="str">
        <f t="shared" ca="1" si="197"/>
        <v/>
      </c>
      <c r="AL235" s="77" t="str">
        <f t="shared" ca="1" si="198"/>
        <v/>
      </c>
      <c r="AM235" s="89" t="str">
        <f t="shared" ca="1" si="199"/>
        <v/>
      </c>
      <c r="AN235" s="88" t="str">
        <f t="shared" ca="1" si="200"/>
        <v/>
      </c>
      <c r="AO235" s="89" t="str">
        <f t="shared" ca="1" si="201"/>
        <v/>
      </c>
      <c r="AP235" s="77" t="str">
        <f t="shared" ca="1" si="202"/>
        <v/>
      </c>
      <c r="AQ235" s="94" t="str">
        <f t="shared" ca="1" si="203"/>
        <v/>
      </c>
      <c r="AR235" s="77" t="str">
        <f t="shared" ca="1" si="204"/>
        <v/>
      </c>
      <c r="AS235" s="94" t="str">
        <f t="shared" ca="1" si="205"/>
        <v/>
      </c>
      <c r="AT235" s="77" t="str">
        <f t="shared" ca="1" si="206"/>
        <v/>
      </c>
      <c r="AU235" s="93" t="str">
        <f t="shared" ca="1" si="207"/>
        <v/>
      </c>
      <c r="AV235" s="77" t="str">
        <f t="shared" ca="1" si="208"/>
        <v/>
      </c>
      <c r="AW235" s="93" t="str">
        <f t="shared" ca="1" si="209"/>
        <v/>
      </c>
      <c r="AX235" s="77" t="str">
        <f t="shared" ca="1" si="210"/>
        <v/>
      </c>
      <c r="AY235" s="93" t="str">
        <f t="shared" ca="1" si="211"/>
        <v/>
      </c>
      <c r="AZ235" s="77" t="str">
        <f t="shared" ca="1" si="212"/>
        <v/>
      </c>
      <c r="BA235" s="93" t="str">
        <f t="shared" ca="1" si="213"/>
        <v/>
      </c>
      <c r="BB235" s="77" t="str">
        <f t="shared" ca="1" si="214"/>
        <v/>
      </c>
      <c r="BC235" s="93" t="str">
        <f t="shared" ca="1" si="215"/>
        <v/>
      </c>
    </row>
    <row r="236" spans="1:55" ht="15.95" customHeight="1" x14ac:dyDescent="0.2">
      <c r="A236" s="41" t="str">
        <f>IF(Customization!B236="","",Customization!B236)</f>
        <v/>
      </c>
      <c r="B236" s="79" t="str">
        <f t="shared" ca="1" si="164"/>
        <v/>
      </c>
      <c r="C236" s="29" t="str">
        <f t="shared" ca="1" si="165"/>
        <v/>
      </c>
      <c r="D236" s="7" t="str">
        <f t="shared" ca="1" si="162"/>
        <v/>
      </c>
      <c r="E236" s="29" t="str">
        <f t="shared" ca="1" si="166"/>
        <v/>
      </c>
      <c r="F236" s="7" t="str">
        <f t="shared" ca="1" si="163"/>
        <v/>
      </c>
      <c r="G236" s="29" t="str">
        <f t="shared" ca="1" si="167"/>
        <v/>
      </c>
      <c r="H236" s="7" t="str">
        <f t="shared" ca="1" si="168"/>
        <v/>
      </c>
      <c r="I236" s="28" t="str">
        <f t="shared" ca="1" si="169"/>
        <v/>
      </c>
      <c r="J236" s="7" t="str">
        <f t="shared" ca="1" si="170"/>
        <v/>
      </c>
      <c r="K236" s="73" t="str">
        <f t="shared" ca="1" si="171"/>
        <v/>
      </c>
      <c r="L236" s="74" t="str">
        <f t="shared" ca="1" si="172"/>
        <v/>
      </c>
      <c r="M236" s="75" t="str">
        <f t="shared" ca="1" si="173"/>
        <v/>
      </c>
      <c r="N236" s="76" t="str">
        <f t="shared" ca="1" si="174"/>
        <v/>
      </c>
      <c r="O236" s="75" t="str">
        <f t="shared" ca="1" si="175"/>
        <v/>
      </c>
      <c r="P236" s="76" t="str">
        <f t="shared" ca="1" si="176"/>
        <v/>
      </c>
      <c r="Q236" s="75" t="str">
        <f t="shared" ca="1" si="177"/>
        <v/>
      </c>
      <c r="R236" s="77" t="str">
        <f t="shared" ca="1" si="178"/>
        <v/>
      </c>
      <c r="S236" s="89" t="str">
        <f t="shared" ca="1" si="179"/>
        <v/>
      </c>
      <c r="T236" s="88" t="str">
        <f t="shared" ca="1" si="180"/>
        <v/>
      </c>
      <c r="U236" s="92" t="str">
        <f t="shared" ca="1" si="181"/>
        <v/>
      </c>
      <c r="V236" s="88" t="str">
        <f t="shared" ca="1" si="182"/>
        <v/>
      </c>
      <c r="W236" s="92" t="str">
        <f t="shared" ca="1" si="183"/>
        <v/>
      </c>
      <c r="X236" s="88" t="str">
        <f t="shared" ca="1" si="184"/>
        <v/>
      </c>
      <c r="Y236" s="92" t="str">
        <f t="shared" ca="1" si="185"/>
        <v/>
      </c>
      <c r="Z236" s="88" t="str">
        <f t="shared" ca="1" si="186"/>
        <v/>
      </c>
      <c r="AA236" s="89" t="str">
        <f t="shared" ca="1" si="187"/>
        <v/>
      </c>
      <c r="AB236" s="88" t="str">
        <f t="shared" ca="1" si="188"/>
        <v/>
      </c>
      <c r="AC236" s="92" t="str">
        <f t="shared" ca="1" si="189"/>
        <v/>
      </c>
      <c r="AD236" s="88" t="str">
        <f t="shared" ca="1" si="190"/>
        <v/>
      </c>
      <c r="AE236" s="92" t="str">
        <f t="shared" ca="1" si="191"/>
        <v/>
      </c>
      <c r="AF236" s="88" t="str">
        <f t="shared" ca="1" si="192"/>
        <v/>
      </c>
      <c r="AG236" s="92" t="str">
        <f t="shared" ca="1" si="193"/>
        <v/>
      </c>
      <c r="AH236" s="88" t="str">
        <f t="shared" ca="1" si="194"/>
        <v/>
      </c>
      <c r="AI236" s="92" t="str">
        <f t="shared" ca="1" si="195"/>
        <v/>
      </c>
      <c r="AJ236" s="88" t="str">
        <f t="shared" ca="1" si="196"/>
        <v/>
      </c>
      <c r="AK236" s="92" t="str">
        <f t="shared" ca="1" si="197"/>
        <v/>
      </c>
      <c r="AL236" s="77" t="str">
        <f t="shared" ca="1" si="198"/>
        <v/>
      </c>
      <c r="AM236" s="89" t="str">
        <f t="shared" ca="1" si="199"/>
        <v/>
      </c>
      <c r="AN236" s="88" t="str">
        <f t="shared" ca="1" si="200"/>
        <v/>
      </c>
      <c r="AO236" s="89" t="str">
        <f t="shared" ca="1" si="201"/>
        <v/>
      </c>
      <c r="AP236" s="77" t="str">
        <f t="shared" ca="1" si="202"/>
        <v/>
      </c>
      <c r="AQ236" s="94" t="str">
        <f t="shared" ca="1" si="203"/>
        <v/>
      </c>
      <c r="AR236" s="77" t="str">
        <f t="shared" ca="1" si="204"/>
        <v/>
      </c>
      <c r="AS236" s="94" t="str">
        <f t="shared" ca="1" si="205"/>
        <v/>
      </c>
      <c r="AT236" s="77" t="str">
        <f t="shared" ca="1" si="206"/>
        <v/>
      </c>
      <c r="AU236" s="93" t="str">
        <f t="shared" ca="1" si="207"/>
        <v/>
      </c>
      <c r="AV236" s="77" t="str">
        <f t="shared" ca="1" si="208"/>
        <v/>
      </c>
      <c r="AW236" s="93" t="str">
        <f t="shared" ca="1" si="209"/>
        <v/>
      </c>
      <c r="AX236" s="77" t="str">
        <f t="shared" ca="1" si="210"/>
        <v/>
      </c>
      <c r="AY236" s="93" t="str">
        <f t="shared" ca="1" si="211"/>
        <v/>
      </c>
      <c r="AZ236" s="77" t="str">
        <f t="shared" ca="1" si="212"/>
        <v/>
      </c>
      <c r="BA236" s="93" t="str">
        <f t="shared" ca="1" si="213"/>
        <v/>
      </c>
      <c r="BB236" s="77" t="str">
        <f t="shared" ca="1" si="214"/>
        <v/>
      </c>
      <c r="BC236" s="93" t="str">
        <f t="shared" ca="1" si="215"/>
        <v/>
      </c>
    </row>
    <row r="237" spans="1:55" ht="15.95" customHeight="1" x14ac:dyDescent="0.2">
      <c r="A237" s="41" t="str">
        <f>IF(Customization!B237="","",Customization!B237)</f>
        <v/>
      </c>
      <c r="B237" s="79" t="str">
        <f t="shared" ca="1" si="164"/>
        <v/>
      </c>
      <c r="C237" s="29" t="str">
        <f t="shared" ca="1" si="165"/>
        <v/>
      </c>
      <c r="D237" s="7" t="str">
        <f t="shared" ca="1" si="162"/>
        <v/>
      </c>
      <c r="E237" s="29" t="str">
        <f t="shared" ca="1" si="166"/>
        <v/>
      </c>
      <c r="F237" s="7" t="str">
        <f t="shared" ca="1" si="163"/>
        <v/>
      </c>
      <c r="G237" s="29" t="str">
        <f t="shared" ca="1" si="167"/>
        <v/>
      </c>
      <c r="H237" s="7" t="str">
        <f t="shared" ca="1" si="168"/>
        <v/>
      </c>
      <c r="I237" s="28" t="str">
        <f t="shared" ca="1" si="169"/>
        <v/>
      </c>
      <c r="J237" s="7" t="str">
        <f t="shared" ca="1" si="170"/>
        <v/>
      </c>
      <c r="K237" s="73" t="str">
        <f t="shared" ca="1" si="171"/>
        <v/>
      </c>
      <c r="L237" s="74" t="str">
        <f t="shared" ca="1" si="172"/>
        <v/>
      </c>
      <c r="M237" s="75" t="str">
        <f t="shared" ca="1" si="173"/>
        <v/>
      </c>
      <c r="N237" s="76" t="str">
        <f t="shared" ca="1" si="174"/>
        <v/>
      </c>
      <c r="O237" s="75" t="str">
        <f t="shared" ca="1" si="175"/>
        <v/>
      </c>
      <c r="P237" s="76" t="str">
        <f t="shared" ca="1" si="176"/>
        <v/>
      </c>
      <c r="Q237" s="75" t="str">
        <f t="shared" ca="1" si="177"/>
        <v/>
      </c>
      <c r="R237" s="77" t="str">
        <f t="shared" ca="1" si="178"/>
        <v/>
      </c>
      <c r="S237" s="89" t="str">
        <f t="shared" ca="1" si="179"/>
        <v/>
      </c>
      <c r="T237" s="88" t="str">
        <f t="shared" ca="1" si="180"/>
        <v/>
      </c>
      <c r="U237" s="92" t="str">
        <f t="shared" ca="1" si="181"/>
        <v/>
      </c>
      <c r="V237" s="88" t="str">
        <f t="shared" ca="1" si="182"/>
        <v/>
      </c>
      <c r="W237" s="92" t="str">
        <f t="shared" ca="1" si="183"/>
        <v/>
      </c>
      <c r="X237" s="88" t="str">
        <f t="shared" ca="1" si="184"/>
        <v/>
      </c>
      <c r="Y237" s="92" t="str">
        <f t="shared" ca="1" si="185"/>
        <v/>
      </c>
      <c r="Z237" s="88" t="str">
        <f t="shared" ca="1" si="186"/>
        <v/>
      </c>
      <c r="AA237" s="89" t="str">
        <f t="shared" ca="1" si="187"/>
        <v/>
      </c>
      <c r="AB237" s="88" t="str">
        <f t="shared" ca="1" si="188"/>
        <v/>
      </c>
      <c r="AC237" s="92" t="str">
        <f t="shared" ca="1" si="189"/>
        <v/>
      </c>
      <c r="AD237" s="88" t="str">
        <f t="shared" ca="1" si="190"/>
        <v/>
      </c>
      <c r="AE237" s="92" t="str">
        <f t="shared" ca="1" si="191"/>
        <v/>
      </c>
      <c r="AF237" s="88" t="str">
        <f t="shared" ca="1" si="192"/>
        <v/>
      </c>
      <c r="AG237" s="92" t="str">
        <f t="shared" ca="1" si="193"/>
        <v/>
      </c>
      <c r="AH237" s="88" t="str">
        <f t="shared" ca="1" si="194"/>
        <v/>
      </c>
      <c r="AI237" s="92" t="str">
        <f t="shared" ca="1" si="195"/>
        <v/>
      </c>
      <c r="AJ237" s="88" t="str">
        <f t="shared" ca="1" si="196"/>
        <v/>
      </c>
      <c r="AK237" s="92" t="str">
        <f t="shared" ca="1" si="197"/>
        <v/>
      </c>
      <c r="AL237" s="77" t="str">
        <f t="shared" ca="1" si="198"/>
        <v/>
      </c>
      <c r="AM237" s="89" t="str">
        <f t="shared" ca="1" si="199"/>
        <v/>
      </c>
      <c r="AN237" s="88" t="str">
        <f t="shared" ca="1" si="200"/>
        <v/>
      </c>
      <c r="AO237" s="89" t="str">
        <f t="shared" ca="1" si="201"/>
        <v/>
      </c>
      <c r="AP237" s="77" t="str">
        <f t="shared" ca="1" si="202"/>
        <v/>
      </c>
      <c r="AQ237" s="94" t="str">
        <f t="shared" ca="1" si="203"/>
        <v/>
      </c>
      <c r="AR237" s="77" t="str">
        <f t="shared" ca="1" si="204"/>
        <v/>
      </c>
      <c r="AS237" s="94" t="str">
        <f t="shared" ca="1" si="205"/>
        <v/>
      </c>
      <c r="AT237" s="77" t="str">
        <f t="shared" ca="1" si="206"/>
        <v/>
      </c>
      <c r="AU237" s="93" t="str">
        <f t="shared" ca="1" si="207"/>
        <v/>
      </c>
      <c r="AV237" s="77" t="str">
        <f t="shared" ca="1" si="208"/>
        <v/>
      </c>
      <c r="AW237" s="93" t="str">
        <f t="shared" ca="1" si="209"/>
        <v/>
      </c>
      <c r="AX237" s="77" t="str">
        <f t="shared" ca="1" si="210"/>
        <v/>
      </c>
      <c r="AY237" s="93" t="str">
        <f t="shared" ca="1" si="211"/>
        <v/>
      </c>
      <c r="AZ237" s="77" t="str">
        <f t="shared" ca="1" si="212"/>
        <v/>
      </c>
      <c r="BA237" s="93" t="str">
        <f t="shared" ca="1" si="213"/>
        <v/>
      </c>
      <c r="BB237" s="77" t="str">
        <f t="shared" ca="1" si="214"/>
        <v/>
      </c>
      <c r="BC237" s="93" t="str">
        <f t="shared" ca="1" si="215"/>
        <v/>
      </c>
    </row>
    <row r="238" spans="1:55" ht="15.95" customHeight="1" x14ac:dyDescent="0.2">
      <c r="A238" s="41" t="str">
        <f>IF(Customization!B238="","",Customization!B238)</f>
        <v/>
      </c>
      <c r="B238" s="79" t="str">
        <f t="shared" ca="1" si="164"/>
        <v/>
      </c>
      <c r="C238" s="29" t="str">
        <f t="shared" ca="1" si="165"/>
        <v/>
      </c>
      <c r="D238" s="7" t="str">
        <f t="shared" ca="1" si="162"/>
        <v/>
      </c>
      <c r="E238" s="29" t="str">
        <f t="shared" ca="1" si="166"/>
        <v/>
      </c>
      <c r="F238" s="7" t="str">
        <f t="shared" ca="1" si="163"/>
        <v/>
      </c>
      <c r="G238" s="29" t="str">
        <f t="shared" ca="1" si="167"/>
        <v/>
      </c>
      <c r="H238" s="7" t="str">
        <f t="shared" ca="1" si="168"/>
        <v/>
      </c>
      <c r="I238" s="28" t="str">
        <f t="shared" ca="1" si="169"/>
        <v/>
      </c>
      <c r="J238" s="7" t="str">
        <f t="shared" ca="1" si="170"/>
        <v/>
      </c>
      <c r="K238" s="73" t="str">
        <f t="shared" ca="1" si="171"/>
        <v/>
      </c>
      <c r="L238" s="74" t="str">
        <f t="shared" ca="1" si="172"/>
        <v/>
      </c>
      <c r="M238" s="75" t="str">
        <f t="shared" ca="1" si="173"/>
        <v/>
      </c>
      <c r="N238" s="76" t="str">
        <f t="shared" ca="1" si="174"/>
        <v/>
      </c>
      <c r="O238" s="75" t="str">
        <f t="shared" ca="1" si="175"/>
        <v/>
      </c>
      <c r="P238" s="76" t="str">
        <f t="shared" ca="1" si="176"/>
        <v/>
      </c>
      <c r="Q238" s="75" t="str">
        <f t="shared" ca="1" si="177"/>
        <v/>
      </c>
      <c r="R238" s="77" t="str">
        <f t="shared" ca="1" si="178"/>
        <v/>
      </c>
      <c r="S238" s="89" t="str">
        <f t="shared" ca="1" si="179"/>
        <v/>
      </c>
      <c r="T238" s="88" t="str">
        <f t="shared" ca="1" si="180"/>
        <v/>
      </c>
      <c r="U238" s="92" t="str">
        <f t="shared" ca="1" si="181"/>
        <v/>
      </c>
      <c r="V238" s="88" t="str">
        <f t="shared" ca="1" si="182"/>
        <v/>
      </c>
      <c r="W238" s="92" t="str">
        <f t="shared" ca="1" si="183"/>
        <v/>
      </c>
      <c r="X238" s="88" t="str">
        <f t="shared" ca="1" si="184"/>
        <v/>
      </c>
      <c r="Y238" s="92" t="str">
        <f t="shared" ca="1" si="185"/>
        <v/>
      </c>
      <c r="Z238" s="88" t="str">
        <f t="shared" ca="1" si="186"/>
        <v/>
      </c>
      <c r="AA238" s="89" t="str">
        <f t="shared" ca="1" si="187"/>
        <v/>
      </c>
      <c r="AB238" s="88" t="str">
        <f t="shared" ca="1" si="188"/>
        <v/>
      </c>
      <c r="AC238" s="92" t="str">
        <f t="shared" ca="1" si="189"/>
        <v/>
      </c>
      <c r="AD238" s="88" t="str">
        <f t="shared" ca="1" si="190"/>
        <v/>
      </c>
      <c r="AE238" s="92" t="str">
        <f t="shared" ca="1" si="191"/>
        <v/>
      </c>
      <c r="AF238" s="88" t="str">
        <f t="shared" ca="1" si="192"/>
        <v/>
      </c>
      <c r="AG238" s="92" t="str">
        <f t="shared" ca="1" si="193"/>
        <v/>
      </c>
      <c r="AH238" s="88" t="str">
        <f t="shared" ca="1" si="194"/>
        <v/>
      </c>
      <c r="AI238" s="92" t="str">
        <f t="shared" ca="1" si="195"/>
        <v/>
      </c>
      <c r="AJ238" s="88" t="str">
        <f t="shared" ca="1" si="196"/>
        <v/>
      </c>
      <c r="AK238" s="92" t="str">
        <f t="shared" ca="1" si="197"/>
        <v/>
      </c>
      <c r="AL238" s="77" t="str">
        <f t="shared" ca="1" si="198"/>
        <v/>
      </c>
      <c r="AM238" s="89" t="str">
        <f t="shared" ca="1" si="199"/>
        <v/>
      </c>
      <c r="AN238" s="88" t="str">
        <f t="shared" ca="1" si="200"/>
        <v/>
      </c>
      <c r="AO238" s="89" t="str">
        <f t="shared" ca="1" si="201"/>
        <v/>
      </c>
      <c r="AP238" s="77" t="str">
        <f t="shared" ca="1" si="202"/>
        <v/>
      </c>
      <c r="AQ238" s="94" t="str">
        <f t="shared" ca="1" si="203"/>
        <v/>
      </c>
      <c r="AR238" s="77" t="str">
        <f t="shared" ca="1" si="204"/>
        <v/>
      </c>
      <c r="AS238" s="94" t="str">
        <f t="shared" ca="1" si="205"/>
        <v/>
      </c>
      <c r="AT238" s="77" t="str">
        <f t="shared" ca="1" si="206"/>
        <v/>
      </c>
      <c r="AU238" s="93" t="str">
        <f t="shared" ca="1" si="207"/>
        <v/>
      </c>
      <c r="AV238" s="77" t="str">
        <f t="shared" ca="1" si="208"/>
        <v/>
      </c>
      <c r="AW238" s="93" t="str">
        <f t="shared" ca="1" si="209"/>
        <v/>
      </c>
      <c r="AX238" s="77" t="str">
        <f t="shared" ca="1" si="210"/>
        <v/>
      </c>
      <c r="AY238" s="93" t="str">
        <f t="shared" ca="1" si="211"/>
        <v/>
      </c>
      <c r="AZ238" s="77" t="str">
        <f t="shared" ca="1" si="212"/>
        <v/>
      </c>
      <c r="BA238" s="93" t="str">
        <f t="shared" ca="1" si="213"/>
        <v/>
      </c>
      <c r="BB238" s="77" t="str">
        <f t="shared" ca="1" si="214"/>
        <v/>
      </c>
      <c r="BC238" s="93" t="str">
        <f t="shared" ca="1" si="215"/>
        <v/>
      </c>
    </row>
    <row r="239" spans="1:55" ht="15.95" customHeight="1" x14ac:dyDescent="0.2">
      <c r="A239" s="41" t="str">
        <f>IF(Customization!B239="","",Customization!B239)</f>
        <v/>
      </c>
      <c r="B239" s="79" t="str">
        <f t="shared" ca="1" si="164"/>
        <v/>
      </c>
      <c r="C239" s="29" t="str">
        <f t="shared" ca="1" si="165"/>
        <v/>
      </c>
      <c r="D239" s="7" t="str">
        <f t="shared" ca="1" si="162"/>
        <v/>
      </c>
      <c r="E239" s="29" t="str">
        <f t="shared" ca="1" si="166"/>
        <v/>
      </c>
      <c r="F239" s="7" t="str">
        <f t="shared" ca="1" si="163"/>
        <v/>
      </c>
      <c r="G239" s="29" t="str">
        <f t="shared" ca="1" si="167"/>
        <v/>
      </c>
      <c r="H239" s="7" t="str">
        <f t="shared" ca="1" si="168"/>
        <v/>
      </c>
      <c r="I239" s="28" t="str">
        <f t="shared" ca="1" si="169"/>
        <v/>
      </c>
      <c r="J239" s="7" t="str">
        <f t="shared" ca="1" si="170"/>
        <v/>
      </c>
      <c r="K239" s="73" t="str">
        <f t="shared" ca="1" si="171"/>
        <v/>
      </c>
      <c r="L239" s="74" t="str">
        <f t="shared" ca="1" si="172"/>
        <v/>
      </c>
      <c r="M239" s="75" t="str">
        <f t="shared" ca="1" si="173"/>
        <v/>
      </c>
      <c r="N239" s="76" t="str">
        <f t="shared" ca="1" si="174"/>
        <v/>
      </c>
      <c r="O239" s="75" t="str">
        <f t="shared" ca="1" si="175"/>
        <v/>
      </c>
      <c r="P239" s="76" t="str">
        <f t="shared" ca="1" si="176"/>
        <v/>
      </c>
      <c r="Q239" s="75" t="str">
        <f t="shared" ca="1" si="177"/>
        <v/>
      </c>
      <c r="R239" s="77" t="str">
        <f t="shared" ca="1" si="178"/>
        <v/>
      </c>
      <c r="S239" s="89" t="str">
        <f t="shared" ca="1" si="179"/>
        <v/>
      </c>
      <c r="T239" s="88" t="str">
        <f t="shared" ca="1" si="180"/>
        <v/>
      </c>
      <c r="U239" s="92" t="str">
        <f t="shared" ca="1" si="181"/>
        <v/>
      </c>
      <c r="V239" s="88" t="str">
        <f t="shared" ca="1" si="182"/>
        <v/>
      </c>
      <c r="W239" s="92" t="str">
        <f t="shared" ca="1" si="183"/>
        <v/>
      </c>
      <c r="X239" s="88" t="str">
        <f t="shared" ca="1" si="184"/>
        <v/>
      </c>
      <c r="Y239" s="92" t="str">
        <f t="shared" ca="1" si="185"/>
        <v/>
      </c>
      <c r="Z239" s="88" t="str">
        <f t="shared" ca="1" si="186"/>
        <v/>
      </c>
      <c r="AA239" s="89" t="str">
        <f t="shared" ca="1" si="187"/>
        <v/>
      </c>
      <c r="AB239" s="88" t="str">
        <f t="shared" ca="1" si="188"/>
        <v/>
      </c>
      <c r="AC239" s="92" t="str">
        <f t="shared" ca="1" si="189"/>
        <v/>
      </c>
      <c r="AD239" s="88" t="str">
        <f t="shared" ca="1" si="190"/>
        <v/>
      </c>
      <c r="AE239" s="92" t="str">
        <f t="shared" ca="1" si="191"/>
        <v/>
      </c>
      <c r="AF239" s="88" t="str">
        <f t="shared" ca="1" si="192"/>
        <v/>
      </c>
      <c r="AG239" s="92" t="str">
        <f t="shared" ca="1" si="193"/>
        <v/>
      </c>
      <c r="AH239" s="88" t="str">
        <f t="shared" ca="1" si="194"/>
        <v/>
      </c>
      <c r="AI239" s="92" t="str">
        <f t="shared" ca="1" si="195"/>
        <v/>
      </c>
      <c r="AJ239" s="88" t="str">
        <f t="shared" ca="1" si="196"/>
        <v/>
      </c>
      <c r="AK239" s="92" t="str">
        <f t="shared" ca="1" si="197"/>
        <v/>
      </c>
      <c r="AL239" s="77" t="str">
        <f t="shared" ca="1" si="198"/>
        <v/>
      </c>
      <c r="AM239" s="89" t="str">
        <f t="shared" ca="1" si="199"/>
        <v/>
      </c>
      <c r="AN239" s="88" t="str">
        <f t="shared" ca="1" si="200"/>
        <v/>
      </c>
      <c r="AO239" s="89" t="str">
        <f t="shared" ca="1" si="201"/>
        <v/>
      </c>
      <c r="AP239" s="77" t="str">
        <f t="shared" ca="1" si="202"/>
        <v/>
      </c>
      <c r="AQ239" s="94" t="str">
        <f t="shared" ca="1" si="203"/>
        <v/>
      </c>
      <c r="AR239" s="77" t="str">
        <f t="shared" ca="1" si="204"/>
        <v/>
      </c>
      <c r="AS239" s="94" t="str">
        <f t="shared" ca="1" si="205"/>
        <v/>
      </c>
      <c r="AT239" s="77" t="str">
        <f t="shared" ca="1" si="206"/>
        <v/>
      </c>
      <c r="AU239" s="93" t="str">
        <f t="shared" ca="1" si="207"/>
        <v/>
      </c>
      <c r="AV239" s="77" t="str">
        <f t="shared" ca="1" si="208"/>
        <v/>
      </c>
      <c r="AW239" s="93" t="str">
        <f t="shared" ca="1" si="209"/>
        <v/>
      </c>
      <c r="AX239" s="77" t="str">
        <f t="shared" ca="1" si="210"/>
        <v/>
      </c>
      <c r="AY239" s="93" t="str">
        <f t="shared" ca="1" si="211"/>
        <v/>
      </c>
      <c r="AZ239" s="77" t="str">
        <f t="shared" ca="1" si="212"/>
        <v/>
      </c>
      <c r="BA239" s="93" t="str">
        <f t="shared" ca="1" si="213"/>
        <v/>
      </c>
      <c r="BB239" s="77" t="str">
        <f t="shared" ca="1" si="214"/>
        <v/>
      </c>
      <c r="BC239" s="93" t="str">
        <f t="shared" ca="1" si="215"/>
        <v/>
      </c>
    </row>
    <row r="240" spans="1:55" ht="15.95" customHeight="1" x14ac:dyDescent="0.2">
      <c r="A240" s="41" t="str">
        <f>IF(Customization!B240="","",Customization!B240)</f>
        <v/>
      </c>
      <c r="B240" s="79" t="str">
        <f t="shared" ca="1" si="164"/>
        <v/>
      </c>
      <c r="C240" s="29" t="str">
        <f t="shared" ca="1" si="165"/>
        <v/>
      </c>
      <c r="D240" s="7" t="str">
        <f t="shared" ca="1" si="162"/>
        <v/>
      </c>
      <c r="E240" s="29" t="str">
        <f t="shared" ca="1" si="166"/>
        <v/>
      </c>
      <c r="F240" s="7" t="str">
        <f t="shared" ca="1" si="163"/>
        <v/>
      </c>
      <c r="G240" s="29" t="str">
        <f t="shared" ca="1" si="167"/>
        <v/>
      </c>
      <c r="H240" s="7" t="str">
        <f t="shared" ca="1" si="168"/>
        <v/>
      </c>
      <c r="I240" s="28" t="str">
        <f t="shared" ca="1" si="169"/>
        <v/>
      </c>
      <c r="J240" s="7" t="str">
        <f t="shared" ca="1" si="170"/>
        <v/>
      </c>
      <c r="K240" s="73" t="str">
        <f t="shared" ca="1" si="171"/>
        <v/>
      </c>
      <c r="L240" s="74" t="str">
        <f t="shared" ca="1" si="172"/>
        <v/>
      </c>
      <c r="M240" s="75" t="str">
        <f t="shared" ca="1" si="173"/>
        <v/>
      </c>
      <c r="N240" s="76" t="str">
        <f t="shared" ca="1" si="174"/>
        <v/>
      </c>
      <c r="O240" s="75" t="str">
        <f t="shared" ca="1" si="175"/>
        <v/>
      </c>
      <c r="P240" s="76" t="str">
        <f t="shared" ca="1" si="176"/>
        <v/>
      </c>
      <c r="Q240" s="75" t="str">
        <f t="shared" ca="1" si="177"/>
        <v/>
      </c>
      <c r="R240" s="77" t="str">
        <f t="shared" ca="1" si="178"/>
        <v/>
      </c>
      <c r="S240" s="89" t="str">
        <f t="shared" ca="1" si="179"/>
        <v/>
      </c>
      <c r="T240" s="88" t="str">
        <f t="shared" ca="1" si="180"/>
        <v/>
      </c>
      <c r="U240" s="92" t="str">
        <f t="shared" ca="1" si="181"/>
        <v/>
      </c>
      <c r="V240" s="88" t="str">
        <f t="shared" ca="1" si="182"/>
        <v/>
      </c>
      <c r="W240" s="92" t="str">
        <f t="shared" ca="1" si="183"/>
        <v/>
      </c>
      <c r="X240" s="88" t="str">
        <f t="shared" ca="1" si="184"/>
        <v/>
      </c>
      <c r="Y240" s="92" t="str">
        <f t="shared" ca="1" si="185"/>
        <v/>
      </c>
      <c r="Z240" s="88" t="str">
        <f t="shared" ca="1" si="186"/>
        <v/>
      </c>
      <c r="AA240" s="89" t="str">
        <f t="shared" ca="1" si="187"/>
        <v/>
      </c>
      <c r="AB240" s="88" t="str">
        <f t="shared" ca="1" si="188"/>
        <v/>
      </c>
      <c r="AC240" s="92" t="str">
        <f t="shared" ca="1" si="189"/>
        <v/>
      </c>
      <c r="AD240" s="88" t="str">
        <f t="shared" ca="1" si="190"/>
        <v/>
      </c>
      <c r="AE240" s="92" t="str">
        <f t="shared" ca="1" si="191"/>
        <v/>
      </c>
      <c r="AF240" s="88" t="str">
        <f t="shared" ca="1" si="192"/>
        <v/>
      </c>
      <c r="AG240" s="92" t="str">
        <f t="shared" ca="1" si="193"/>
        <v/>
      </c>
      <c r="AH240" s="88" t="str">
        <f t="shared" ca="1" si="194"/>
        <v/>
      </c>
      <c r="AI240" s="92" t="str">
        <f t="shared" ca="1" si="195"/>
        <v/>
      </c>
      <c r="AJ240" s="88" t="str">
        <f t="shared" ca="1" si="196"/>
        <v/>
      </c>
      <c r="AK240" s="92" t="str">
        <f t="shared" ca="1" si="197"/>
        <v/>
      </c>
      <c r="AL240" s="77" t="str">
        <f t="shared" ca="1" si="198"/>
        <v/>
      </c>
      <c r="AM240" s="89" t="str">
        <f t="shared" ca="1" si="199"/>
        <v/>
      </c>
      <c r="AN240" s="88" t="str">
        <f t="shared" ca="1" si="200"/>
        <v/>
      </c>
      <c r="AO240" s="89" t="str">
        <f t="shared" ca="1" si="201"/>
        <v/>
      </c>
      <c r="AP240" s="77" t="str">
        <f t="shared" ca="1" si="202"/>
        <v/>
      </c>
      <c r="AQ240" s="94" t="str">
        <f t="shared" ca="1" si="203"/>
        <v/>
      </c>
      <c r="AR240" s="77" t="str">
        <f t="shared" ca="1" si="204"/>
        <v/>
      </c>
      <c r="AS240" s="94" t="str">
        <f t="shared" ca="1" si="205"/>
        <v/>
      </c>
      <c r="AT240" s="77" t="str">
        <f t="shared" ca="1" si="206"/>
        <v/>
      </c>
      <c r="AU240" s="93" t="str">
        <f t="shared" ca="1" si="207"/>
        <v/>
      </c>
      <c r="AV240" s="77" t="str">
        <f t="shared" ca="1" si="208"/>
        <v/>
      </c>
      <c r="AW240" s="93" t="str">
        <f t="shared" ca="1" si="209"/>
        <v/>
      </c>
      <c r="AX240" s="77" t="str">
        <f t="shared" ca="1" si="210"/>
        <v/>
      </c>
      <c r="AY240" s="93" t="str">
        <f t="shared" ca="1" si="211"/>
        <v/>
      </c>
      <c r="AZ240" s="77" t="str">
        <f t="shared" ca="1" si="212"/>
        <v/>
      </c>
      <c r="BA240" s="93" t="str">
        <f t="shared" ca="1" si="213"/>
        <v/>
      </c>
      <c r="BB240" s="77" t="str">
        <f t="shared" ca="1" si="214"/>
        <v/>
      </c>
      <c r="BC240" s="93" t="str">
        <f t="shared" ca="1" si="215"/>
        <v/>
      </c>
    </row>
    <row r="241" spans="1:55" ht="15.95" customHeight="1" x14ac:dyDescent="0.2">
      <c r="A241" s="41" t="str">
        <f>IF(Customization!B241="","",Customization!B241)</f>
        <v/>
      </c>
      <c r="B241" s="79" t="str">
        <f t="shared" ca="1" si="164"/>
        <v/>
      </c>
      <c r="C241" s="29" t="str">
        <f t="shared" ca="1" si="165"/>
        <v/>
      </c>
      <c r="D241" s="7" t="str">
        <f t="shared" ca="1" si="162"/>
        <v/>
      </c>
      <c r="E241" s="29" t="str">
        <f t="shared" ca="1" si="166"/>
        <v/>
      </c>
      <c r="F241" s="7" t="str">
        <f t="shared" ca="1" si="163"/>
        <v/>
      </c>
      <c r="G241" s="29" t="str">
        <f t="shared" ca="1" si="167"/>
        <v/>
      </c>
      <c r="H241" s="7" t="str">
        <f t="shared" ca="1" si="168"/>
        <v/>
      </c>
      <c r="I241" s="28" t="str">
        <f t="shared" ca="1" si="169"/>
        <v/>
      </c>
      <c r="J241" s="7" t="str">
        <f t="shared" ca="1" si="170"/>
        <v/>
      </c>
      <c r="K241" s="73" t="str">
        <f t="shared" ca="1" si="171"/>
        <v/>
      </c>
      <c r="L241" s="74" t="str">
        <f t="shared" ca="1" si="172"/>
        <v/>
      </c>
      <c r="M241" s="75" t="str">
        <f t="shared" ca="1" si="173"/>
        <v/>
      </c>
      <c r="N241" s="76" t="str">
        <f t="shared" ca="1" si="174"/>
        <v/>
      </c>
      <c r="O241" s="75" t="str">
        <f t="shared" ca="1" si="175"/>
        <v/>
      </c>
      <c r="P241" s="76" t="str">
        <f t="shared" ca="1" si="176"/>
        <v/>
      </c>
      <c r="Q241" s="75" t="str">
        <f t="shared" ca="1" si="177"/>
        <v/>
      </c>
      <c r="R241" s="77" t="str">
        <f t="shared" ca="1" si="178"/>
        <v/>
      </c>
      <c r="S241" s="89" t="str">
        <f t="shared" ca="1" si="179"/>
        <v/>
      </c>
      <c r="T241" s="88" t="str">
        <f t="shared" ca="1" si="180"/>
        <v/>
      </c>
      <c r="U241" s="92" t="str">
        <f t="shared" ca="1" si="181"/>
        <v/>
      </c>
      <c r="V241" s="88" t="str">
        <f t="shared" ca="1" si="182"/>
        <v/>
      </c>
      <c r="W241" s="92" t="str">
        <f t="shared" ca="1" si="183"/>
        <v/>
      </c>
      <c r="X241" s="88" t="str">
        <f t="shared" ca="1" si="184"/>
        <v/>
      </c>
      <c r="Y241" s="92" t="str">
        <f t="shared" ca="1" si="185"/>
        <v/>
      </c>
      <c r="Z241" s="88" t="str">
        <f t="shared" ca="1" si="186"/>
        <v/>
      </c>
      <c r="AA241" s="89" t="str">
        <f t="shared" ca="1" si="187"/>
        <v/>
      </c>
      <c r="AB241" s="88" t="str">
        <f t="shared" ca="1" si="188"/>
        <v/>
      </c>
      <c r="AC241" s="92" t="str">
        <f t="shared" ca="1" si="189"/>
        <v/>
      </c>
      <c r="AD241" s="88" t="str">
        <f t="shared" ca="1" si="190"/>
        <v/>
      </c>
      <c r="AE241" s="92" t="str">
        <f t="shared" ca="1" si="191"/>
        <v/>
      </c>
      <c r="AF241" s="88" t="str">
        <f t="shared" ca="1" si="192"/>
        <v/>
      </c>
      <c r="AG241" s="92" t="str">
        <f t="shared" ca="1" si="193"/>
        <v/>
      </c>
      <c r="AH241" s="88" t="str">
        <f t="shared" ca="1" si="194"/>
        <v/>
      </c>
      <c r="AI241" s="92" t="str">
        <f t="shared" ca="1" si="195"/>
        <v/>
      </c>
      <c r="AJ241" s="88" t="str">
        <f t="shared" ca="1" si="196"/>
        <v/>
      </c>
      <c r="AK241" s="92" t="str">
        <f t="shared" ca="1" si="197"/>
        <v/>
      </c>
      <c r="AL241" s="77" t="str">
        <f t="shared" ca="1" si="198"/>
        <v/>
      </c>
      <c r="AM241" s="89" t="str">
        <f t="shared" ca="1" si="199"/>
        <v/>
      </c>
      <c r="AN241" s="88" t="str">
        <f t="shared" ca="1" si="200"/>
        <v/>
      </c>
      <c r="AO241" s="89" t="str">
        <f t="shared" ca="1" si="201"/>
        <v/>
      </c>
      <c r="AP241" s="77" t="str">
        <f t="shared" ca="1" si="202"/>
        <v/>
      </c>
      <c r="AQ241" s="94" t="str">
        <f t="shared" ca="1" si="203"/>
        <v/>
      </c>
      <c r="AR241" s="77" t="str">
        <f t="shared" ca="1" si="204"/>
        <v/>
      </c>
      <c r="AS241" s="94" t="str">
        <f t="shared" ca="1" si="205"/>
        <v/>
      </c>
      <c r="AT241" s="77" t="str">
        <f t="shared" ca="1" si="206"/>
        <v/>
      </c>
      <c r="AU241" s="93" t="str">
        <f t="shared" ca="1" si="207"/>
        <v/>
      </c>
      <c r="AV241" s="77" t="str">
        <f t="shared" ca="1" si="208"/>
        <v/>
      </c>
      <c r="AW241" s="93" t="str">
        <f t="shared" ca="1" si="209"/>
        <v/>
      </c>
      <c r="AX241" s="77" t="str">
        <f t="shared" ca="1" si="210"/>
        <v/>
      </c>
      <c r="AY241" s="93" t="str">
        <f t="shared" ca="1" si="211"/>
        <v/>
      </c>
      <c r="AZ241" s="77" t="str">
        <f t="shared" ca="1" si="212"/>
        <v/>
      </c>
      <c r="BA241" s="93" t="str">
        <f t="shared" ca="1" si="213"/>
        <v/>
      </c>
      <c r="BB241" s="77" t="str">
        <f t="shared" ca="1" si="214"/>
        <v/>
      </c>
      <c r="BC241" s="93" t="str">
        <f t="shared" ca="1" si="215"/>
        <v/>
      </c>
    </row>
    <row r="242" spans="1:55" ht="15.95" customHeight="1" x14ac:dyDescent="0.2">
      <c r="A242" s="41" t="str">
        <f>IF(Customization!B242="","",Customization!B242)</f>
        <v/>
      </c>
      <c r="B242" s="79" t="str">
        <f t="shared" ca="1" si="164"/>
        <v/>
      </c>
      <c r="C242" s="29" t="str">
        <f t="shared" ca="1" si="165"/>
        <v/>
      </c>
      <c r="D242" s="7" t="str">
        <f t="shared" ca="1" si="162"/>
        <v/>
      </c>
      <c r="E242" s="29" t="str">
        <f t="shared" ca="1" si="166"/>
        <v/>
      </c>
      <c r="F242" s="7" t="str">
        <f t="shared" ca="1" si="163"/>
        <v/>
      </c>
      <c r="G242" s="29" t="str">
        <f t="shared" ca="1" si="167"/>
        <v/>
      </c>
      <c r="H242" s="7" t="str">
        <f t="shared" ca="1" si="168"/>
        <v/>
      </c>
      <c r="I242" s="28" t="str">
        <f t="shared" ca="1" si="169"/>
        <v/>
      </c>
      <c r="J242" s="7" t="str">
        <f t="shared" ca="1" si="170"/>
        <v/>
      </c>
      <c r="K242" s="73" t="str">
        <f t="shared" ca="1" si="171"/>
        <v/>
      </c>
      <c r="L242" s="74" t="str">
        <f t="shared" ca="1" si="172"/>
        <v/>
      </c>
      <c r="M242" s="75" t="str">
        <f t="shared" ca="1" si="173"/>
        <v/>
      </c>
      <c r="N242" s="76" t="str">
        <f t="shared" ca="1" si="174"/>
        <v/>
      </c>
      <c r="O242" s="75" t="str">
        <f t="shared" ca="1" si="175"/>
        <v/>
      </c>
      <c r="P242" s="76" t="str">
        <f t="shared" ca="1" si="176"/>
        <v/>
      </c>
      <c r="Q242" s="75" t="str">
        <f t="shared" ca="1" si="177"/>
        <v/>
      </c>
      <c r="R242" s="77" t="str">
        <f t="shared" ca="1" si="178"/>
        <v/>
      </c>
      <c r="S242" s="89" t="str">
        <f t="shared" ca="1" si="179"/>
        <v/>
      </c>
      <c r="T242" s="88" t="str">
        <f t="shared" ca="1" si="180"/>
        <v/>
      </c>
      <c r="U242" s="92" t="str">
        <f t="shared" ca="1" si="181"/>
        <v/>
      </c>
      <c r="V242" s="88" t="str">
        <f t="shared" ca="1" si="182"/>
        <v/>
      </c>
      <c r="W242" s="92" t="str">
        <f t="shared" ca="1" si="183"/>
        <v/>
      </c>
      <c r="X242" s="88" t="str">
        <f t="shared" ca="1" si="184"/>
        <v/>
      </c>
      <c r="Y242" s="92" t="str">
        <f t="shared" ca="1" si="185"/>
        <v/>
      </c>
      <c r="Z242" s="88" t="str">
        <f t="shared" ca="1" si="186"/>
        <v/>
      </c>
      <c r="AA242" s="89" t="str">
        <f t="shared" ca="1" si="187"/>
        <v/>
      </c>
      <c r="AB242" s="88" t="str">
        <f t="shared" ca="1" si="188"/>
        <v/>
      </c>
      <c r="AC242" s="92" t="str">
        <f t="shared" ca="1" si="189"/>
        <v/>
      </c>
      <c r="AD242" s="88" t="str">
        <f t="shared" ca="1" si="190"/>
        <v/>
      </c>
      <c r="AE242" s="92" t="str">
        <f t="shared" ca="1" si="191"/>
        <v/>
      </c>
      <c r="AF242" s="88" t="str">
        <f t="shared" ca="1" si="192"/>
        <v/>
      </c>
      <c r="AG242" s="92" t="str">
        <f t="shared" ca="1" si="193"/>
        <v/>
      </c>
      <c r="AH242" s="88" t="str">
        <f t="shared" ca="1" si="194"/>
        <v/>
      </c>
      <c r="AI242" s="92" t="str">
        <f t="shared" ca="1" si="195"/>
        <v/>
      </c>
      <c r="AJ242" s="88" t="str">
        <f t="shared" ca="1" si="196"/>
        <v/>
      </c>
      <c r="AK242" s="92" t="str">
        <f t="shared" ca="1" si="197"/>
        <v/>
      </c>
      <c r="AL242" s="77" t="str">
        <f t="shared" ca="1" si="198"/>
        <v/>
      </c>
      <c r="AM242" s="89" t="str">
        <f t="shared" ca="1" si="199"/>
        <v/>
      </c>
      <c r="AN242" s="88" t="str">
        <f t="shared" ca="1" si="200"/>
        <v/>
      </c>
      <c r="AO242" s="89" t="str">
        <f t="shared" ca="1" si="201"/>
        <v/>
      </c>
      <c r="AP242" s="77" t="str">
        <f t="shared" ca="1" si="202"/>
        <v/>
      </c>
      <c r="AQ242" s="94" t="str">
        <f t="shared" ca="1" si="203"/>
        <v/>
      </c>
      <c r="AR242" s="77" t="str">
        <f t="shared" ca="1" si="204"/>
        <v/>
      </c>
      <c r="AS242" s="94" t="str">
        <f t="shared" ca="1" si="205"/>
        <v/>
      </c>
      <c r="AT242" s="77" t="str">
        <f t="shared" ca="1" si="206"/>
        <v/>
      </c>
      <c r="AU242" s="93" t="str">
        <f t="shared" ca="1" si="207"/>
        <v/>
      </c>
      <c r="AV242" s="77" t="str">
        <f t="shared" ca="1" si="208"/>
        <v/>
      </c>
      <c r="AW242" s="93" t="str">
        <f t="shared" ca="1" si="209"/>
        <v/>
      </c>
      <c r="AX242" s="77" t="str">
        <f t="shared" ca="1" si="210"/>
        <v/>
      </c>
      <c r="AY242" s="93" t="str">
        <f t="shared" ca="1" si="211"/>
        <v/>
      </c>
      <c r="AZ242" s="77" t="str">
        <f t="shared" ca="1" si="212"/>
        <v/>
      </c>
      <c r="BA242" s="93" t="str">
        <f t="shared" ca="1" si="213"/>
        <v/>
      </c>
      <c r="BB242" s="77" t="str">
        <f t="shared" ca="1" si="214"/>
        <v/>
      </c>
      <c r="BC242" s="93" t="str">
        <f t="shared" ca="1" si="215"/>
        <v/>
      </c>
    </row>
    <row r="243" spans="1:55" ht="15.95" customHeight="1" x14ac:dyDescent="0.2">
      <c r="A243" s="41" t="str">
        <f>IF(Customization!B243="","",Customization!B243)</f>
        <v/>
      </c>
      <c r="B243" s="79" t="str">
        <f t="shared" ca="1" si="164"/>
        <v/>
      </c>
      <c r="C243" s="29" t="str">
        <f t="shared" ca="1" si="165"/>
        <v/>
      </c>
      <c r="D243" s="7" t="str">
        <f t="shared" ca="1" si="162"/>
        <v/>
      </c>
      <c r="E243" s="29" t="str">
        <f t="shared" ca="1" si="166"/>
        <v/>
      </c>
      <c r="F243" s="7" t="str">
        <f t="shared" ca="1" si="163"/>
        <v/>
      </c>
      <c r="G243" s="29" t="str">
        <f t="shared" ca="1" si="167"/>
        <v/>
      </c>
      <c r="H243" s="7" t="str">
        <f t="shared" ca="1" si="168"/>
        <v/>
      </c>
      <c r="I243" s="28" t="str">
        <f t="shared" ca="1" si="169"/>
        <v/>
      </c>
      <c r="J243" s="7" t="str">
        <f t="shared" ca="1" si="170"/>
        <v/>
      </c>
      <c r="K243" s="73" t="str">
        <f t="shared" ca="1" si="171"/>
        <v/>
      </c>
      <c r="L243" s="74" t="str">
        <f t="shared" ca="1" si="172"/>
        <v/>
      </c>
      <c r="M243" s="75" t="str">
        <f t="shared" ca="1" si="173"/>
        <v/>
      </c>
      <c r="N243" s="76" t="str">
        <f t="shared" ca="1" si="174"/>
        <v/>
      </c>
      <c r="O243" s="75" t="str">
        <f t="shared" ca="1" si="175"/>
        <v/>
      </c>
      <c r="P243" s="76" t="str">
        <f t="shared" ca="1" si="176"/>
        <v/>
      </c>
      <c r="Q243" s="75" t="str">
        <f t="shared" ca="1" si="177"/>
        <v/>
      </c>
      <c r="R243" s="77" t="str">
        <f t="shared" ca="1" si="178"/>
        <v/>
      </c>
      <c r="S243" s="89" t="str">
        <f t="shared" ca="1" si="179"/>
        <v/>
      </c>
      <c r="T243" s="88" t="str">
        <f t="shared" ca="1" si="180"/>
        <v/>
      </c>
      <c r="U243" s="92" t="str">
        <f t="shared" ca="1" si="181"/>
        <v/>
      </c>
      <c r="V243" s="88" t="str">
        <f t="shared" ca="1" si="182"/>
        <v/>
      </c>
      <c r="W243" s="92" t="str">
        <f t="shared" ca="1" si="183"/>
        <v/>
      </c>
      <c r="X243" s="88" t="str">
        <f t="shared" ca="1" si="184"/>
        <v/>
      </c>
      <c r="Y243" s="92" t="str">
        <f t="shared" ca="1" si="185"/>
        <v/>
      </c>
      <c r="Z243" s="88" t="str">
        <f t="shared" ca="1" si="186"/>
        <v/>
      </c>
      <c r="AA243" s="89" t="str">
        <f t="shared" ca="1" si="187"/>
        <v/>
      </c>
      <c r="AB243" s="88" t="str">
        <f t="shared" ca="1" si="188"/>
        <v/>
      </c>
      <c r="AC243" s="92" t="str">
        <f t="shared" ca="1" si="189"/>
        <v/>
      </c>
      <c r="AD243" s="88" t="str">
        <f t="shared" ca="1" si="190"/>
        <v/>
      </c>
      <c r="AE243" s="92" t="str">
        <f t="shared" ca="1" si="191"/>
        <v/>
      </c>
      <c r="AF243" s="88" t="str">
        <f t="shared" ca="1" si="192"/>
        <v/>
      </c>
      <c r="AG243" s="92" t="str">
        <f t="shared" ca="1" si="193"/>
        <v/>
      </c>
      <c r="AH243" s="88" t="str">
        <f t="shared" ca="1" si="194"/>
        <v/>
      </c>
      <c r="AI243" s="92" t="str">
        <f t="shared" ca="1" si="195"/>
        <v/>
      </c>
      <c r="AJ243" s="88" t="str">
        <f t="shared" ca="1" si="196"/>
        <v/>
      </c>
      <c r="AK243" s="92" t="str">
        <f t="shared" ca="1" si="197"/>
        <v/>
      </c>
      <c r="AL243" s="77" t="str">
        <f t="shared" ca="1" si="198"/>
        <v/>
      </c>
      <c r="AM243" s="89" t="str">
        <f t="shared" ca="1" si="199"/>
        <v/>
      </c>
      <c r="AN243" s="88" t="str">
        <f t="shared" ca="1" si="200"/>
        <v/>
      </c>
      <c r="AO243" s="89" t="str">
        <f t="shared" ca="1" si="201"/>
        <v/>
      </c>
      <c r="AP243" s="77" t="str">
        <f t="shared" ca="1" si="202"/>
        <v/>
      </c>
      <c r="AQ243" s="94" t="str">
        <f t="shared" ca="1" si="203"/>
        <v/>
      </c>
      <c r="AR243" s="77" t="str">
        <f t="shared" ca="1" si="204"/>
        <v/>
      </c>
      <c r="AS243" s="94" t="str">
        <f t="shared" ca="1" si="205"/>
        <v/>
      </c>
      <c r="AT243" s="77" t="str">
        <f t="shared" ca="1" si="206"/>
        <v/>
      </c>
      <c r="AU243" s="93" t="str">
        <f t="shared" ca="1" si="207"/>
        <v/>
      </c>
      <c r="AV243" s="77" t="str">
        <f t="shared" ca="1" si="208"/>
        <v/>
      </c>
      <c r="AW243" s="93" t="str">
        <f t="shared" ca="1" si="209"/>
        <v/>
      </c>
      <c r="AX243" s="77" t="str">
        <f t="shared" ca="1" si="210"/>
        <v/>
      </c>
      <c r="AY243" s="93" t="str">
        <f t="shared" ca="1" si="211"/>
        <v/>
      </c>
      <c r="AZ243" s="77" t="str">
        <f t="shared" ca="1" si="212"/>
        <v/>
      </c>
      <c r="BA243" s="93" t="str">
        <f t="shared" ca="1" si="213"/>
        <v/>
      </c>
      <c r="BB243" s="77" t="str">
        <f t="shared" ca="1" si="214"/>
        <v/>
      </c>
      <c r="BC243" s="93" t="str">
        <f t="shared" ca="1" si="215"/>
        <v/>
      </c>
    </row>
    <row r="244" spans="1:55" ht="15.95" customHeight="1" x14ac:dyDescent="0.2">
      <c r="A244" s="41" t="str">
        <f>IF(Customization!B244="","",Customization!B244)</f>
        <v/>
      </c>
      <c r="B244" s="79" t="str">
        <f t="shared" ca="1" si="164"/>
        <v/>
      </c>
      <c r="C244" s="29" t="str">
        <f t="shared" ca="1" si="165"/>
        <v/>
      </c>
      <c r="D244" s="7" t="str">
        <f t="shared" ca="1" si="162"/>
        <v/>
      </c>
      <c r="E244" s="29" t="str">
        <f t="shared" ca="1" si="166"/>
        <v/>
      </c>
      <c r="F244" s="7" t="str">
        <f t="shared" ca="1" si="163"/>
        <v/>
      </c>
      <c r="G244" s="29" t="str">
        <f t="shared" ca="1" si="167"/>
        <v/>
      </c>
      <c r="H244" s="7" t="str">
        <f t="shared" ca="1" si="168"/>
        <v/>
      </c>
      <c r="I244" s="28" t="str">
        <f t="shared" ca="1" si="169"/>
        <v/>
      </c>
      <c r="J244" s="7" t="str">
        <f t="shared" ca="1" si="170"/>
        <v/>
      </c>
      <c r="K244" s="73" t="str">
        <f t="shared" ca="1" si="171"/>
        <v/>
      </c>
      <c r="L244" s="74" t="str">
        <f t="shared" ca="1" si="172"/>
        <v/>
      </c>
      <c r="M244" s="75" t="str">
        <f t="shared" ca="1" si="173"/>
        <v/>
      </c>
      <c r="N244" s="76" t="str">
        <f t="shared" ca="1" si="174"/>
        <v/>
      </c>
      <c r="O244" s="75" t="str">
        <f t="shared" ca="1" si="175"/>
        <v/>
      </c>
      <c r="P244" s="76" t="str">
        <f t="shared" ca="1" si="176"/>
        <v/>
      </c>
      <c r="Q244" s="75" t="str">
        <f t="shared" ca="1" si="177"/>
        <v/>
      </c>
      <c r="R244" s="77" t="str">
        <f t="shared" ca="1" si="178"/>
        <v/>
      </c>
      <c r="S244" s="89" t="str">
        <f t="shared" ca="1" si="179"/>
        <v/>
      </c>
      <c r="T244" s="88" t="str">
        <f t="shared" ca="1" si="180"/>
        <v/>
      </c>
      <c r="U244" s="92" t="str">
        <f t="shared" ca="1" si="181"/>
        <v/>
      </c>
      <c r="V244" s="88" t="str">
        <f t="shared" ca="1" si="182"/>
        <v/>
      </c>
      <c r="W244" s="92" t="str">
        <f t="shared" ca="1" si="183"/>
        <v/>
      </c>
      <c r="X244" s="88" t="str">
        <f t="shared" ca="1" si="184"/>
        <v/>
      </c>
      <c r="Y244" s="92" t="str">
        <f t="shared" ca="1" si="185"/>
        <v/>
      </c>
      <c r="Z244" s="88" t="str">
        <f t="shared" ca="1" si="186"/>
        <v/>
      </c>
      <c r="AA244" s="89" t="str">
        <f t="shared" ca="1" si="187"/>
        <v/>
      </c>
      <c r="AB244" s="88" t="str">
        <f t="shared" ca="1" si="188"/>
        <v/>
      </c>
      <c r="AC244" s="92" t="str">
        <f t="shared" ca="1" si="189"/>
        <v/>
      </c>
      <c r="AD244" s="88" t="str">
        <f t="shared" ca="1" si="190"/>
        <v/>
      </c>
      <c r="AE244" s="92" t="str">
        <f t="shared" ca="1" si="191"/>
        <v/>
      </c>
      <c r="AF244" s="88" t="str">
        <f t="shared" ca="1" si="192"/>
        <v/>
      </c>
      <c r="AG244" s="92" t="str">
        <f t="shared" ca="1" si="193"/>
        <v/>
      </c>
      <c r="AH244" s="88" t="str">
        <f t="shared" ca="1" si="194"/>
        <v/>
      </c>
      <c r="AI244" s="92" t="str">
        <f t="shared" ca="1" si="195"/>
        <v/>
      </c>
      <c r="AJ244" s="88" t="str">
        <f t="shared" ca="1" si="196"/>
        <v/>
      </c>
      <c r="AK244" s="92" t="str">
        <f t="shared" ca="1" si="197"/>
        <v/>
      </c>
      <c r="AL244" s="77" t="str">
        <f t="shared" ca="1" si="198"/>
        <v/>
      </c>
      <c r="AM244" s="89" t="str">
        <f t="shared" ca="1" si="199"/>
        <v/>
      </c>
      <c r="AN244" s="88" t="str">
        <f t="shared" ca="1" si="200"/>
        <v/>
      </c>
      <c r="AO244" s="89" t="str">
        <f t="shared" ca="1" si="201"/>
        <v/>
      </c>
      <c r="AP244" s="77" t="str">
        <f t="shared" ca="1" si="202"/>
        <v/>
      </c>
      <c r="AQ244" s="94" t="str">
        <f t="shared" ca="1" si="203"/>
        <v/>
      </c>
      <c r="AR244" s="77" t="str">
        <f t="shared" ca="1" si="204"/>
        <v/>
      </c>
      <c r="AS244" s="94" t="str">
        <f t="shared" ca="1" si="205"/>
        <v/>
      </c>
      <c r="AT244" s="77" t="str">
        <f t="shared" ca="1" si="206"/>
        <v/>
      </c>
      <c r="AU244" s="93" t="str">
        <f t="shared" ca="1" si="207"/>
        <v/>
      </c>
      <c r="AV244" s="77" t="str">
        <f t="shared" ca="1" si="208"/>
        <v/>
      </c>
      <c r="AW244" s="93" t="str">
        <f t="shared" ca="1" si="209"/>
        <v/>
      </c>
      <c r="AX244" s="77" t="str">
        <f t="shared" ca="1" si="210"/>
        <v/>
      </c>
      <c r="AY244" s="93" t="str">
        <f t="shared" ca="1" si="211"/>
        <v/>
      </c>
      <c r="AZ244" s="77" t="str">
        <f t="shared" ca="1" si="212"/>
        <v/>
      </c>
      <c r="BA244" s="93" t="str">
        <f t="shared" ca="1" si="213"/>
        <v/>
      </c>
      <c r="BB244" s="77" t="str">
        <f t="shared" ca="1" si="214"/>
        <v/>
      </c>
      <c r="BC244" s="93" t="str">
        <f t="shared" ca="1" si="215"/>
        <v/>
      </c>
    </row>
    <row r="245" spans="1:55" ht="15.95" customHeight="1" x14ac:dyDescent="0.2">
      <c r="A245" s="41" t="str">
        <f>IF(Customization!B245="","",Customization!B245)</f>
        <v/>
      </c>
      <c r="B245" s="79" t="str">
        <f t="shared" ca="1" si="164"/>
        <v/>
      </c>
      <c r="C245" s="29" t="str">
        <f t="shared" ca="1" si="165"/>
        <v/>
      </c>
      <c r="D245" s="7" t="str">
        <f t="shared" ca="1" si="162"/>
        <v/>
      </c>
      <c r="E245" s="29" t="str">
        <f t="shared" ca="1" si="166"/>
        <v/>
      </c>
      <c r="F245" s="7" t="str">
        <f t="shared" ca="1" si="163"/>
        <v/>
      </c>
      <c r="G245" s="29" t="str">
        <f t="shared" ca="1" si="167"/>
        <v/>
      </c>
      <c r="H245" s="7" t="str">
        <f t="shared" ca="1" si="168"/>
        <v/>
      </c>
      <c r="I245" s="28" t="str">
        <f t="shared" ca="1" si="169"/>
        <v/>
      </c>
      <c r="J245" s="7" t="str">
        <f t="shared" ca="1" si="170"/>
        <v/>
      </c>
      <c r="K245" s="73" t="str">
        <f t="shared" ca="1" si="171"/>
        <v/>
      </c>
      <c r="L245" s="74" t="str">
        <f t="shared" ca="1" si="172"/>
        <v/>
      </c>
      <c r="M245" s="75" t="str">
        <f t="shared" ca="1" si="173"/>
        <v/>
      </c>
      <c r="N245" s="76" t="str">
        <f t="shared" ca="1" si="174"/>
        <v/>
      </c>
      <c r="O245" s="75" t="str">
        <f t="shared" ca="1" si="175"/>
        <v/>
      </c>
      <c r="P245" s="76" t="str">
        <f t="shared" ca="1" si="176"/>
        <v/>
      </c>
      <c r="Q245" s="75" t="str">
        <f t="shared" ca="1" si="177"/>
        <v/>
      </c>
      <c r="R245" s="77" t="str">
        <f t="shared" ca="1" si="178"/>
        <v/>
      </c>
      <c r="S245" s="89" t="str">
        <f t="shared" ca="1" si="179"/>
        <v/>
      </c>
      <c r="T245" s="88" t="str">
        <f t="shared" ca="1" si="180"/>
        <v/>
      </c>
      <c r="U245" s="92" t="str">
        <f t="shared" ca="1" si="181"/>
        <v/>
      </c>
      <c r="V245" s="88" t="str">
        <f t="shared" ca="1" si="182"/>
        <v/>
      </c>
      <c r="W245" s="92" t="str">
        <f t="shared" ca="1" si="183"/>
        <v/>
      </c>
      <c r="X245" s="88" t="str">
        <f t="shared" ca="1" si="184"/>
        <v/>
      </c>
      <c r="Y245" s="92" t="str">
        <f t="shared" ca="1" si="185"/>
        <v/>
      </c>
      <c r="Z245" s="88" t="str">
        <f t="shared" ca="1" si="186"/>
        <v/>
      </c>
      <c r="AA245" s="89" t="str">
        <f t="shared" ca="1" si="187"/>
        <v/>
      </c>
      <c r="AB245" s="88" t="str">
        <f t="shared" ca="1" si="188"/>
        <v/>
      </c>
      <c r="AC245" s="92" t="str">
        <f t="shared" ca="1" si="189"/>
        <v/>
      </c>
      <c r="AD245" s="88" t="str">
        <f t="shared" ca="1" si="190"/>
        <v/>
      </c>
      <c r="AE245" s="92" t="str">
        <f t="shared" ca="1" si="191"/>
        <v/>
      </c>
      <c r="AF245" s="88" t="str">
        <f t="shared" ca="1" si="192"/>
        <v/>
      </c>
      <c r="AG245" s="92" t="str">
        <f t="shared" ca="1" si="193"/>
        <v/>
      </c>
      <c r="AH245" s="88" t="str">
        <f t="shared" ca="1" si="194"/>
        <v/>
      </c>
      <c r="AI245" s="92" t="str">
        <f t="shared" ca="1" si="195"/>
        <v/>
      </c>
      <c r="AJ245" s="88" t="str">
        <f t="shared" ca="1" si="196"/>
        <v/>
      </c>
      <c r="AK245" s="92" t="str">
        <f t="shared" ca="1" si="197"/>
        <v/>
      </c>
      <c r="AL245" s="77" t="str">
        <f t="shared" ca="1" si="198"/>
        <v/>
      </c>
      <c r="AM245" s="89" t="str">
        <f t="shared" ca="1" si="199"/>
        <v/>
      </c>
      <c r="AN245" s="88" t="str">
        <f t="shared" ca="1" si="200"/>
        <v/>
      </c>
      <c r="AO245" s="89" t="str">
        <f t="shared" ca="1" si="201"/>
        <v/>
      </c>
      <c r="AP245" s="77" t="str">
        <f t="shared" ca="1" si="202"/>
        <v/>
      </c>
      <c r="AQ245" s="94" t="str">
        <f t="shared" ca="1" si="203"/>
        <v/>
      </c>
      <c r="AR245" s="77" t="str">
        <f t="shared" ca="1" si="204"/>
        <v/>
      </c>
      <c r="AS245" s="94" t="str">
        <f t="shared" ca="1" si="205"/>
        <v/>
      </c>
      <c r="AT245" s="77" t="str">
        <f t="shared" ca="1" si="206"/>
        <v/>
      </c>
      <c r="AU245" s="93" t="str">
        <f t="shared" ca="1" si="207"/>
        <v/>
      </c>
      <c r="AV245" s="77" t="str">
        <f t="shared" ca="1" si="208"/>
        <v/>
      </c>
      <c r="AW245" s="93" t="str">
        <f t="shared" ca="1" si="209"/>
        <v/>
      </c>
      <c r="AX245" s="77" t="str">
        <f t="shared" ca="1" si="210"/>
        <v/>
      </c>
      <c r="AY245" s="93" t="str">
        <f t="shared" ca="1" si="211"/>
        <v/>
      </c>
      <c r="AZ245" s="77" t="str">
        <f t="shared" ca="1" si="212"/>
        <v/>
      </c>
      <c r="BA245" s="93" t="str">
        <f t="shared" ca="1" si="213"/>
        <v/>
      </c>
      <c r="BB245" s="77" t="str">
        <f t="shared" ca="1" si="214"/>
        <v/>
      </c>
      <c r="BC245" s="93" t="str">
        <f t="shared" ca="1" si="215"/>
        <v/>
      </c>
    </row>
    <row r="246" spans="1:55" ht="15.95" customHeight="1" x14ac:dyDescent="0.2">
      <c r="A246" s="41" t="str">
        <f>IF(Customization!B246="","",Customization!B246)</f>
        <v/>
      </c>
      <c r="B246" s="79" t="str">
        <f t="shared" ca="1" si="164"/>
        <v/>
      </c>
      <c r="C246" s="29" t="str">
        <f t="shared" ca="1" si="165"/>
        <v/>
      </c>
      <c r="D246" s="7" t="str">
        <f t="shared" ca="1" si="162"/>
        <v/>
      </c>
      <c r="E246" s="29" t="str">
        <f t="shared" ca="1" si="166"/>
        <v/>
      </c>
      <c r="F246" s="7" t="str">
        <f t="shared" ca="1" si="163"/>
        <v/>
      </c>
      <c r="G246" s="29" t="str">
        <f t="shared" ca="1" si="167"/>
        <v/>
      </c>
      <c r="H246" s="7" t="str">
        <f t="shared" ca="1" si="168"/>
        <v/>
      </c>
      <c r="I246" s="28" t="str">
        <f t="shared" ca="1" si="169"/>
        <v/>
      </c>
      <c r="J246" s="7" t="str">
        <f t="shared" ca="1" si="170"/>
        <v/>
      </c>
      <c r="K246" s="73" t="str">
        <f t="shared" ca="1" si="171"/>
        <v/>
      </c>
      <c r="L246" s="74" t="str">
        <f t="shared" ca="1" si="172"/>
        <v/>
      </c>
      <c r="M246" s="75" t="str">
        <f t="shared" ca="1" si="173"/>
        <v/>
      </c>
      <c r="N246" s="76" t="str">
        <f t="shared" ca="1" si="174"/>
        <v/>
      </c>
      <c r="O246" s="75" t="str">
        <f t="shared" ca="1" si="175"/>
        <v/>
      </c>
      <c r="P246" s="76" t="str">
        <f t="shared" ca="1" si="176"/>
        <v/>
      </c>
      <c r="Q246" s="75" t="str">
        <f t="shared" ca="1" si="177"/>
        <v/>
      </c>
      <c r="R246" s="77" t="str">
        <f t="shared" ca="1" si="178"/>
        <v/>
      </c>
      <c r="S246" s="89" t="str">
        <f t="shared" ca="1" si="179"/>
        <v/>
      </c>
      <c r="T246" s="88" t="str">
        <f t="shared" ca="1" si="180"/>
        <v/>
      </c>
      <c r="U246" s="92" t="str">
        <f t="shared" ca="1" si="181"/>
        <v/>
      </c>
      <c r="V246" s="88" t="str">
        <f t="shared" ca="1" si="182"/>
        <v/>
      </c>
      <c r="W246" s="92" t="str">
        <f t="shared" ca="1" si="183"/>
        <v/>
      </c>
      <c r="X246" s="88" t="str">
        <f t="shared" ca="1" si="184"/>
        <v/>
      </c>
      <c r="Y246" s="92" t="str">
        <f t="shared" ca="1" si="185"/>
        <v/>
      </c>
      <c r="Z246" s="88" t="str">
        <f t="shared" ca="1" si="186"/>
        <v/>
      </c>
      <c r="AA246" s="89" t="str">
        <f t="shared" ca="1" si="187"/>
        <v/>
      </c>
      <c r="AB246" s="88" t="str">
        <f t="shared" ca="1" si="188"/>
        <v/>
      </c>
      <c r="AC246" s="92" t="str">
        <f t="shared" ca="1" si="189"/>
        <v/>
      </c>
      <c r="AD246" s="88" t="str">
        <f t="shared" ca="1" si="190"/>
        <v/>
      </c>
      <c r="AE246" s="92" t="str">
        <f t="shared" ca="1" si="191"/>
        <v/>
      </c>
      <c r="AF246" s="88" t="str">
        <f t="shared" ca="1" si="192"/>
        <v/>
      </c>
      <c r="AG246" s="92" t="str">
        <f t="shared" ca="1" si="193"/>
        <v/>
      </c>
      <c r="AH246" s="88" t="str">
        <f t="shared" ca="1" si="194"/>
        <v/>
      </c>
      <c r="AI246" s="92" t="str">
        <f t="shared" ca="1" si="195"/>
        <v/>
      </c>
      <c r="AJ246" s="88" t="str">
        <f t="shared" ca="1" si="196"/>
        <v/>
      </c>
      <c r="AK246" s="92" t="str">
        <f t="shared" ca="1" si="197"/>
        <v/>
      </c>
      <c r="AL246" s="77" t="str">
        <f t="shared" ca="1" si="198"/>
        <v/>
      </c>
      <c r="AM246" s="89" t="str">
        <f t="shared" ca="1" si="199"/>
        <v/>
      </c>
      <c r="AN246" s="88" t="str">
        <f t="shared" ca="1" si="200"/>
        <v/>
      </c>
      <c r="AO246" s="89" t="str">
        <f t="shared" ca="1" si="201"/>
        <v/>
      </c>
      <c r="AP246" s="77" t="str">
        <f t="shared" ca="1" si="202"/>
        <v/>
      </c>
      <c r="AQ246" s="94" t="str">
        <f t="shared" ca="1" si="203"/>
        <v/>
      </c>
      <c r="AR246" s="77" t="str">
        <f t="shared" ca="1" si="204"/>
        <v/>
      </c>
      <c r="AS246" s="94" t="str">
        <f t="shared" ca="1" si="205"/>
        <v/>
      </c>
      <c r="AT246" s="77" t="str">
        <f t="shared" ca="1" si="206"/>
        <v/>
      </c>
      <c r="AU246" s="93" t="str">
        <f t="shared" ca="1" si="207"/>
        <v/>
      </c>
      <c r="AV246" s="77" t="str">
        <f t="shared" ca="1" si="208"/>
        <v/>
      </c>
      <c r="AW246" s="93" t="str">
        <f t="shared" ca="1" si="209"/>
        <v/>
      </c>
      <c r="AX246" s="77" t="str">
        <f t="shared" ca="1" si="210"/>
        <v/>
      </c>
      <c r="AY246" s="93" t="str">
        <f t="shared" ca="1" si="211"/>
        <v/>
      </c>
      <c r="AZ246" s="77" t="str">
        <f t="shared" ca="1" si="212"/>
        <v/>
      </c>
      <c r="BA246" s="93" t="str">
        <f t="shared" ca="1" si="213"/>
        <v/>
      </c>
      <c r="BB246" s="77" t="str">
        <f t="shared" ca="1" si="214"/>
        <v/>
      </c>
      <c r="BC246" s="93" t="str">
        <f t="shared" ca="1" si="215"/>
        <v/>
      </c>
    </row>
    <row r="247" spans="1:55" ht="15.95" customHeight="1" x14ac:dyDescent="0.2">
      <c r="A247" s="41" t="str">
        <f>IF(Customization!B247="","",Customization!B247)</f>
        <v/>
      </c>
      <c r="B247" s="79" t="str">
        <f t="shared" ca="1" si="164"/>
        <v/>
      </c>
      <c r="C247" s="29" t="str">
        <f t="shared" ca="1" si="165"/>
        <v/>
      </c>
      <c r="D247" s="7" t="str">
        <f t="shared" ca="1" si="162"/>
        <v/>
      </c>
      <c r="E247" s="29" t="str">
        <f t="shared" ca="1" si="166"/>
        <v/>
      </c>
      <c r="F247" s="7" t="str">
        <f t="shared" ca="1" si="163"/>
        <v/>
      </c>
      <c r="G247" s="29" t="str">
        <f t="shared" ca="1" si="167"/>
        <v/>
      </c>
      <c r="H247" s="7" t="str">
        <f t="shared" ca="1" si="168"/>
        <v/>
      </c>
      <c r="I247" s="28" t="str">
        <f t="shared" ca="1" si="169"/>
        <v/>
      </c>
      <c r="J247" s="7" t="str">
        <f t="shared" ca="1" si="170"/>
        <v/>
      </c>
      <c r="K247" s="73" t="str">
        <f t="shared" ca="1" si="171"/>
        <v/>
      </c>
      <c r="L247" s="74" t="str">
        <f t="shared" ca="1" si="172"/>
        <v/>
      </c>
      <c r="M247" s="75" t="str">
        <f t="shared" ca="1" si="173"/>
        <v/>
      </c>
      <c r="N247" s="76" t="str">
        <f t="shared" ca="1" si="174"/>
        <v/>
      </c>
      <c r="O247" s="75" t="str">
        <f t="shared" ca="1" si="175"/>
        <v/>
      </c>
      <c r="P247" s="76" t="str">
        <f t="shared" ca="1" si="176"/>
        <v/>
      </c>
      <c r="Q247" s="75" t="str">
        <f t="shared" ca="1" si="177"/>
        <v/>
      </c>
      <c r="R247" s="77" t="str">
        <f t="shared" ca="1" si="178"/>
        <v/>
      </c>
      <c r="S247" s="89" t="str">
        <f t="shared" ca="1" si="179"/>
        <v/>
      </c>
      <c r="T247" s="88" t="str">
        <f t="shared" ca="1" si="180"/>
        <v/>
      </c>
      <c r="U247" s="92" t="str">
        <f t="shared" ca="1" si="181"/>
        <v/>
      </c>
      <c r="V247" s="88" t="str">
        <f t="shared" ca="1" si="182"/>
        <v/>
      </c>
      <c r="W247" s="92" t="str">
        <f t="shared" ca="1" si="183"/>
        <v/>
      </c>
      <c r="X247" s="88" t="str">
        <f t="shared" ca="1" si="184"/>
        <v/>
      </c>
      <c r="Y247" s="92" t="str">
        <f t="shared" ca="1" si="185"/>
        <v/>
      </c>
      <c r="Z247" s="88" t="str">
        <f t="shared" ca="1" si="186"/>
        <v/>
      </c>
      <c r="AA247" s="89" t="str">
        <f t="shared" ca="1" si="187"/>
        <v/>
      </c>
      <c r="AB247" s="88" t="str">
        <f t="shared" ca="1" si="188"/>
        <v/>
      </c>
      <c r="AC247" s="92" t="str">
        <f t="shared" ca="1" si="189"/>
        <v/>
      </c>
      <c r="AD247" s="88" t="str">
        <f t="shared" ca="1" si="190"/>
        <v/>
      </c>
      <c r="AE247" s="92" t="str">
        <f t="shared" ca="1" si="191"/>
        <v/>
      </c>
      <c r="AF247" s="88" t="str">
        <f t="shared" ca="1" si="192"/>
        <v/>
      </c>
      <c r="AG247" s="92" t="str">
        <f t="shared" ca="1" si="193"/>
        <v/>
      </c>
      <c r="AH247" s="88" t="str">
        <f t="shared" ca="1" si="194"/>
        <v/>
      </c>
      <c r="AI247" s="92" t="str">
        <f t="shared" ca="1" si="195"/>
        <v/>
      </c>
      <c r="AJ247" s="88" t="str">
        <f t="shared" ca="1" si="196"/>
        <v/>
      </c>
      <c r="AK247" s="92" t="str">
        <f t="shared" ca="1" si="197"/>
        <v/>
      </c>
      <c r="AL247" s="77" t="str">
        <f t="shared" ca="1" si="198"/>
        <v/>
      </c>
      <c r="AM247" s="89" t="str">
        <f t="shared" ca="1" si="199"/>
        <v/>
      </c>
      <c r="AN247" s="88" t="str">
        <f t="shared" ca="1" si="200"/>
        <v/>
      </c>
      <c r="AO247" s="89" t="str">
        <f t="shared" ca="1" si="201"/>
        <v/>
      </c>
      <c r="AP247" s="77" t="str">
        <f t="shared" ca="1" si="202"/>
        <v/>
      </c>
      <c r="AQ247" s="94" t="str">
        <f t="shared" ca="1" si="203"/>
        <v/>
      </c>
      <c r="AR247" s="77" t="str">
        <f t="shared" ca="1" si="204"/>
        <v/>
      </c>
      <c r="AS247" s="94" t="str">
        <f t="shared" ca="1" si="205"/>
        <v/>
      </c>
      <c r="AT247" s="77" t="str">
        <f t="shared" ca="1" si="206"/>
        <v/>
      </c>
      <c r="AU247" s="93" t="str">
        <f t="shared" ca="1" si="207"/>
        <v/>
      </c>
      <c r="AV247" s="77" t="str">
        <f t="shared" ca="1" si="208"/>
        <v/>
      </c>
      <c r="AW247" s="93" t="str">
        <f t="shared" ca="1" si="209"/>
        <v/>
      </c>
      <c r="AX247" s="77" t="str">
        <f t="shared" ca="1" si="210"/>
        <v/>
      </c>
      <c r="AY247" s="93" t="str">
        <f t="shared" ca="1" si="211"/>
        <v/>
      </c>
      <c r="AZ247" s="77" t="str">
        <f t="shared" ca="1" si="212"/>
        <v/>
      </c>
      <c r="BA247" s="93" t="str">
        <f t="shared" ca="1" si="213"/>
        <v/>
      </c>
      <c r="BB247" s="77" t="str">
        <f t="shared" ca="1" si="214"/>
        <v/>
      </c>
      <c r="BC247" s="93" t="str">
        <f t="shared" ca="1" si="215"/>
        <v/>
      </c>
    </row>
    <row r="248" spans="1:55" ht="15.95" customHeight="1" x14ac:dyDescent="0.2">
      <c r="A248" s="41" t="str">
        <f>IF(Customization!B248="","",Customization!B248)</f>
        <v/>
      </c>
      <c r="B248" s="79" t="str">
        <f t="shared" ca="1" si="164"/>
        <v/>
      </c>
      <c r="C248" s="29" t="str">
        <f t="shared" ca="1" si="165"/>
        <v/>
      </c>
      <c r="D248" s="7" t="str">
        <f t="shared" ca="1" si="162"/>
        <v/>
      </c>
      <c r="E248" s="29" t="str">
        <f t="shared" ca="1" si="166"/>
        <v/>
      </c>
      <c r="F248" s="7" t="str">
        <f t="shared" ca="1" si="163"/>
        <v/>
      </c>
      <c r="G248" s="29" t="str">
        <f t="shared" ca="1" si="167"/>
        <v/>
      </c>
      <c r="H248" s="7" t="str">
        <f t="shared" ca="1" si="168"/>
        <v/>
      </c>
      <c r="I248" s="28" t="str">
        <f t="shared" ca="1" si="169"/>
        <v/>
      </c>
      <c r="J248" s="7" t="str">
        <f t="shared" ca="1" si="170"/>
        <v/>
      </c>
      <c r="K248" s="73" t="str">
        <f t="shared" ca="1" si="171"/>
        <v/>
      </c>
      <c r="L248" s="74" t="str">
        <f t="shared" ca="1" si="172"/>
        <v/>
      </c>
      <c r="M248" s="75" t="str">
        <f t="shared" ca="1" si="173"/>
        <v/>
      </c>
      <c r="N248" s="76" t="str">
        <f t="shared" ca="1" si="174"/>
        <v/>
      </c>
      <c r="O248" s="75" t="str">
        <f t="shared" ca="1" si="175"/>
        <v/>
      </c>
      <c r="P248" s="76" t="str">
        <f t="shared" ca="1" si="176"/>
        <v/>
      </c>
      <c r="Q248" s="75" t="str">
        <f t="shared" ca="1" si="177"/>
        <v/>
      </c>
      <c r="R248" s="77" t="str">
        <f t="shared" ca="1" si="178"/>
        <v/>
      </c>
      <c r="S248" s="89" t="str">
        <f t="shared" ca="1" si="179"/>
        <v/>
      </c>
      <c r="T248" s="88" t="str">
        <f t="shared" ca="1" si="180"/>
        <v/>
      </c>
      <c r="U248" s="92" t="str">
        <f t="shared" ca="1" si="181"/>
        <v/>
      </c>
      <c r="V248" s="88" t="str">
        <f t="shared" ca="1" si="182"/>
        <v/>
      </c>
      <c r="W248" s="92" t="str">
        <f t="shared" ca="1" si="183"/>
        <v/>
      </c>
      <c r="X248" s="88" t="str">
        <f t="shared" ca="1" si="184"/>
        <v/>
      </c>
      <c r="Y248" s="92" t="str">
        <f t="shared" ca="1" si="185"/>
        <v/>
      </c>
      <c r="Z248" s="88" t="str">
        <f t="shared" ca="1" si="186"/>
        <v/>
      </c>
      <c r="AA248" s="89" t="str">
        <f t="shared" ca="1" si="187"/>
        <v/>
      </c>
      <c r="AB248" s="88" t="str">
        <f t="shared" ca="1" si="188"/>
        <v/>
      </c>
      <c r="AC248" s="92" t="str">
        <f t="shared" ca="1" si="189"/>
        <v/>
      </c>
      <c r="AD248" s="88" t="str">
        <f t="shared" ca="1" si="190"/>
        <v/>
      </c>
      <c r="AE248" s="92" t="str">
        <f t="shared" ca="1" si="191"/>
        <v/>
      </c>
      <c r="AF248" s="88" t="str">
        <f t="shared" ca="1" si="192"/>
        <v/>
      </c>
      <c r="AG248" s="92" t="str">
        <f t="shared" ca="1" si="193"/>
        <v/>
      </c>
      <c r="AH248" s="88" t="str">
        <f t="shared" ca="1" si="194"/>
        <v/>
      </c>
      <c r="AI248" s="92" t="str">
        <f t="shared" ca="1" si="195"/>
        <v/>
      </c>
      <c r="AJ248" s="88" t="str">
        <f t="shared" ca="1" si="196"/>
        <v/>
      </c>
      <c r="AK248" s="92" t="str">
        <f t="shared" ca="1" si="197"/>
        <v/>
      </c>
      <c r="AL248" s="77" t="str">
        <f t="shared" ca="1" si="198"/>
        <v/>
      </c>
      <c r="AM248" s="89" t="str">
        <f t="shared" ca="1" si="199"/>
        <v/>
      </c>
      <c r="AN248" s="88" t="str">
        <f t="shared" ca="1" si="200"/>
        <v/>
      </c>
      <c r="AO248" s="89" t="str">
        <f t="shared" ca="1" si="201"/>
        <v/>
      </c>
      <c r="AP248" s="77" t="str">
        <f t="shared" ca="1" si="202"/>
        <v/>
      </c>
      <c r="AQ248" s="94" t="str">
        <f t="shared" ca="1" si="203"/>
        <v/>
      </c>
      <c r="AR248" s="77" t="str">
        <f t="shared" ca="1" si="204"/>
        <v/>
      </c>
      <c r="AS248" s="94" t="str">
        <f t="shared" ca="1" si="205"/>
        <v/>
      </c>
      <c r="AT248" s="77" t="str">
        <f t="shared" ca="1" si="206"/>
        <v/>
      </c>
      <c r="AU248" s="93" t="str">
        <f t="shared" ca="1" si="207"/>
        <v/>
      </c>
      <c r="AV248" s="77" t="str">
        <f t="shared" ca="1" si="208"/>
        <v/>
      </c>
      <c r="AW248" s="93" t="str">
        <f t="shared" ca="1" si="209"/>
        <v/>
      </c>
      <c r="AX248" s="77" t="str">
        <f t="shared" ca="1" si="210"/>
        <v/>
      </c>
      <c r="AY248" s="93" t="str">
        <f t="shared" ca="1" si="211"/>
        <v/>
      </c>
      <c r="AZ248" s="77" t="str">
        <f t="shared" ca="1" si="212"/>
        <v/>
      </c>
      <c r="BA248" s="93" t="str">
        <f t="shared" ca="1" si="213"/>
        <v/>
      </c>
      <c r="BB248" s="77" t="str">
        <f t="shared" ca="1" si="214"/>
        <v/>
      </c>
      <c r="BC248" s="93" t="str">
        <f t="shared" ca="1" si="215"/>
        <v/>
      </c>
    </row>
    <row r="249" spans="1:55" ht="15.95" customHeight="1" x14ac:dyDescent="0.2">
      <c r="A249" s="41" t="str">
        <f>IF(Customization!B249="","",Customization!B249)</f>
        <v/>
      </c>
      <c r="B249" s="79" t="str">
        <f t="shared" ca="1" si="164"/>
        <v/>
      </c>
      <c r="C249" s="29" t="str">
        <f t="shared" ca="1" si="165"/>
        <v/>
      </c>
      <c r="D249" s="7" t="str">
        <f t="shared" ca="1" si="162"/>
        <v/>
      </c>
      <c r="E249" s="29" t="str">
        <f t="shared" ca="1" si="166"/>
        <v/>
      </c>
      <c r="F249" s="7" t="str">
        <f t="shared" ca="1" si="163"/>
        <v/>
      </c>
      <c r="G249" s="29" t="str">
        <f t="shared" ca="1" si="167"/>
        <v/>
      </c>
      <c r="H249" s="7" t="str">
        <f t="shared" ca="1" si="168"/>
        <v/>
      </c>
      <c r="I249" s="28" t="str">
        <f t="shared" ca="1" si="169"/>
        <v/>
      </c>
      <c r="J249" s="7" t="str">
        <f t="shared" ca="1" si="170"/>
        <v/>
      </c>
      <c r="K249" s="73" t="str">
        <f t="shared" ca="1" si="171"/>
        <v/>
      </c>
      <c r="L249" s="74" t="str">
        <f t="shared" ca="1" si="172"/>
        <v/>
      </c>
      <c r="M249" s="75" t="str">
        <f t="shared" ca="1" si="173"/>
        <v/>
      </c>
      <c r="N249" s="76" t="str">
        <f t="shared" ca="1" si="174"/>
        <v/>
      </c>
      <c r="O249" s="75" t="str">
        <f t="shared" ca="1" si="175"/>
        <v/>
      </c>
      <c r="P249" s="76" t="str">
        <f t="shared" ca="1" si="176"/>
        <v/>
      </c>
      <c r="Q249" s="75" t="str">
        <f t="shared" ca="1" si="177"/>
        <v/>
      </c>
      <c r="R249" s="77" t="str">
        <f t="shared" ca="1" si="178"/>
        <v/>
      </c>
      <c r="S249" s="89" t="str">
        <f t="shared" ca="1" si="179"/>
        <v/>
      </c>
      <c r="T249" s="88" t="str">
        <f t="shared" ca="1" si="180"/>
        <v/>
      </c>
      <c r="U249" s="92" t="str">
        <f t="shared" ca="1" si="181"/>
        <v/>
      </c>
      <c r="V249" s="88" t="str">
        <f t="shared" ca="1" si="182"/>
        <v/>
      </c>
      <c r="W249" s="92" t="str">
        <f t="shared" ca="1" si="183"/>
        <v/>
      </c>
      <c r="X249" s="88" t="str">
        <f t="shared" ca="1" si="184"/>
        <v/>
      </c>
      <c r="Y249" s="92" t="str">
        <f t="shared" ca="1" si="185"/>
        <v/>
      </c>
      <c r="Z249" s="88" t="str">
        <f t="shared" ca="1" si="186"/>
        <v/>
      </c>
      <c r="AA249" s="89" t="str">
        <f t="shared" ca="1" si="187"/>
        <v/>
      </c>
      <c r="AB249" s="88" t="str">
        <f t="shared" ca="1" si="188"/>
        <v/>
      </c>
      <c r="AC249" s="92" t="str">
        <f t="shared" ca="1" si="189"/>
        <v/>
      </c>
      <c r="AD249" s="88" t="str">
        <f t="shared" ca="1" si="190"/>
        <v/>
      </c>
      <c r="AE249" s="92" t="str">
        <f t="shared" ca="1" si="191"/>
        <v/>
      </c>
      <c r="AF249" s="88" t="str">
        <f t="shared" ca="1" si="192"/>
        <v/>
      </c>
      <c r="AG249" s="92" t="str">
        <f t="shared" ca="1" si="193"/>
        <v/>
      </c>
      <c r="AH249" s="88" t="str">
        <f t="shared" ca="1" si="194"/>
        <v/>
      </c>
      <c r="AI249" s="92" t="str">
        <f t="shared" ca="1" si="195"/>
        <v/>
      </c>
      <c r="AJ249" s="88" t="str">
        <f t="shared" ca="1" si="196"/>
        <v/>
      </c>
      <c r="AK249" s="92" t="str">
        <f t="shared" ca="1" si="197"/>
        <v/>
      </c>
      <c r="AL249" s="77" t="str">
        <f t="shared" ca="1" si="198"/>
        <v/>
      </c>
      <c r="AM249" s="89" t="str">
        <f t="shared" ca="1" si="199"/>
        <v/>
      </c>
      <c r="AN249" s="88" t="str">
        <f t="shared" ca="1" si="200"/>
        <v/>
      </c>
      <c r="AO249" s="89" t="str">
        <f t="shared" ca="1" si="201"/>
        <v/>
      </c>
      <c r="AP249" s="77" t="str">
        <f t="shared" ca="1" si="202"/>
        <v/>
      </c>
      <c r="AQ249" s="94" t="str">
        <f t="shared" ca="1" si="203"/>
        <v/>
      </c>
      <c r="AR249" s="77" t="str">
        <f t="shared" ca="1" si="204"/>
        <v/>
      </c>
      <c r="AS249" s="94" t="str">
        <f t="shared" ca="1" si="205"/>
        <v/>
      </c>
      <c r="AT249" s="77" t="str">
        <f t="shared" ca="1" si="206"/>
        <v/>
      </c>
      <c r="AU249" s="93" t="str">
        <f t="shared" ca="1" si="207"/>
        <v/>
      </c>
      <c r="AV249" s="77" t="str">
        <f t="shared" ca="1" si="208"/>
        <v/>
      </c>
      <c r="AW249" s="93" t="str">
        <f t="shared" ca="1" si="209"/>
        <v/>
      </c>
      <c r="AX249" s="77" t="str">
        <f t="shared" ca="1" si="210"/>
        <v/>
      </c>
      <c r="AY249" s="93" t="str">
        <f t="shared" ca="1" si="211"/>
        <v/>
      </c>
      <c r="AZ249" s="77" t="str">
        <f t="shared" ca="1" si="212"/>
        <v/>
      </c>
      <c r="BA249" s="93" t="str">
        <f t="shared" ca="1" si="213"/>
        <v/>
      </c>
      <c r="BB249" s="77" t="str">
        <f t="shared" ca="1" si="214"/>
        <v/>
      </c>
      <c r="BC249" s="93" t="str">
        <f t="shared" ca="1" si="215"/>
        <v/>
      </c>
    </row>
    <row r="250" spans="1:55" ht="15.95" customHeight="1" x14ac:dyDescent="0.2">
      <c r="A250" s="41" t="str">
        <f>IF(Customization!B250="","",Customization!B250)</f>
        <v/>
      </c>
      <c r="B250" s="79" t="str">
        <f t="shared" ca="1" si="164"/>
        <v/>
      </c>
      <c r="C250" s="29" t="str">
        <f t="shared" ca="1" si="165"/>
        <v/>
      </c>
      <c r="D250" s="7" t="str">
        <f t="shared" ca="1" si="162"/>
        <v/>
      </c>
      <c r="E250" s="29" t="str">
        <f t="shared" ca="1" si="166"/>
        <v/>
      </c>
      <c r="F250" s="7" t="str">
        <f t="shared" ca="1" si="163"/>
        <v/>
      </c>
      <c r="G250" s="29" t="str">
        <f t="shared" ca="1" si="167"/>
        <v/>
      </c>
      <c r="H250" s="7" t="str">
        <f t="shared" ca="1" si="168"/>
        <v/>
      </c>
      <c r="I250" s="28" t="str">
        <f t="shared" ca="1" si="169"/>
        <v/>
      </c>
      <c r="J250" s="7" t="str">
        <f t="shared" ca="1" si="170"/>
        <v/>
      </c>
      <c r="K250" s="73" t="str">
        <f t="shared" ca="1" si="171"/>
        <v/>
      </c>
      <c r="L250" s="74" t="str">
        <f t="shared" ca="1" si="172"/>
        <v/>
      </c>
      <c r="M250" s="75" t="str">
        <f t="shared" ca="1" si="173"/>
        <v/>
      </c>
      <c r="N250" s="76" t="str">
        <f t="shared" ca="1" si="174"/>
        <v/>
      </c>
      <c r="O250" s="75" t="str">
        <f t="shared" ca="1" si="175"/>
        <v/>
      </c>
      <c r="P250" s="76" t="str">
        <f t="shared" ca="1" si="176"/>
        <v/>
      </c>
      <c r="Q250" s="75" t="str">
        <f t="shared" ca="1" si="177"/>
        <v/>
      </c>
      <c r="R250" s="77" t="str">
        <f t="shared" ca="1" si="178"/>
        <v/>
      </c>
      <c r="S250" s="89" t="str">
        <f t="shared" ca="1" si="179"/>
        <v/>
      </c>
      <c r="T250" s="88" t="str">
        <f t="shared" ca="1" si="180"/>
        <v/>
      </c>
      <c r="U250" s="92" t="str">
        <f t="shared" ca="1" si="181"/>
        <v/>
      </c>
      <c r="V250" s="88" t="str">
        <f t="shared" ca="1" si="182"/>
        <v/>
      </c>
      <c r="W250" s="92" t="str">
        <f t="shared" ca="1" si="183"/>
        <v/>
      </c>
      <c r="X250" s="88" t="str">
        <f t="shared" ca="1" si="184"/>
        <v/>
      </c>
      <c r="Y250" s="92" t="str">
        <f t="shared" ca="1" si="185"/>
        <v/>
      </c>
      <c r="Z250" s="88" t="str">
        <f t="shared" ca="1" si="186"/>
        <v/>
      </c>
      <c r="AA250" s="89" t="str">
        <f t="shared" ca="1" si="187"/>
        <v/>
      </c>
      <c r="AB250" s="88" t="str">
        <f t="shared" ca="1" si="188"/>
        <v/>
      </c>
      <c r="AC250" s="92" t="str">
        <f t="shared" ca="1" si="189"/>
        <v/>
      </c>
      <c r="AD250" s="88" t="str">
        <f t="shared" ca="1" si="190"/>
        <v/>
      </c>
      <c r="AE250" s="92" t="str">
        <f t="shared" ca="1" si="191"/>
        <v/>
      </c>
      <c r="AF250" s="88" t="str">
        <f t="shared" ca="1" si="192"/>
        <v/>
      </c>
      <c r="AG250" s="92" t="str">
        <f t="shared" ca="1" si="193"/>
        <v/>
      </c>
      <c r="AH250" s="88" t="str">
        <f t="shared" ca="1" si="194"/>
        <v/>
      </c>
      <c r="AI250" s="92" t="str">
        <f t="shared" ca="1" si="195"/>
        <v/>
      </c>
      <c r="AJ250" s="88" t="str">
        <f t="shared" ca="1" si="196"/>
        <v/>
      </c>
      <c r="AK250" s="92" t="str">
        <f t="shared" ca="1" si="197"/>
        <v/>
      </c>
      <c r="AL250" s="77" t="str">
        <f t="shared" ca="1" si="198"/>
        <v/>
      </c>
      <c r="AM250" s="89" t="str">
        <f t="shared" ca="1" si="199"/>
        <v/>
      </c>
      <c r="AN250" s="88" t="str">
        <f t="shared" ca="1" si="200"/>
        <v/>
      </c>
      <c r="AO250" s="89" t="str">
        <f t="shared" ca="1" si="201"/>
        <v/>
      </c>
      <c r="AP250" s="77" t="str">
        <f t="shared" ca="1" si="202"/>
        <v/>
      </c>
      <c r="AQ250" s="94" t="str">
        <f t="shared" ca="1" si="203"/>
        <v/>
      </c>
      <c r="AR250" s="77" t="str">
        <f t="shared" ca="1" si="204"/>
        <v/>
      </c>
      <c r="AS250" s="94" t="str">
        <f t="shared" ca="1" si="205"/>
        <v/>
      </c>
      <c r="AT250" s="77" t="str">
        <f t="shared" ca="1" si="206"/>
        <v/>
      </c>
      <c r="AU250" s="93" t="str">
        <f t="shared" ca="1" si="207"/>
        <v/>
      </c>
      <c r="AV250" s="77" t="str">
        <f t="shared" ca="1" si="208"/>
        <v/>
      </c>
      <c r="AW250" s="93" t="str">
        <f t="shared" ca="1" si="209"/>
        <v/>
      </c>
      <c r="AX250" s="77" t="str">
        <f t="shared" ca="1" si="210"/>
        <v/>
      </c>
      <c r="AY250" s="93" t="str">
        <f t="shared" ca="1" si="211"/>
        <v/>
      </c>
      <c r="AZ250" s="77" t="str">
        <f t="shared" ca="1" si="212"/>
        <v/>
      </c>
      <c r="BA250" s="93" t="str">
        <f t="shared" ca="1" si="213"/>
        <v/>
      </c>
      <c r="BB250" s="77" t="str">
        <f t="shared" ca="1" si="214"/>
        <v/>
      </c>
      <c r="BC250" s="93" t="str">
        <f t="shared" ca="1" si="215"/>
        <v/>
      </c>
    </row>
    <row r="251" spans="1:55" ht="15.95" customHeight="1" x14ac:dyDescent="0.2">
      <c r="A251" s="41" t="str">
        <f>IF(Customization!B251="","",Customization!B251)</f>
        <v/>
      </c>
      <c r="B251" s="79" t="str">
        <f t="shared" ca="1" si="164"/>
        <v/>
      </c>
      <c r="C251" s="29" t="str">
        <f t="shared" ca="1" si="165"/>
        <v/>
      </c>
      <c r="D251" s="7" t="str">
        <f ca="1">IFERROR(INDIRECT("'"&amp;$A251&amp;"'!Q5"),"")</f>
        <v/>
      </c>
      <c r="E251" s="29" t="str">
        <f t="shared" ca="1" si="166"/>
        <v/>
      </c>
      <c r="F251" s="7" t="str">
        <f ca="1">IFERROR(INDIRECT("'"&amp;$A251&amp;"'!S5"),"")</f>
        <v/>
      </c>
      <c r="G251" s="29" t="str">
        <f t="shared" ca="1" si="167"/>
        <v/>
      </c>
      <c r="H251" s="7" t="str">
        <f t="shared" ca="1" si="168"/>
        <v/>
      </c>
      <c r="I251" s="28" t="str">
        <f t="shared" ca="1" si="169"/>
        <v/>
      </c>
      <c r="J251" s="7" t="str">
        <f t="shared" ca="1" si="170"/>
        <v/>
      </c>
      <c r="K251" s="73" t="str">
        <f t="shared" ca="1" si="171"/>
        <v/>
      </c>
      <c r="L251" s="74" t="str">
        <f t="shared" ca="1" si="172"/>
        <v/>
      </c>
      <c r="M251" s="75" t="str">
        <f t="shared" ca="1" si="173"/>
        <v/>
      </c>
      <c r="N251" s="76" t="str">
        <f t="shared" ca="1" si="174"/>
        <v/>
      </c>
      <c r="O251" s="75" t="str">
        <f t="shared" ca="1" si="175"/>
        <v/>
      </c>
      <c r="P251" s="76" t="str">
        <f t="shared" ca="1" si="176"/>
        <v/>
      </c>
      <c r="Q251" s="75" t="str">
        <f t="shared" ca="1" si="177"/>
        <v/>
      </c>
      <c r="R251" s="77" t="str">
        <f t="shared" ca="1" si="178"/>
        <v/>
      </c>
      <c r="S251" s="89" t="str">
        <f t="shared" ca="1" si="179"/>
        <v/>
      </c>
      <c r="T251" s="88" t="str">
        <f t="shared" ca="1" si="180"/>
        <v/>
      </c>
      <c r="U251" s="92" t="str">
        <f t="shared" ca="1" si="181"/>
        <v/>
      </c>
      <c r="V251" s="88" t="str">
        <f t="shared" ca="1" si="182"/>
        <v/>
      </c>
      <c r="W251" s="92" t="str">
        <f t="shared" ca="1" si="183"/>
        <v/>
      </c>
      <c r="X251" s="88" t="str">
        <f t="shared" ca="1" si="184"/>
        <v/>
      </c>
      <c r="Y251" s="92" t="str">
        <f t="shared" ca="1" si="185"/>
        <v/>
      </c>
      <c r="Z251" s="88" t="str">
        <f t="shared" ca="1" si="186"/>
        <v/>
      </c>
      <c r="AA251" s="89" t="str">
        <f t="shared" ca="1" si="187"/>
        <v/>
      </c>
      <c r="AB251" s="88" t="str">
        <f t="shared" ca="1" si="188"/>
        <v/>
      </c>
      <c r="AC251" s="92" t="str">
        <f t="shared" ca="1" si="189"/>
        <v/>
      </c>
      <c r="AD251" s="88" t="str">
        <f t="shared" ca="1" si="190"/>
        <v/>
      </c>
      <c r="AE251" s="92" t="str">
        <f t="shared" ca="1" si="191"/>
        <v/>
      </c>
      <c r="AF251" s="88" t="str">
        <f t="shared" ca="1" si="192"/>
        <v/>
      </c>
      <c r="AG251" s="92" t="str">
        <f t="shared" ca="1" si="193"/>
        <v/>
      </c>
      <c r="AH251" s="88" t="str">
        <f t="shared" ca="1" si="194"/>
        <v/>
      </c>
      <c r="AI251" s="92" t="str">
        <f t="shared" ca="1" si="195"/>
        <v/>
      </c>
      <c r="AJ251" s="88" t="str">
        <f t="shared" ca="1" si="196"/>
        <v/>
      </c>
      <c r="AK251" s="92" t="str">
        <f t="shared" ca="1" si="197"/>
        <v/>
      </c>
      <c r="AL251" s="77" t="str">
        <f t="shared" ca="1" si="198"/>
        <v/>
      </c>
      <c r="AM251" s="89" t="str">
        <f t="shared" ca="1" si="199"/>
        <v/>
      </c>
      <c r="AN251" s="88" t="str">
        <f t="shared" ca="1" si="200"/>
        <v/>
      </c>
      <c r="AO251" s="89" t="str">
        <f t="shared" ca="1" si="201"/>
        <v/>
      </c>
      <c r="AP251" s="77" t="str">
        <f t="shared" ca="1" si="202"/>
        <v/>
      </c>
      <c r="AQ251" s="94" t="str">
        <f t="shared" ca="1" si="203"/>
        <v/>
      </c>
      <c r="AR251" s="77" t="str">
        <f t="shared" ca="1" si="204"/>
        <v/>
      </c>
      <c r="AS251" s="94" t="str">
        <f t="shared" ca="1" si="205"/>
        <v/>
      </c>
      <c r="AT251" s="77" t="str">
        <f t="shared" ca="1" si="206"/>
        <v/>
      </c>
      <c r="AU251" s="93" t="str">
        <f t="shared" ca="1" si="207"/>
        <v/>
      </c>
      <c r="AV251" s="77" t="str">
        <f t="shared" ca="1" si="208"/>
        <v/>
      </c>
      <c r="AW251" s="93" t="str">
        <f t="shared" ca="1" si="209"/>
        <v/>
      </c>
      <c r="AX251" s="77" t="str">
        <f t="shared" ca="1" si="210"/>
        <v/>
      </c>
      <c r="AY251" s="93" t="str">
        <f t="shared" ca="1" si="211"/>
        <v/>
      </c>
      <c r="AZ251" s="77" t="str">
        <f ca="1">IFERROR(INDIRECT("'"&amp;$A251&amp;"'!AC17"),"")</f>
        <v/>
      </c>
      <c r="BA251" s="93" t="str">
        <f t="shared" ca="1" si="213"/>
        <v/>
      </c>
      <c r="BB251" s="77" t="str">
        <f t="shared" ca="1" si="214"/>
        <v/>
      </c>
      <c r="BC251" s="93" t="str">
        <f t="shared" ca="1" si="215"/>
        <v/>
      </c>
    </row>
    <row r="252" spans="1:55" ht="15.95" customHeight="1" x14ac:dyDescent="0.2">
      <c r="A252" s="38"/>
      <c r="B252" s="33"/>
      <c r="C252" s="34"/>
      <c r="D252" s="34"/>
      <c r="E252" s="34"/>
      <c r="F252" s="34"/>
      <c r="G252" s="34"/>
      <c r="H252" s="34"/>
      <c r="I252" s="33"/>
      <c r="J252" s="34"/>
      <c r="K252" s="70"/>
      <c r="L252" s="5"/>
      <c r="M252" s="5"/>
      <c r="N252" s="5"/>
      <c r="O252" s="5"/>
      <c r="P252" s="5"/>
      <c r="Q252" s="5"/>
    </row>
    <row r="253" spans="1:55" ht="15.95" customHeight="1" x14ac:dyDescent="0.2">
      <c r="A253" s="38"/>
      <c r="B253" s="33"/>
      <c r="C253" s="34"/>
      <c r="D253" s="34"/>
      <c r="E253" s="34"/>
      <c r="F253" s="34"/>
      <c r="G253" s="34"/>
      <c r="H253" s="34"/>
      <c r="I253" s="33"/>
      <c r="J253" s="34"/>
      <c r="K253" s="70"/>
      <c r="L253" s="5"/>
      <c r="M253" s="5"/>
      <c r="N253" s="5"/>
      <c r="O253" s="5"/>
      <c r="P253" s="5"/>
      <c r="Q253" s="5"/>
    </row>
    <row r="254" spans="1:55" ht="15.95" customHeight="1" x14ac:dyDescent="0.2">
      <c r="A254" s="38"/>
      <c r="B254" s="33"/>
      <c r="C254" s="34"/>
      <c r="D254" s="34"/>
      <c r="E254" s="34"/>
      <c r="F254" s="34"/>
      <c r="G254" s="34"/>
      <c r="H254" s="34"/>
      <c r="I254" s="33"/>
      <c r="J254" s="34"/>
      <c r="K254" s="70"/>
      <c r="L254" s="5"/>
      <c r="M254" s="5"/>
      <c r="N254" s="5"/>
      <c r="O254" s="5"/>
      <c r="P254" s="5"/>
      <c r="Q254" s="5"/>
    </row>
    <row r="255" spans="1:55" ht="15.95" customHeight="1" x14ac:dyDescent="0.2">
      <c r="A255" s="38"/>
      <c r="B255" s="33"/>
      <c r="C255" s="34"/>
      <c r="D255" s="34"/>
      <c r="E255" s="34"/>
      <c r="F255" s="34"/>
      <c r="G255" s="34"/>
      <c r="H255" s="34"/>
      <c r="I255" s="33"/>
      <c r="J255" s="34"/>
      <c r="K255" s="70"/>
      <c r="L255" s="5"/>
      <c r="M255" s="5"/>
      <c r="N255" s="5"/>
      <c r="O255" s="5"/>
      <c r="P255" s="5"/>
      <c r="Q255" s="5"/>
    </row>
    <row r="256" spans="1:55" ht="15.95" customHeight="1" x14ac:dyDescent="0.2">
      <c r="A256" s="38"/>
      <c r="B256" s="33"/>
      <c r="C256" s="34"/>
      <c r="D256" s="34"/>
      <c r="E256" s="34"/>
      <c r="F256" s="34"/>
      <c r="G256" s="34"/>
      <c r="H256" s="34"/>
      <c r="I256" s="33"/>
      <c r="J256" s="34"/>
      <c r="K256" s="70"/>
      <c r="L256" s="5"/>
      <c r="M256" s="5"/>
      <c r="N256" s="5"/>
      <c r="O256" s="5"/>
      <c r="P256" s="5"/>
      <c r="Q256" s="5"/>
    </row>
    <row r="257" spans="1:17" ht="15.95" customHeight="1" x14ac:dyDescent="0.2">
      <c r="A257" s="38"/>
      <c r="B257" s="33"/>
      <c r="C257" s="34"/>
      <c r="D257" s="34"/>
      <c r="E257" s="34"/>
      <c r="F257" s="34"/>
      <c r="G257" s="34"/>
      <c r="H257" s="34"/>
      <c r="I257" s="33"/>
      <c r="J257" s="34"/>
      <c r="K257" s="70"/>
      <c r="L257" s="5"/>
      <c r="M257" s="5"/>
      <c r="N257" s="5"/>
      <c r="O257" s="5"/>
      <c r="P257" s="5"/>
      <c r="Q257" s="5"/>
    </row>
    <row r="258" spans="1:17" ht="15.95" customHeight="1" x14ac:dyDescent="0.2">
      <c r="A258" s="38"/>
      <c r="B258" s="33"/>
      <c r="C258" s="34"/>
      <c r="D258" s="34"/>
      <c r="E258" s="34"/>
      <c r="F258" s="34"/>
      <c r="G258" s="34"/>
      <c r="H258" s="34"/>
      <c r="I258" s="33"/>
      <c r="J258" s="34"/>
      <c r="K258" s="70"/>
      <c r="L258" s="5"/>
      <c r="M258" s="5"/>
      <c r="N258" s="5"/>
      <c r="O258" s="5"/>
      <c r="P258" s="5"/>
      <c r="Q258" s="5"/>
    </row>
    <row r="259" spans="1:17" ht="15.95" customHeight="1" x14ac:dyDescent="0.2">
      <c r="A259" s="38"/>
      <c r="B259" s="33"/>
      <c r="C259" s="34"/>
      <c r="D259" s="34"/>
      <c r="E259" s="34"/>
      <c r="F259" s="34"/>
      <c r="G259" s="34"/>
      <c r="H259" s="34"/>
      <c r="I259" s="33"/>
      <c r="J259" s="34"/>
      <c r="K259" s="70"/>
      <c r="L259" s="5"/>
      <c r="M259" s="5"/>
      <c r="N259" s="5"/>
      <c r="O259" s="5"/>
      <c r="P259" s="5"/>
      <c r="Q259" s="5"/>
    </row>
    <row r="260" spans="1:17" ht="15.95" customHeight="1" x14ac:dyDescent="0.2">
      <c r="A260" s="38"/>
      <c r="B260" s="33"/>
      <c r="C260" s="34"/>
      <c r="D260" s="34"/>
      <c r="E260" s="34"/>
      <c r="F260" s="34"/>
      <c r="G260" s="34"/>
      <c r="H260" s="34"/>
      <c r="I260" s="33"/>
      <c r="J260" s="34"/>
      <c r="K260" s="70"/>
      <c r="L260" s="5"/>
      <c r="M260" s="5"/>
      <c r="N260" s="5"/>
      <c r="O260" s="5"/>
      <c r="P260" s="5"/>
      <c r="Q260" s="5"/>
    </row>
    <row r="261" spans="1:17" ht="15.95" customHeight="1" x14ac:dyDescent="0.2">
      <c r="A261" s="38"/>
      <c r="B261" s="33"/>
      <c r="C261" s="34"/>
      <c r="D261" s="34"/>
      <c r="E261" s="34"/>
      <c r="F261" s="34"/>
      <c r="G261" s="34"/>
      <c r="H261" s="34"/>
      <c r="I261" s="33"/>
      <c r="J261" s="34"/>
      <c r="K261" s="70"/>
      <c r="L261" s="5"/>
      <c r="M261" s="5"/>
      <c r="N261" s="5"/>
      <c r="O261" s="5"/>
      <c r="P261" s="5"/>
      <c r="Q261" s="5"/>
    </row>
    <row r="262" spans="1:17" ht="15.95" customHeight="1" x14ac:dyDescent="0.2">
      <c r="A262" s="38"/>
      <c r="B262" s="33"/>
      <c r="C262" s="34"/>
      <c r="D262" s="34"/>
      <c r="E262" s="34"/>
      <c r="F262" s="34"/>
      <c r="G262" s="34"/>
      <c r="H262" s="34"/>
      <c r="I262" s="33"/>
      <c r="J262" s="34"/>
      <c r="K262" s="70"/>
      <c r="L262" s="5"/>
      <c r="M262" s="5"/>
      <c r="N262" s="5"/>
      <c r="O262" s="5"/>
      <c r="P262" s="5"/>
      <c r="Q262" s="5"/>
    </row>
    <row r="263" spans="1:17" ht="15.95" customHeight="1" x14ac:dyDescent="0.2">
      <c r="A263" s="38"/>
      <c r="B263" s="33"/>
      <c r="C263" s="34"/>
      <c r="D263" s="34"/>
      <c r="E263" s="34"/>
      <c r="F263" s="34"/>
      <c r="G263" s="34"/>
      <c r="H263" s="34"/>
      <c r="I263" s="33"/>
      <c r="J263" s="34"/>
      <c r="K263" s="70"/>
      <c r="L263" s="5"/>
      <c r="M263" s="5"/>
      <c r="N263" s="5"/>
      <c r="O263" s="5"/>
      <c r="P263" s="5"/>
      <c r="Q263" s="5"/>
    </row>
    <row r="264" spans="1:17" ht="15.95" customHeight="1" x14ac:dyDescent="0.2">
      <c r="A264" s="38"/>
      <c r="B264" s="33"/>
      <c r="C264" s="34"/>
      <c r="D264" s="34"/>
      <c r="E264" s="34"/>
      <c r="F264" s="34"/>
      <c r="G264" s="34"/>
      <c r="H264" s="34"/>
      <c r="I264" s="33"/>
      <c r="J264" s="34"/>
      <c r="K264" s="70"/>
      <c r="L264" s="5"/>
      <c r="M264" s="5"/>
      <c r="N264" s="5"/>
      <c r="O264" s="5"/>
      <c r="P264" s="5"/>
      <c r="Q264" s="5"/>
    </row>
    <row r="265" spans="1:17" ht="15.95" customHeight="1" x14ac:dyDescent="0.2">
      <c r="A265" s="38"/>
      <c r="B265" s="33"/>
      <c r="C265" s="34"/>
      <c r="D265" s="34"/>
      <c r="E265" s="34"/>
      <c r="F265" s="34"/>
      <c r="G265" s="34"/>
      <c r="H265" s="34"/>
      <c r="I265" s="33"/>
      <c r="J265" s="34"/>
      <c r="K265" s="70"/>
      <c r="L265" s="5"/>
      <c r="M265" s="5"/>
      <c r="N265" s="5"/>
      <c r="O265" s="5"/>
      <c r="P265" s="5"/>
      <c r="Q265" s="5"/>
    </row>
    <row r="266" spans="1:17" ht="15.95" customHeight="1" x14ac:dyDescent="0.2">
      <c r="A266" s="38"/>
      <c r="B266" s="33"/>
      <c r="C266" s="34"/>
      <c r="D266" s="34"/>
      <c r="E266" s="34"/>
      <c r="F266" s="34"/>
      <c r="G266" s="34"/>
      <c r="H266" s="34"/>
      <c r="I266" s="33"/>
      <c r="J266" s="34"/>
      <c r="K266" s="70"/>
      <c r="L266" s="5"/>
      <c r="M266" s="5"/>
      <c r="N266" s="5"/>
      <c r="O266" s="5"/>
      <c r="P266" s="5"/>
      <c r="Q266" s="5"/>
    </row>
    <row r="267" spans="1:17" ht="15.95" customHeight="1" x14ac:dyDescent="0.2">
      <c r="A267" s="38"/>
      <c r="B267" s="33"/>
      <c r="C267" s="34"/>
      <c r="D267" s="34"/>
      <c r="E267" s="34"/>
      <c r="F267" s="34"/>
      <c r="G267" s="34"/>
      <c r="H267" s="34"/>
      <c r="I267" s="33"/>
      <c r="J267" s="34"/>
      <c r="K267" s="70"/>
      <c r="L267" s="5"/>
      <c r="M267" s="5"/>
      <c r="N267" s="5"/>
      <c r="O267" s="5"/>
      <c r="P267" s="5"/>
      <c r="Q267" s="5"/>
    </row>
    <row r="268" spans="1:17" ht="15.95" customHeight="1" x14ac:dyDescent="0.2">
      <c r="A268" s="38"/>
      <c r="B268" s="33"/>
      <c r="C268" s="34"/>
      <c r="D268" s="34"/>
      <c r="E268" s="34"/>
      <c r="F268" s="34"/>
      <c r="G268" s="34"/>
      <c r="H268" s="34"/>
      <c r="I268" s="33"/>
      <c r="J268" s="34"/>
      <c r="K268" s="70"/>
      <c r="L268" s="5"/>
      <c r="M268" s="5"/>
      <c r="N268" s="5"/>
      <c r="O268" s="5"/>
      <c r="P268" s="5"/>
      <c r="Q268" s="5"/>
    </row>
    <row r="269" spans="1:17" ht="15.95" customHeight="1" x14ac:dyDescent="0.2">
      <c r="A269" s="38"/>
      <c r="B269" s="33"/>
      <c r="C269" s="34"/>
      <c r="D269" s="34"/>
      <c r="E269" s="34"/>
      <c r="F269" s="34"/>
      <c r="G269" s="34"/>
      <c r="H269" s="34"/>
      <c r="I269" s="33"/>
      <c r="J269" s="34"/>
      <c r="K269" s="70"/>
      <c r="L269" s="5"/>
      <c r="M269" s="5"/>
      <c r="N269" s="5"/>
      <c r="O269" s="5"/>
      <c r="P269" s="5"/>
      <c r="Q269" s="5"/>
    </row>
    <row r="270" spans="1:17" ht="15.95" customHeight="1" x14ac:dyDescent="0.2">
      <c r="A270" s="38"/>
      <c r="B270" s="33"/>
      <c r="C270" s="34"/>
      <c r="D270" s="34"/>
      <c r="E270" s="34"/>
      <c r="F270" s="34"/>
      <c r="G270" s="34"/>
      <c r="H270" s="34"/>
      <c r="I270" s="33"/>
      <c r="J270" s="34"/>
      <c r="K270" s="70"/>
      <c r="L270" s="5"/>
      <c r="M270" s="5"/>
      <c r="N270" s="5"/>
      <c r="O270" s="5"/>
      <c r="P270" s="5"/>
      <c r="Q270" s="5"/>
    </row>
    <row r="271" spans="1:17" ht="15.95" customHeight="1" x14ac:dyDescent="0.2">
      <c r="A271" s="38"/>
      <c r="B271" s="33"/>
      <c r="C271" s="34"/>
      <c r="D271" s="34"/>
      <c r="E271" s="34"/>
      <c r="F271" s="34"/>
      <c r="G271" s="34"/>
      <c r="H271" s="34"/>
      <c r="I271" s="33"/>
      <c r="J271" s="34"/>
      <c r="K271" s="70"/>
      <c r="L271" s="5"/>
      <c r="M271" s="5"/>
      <c r="N271" s="5"/>
      <c r="O271" s="5"/>
      <c r="P271" s="5"/>
      <c r="Q271" s="5"/>
    </row>
    <row r="272" spans="1:17" ht="15.95" customHeight="1" x14ac:dyDescent="0.2">
      <c r="A272" s="38"/>
      <c r="B272" s="33"/>
      <c r="C272" s="34"/>
      <c r="D272" s="34"/>
      <c r="E272" s="34"/>
      <c r="F272" s="34"/>
      <c r="G272" s="34"/>
      <c r="H272" s="34"/>
      <c r="I272" s="33"/>
      <c r="J272" s="34"/>
      <c r="K272" s="70"/>
      <c r="L272" s="5"/>
      <c r="M272" s="5"/>
      <c r="N272" s="5"/>
      <c r="O272" s="5"/>
      <c r="P272" s="5"/>
      <c r="Q272" s="5"/>
    </row>
    <row r="273" spans="1:17" ht="15.95" customHeight="1" x14ac:dyDescent="0.2">
      <c r="A273" s="38"/>
      <c r="B273" s="33"/>
      <c r="C273" s="34"/>
      <c r="D273" s="34"/>
      <c r="E273" s="34"/>
      <c r="F273" s="34"/>
      <c r="G273" s="34"/>
      <c r="H273" s="34"/>
      <c r="I273" s="33"/>
      <c r="J273" s="34"/>
      <c r="K273" s="70"/>
      <c r="L273" s="5"/>
      <c r="M273" s="5"/>
      <c r="N273" s="5"/>
      <c r="O273" s="5"/>
      <c r="P273" s="5"/>
      <c r="Q273" s="5"/>
    </row>
    <row r="274" spans="1:17" ht="15.95" customHeight="1" x14ac:dyDescent="0.2">
      <c r="A274" s="38"/>
      <c r="B274" s="33"/>
      <c r="C274" s="34"/>
      <c r="D274" s="34"/>
      <c r="E274" s="34"/>
      <c r="F274" s="34"/>
      <c r="G274" s="34"/>
      <c r="H274" s="34"/>
      <c r="I274" s="33"/>
      <c r="J274" s="34"/>
      <c r="K274" s="70"/>
      <c r="L274" s="5"/>
      <c r="M274" s="5"/>
      <c r="N274" s="5"/>
      <c r="O274" s="5"/>
      <c r="P274" s="5"/>
      <c r="Q274" s="5"/>
    </row>
    <row r="275" spans="1:17" ht="15.95" customHeight="1" x14ac:dyDescent="0.2">
      <c r="A275" s="38"/>
      <c r="B275" s="33"/>
      <c r="C275" s="34"/>
      <c r="D275" s="34"/>
      <c r="E275" s="34"/>
      <c r="F275" s="34"/>
      <c r="G275" s="34"/>
      <c r="H275" s="34"/>
      <c r="I275" s="33"/>
      <c r="J275" s="34"/>
      <c r="K275" s="70"/>
      <c r="L275" s="5"/>
      <c r="M275" s="5"/>
      <c r="N275" s="5"/>
      <c r="O275" s="5"/>
      <c r="P275" s="5"/>
      <c r="Q275" s="5"/>
    </row>
    <row r="276" spans="1:17" ht="15.95" customHeight="1" x14ac:dyDescent="0.2">
      <c r="A276" s="38"/>
      <c r="B276" s="33"/>
      <c r="C276" s="34"/>
      <c r="D276" s="34"/>
      <c r="E276" s="34"/>
      <c r="F276" s="34"/>
      <c r="G276" s="34"/>
      <c r="H276" s="34"/>
      <c r="I276" s="33"/>
      <c r="J276" s="34"/>
      <c r="K276" s="70"/>
      <c r="L276" s="5"/>
      <c r="M276" s="5"/>
      <c r="N276" s="5"/>
      <c r="O276" s="5"/>
      <c r="P276" s="5"/>
      <c r="Q276" s="5"/>
    </row>
    <row r="277" spans="1:17" ht="15.95" customHeight="1" x14ac:dyDescent="0.2">
      <c r="A277" s="38"/>
      <c r="B277" s="33"/>
      <c r="C277" s="34"/>
      <c r="D277" s="34"/>
      <c r="E277" s="34"/>
      <c r="F277" s="34"/>
      <c r="G277" s="34"/>
      <c r="H277" s="34"/>
      <c r="I277" s="33"/>
      <c r="J277" s="34"/>
      <c r="K277" s="70"/>
      <c r="L277" s="5"/>
      <c r="M277" s="5"/>
      <c r="N277" s="5"/>
      <c r="O277" s="5"/>
      <c r="P277" s="5"/>
      <c r="Q277" s="5"/>
    </row>
    <row r="278" spans="1:17" ht="15.95" customHeight="1" x14ac:dyDescent="0.2">
      <c r="A278" s="38"/>
      <c r="B278" s="33"/>
      <c r="C278" s="34"/>
      <c r="D278" s="34"/>
      <c r="E278" s="34"/>
      <c r="F278" s="34"/>
      <c r="G278" s="34"/>
      <c r="H278" s="34"/>
      <c r="I278" s="33"/>
      <c r="J278" s="34"/>
      <c r="K278" s="70"/>
      <c r="L278" s="5"/>
      <c r="M278" s="5"/>
      <c r="N278" s="5"/>
      <c r="O278" s="5"/>
      <c r="P278" s="5"/>
      <c r="Q278" s="5"/>
    </row>
    <row r="279" spans="1:17" ht="15.95" customHeight="1" x14ac:dyDescent="0.2">
      <c r="A279" s="38"/>
      <c r="B279" s="33"/>
      <c r="C279" s="34"/>
      <c r="D279" s="34"/>
      <c r="E279" s="34"/>
      <c r="F279" s="34"/>
      <c r="G279" s="34"/>
      <c r="H279" s="34"/>
      <c r="I279" s="33"/>
      <c r="J279" s="34"/>
      <c r="K279" s="70"/>
      <c r="L279" s="5"/>
      <c r="M279" s="5"/>
      <c r="N279" s="5"/>
      <c r="O279" s="5"/>
      <c r="P279" s="5"/>
      <c r="Q279" s="5"/>
    </row>
    <row r="280" spans="1:17" ht="15.95" customHeight="1" x14ac:dyDescent="0.2">
      <c r="A280" s="38"/>
      <c r="B280" s="33"/>
      <c r="C280" s="34"/>
      <c r="D280" s="34"/>
      <c r="E280" s="34"/>
      <c r="F280" s="34"/>
      <c r="G280" s="34"/>
      <c r="H280" s="34"/>
      <c r="I280" s="33"/>
      <c r="J280" s="34"/>
      <c r="K280" s="70"/>
      <c r="L280" s="5"/>
      <c r="M280" s="5"/>
      <c r="N280" s="5"/>
      <c r="O280" s="5"/>
      <c r="P280" s="5"/>
      <c r="Q280" s="5"/>
    </row>
    <row r="281" spans="1:17" ht="15.95" customHeight="1" x14ac:dyDescent="0.2">
      <c r="A281" s="38"/>
      <c r="B281" s="33"/>
      <c r="C281" s="34"/>
      <c r="D281" s="34"/>
      <c r="E281" s="34"/>
      <c r="F281" s="34"/>
      <c r="G281" s="34"/>
      <c r="H281" s="34"/>
      <c r="I281" s="33"/>
      <c r="J281" s="34"/>
      <c r="K281" s="70"/>
      <c r="L281" s="5"/>
      <c r="M281" s="5"/>
      <c r="N281" s="5"/>
      <c r="O281" s="5"/>
      <c r="P281" s="5"/>
      <c r="Q281" s="5"/>
    </row>
    <row r="282" spans="1:17" ht="15.95" customHeight="1" x14ac:dyDescent="0.2">
      <c r="A282" s="38"/>
      <c r="B282" s="33"/>
      <c r="C282" s="34"/>
      <c r="D282" s="34"/>
      <c r="E282" s="34"/>
      <c r="F282" s="34"/>
      <c r="G282" s="34"/>
      <c r="H282" s="34"/>
      <c r="I282" s="33"/>
      <c r="J282" s="34"/>
      <c r="K282" s="70"/>
      <c r="L282" s="5"/>
      <c r="M282" s="5"/>
      <c r="N282" s="5"/>
      <c r="O282" s="5"/>
      <c r="P282" s="5"/>
      <c r="Q282" s="5"/>
    </row>
    <row r="283" spans="1:17" ht="15.95" customHeight="1" x14ac:dyDescent="0.2">
      <c r="A283" s="38"/>
      <c r="B283" s="33"/>
      <c r="C283" s="34"/>
      <c r="D283" s="34"/>
      <c r="E283" s="34"/>
      <c r="F283" s="34"/>
      <c r="G283" s="34"/>
      <c r="H283" s="34"/>
      <c r="I283" s="33"/>
      <c r="J283" s="34"/>
      <c r="K283" s="70"/>
      <c r="L283" s="5"/>
      <c r="M283" s="5"/>
      <c r="N283" s="5"/>
      <c r="O283" s="5"/>
      <c r="P283" s="5"/>
      <c r="Q283" s="5"/>
    </row>
    <row r="284" spans="1:17" ht="15.95" customHeight="1" x14ac:dyDescent="0.2">
      <c r="A284" s="38"/>
      <c r="B284" s="33"/>
      <c r="C284" s="34"/>
      <c r="D284" s="34"/>
      <c r="E284" s="34"/>
      <c r="F284" s="34"/>
      <c r="G284" s="34"/>
      <c r="H284" s="34"/>
      <c r="I284" s="33"/>
      <c r="J284" s="34"/>
      <c r="K284" s="70"/>
      <c r="L284" s="5"/>
      <c r="M284" s="5"/>
      <c r="N284" s="5"/>
      <c r="O284" s="5"/>
      <c r="P284" s="5"/>
      <c r="Q284" s="5"/>
    </row>
    <row r="285" spans="1:17" ht="15.95" customHeight="1" x14ac:dyDescent="0.2">
      <c r="A285" s="38"/>
      <c r="B285" s="33"/>
      <c r="C285" s="34"/>
      <c r="D285" s="34"/>
      <c r="E285" s="34"/>
      <c r="F285" s="34"/>
      <c r="G285" s="34"/>
      <c r="H285" s="34"/>
      <c r="I285" s="33"/>
      <c r="J285" s="34"/>
      <c r="K285" s="70"/>
      <c r="L285" s="5"/>
      <c r="M285" s="5"/>
      <c r="N285" s="5"/>
      <c r="O285" s="5"/>
      <c r="P285" s="5"/>
      <c r="Q285" s="5"/>
    </row>
    <row r="286" spans="1:17" ht="15.95" customHeight="1" x14ac:dyDescent="0.2">
      <c r="A286" s="38"/>
      <c r="B286" s="33"/>
      <c r="C286" s="34"/>
      <c r="D286" s="34"/>
      <c r="E286" s="34"/>
      <c r="F286" s="34"/>
      <c r="G286" s="34"/>
      <c r="H286" s="34"/>
      <c r="I286" s="33"/>
      <c r="J286" s="34"/>
      <c r="K286" s="70"/>
      <c r="L286" s="5"/>
      <c r="M286" s="5"/>
      <c r="N286" s="5"/>
      <c r="O286" s="5"/>
      <c r="P286" s="5"/>
      <c r="Q286" s="5"/>
    </row>
    <row r="287" spans="1:17" ht="15.95" customHeight="1" x14ac:dyDescent="0.2">
      <c r="A287" s="38"/>
      <c r="B287" s="33"/>
      <c r="C287" s="34"/>
      <c r="D287" s="34"/>
      <c r="E287" s="34"/>
      <c r="F287" s="34"/>
      <c r="G287" s="34"/>
      <c r="H287" s="34"/>
      <c r="I287" s="33"/>
      <c r="J287" s="34"/>
      <c r="K287" s="70"/>
      <c r="L287" s="5"/>
      <c r="M287" s="5"/>
      <c r="N287" s="5"/>
      <c r="O287" s="5"/>
      <c r="P287" s="5"/>
      <c r="Q287" s="5"/>
    </row>
    <row r="288" spans="1:17" ht="15.95" customHeight="1" x14ac:dyDescent="0.2">
      <c r="A288" s="38"/>
      <c r="B288" s="33"/>
      <c r="C288" s="34"/>
      <c r="D288" s="34"/>
      <c r="E288" s="34"/>
      <c r="F288" s="34"/>
      <c r="G288" s="34"/>
      <c r="H288" s="34"/>
      <c r="I288" s="33"/>
      <c r="J288" s="34"/>
      <c r="K288" s="70"/>
      <c r="L288" s="5"/>
      <c r="M288" s="5"/>
      <c r="N288" s="5"/>
      <c r="O288" s="5"/>
      <c r="P288" s="5"/>
      <c r="Q288" s="5"/>
    </row>
    <row r="289" spans="1:17" ht="15.95" customHeight="1" x14ac:dyDescent="0.2">
      <c r="A289" s="38"/>
      <c r="B289" s="33"/>
      <c r="C289" s="34"/>
      <c r="D289" s="34"/>
      <c r="E289" s="34"/>
      <c r="F289" s="34"/>
      <c r="G289" s="34"/>
      <c r="H289" s="34"/>
      <c r="I289" s="33"/>
      <c r="J289" s="34"/>
      <c r="K289" s="70"/>
      <c r="L289" s="5"/>
      <c r="M289" s="5"/>
      <c r="N289" s="5"/>
      <c r="O289" s="5"/>
      <c r="P289" s="5"/>
      <c r="Q289" s="5"/>
    </row>
    <row r="290" spans="1:17" ht="15.95" customHeight="1" x14ac:dyDescent="0.2">
      <c r="A290" s="38"/>
      <c r="B290" s="33"/>
      <c r="C290" s="34"/>
      <c r="D290" s="34"/>
      <c r="E290" s="34"/>
      <c r="F290" s="34"/>
      <c r="G290" s="34"/>
      <c r="H290" s="34"/>
      <c r="I290" s="33"/>
      <c r="J290" s="34"/>
      <c r="K290" s="70"/>
      <c r="L290" s="5"/>
      <c r="M290" s="5"/>
      <c r="N290" s="5"/>
      <c r="O290" s="5"/>
      <c r="P290" s="5"/>
      <c r="Q290" s="5"/>
    </row>
    <row r="291" spans="1:17" ht="15.95" customHeight="1" x14ac:dyDescent="0.2">
      <c r="A291" s="38"/>
      <c r="B291" s="33"/>
      <c r="C291" s="34"/>
      <c r="D291" s="34"/>
      <c r="E291" s="34"/>
      <c r="F291" s="34"/>
      <c r="G291" s="34"/>
      <c r="H291" s="34"/>
      <c r="I291" s="33"/>
      <c r="J291" s="34"/>
      <c r="K291" s="70"/>
      <c r="L291" s="5"/>
      <c r="M291" s="5"/>
      <c r="N291" s="5"/>
      <c r="O291" s="5"/>
      <c r="P291" s="5"/>
      <c r="Q291" s="5"/>
    </row>
    <row r="292" spans="1:17" ht="15.95" customHeight="1" x14ac:dyDescent="0.2">
      <c r="A292" s="38"/>
      <c r="B292" s="33"/>
      <c r="C292" s="34"/>
      <c r="D292" s="34"/>
      <c r="E292" s="34"/>
      <c r="F292" s="34"/>
      <c r="G292" s="34"/>
      <c r="H292" s="34"/>
      <c r="I292" s="33"/>
      <c r="J292" s="34"/>
      <c r="K292" s="70"/>
      <c r="L292" s="5"/>
      <c r="M292" s="5"/>
      <c r="N292" s="5"/>
      <c r="O292" s="5"/>
      <c r="P292" s="5"/>
      <c r="Q292" s="5"/>
    </row>
    <row r="293" spans="1:17" ht="15.95" customHeight="1" x14ac:dyDescent="0.2">
      <c r="A293" s="38"/>
      <c r="B293" s="33"/>
      <c r="C293" s="34"/>
      <c r="D293" s="34"/>
      <c r="E293" s="34"/>
      <c r="F293" s="34"/>
      <c r="G293" s="34"/>
      <c r="H293" s="34"/>
      <c r="I293" s="33"/>
      <c r="J293" s="34"/>
      <c r="K293" s="70"/>
      <c r="L293" s="5"/>
      <c r="M293" s="5"/>
      <c r="N293" s="5"/>
      <c r="O293" s="5"/>
      <c r="P293" s="5"/>
      <c r="Q293" s="5"/>
    </row>
    <row r="294" spans="1:17" ht="15.95" customHeight="1" x14ac:dyDescent="0.2">
      <c r="A294" s="38"/>
      <c r="B294" s="33"/>
      <c r="C294" s="34"/>
      <c r="D294" s="34"/>
      <c r="E294" s="34"/>
      <c r="F294" s="34"/>
      <c r="G294" s="34"/>
      <c r="H294" s="34"/>
      <c r="I294" s="33"/>
      <c r="J294" s="34"/>
      <c r="K294" s="70"/>
      <c r="L294" s="5"/>
      <c r="M294" s="5"/>
      <c r="N294" s="5"/>
      <c r="O294" s="5"/>
      <c r="P294" s="5"/>
      <c r="Q294" s="5"/>
    </row>
    <row r="295" spans="1:17" ht="15.95" customHeight="1" x14ac:dyDescent="0.2">
      <c r="A295" s="38"/>
      <c r="B295" s="33"/>
      <c r="C295" s="34"/>
      <c r="D295" s="34"/>
      <c r="E295" s="34"/>
      <c r="F295" s="34"/>
      <c r="G295" s="34"/>
      <c r="H295" s="34"/>
      <c r="I295" s="33"/>
      <c r="J295" s="34"/>
      <c r="K295" s="70"/>
      <c r="L295" s="5"/>
      <c r="M295" s="5"/>
      <c r="N295" s="5"/>
      <c r="O295" s="5"/>
      <c r="P295" s="5"/>
      <c r="Q295" s="5"/>
    </row>
    <row r="296" spans="1:17" ht="15.95" customHeight="1" x14ac:dyDescent="0.2">
      <c r="A296" s="38"/>
      <c r="B296" s="33"/>
      <c r="C296" s="34"/>
      <c r="D296" s="34"/>
      <c r="E296" s="34"/>
      <c r="F296" s="34"/>
      <c r="G296" s="34"/>
      <c r="H296" s="34"/>
      <c r="I296" s="33"/>
      <c r="J296" s="34"/>
      <c r="K296" s="70"/>
      <c r="L296" s="5"/>
      <c r="M296" s="5"/>
      <c r="N296" s="5"/>
      <c r="O296" s="5"/>
      <c r="P296" s="5"/>
      <c r="Q296" s="5"/>
    </row>
    <row r="297" spans="1:17" ht="15.95" customHeight="1" x14ac:dyDescent="0.2">
      <c r="A297" s="38"/>
      <c r="B297" s="33"/>
      <c r="C297" s="34"/>
      <c r="D297" s="34"/>
      <c r="E297" s="34"/>
      <c r="F297" s="34"/>
      <c r="G297" s="34"/>
      <c r="H297" s="34"/>
      <c r="I297" s="33"/>
      <c r="J297" s="34"/>
      <c r="K297" s="70"/>
      <c r="L297" s="5"/>
      <c r="M297" s="5"/>
      <c r="N297" s="5"/>
      <c r="O297" s="5"/>
      <c r="P297" s="5"/>
      <c r="Q297" s="5"/>
    </row>
    <row r="298" spans="1:17" ht="15.95" customHeight="1" x14ac:dyDescent="0.2">
      <c r="A298" s="38"/>
      <c r="B298" s="33"/>
      <c r="C298" s="34"/>
      <c r="D298" s="34"/>
      <c r="E298" s="34"/>
      <c r="F298" s="34"/>
      <c r="G298" s="34"/>
      <c r="H298" s="34"/>
      <c r="I298" s="33"/>
      <c r="J298" s="34"/>
      <c r="K298" s="70"/>
      <c r="L298" s="5"/>
      <c r="M298" s="5"/>
      <c r="N298" s="5"/>
      <c r="O298" s="5"/>
      <c r="P298" s="5"/>
      <c r="Q298" s="5"/>
    </row>
    <row r="299" spans="1:17" ht="15.95" customHeight="1" x14ac:dyDescent="0.2">
      <c r="A299" s="38"/>
      <c r="B299" s="33"/>
      <c r="C299" s="34"/>
      <c r="D299" s="34"/>
      <c r="E299" s="34"/>
      <c r="F299" s="34"/>
      <c r="G299" s="34"/>
      <c r="H299" s="34"/>
      <c r="I299" s="33"/>
      <c r="J299" s="34"/>
      <c r="K299" s="70"/>
      <c r="L299" s="5"/>
      <c r="M299" s="5"/>
      <c r="N299" s="5"/>
      <c r="O299" s="5"/>
      <c r="P299" s="5"/>
      <c r="Q299" s="5"/>
    </row>
    <row r="300" spans="1:17" ht="15.95" customHeight="1" x14ac:dyDescent="0.2">
      <c r="A300" s="38"/>
      <c r="B300" s="33"/>
      <c r="C300" s="34"/>
      <c r="D300" s="34"/>
      <c r="E300" s="34"/>
      <c r="F300" s="34"/>
      <c r="G300" s="34"/>
      <c r="H300" s="34"/>
      <c r="I300" s="33"/>
      <c r="J300" s="34"/>
      <c r="K300" s="70"/>
      <c r="L300" s="5"/>
      <c r="M300" s="5"/>
      <c r="N300" s="5"/>
      <c r="O300" s="5"/>
      <c r="P300" s="5"/>
      <c r="Q300" s="5"/>
    </row>
    <row r="301" spans="1:17" ht="15.95" customHeight="1" x14ac:dyDescent="0.2">
      <c r="A301" s="38"/>
      <c r="B301" s="33"/>
      <c r="C301" s="34"/>
      <c r="D301" s="34"/>
      <c r="E301" s="34"/>
      <c r="F301" s="34"/>
      <c r="G301" s="34"/>
      <c r="H301" s="34"/>
      <c r="I301" s="33"/>
      <c r="J301" s="34"/>
      <c r="K301" s="70"/>
      <c r="L301" s="5"/>
      <c r="M301" s="5"/>
      <c r="N301" s="5"/>
      <c r="O301" s="5"/>
      <c r="P301" s="5"/>
      <c r="Q301" s="5"/>
    </row>
    <row r="302" spans="1:17" ht="15.95" customHeight="1" x14ac:dyDescent="0.2">
      <c r="A302" s="38"/>
      <c r="B302" s="33"/>
      <c r="C302" s="34"/>
      <c r="D302" s="34"/>
      <c r="E302" s="34"/>
      <c r="F302" s="34"/>
      <c r="G302" s="34"/>
      <c r="H302" s="34"/>
      <c r="I302" s="33"/>
      <c r="J302" s="34"/>
      <c r="K302" s="70"/>
      <c r="L302" s="5"/>
      <c r="M302" s="5"/>
      <c r="N302" s="5"/>
      <c r="O302" s="5"/>
      <c r="P302" s="5"/>
      <c r="Q302" s="5"/>
    </row>
    <row r="303" spans="1:17" ht="15.95" customHeight="1" x14ac:dyDescent="0.2">
      <c r="A303" s="38"/>
      <c r="B303" s="33"/>
      <c r="C303" s="34"/>
      <c r="D303" s="34"/>
      <c r="E303" s="34"/>
      <c r="F303" s="34"/>
      <c r="G303" s="34"/>
      <c r="H303" s="34"/>
      <c r="I303" s="33"/>
      <c r="J303" s="34"/>
      <c r="K303" s="70"/>
      <c r="L303" s="5"/>
      <c r="M303" s="5"/>
      <c r="N303" s="5"/>
      <c r="O303" s="5"/>
      <c r="P303" s="5"/>
      <c r="Q303" s="5"/>
    </row>
    <row r="304" spans="1:17" ht="15.95" customHeight="1" x14ac:dyDescent="0.2">
      <c r="A304" s="38"/>
      <c r="B304" s="33"/>
      <c r="C304" s="34"/>
      <c r="D304" s="34"/>
      <c r="E304" s="34"/>
      <c r="F304" s="34"/>
      <c r="G304" s="34"/>
      <c r="H304" s="34"/>
      <c r="I304" s="33"/>
      <c r="J304" s="34"/>
      <c r="K304" s="70"/>
      <c r="L304" s="5"/>
      <c r="M304" s="5"/>
      <c r="N304" s="5"/>
      <c r="O304" s="5"/>
      <c r="P304" s="5"/>
      <c r="Q304" s="5"/>
    </row>
    <row r="305" spans="1:17" ht="15.95" customHeight="1" x14ac:dyDescent="0.2">
      <c r="A305" s="38"/>
      <c r="B305" s="33"/>
      <c r="C305" s="34"/>
      <c r="D305" s="34"/>
      <c r="E305" s="34"/>
      <c r="F305" s="34"/>
      <c r="G305" s="34"/>
      <c r="H305" s="34"/>
      <c r="I305" s="33"/>
      <c r="J305" s="34"/>
      <c r="K305" s="70"/>
      <c r="L305" s="5"/>
      <c r="M305" s="5"/>
      <c r="N305" s="5"/>
      <c r="O305" s="5"/>
      <c r="P305" s="5"/>
      <c r="Q305" s="5"/>
    </row>
    <row r="306" spans="1:17" ht="15.95" customHeight="1" x14ac:dyDescent="0.2">
      <c r="A306" s="38"/>
      <c r="B306" s="33"/>
      <c r="C306" s="34"/>
      <c r="D306" s="34"/>
      <c r="E306" s="34"/>
      <c r="F306" s="34"/>
      <c r="G306" s="34"/>
      <c r="H306" s="34"/>
      <c r="I306" s="33"/>
      <c r="J306" s="34"/>
      <c r="K306" s="70"/>
      <c r="L306" s="5"/>
      <c r="M306" s="5"/>
      <c r="N306" s="5"/>
      <c r="O306" s="5"/>
      <c r="P306" s="5"/>
      <c r="Q306" s="5"/>
    </row>
    <row r="307" spans="1:17" ht="15.95" customHeight="1" x14ac:dyDescent="0.2">
      <c r="A307" s="38"/>
      <c r="B307" s="33"/>
      <c r="C307" s="34"/>
      <c r="D307" s="34"/>
      <c r="E307" s="34"/>
      <c r="F307" s="34"/>
      <c r="G307" s="34"/>
      <c r="H307" s="34"/>
      <c r="I307" s="33"/>
      <c r="J307" s="34"/>
      <c r="K307" s="70"/>
      <c r="L307" s="5"/>
      <c r="M307" s="5"/>
      <c r="N307" s="5"/>
      <c r="O307" s="5"/>
      <c r="P307" s="5"/>
      <c r="Q307" s="5"/>
    </row>
    <row r="308" spans="1:17" ht="15.95" customHeight="1" x14ac:dyDescent="0.2">
      <c r="A308" s="38"/>
      <c r="B308" s="33"/>
      <c r="C308" s="34"/>
      <c r="D308" s="34"/>
      <c r="E308" s="34"/>
      <c r="F308" s="34"/>
      <c r="G308" s="34"/>
      <c r="H308" s="34"/>
      <c r="I308" s="33"/>
      <c r="J308" s="34"/>
      <c r="K308" s="70"/>
      <c r="L308" s="5"/>
      <c r="M308" s="5"/>
      <c r="N308" s="5"/>
      <c r="O308" s="5"/>
      <c r="P308" s="5"/>
      <c r="Q308" s="5"/>
    </row>
    <row r="309" spans="1:17" ht="15.95" customHeight="1" x14ac:dyDescent="0.2">
      <c r="A309" s="38"/>
      <c r="B309" s="33"/>
      <c r="C309" s="34"/>
      <c r="D309" s="34"/>
      <c r="E309" s="34"/>
      <c r="F309" s="34"/>
      <c r="G309" s="34"/>
      <c r="H309" s="34"/>
      <c r="I309" s="33"/>
      <c r="J309" s="34"/>
      <c r="K309" s="70"/>
      <c r="L309" s="5"/>
      <c r="M309" s="5"/>
      <c r="N309" s="5"/>
      <c r="O309" s="5"/>
      <c r="P309" s="5"/>
      <c r="Q309" s="5"/>
    </row>
    <row r="310" spans="1:17" ht="15.95" customHeight="1" x14ac:dyDescent="0.2">
      <c r="A310" s="38"/>
      <c r="B310" s="33"/>
      <c r="C310" s="34"/>
      <c r="D310" s="34"/>
      <c r="E310" s="34"/>
      <c r="F310" s="34"/>
      <c r="G310" s="34"/>
      <c r="H310" s="34"/>
      <c r="I310" s="33"/>
      <c r="J310" s="34"/>
      <c r="K310" s="70"/>
      <c r="L310" s="5"/>
      <c r="M310" s="5"/>
      <c r="N310" s="5"/>
      <c r="O310" s="5"/>
      <c r="P310" s="5"/>
      <c r="Q310" s="5"/>
    </row>
    <row r="311" spans="1:17" ht="15.95" customHeight="1" x14ac:dyDescent="0.2">
      <c r="A311" s="38"/>
      <c r="B311" s="33"/>
      <c r="C311" s="34"/>
      <c r="D311" s="34"/>
      <c r="E311" s="34"/>
      <c r="F311" s="34"/>
      <c r="G311" s="34"/>
      <c r="H311" s="34"/>
      <c r="I311" s="33"/>
      <c r="J311" s="34"/>
      <c r="K311" s="70"/>
      <c r="L311" s="5"/>
      <c r="M311" s="5"/>
      <c r="N311" s="5"/>
      <c r="O311" s="5"/>
      <c r="P311" s="5"/>
      <c r="Q311" s="5"/>
    </row>
    <row r="312" spans="1:17" ht="15.95" customHeight="1" x14ac:dyDescent="0.2">
      <c r="A312" s="38"/>
      <c r="B312" s="33"/>
      <c r="C312" s="34"/>
      <c r="D312" s="34"/>
      <c r="E312" s="34"/>
      <c r="F312" s="34"/>
      <c r="G312" s="34"/>
      <c r="H312" s="34"/>
      <c r="I312" s="33"/>
      <c r="J312" s="34"/>
      <c r="K312" s="70"/>
      <c r="L312" s="5"/>
      <c r="M312" s="5"/>
      <c r="N312" s="5"/>
      <c r="O312" s="5"/>
      <c r="P312" s="5"/>
      <c r="Q312" s="5"/>
    </row>
    <row r="313" spans="1:17" ht="15.95" customHeight="1" x14ac:dyDescent="0.2">
      <c r="A313" s="38"/>
      <c r="B313" s="33"/>
      <c r="C313" s="34"/>
      <c r="D313" s="34"/>
      <c r="E313" s="34"/>
      <c r="F313" s="34"/>
      <c r="G313" s="34"/>
      <c r="H313" s="34"/>
      <c r="I313" s="33"/>
      <c r="J313" s="34"/>
      <c r="K313" s="70"/>
      <c r="L313" s="5"/>
      <c r="M313" s="5"/>
      <c r="N313" s="5"/>
      <c r="O313" s="5"/>
      <c r="P313" s="5"/>
      <c r="Q313" s="5"/>
    </row>
    <row r="314" spans="1:17" ht="15.95" customHeight="1" x14ac:dyDescent="0.2">
      <c r="A314" s="38"/>
      <c r="B314" s="33"/>
      <c r="C314" s="34"/>
      <c r="D314" s="34"/>
      <c r="E314" s="34"/>
      <c r="F314" s="34"/>
      <c r="G314" s="34"/>
      <c r="H314" s="34"/>
      <c r="I314" s="33"/>
      <c r="J314" s="34"/>
      <c r="K314" s="70"/>
      <c r="L314" s="5"/>
      <c r="M314" s="5"/>
      <c r="N314" s="5"/>
      <c r="O314" s="5"/>
      <c r="P314" s="5"/>
      <c r="Q314" s="5"/>
    </row>
    <row r="315" spans="1:17" ht="15.95" customHeight="1" x14ac:dyDescent="0.2">
      <c r="A315" s="38"/>
      <c r="B315" s="33"/>
      <c r="C315" s="34"/>
      <c r="D315" s="34"/>
      <c r="E315" s="34"/>
      <c r="F315" s="34"/>
      <c r="G315" s="34"/>
      <c r="H315" s="34"/>
      <c r="I315" s="33"/>
      <c r="J315" s="34"/>
      <c r="K315" s="70"/>
      <c r="L315" s="5"/>
      <c r="M315" s="5"/>
      <c r="N315" s="5"/>
      <c r="O315" s="5"/>
      <c r="P315" s="5"/>
      <c r="Q315" s="5"/>
    </row>
    <row r="316" spans="1:17" ht="15.95" customHeight="1" x14ac:dyDescent="0.2">
      <c r="A316" s="38"/>
      <c r="B316" s="33"/>
      <c r="C316" s="34"/>
      <c r="D316" s="34"/>
      <c r="E316" s="34"/>
      <c r="F316" s="34"/>
      <c r="G316" s="34"/>
      <c r="H316" s="34"/>
      <c r="I316" s="33"/>
      <c r="J316" s="34"/>
      <c r="K316" s="70"/>
      <c r="L316" s="5"/>
      <c r="M316" s="5"/>
      <c r="N316" s="5"/>
      <c r="O316" s="5"/>
      <c r="P316" s="5"/>
      <c r="Q316" s="5"/>
    </row>
    <row r="317" spans="1:17" ht="15.95" customHeight="1" x14ac:dyDescent="0.2">
      <c r="A317" s="38"/>
      <c r="B317" s="33"/>
      <c r="C317" s="34"/>
      <c r="D317" s="34"/>
      <c r="E317" s="34"/>
      <c r="F317" s="34"/>
      <c r="G317" s="34"/>
      <c r="H317" s="34"/>
      <c r="I317" s="33"/>
      <c r="J317" s="34"/>
      <c r="K317" s="70"/>
      <c r="L317" s="5"/>
      <c r="M317" s="5"/>
      <c r="N317" s="5"/>
      <c r="O317" s="5"/>
      <c r="P317" s="5"/>
      <c r="Q317" s="5"/>
    </row>
    <row r="318" spans="1:17" ht="15.95" customHeight="1" x14ac:dyDescent="0.2">
      <c r="A318" s="38"/>
      <c r="B318" s="33"/>
      <c r="C318" s="34"/>
      <c r="D318" s="34"/>
      <c r="E318" s="34"/>
      <c r="F318" s="34"/>
      <c r="G318" s="34"/>
      <c r="H318" s="34"/>
      <c r="I318" s="33"/>
      <c r="J318" s="34"/>
      <c r="K318" s="70"/>
      <c r="L318" s="5"/>
      <c r="M318" s="5"/>
      <c r="N318" s="5"/>
      <c r="O318" s="5"/>
      <c r="P318" s="5"/>
      <c r="Q318" s="5"/>
    </row>
    <row r="319" spans="1:17" ht="15.95" customHeight="1" x14ac:dyDescent="0.2">
      <c r="A319" s="38"/>
      <c r="B319" s="33"/>
      <c r="C319" s="34"/>
      <c r="D319" s="34"/>
      <c r="E319" s="34"/>
      <c r="F319" s="34"/>
      <c r="G319" s="34"/>
      <c r="H319" s="34"/>
      <c r="I319" s="33"/>
      <c r="J319" s="34"/>
      <c r="K319" s="70"/>
      <c r="L319" s="5"/>
      <c r="M319" s="5"/>
      <c r="N319" s="5"/>
      <c r="O319" s="5"/>
      <c r="P319" s="5"/>
      <c r="Q319" s="5"/>
    </row>
    <row r="320" spans="1:17" ht="15.95" customHeight="1" x14ac:dyDescent="0.2">
      <c r="A320" s="38"/>
      <c r="B320" s="33"/>
      <c r="C320" s="34"/>
      <c r="D320" s="34"/>
      <c r="E320" s="34"/>
      <c r="F320" s="34"/>
      <c r="G320" s="34"/>
      <c r="H320" s="34"/>
      <c r="I320" s="33"/>
      <c r="J320" s="34"/>
      <c r="K320" s="70"/>
      <c r="L320" s="5"/>
      <c r="M320" s="5"/>
      <c r="N320" s="5"/>
      <c r="O320" s="5"/>
      <c r="P320" s="5"/>
      <c r="Q320" s="5"/>
    </row>
    <row r="321" spans="1:17" ht="15.95" customHeight="1" x14ac:dyDescent="0.2">
      <c r="A321" s="38"/>
      <c r="B321" s="33"/>
      <c r="C321" s="34"/>
      <c r="D321" s="34"/>
      <c r="E321" s="34"/>
      <c r="F321" s="34"/>
      <c r="G321" s="34"/>
      <c r="H321" s="34"/>
      <c r="I321" s="33"/>
      <c r="J321" s="34"/>
      <c r="K321" s="70"/>
      <c r="L321" s="5"/>
      <c r="M321" s="5"/>
      <c r="N321" s="5"/>
      <c r="O321" s="5"/>
      <c r="P321" s="5"/>
      <c r="Q321" s="5"/>
    </row>
    <row r="322" spans="1:17" ht="15.95" customHeight="1" x14ac:dyDescent="0.2">
      <c r="A322" s="38"/>
      <c r="B322" s="33"/>
      <c r="C322" s="34"/>
      <c r="D322" s="34"/>
      <c r="E322" s="34"/>
      <c r="F322" s="34"/>
      <c r="G322" s="34"/>
      <c r="H322" s="34"/>
      <c r="I322" s="33"/>
      <c r="J322" s="34"/>
      <c r="K322" s="70"/>
      <c r="L322" s="5"/>
      <c r="M322" s="5"/>
      <c r="N322" s="5"/>
      <c r="O322" s="5"/>
      <c r="P322" s="5"/>
      <c r="Q322" s="5"/>
    </row>
    <row r="323" spans="1:17" ht="15.95" customHeight="1" x14ac:dyDescent="0.2">
      <c r="A323" s="38"/>
      <c r="B323" s="33"/>
      <c r="C323" s="34"/>
      <c r="D323" s="34"/>
      <c r="E323" s="34"/>
      <c r="F323" s="34"/>
      <c r="G323" s="34"/>
      <c r="H323" s="34"/>
      <c r="I323" s="33"/>
      <c r="J323" s="34"/>
      <c r="K323" s="70"/>
      <c r="L323" s="5"/>
      <c r="M323" s="5"/>
      <c r="N323" s="5"/>
      <c r="O323" s="5"/>
      <c r="P323" s="5"/>
      <c r="Q323" s="5"/>
    </row>
    <row r="324" spans="1:17" ht="15.95" customHeight="1" x14ac:dyDescent="0.2">
      <c r="A324" s="38"/>
      <c r="B324" s="33"/>
      <c r="C324" s="34"/>
      <c r="D324" s="34"/>
      <c r="E324" s="34"/>
      <c r="F324" s="34"/>
      <c r="G324" s="34"/>
      <c r="H324" s="34"/>
      <c r="I324" s="33"/>
      <c r="J324" s="34"/>
      <c r="K324" s="70"/>
      <c r="L324" s="5"/>
      <c r="M324" s="5"/>
      <c r="N324" s="5"/>
      <c r="O324" s="5"/>
      <c r="P324" s="5"/>
      <c r="Q324" s="5"/>
    </row>
    <row r="325" spans="1:17" ht="15.95" customHeight="1" x14ac:dyDescent="0.2">
      <c r="A325" s="38"/>
      <c r="B325" s="33"/>
      <c r="C325" s="34"/>
      <c r="D325" s="34"/>
      <c r="E325" s="34"/>
      <c r="F325" s="34"/>
      <c r="G325" s="34"/>
      <c r="H325" s="34"/>
      <c r="I325" s="33"/>
      <c r="J325" s="34"/>
      <c r="K325" s="70"/>
      <c r="L325" s="5"/>
      <c r="M325" s="5"/>
      <c r="N325" s="5"/>
      <c r="O325" s="5"/>
      <c r="P325" s="5"/>
      <c r="Q325" s="5"/>
    </row>
    <row r="326" spans="1:17" ht="15.95" customHeight="1" x14ac:dyDescent="0.2">
      <c r="A326" s="38"/>
      <c r="B326" s="33"/>
      <c r="C326" s="34"/>
      <c r="D326" s="34"/>
      <c r="E326" s="34"/>
      <c r="F326" s="34"/>
      <c r="G326" s="34"/>
      <c r="H326" s="34"/>
      <c r="I326" s="33"/>
      <c r="J326" s="34"/>
      <c r="K326" s="70"/>
      <c r="L326" s="5"/>
      <c r="M326" s="5"/>
      <c r="N326" s="5"/>
      <c r="O326" s="5"/>
      <c r="P326" s="5"/>
      <c r="Q326" s="5"/>
    </row>
    <row r="327" spans="1:17" ht="15.95" customHeight="1" x14ac:dyDescent="0.2">
      <c r="A327" s="38"/>
      <c r="B327" s="33"/>
      <c r="C327" s="34"/>
      <c r="D327" s="34"/>
      <c r="E327" s="34"/>
      <c r="F327" s="34"/>
      <c r="G327" s="34"/>
      <c r="H327" s="34"/>
      <c r="I327" s="33"/>
      <c r="J327" s="34"/>
      <c r="K327" s="70"/>
      <c r="L327" s="5"/>
      <c r="M327" s="5"/>
      <c r="N327" s="5"/>
      <c r="O327" s="5"/>
      <c r="P327" s="5"/>
      <c r="Q327" s="5"/>
    </row>
    <row r="328" spans="1:17" ht="15.95" customHeight="1" x14ac:dyDescent="0.2">
      <c r="A328" s="38"/>
      <c r="B328" s="33"/>
      <c r="C328" s="34"/>
      <c r="D328" s="34"/>
      <c r="E328" s="34"/>
      <c r="F328" s="34"/>
      <c r="G328" s="34"/>
      <c r="H328" s="34"/>
      <c r="I328" s="33"/>
      <c r="J328" s="34"/>
      <c r="K328" s="70"/>
      <c r="L328" s="5"/>
      <c r="M328" s="5"/>
      <c r="N328" s="5"/>
      <c r="O328" s="5"/>
      <c r="P328" s="5"/>
      <c r="Q328" s="5"/>
    </row>
    <row r="329" spans="1:17" ht="15.95" customHeight="1" x14ac:dyDescent="0.2">
      <c r="A329" s="38"/>
      <c r="B329" s="33"/>
      <c r="C329" s="34"/>
      <c r="D329" s="34"/>
      <c r="E329" s="34"/>
      <c r="F329" s="34"/>
      <c r="G329" s="34"/>
      <c r="H329" s="34"/>
      <c r="I329" s="33"/>
      <c r="J329" s="34"/>
      <c r="K329" s="70"/>
      <c r="L329" s="5"/>
      <c r="M329" s="5"/>
      <c r="N329" s="5"/>
      <c r="O329" s="5"/>
      <c r="P329" s="5"/>
      <c r="Q329" s="5"/>
    </row>
    <row r="330" spans="1:17" ht="15.95" customHeight="1" x14ac:dyDescent="0.2">
      <c r="A330" s="38"/>
      <c r="B330" s="33"/>
      <c r="C330" s="34"/>
      <c r="D330" s="34"/>
      <c r="E330" s="34"/>
      <c r="F330" s="34"/>
      <c r="G330" s="34"/>
      <c r="H330" s="34"/>
      <c r="I330" s="33"/>
      <c r="J330" s="34"/>
      <c r="K330" s="70"/>
      <c r="L330" s="5"/>
      <c r="M330" s="5"/>
      <c r="N330" s="5"/>
      <c r="O330" s="5"/>
      <c r="P330" s="5"/>
      <c r="Q330" s="5"/>
    </row>
    <row r="331" spans="1:17" ht="15.95" customHeight="1" x14ac:dyDescent="0.2">
      <c r="A331" s="38"/>
      <c r="B331" s="33"/>
      <c r="C331" s="34"/>
      <c r="D331" s="34"/>
      <c r="E331" s="34"/>
      <c r="F331" s="34"/>
      <c r="G331" s="34"/>
      <c r="H331" s="34"/>
      <c r="I331" s="33"/>
      <c r="J331" s="34"/>
      <c r="K331" s="70"/>
      <c r="L331" s="5"/>
      <c r="M331" s="5"/>
      <c r="N331" s="5"/>
      <c r="O331" s="5"/>
      <c r="P331" s="5"/>
      <c r="Q331" s="5"/>
    </row>
    <row r="332" spans="1:17" ht="15.95" customHeight="1" x14ac:dyDescent="0.2">
      <c r="A332" s="38"/>
      <c r="B332" s="33"/>
      <c r="C332" s="34"/>
      <c r="D332" s="34"/>
      <c r="E332" s="34"/>
      <c r="F332" s="34"/>
      <c r="G332" s="34"/>
      <c r="H332" s="34"/>
      <c r="I332" s="33"/>
      <c r="J332" s="34"/>
      <c r="K332" s="70"/>
      <c r="L332" s="5"/>
      <c r="M332" s="5"/>
      <c r="N332" s="5"/>
      <c r="O332" s="5"/>
      <c r="P332" s="5"/>
      <c r="Q332" s="5"/>
    </row>
    <row r="333" spans="1:17" ht="15.95" customHeight="1" x14ac:dyDescent="0.2">
      <c r="A333" s="38"/>
      <c r="B333" s="33"/>
      <c r="C333" s="34"/>
      <c r="D333" s="34"/>
      <c r="E333" s="34"/>
      <c r="F333" s="34"/>
      <c r="G333" s="34"/>
      <c r="H333" s="34"/>
      <c r="I333" s="33"/>
      <c r="J333" s="34"/>
      <c r="K333" s="70"/>
      <c r="L333" s="5"/>
      <c r="M333" s="5"/>
      <c r="N333" s="5"/>
      <c r="O333" s="5"/>
      <c r="P333" s="5"/>
      <c r="Q333" s="5"/>
    </row>
    <row r="334" spans="1:17" ht="15.95" customHeight="1" x14ac:dyDescent="0.2">
      <c r="A334" s="38"/>
      <c r="B334" s="33"/>
      <c r="C334" s="34"/>
      <c r="D334" s="34"/>
      <c r="E334" s="34"/>
      <c r="F334" s="34"/>
      <c r="G334" s="34"/>
      <c r="H334" s="34"/>
      <c r="I334" s="33"/>
      <c r="J334" s="34"/>
      <c r="K334" s="70"/>
      <c r="L334" s="5"/>
      <c r="M334" s="5"/>
      <c r="N334" s="5"/>
      <c r="O334" s="5"/>
      <c r="P334" s="5"/>
      <c r="Q334" s="5"/>
    </row>
    <row r="335" spans="1:17" ht="15.95" customHeight="1" x14ac:dyDescent="0.2">
      <c r="A335" s="38"/>
      <c r="B335" s="33"/>
      <c r="C335" s="34"/>
      <c r="D335" s="34"/>
      <c r="E335" s="34"/>
      <c r="F335" s="34"/>
      <c r="G335" s="34"/>
      <c r="H335" s="34"/>
      <c r="I335" s="33"/>
      <c r="J335" s="34"/>
      <c r="K335" s="70"/>
      <c r="L335" s="5"/>
      <c r="M335" s="5"/>
      <c r="N335" s="5"/>
      <c r="O335" s="5"/>
      <c r="P335" s="5"/>
      <c r="Q335" s="5"/>
    </row>
    <row r="336" spans="1:17" ht="15.95" customHeight="1" x14ac:dyDescent="0.2">
      <c r="A336" s="38"/>
      <c r="B336" s="33"/>
      <c r="C336" s="34"/>
      <c r="D336" s="34"/>
      <c r="E336" s="34"/>
      <c r="F336" s="34"/>
      <c r="G336" s="34"/>
      <c r="H336" s="34"/>
      <c r="I336" s="33"/>
      <c r="J336" s="34"/>
      <c r="K336" s="70"/>
      <c r="L336" s="5"/>
      <c r="M336" s="5"/>
      <c r="N336" s="5"/>
      <c r="O336" s="5"/>
      <c r="P336" s="5"/>
      <c r="Q336" s="5"/>
    </row>
    <row r="337" spans="1:17" ht="15.95" customHeight="1" x14ac:dyDescent="0.2">
      <c r="A337" s="38"/>
      <c r="B337" s="33"/>
      <c r="C337" s="34"/>
      <c r="D337" s="34"/>
      <c r="E337" s="34"/>
      <c r="F337" s="34"/>
      <c r="G337" s="34"/>
      <c r="H337" s="34"/>
      <c r="I337" s="33"/>
      <c r="J337" s="34"/>
      <c r="K337" s="70"/>
      <c r="L337" s="5"/>
      <c r="M337" s="5"/>
      <c r="N337" s="5"/>
      <c r="O337" s="5"/>
      <c r="P337" s="5"/>
      <c r="Q337" s="5"/>
    </row>
    <row r="338" spans="1:17" ht="15.95" customHeight="1" x14ac:dyDescent="0.2">
      <c r="A338" s="38"/>
      <c r="B338" s="33"/>
      <c r="C338" s="34"/>
      <c r="D338" s="34"/>
      <c r="E338" s="34"/>
      <c r="F338" s="34"/>
      <c r="G338" s="34"/>
      <c r="H338" s="34"/>
      <c r="I338" s="33"/>
      <c r="J338" s="34"/>
      <c r="K338" s="70"/>
      <c r="L338" s="5"/>
      <c r="M338" s="5"/>
      <c r="N338" s="5"/>
      <c r="O338" s="5"/>
      <c r="P338" s="5"/>
      <c r="Q338" s="5"/>
    </row>
    <row r="339" spans="1:17" ht="15.95" customHeight="1" x14ac:dyDescent="0.2">
      <c r="A339" s="38"/>
      <c r="B339" s="33"/>
      <c r="C339" s="34"/>
      <c r="D339" s="34"/>
      <c r="E339" s="34"/>
      <c r="F339" s="34"/>
      <c r="G339" s="34"/>
      <c r="H339" s="34"/>
      <c r="I339" s="33"/>
      <c r="J339" s="34"/>
      <c r="K339" s="70"/>
      <c r="L339" s="5"/>
      <c r="M339" s="5"/>
      <c r="N339" s="5"/>
      <c r="O339" s="5"/>
      <c r="P339" s="5"/>
      <c r="Q339" s="5"/>
    </row>
    <row r="340" spans="1:17" ht="15.95" customHeight="1" x14ac:dyDescent="0.2">
      <c r="A340" s="38"/>
      <c r="B340" s="33"/>
      <c r="C340" s="34"/>
      <c r="D340" s="34"/>
      <c r="E340" s="34"/>
      <c r="F340" s="34"/>
      <c r="G340" s="34"/>
      <c r="H340" s="34"/>
      <c r="I340" s="33"/>
      <c r="J340" s="34"/>
      <c r="K340" s="70"/>
      <c r="L340" s="5"/>
      <c r="M340" s="5"/>
      <c r="N340" s="5"/>
      <c r="O340" s="5"/>
      <c r="P340" s="5"/>
      <c r="Q340" s="5"/>
    </row>
    <row r="341" spans="1:17" ht="15.95" customHeight="1" x14ac:dyDescent="0.2">
      <c r="A341" s="38"/>
      <c r="B341" s="33"/>
      <c r="C341" s="34"/>
      <c r="D341" s="34"/>
      <c r="E341" s="34"/>
      <c r="F341" s="34"/>
      <c r="G341" s="34"/>
      <c r="H341" s="34"/>
      <c r="I341" s="33"/>
      <c r="J341" s="34"/>
      <c r="K341" s="70"/>
      <c r="L341" s="5"/>
      <c r="M341" s="5"/>
      <c r="N341" s="5"/>
      <c r="O341" s="5"/>
      <c r="P341" s="5"/>
      <c r="Q341" s="5"/>
    </row>
    <row r="342" spans="1:17" ht="15.95" customHeight="1" x14ac:dyDescent="0.2">
      <c r="A342" s="38"/>
      <c r="B342" s="33"/>
      <c r="C342" s="34"/>
      <c r="D342" s="34"/>
      <c r="E342" s="34"/>
      <c r="F342" s="34"/>
      <c r="G342" s="34"/>
      <c r="H342" s="34"/>
      <c r="I342" s="33"/>
      <c r="J342" s="34"/>
      <c r="K342" s="70"/>
      <c r="L342" s="5"/>
      <c r="M342" s="5"/>
      <c r="N342" s="5"/>
      <c r="O342" s="5"/>
      <c r="P342" s="5"/>
      <c r="Q342" s="5"/>
    </row>
    <row r="343" spans="1:17" ht="15.95" customHeight="1" x14ac:dyDescent="0.2">
      <c r="A343" s="38"/>
      <c r="B343" s="33"/>
      <c r="C343" s="34"/>
      <c r="D343" s="34"/>
      <c r="E343" s="34"/>
      <c r="F343" s="34"/>
      <c r="G343" s="34"/>
      <c r="H343" s="34"/>
      <c r="I343" s="33"/>
      <c r="J343" s="34"/>
      <c r="K343" s="70"/>
      <c r="L343" s="5"/>
      <c r="M343" s="5"/>
      <c r="N343" s="5"/>
      <c r="O343" s="5"/>
      <c r="P343" s="5"/>
      <c r="Q343" s="5"/>
    </row>
    <row r="344" spans="1:17" ht="15.95" customHeight="1" x14ac:dyDescent="0.2">
      <c r="A344" s="38"/>
      <c r="B344" s="33"/>
      <c r="C344" s="34"/>
      <c r="D344" s="34"/>
      <c r="E344" s="34"/>
      <c r="F344" s="34"/>
      <c r="G344" s="34"/>
      <c r="H344" s="34"/>
      <c r="I344" s="33"/>
      <c r="J344" s="34"/>
      <c r="K344" s="70"/>
      <c r="L344" s="5"/>
      <c r="M344" s="5"/>
      <c r="N344" s="5"/>
      <c r="O344" s="5"/>
      <c r="P344" s="5"/>
      <c r="Q344" s="5"/>
    </row>
    <row r="345" spans="1:17" ht="15.95" customHeight="1" x14ac:dyDescent="0.2">
      <c r="A345" s="38"/>
      <c r="B345" s="33"/>
      <c r="C345" s="34"/>
      <c r="D345" s="34"/>
      <c r="E345" s="34"/>
      <c r="F345" s="34"/>
      <c r="G345" s="34"/>
      <c r="H345" s="34"/>
      <c r="I345" s="33"/>
      <c r="J345" s="34"/>
      <c r="K345" s="70"/>
      <c r="L345" s="5"/>
      <c r="M345" s="5"/>
      <c r="N345" s="5"/>
      <c r="O345" s="5"/>
      <c r="P345" s="5"/>
      <c r="Q345" s="5"/>
    </row>
    <row r="346" spans="1:17" ht="15.95" customHeight="1" x14ac:dyDescent="0.2">
      <c r="A346" s="38"/>
      <c r="B346" s="33"/>
      <c r="C346" s="34"/>
      <c r="D346" s="34"/>
      <c r="E346" s="34"/>
      <c r="F346" s="34"/>
      <c r="G346" s="34"/>
      <c r="H346" s="34"/>
      <c r="I346" s="33"/>
      <c r="J346" s="34"/>
      <c r="K346" s="70"/>
      <c r="L346" s="5"/>
      <c r="M346" s="5"/>
      <c r="N346" s="5"/>
      <c r="O346" s="5"/>
      <c r="P346" s="5"/>
      <c r="Q346" s="5"/>
    </row>
    <row r="347" spans="1:17" ht="15.95" customHeight="1" x14ac:dyDescent="0.2">
      <c r="A347" s="38"/>
      <c r="B347" s="33"/>
      <c r="C347" s="34"/>
      <c r="D347" s="34"/>
      <c r="E347" s="34"/>
      <c r="F347" s="34"/>
      <c r="G347" s="34"/>
      <c r="H347" s="34"/>
      <c r="I347" s="33"/>
      <c r="J347" s="34"/>
      <c r="K347" s="70"/>
      <c r="L347" s="5"/>
      <c r="M347" s="5"/>
      <c r="N347" s="5"/>
      <c r="O347" s="5"/>
      <c r="P347" s="5"/>
      <c r="Q347" s="5"/>
    </row>
    <row r="348" spans="1:17" ht="15.95" customHeight="1" x14ac:dyDescent="0.2">
      <c r="A348" s="38"/>
      <c r="B348" s="33"/>
      <c r="C348" s="34"/>
      <c r="D348" s="34"/>
      <c r="E348" s="34"/>
      <c r="F348" s="34"/>
      <c r="G348" s="34"/>
      <c r="H348" s="34"/>
      <c r="I348" s="33"/>
      <c r="J348" s="34"/>
      <c r="K348" s="70"/>
      <c r="L348" s="5"/>
      <c r="M348" s="5"/>
      <c r="N348" s="5"/>
      <c r="O348" s="5"/>
      <c r="P348" s="5"/>
      <c r="Q348" s="5"/>
    </row>
    <row r="349" spans="1:17" ht="15.95" customHeight="1" x14ac:dyDescent="0.2">
      <c r="A349" s="38"/>
      <c r="B349" s="33"/>
      <c r="C349" s="34"/>
      <c r="D349" s="34"/>
      <c r="E349" s="34"/>
      <c r="F349" s="34"/>
      <c r="G349" s="34"/>
      <c r="H349" s="34"/>
      <c r="I349" s="33"/>
      <c r="J349" s="34"/>
      <c r="K349" s="70"/>
      <c r="L349" s="5"/>
      <c r="M349" s="5"/>
      <c r="N349" s="5"/>
      <c r="O349" s="5"/>
      <c r="P349" s="5"/>
      <c r="Q349" s="5"/>
    </row>
    <row r="350" spans="1:17" ht="15.95" customHeight="1" x14ac:dyDescent="0.2">
      <c r="A350" s="38"/>
      <c r="B350" s="33"/>
      <c r="C350" s="34"/>
      <c r="D350" s="34"/>
      <c r="E350" s="34"/>
      <c r="F350" s="34"/>
      <c r="G350" s="34"/>
      <c r="H350" s="34"/>
      <c r="I350" s="33"/>
      <c r="J350" s="34"/>
      <c r="K350" s="70"/>
      <c r="L350" s="5"/>
      <c r="M350" s="5"/>
      <c r="N350" s="5"/>
      <c r="O350" s="5"/>
      <c r="P350" s="5"/>
      <c r="Q350" s="5"/>
    </row>
    <row r="351" spans="1:17" ht="15.95" customHeight="1" x14ac:dyDescent="0.2">
      <c r="A351" s="38"/>
      <c r="B351" s="33"/>
      <c r="C351" s="34"/>
      <c r="D351" s="34"/>
      <c r="E351" s="34"/>
      <c r="F351" s="34"/>
      <c r="G351" s="34"/>
      <c r="H351" s="34"/>
      <c r="I351" s="33"/>
      <c r="J351" s="34"/>
      <c r="K351" s="70"/>
      <c r="L351" s="5"/>
      <c r="M351" s="5"/>
      <c r="N351" s="5"/>
      <c r="O351" s="5"/>
      <c r="P351" s="5"/>
      <c r="Q351" s="5"/>
    </row>
    <row r="352" spans="1:17" ht="15.95" customHeight="1" x14ac:dyDescent="0.2">
      <c r="A352" s="38"/>
      <c r="B352" s="33"/>
      <c r="C352" s="34"/>
      <c r="D352" s="34"/>
      <c r="E352" s="34"/>
      <c r="F352" s="34"/>
      <c r="G352" s="34"/>
      <c r="H352" s="34"/>
      <c r="I352" s="33"/>
      <c r="J352" s="34"/>
      <c r="K352" s="70"/>
      <c r="L352" s="5"/>
      <c r="M352" s="5"/>
      <c r="N352" s="5"/>
      <c r="O352" s="5"/>
      <c r="P352" s="5"/>
      <c r="Q352" s="5"/>
    </row>
    <row r="353" spans="1:17" ht="15.95" customHeight="1" x14ac:dyDescent="0.2">
      <c r="A353" s="38"/>
      <c r="B353" s="33"/>
      <c r="C353" s="34"/>
      <c r="D353" s="34"/>
      <c r="E353" s="34"/>
      <c r="F353" s="34"/>
      <c r="G353" s="34"/>
      <c r="H353" s="34"/>
      <c r="I353" s="33"/>
      <c r="J353" s="34"/>
      <c r="K353" s="70"/>
      <c r="L353" s="5"/>
      <c r="M353" s="5"/>
      <c r="N353" s="5"/>
      <c r="O353" s="5"/>
      <c r="P353" s="5"/>
      <c r="Q353" s="5"/>
    </row>
    <row r="354" spans="1:17" ht="15.95" customHeight="1" x14ac:dyDescent="0.2">
      <c r="A354" s="38"/>
      <c r="B354" s="33"/>
      <c r="C354" s="34"/>
      <c r="D354" s="34"/>
      <c r="E354" s="34"/>
      <c r="F354" s="34"/>
      <c r="G354" s="34"/>
      <c r="H354" s="34"/>
      <c r="I354" s="33"/>
      <c r="J354" s="34"/>
      <c r="K354" s="70"/>
      <c r="L354" s="5"/>
      <c r="M354" s="5"/>
      <c r="N354" s="5"/>
      <c r="O354" s="5"/>
      <c r="P354" s="5"/>
      <c r="Q354" s="5"/>
    </row>
    <row r="355" spans="1:17" ht="15.95" customHeight="1" x14ac:dyDescent="0.2">
      <c r="A355" s="38"/>
      <c r="B355" s="33"/>
      <c r="C355" s="34"/>
      <c r="D355" s="34"/>
      <c r="E355" s="34"/>
      <c r="F355" s="34"/>
      <c r="G355" s="34"/>
      <c r="H355" s="34"/>
      <c r="I355" s="33"/>
      <c r="J355" s="34"/>
      <c r="K355" s="70"/>
      <c r="L355" s="5"/>
      <c r="M355" s="5"/>
      <c r="N355" s="5"/>
      <c r="O355" s="5"/>
      <c r="P355" s="5"/>
      <c r="Q355" s="5"/>
    </row>
    <row r="356" spans="1:17" ht="15.95" customHeight="1" x14ac:dyDescent="0.2">
      <c r="A356" s="38"/>
      <c r="B356" s="33"/>
      <c r="C356" s="34"/>
      <c r="D356" s="34"/>
      <c r="E356" s="34"/>
      <c r="F356" s="34"/>
      <c r="G356" s="34"/>
      <c r="H356" s="34"/>
      <c r="I356" s="33"/>
      <c r="J356" s="34"/>
      <c r="K356" s="70"/>
      <c r="L356" s="5"/>
      <c r="M356" s="5"/>
      <c r="N356" s="5"/>
      <c r="O356" s="5"/>
      <c r="P356" s="5"/>
      <c r="Q356" s="5"/>
    </row>
    <row r="357" spans="1:17" ht="15.95" customHeight="1" x14ac:dyDescent="0.2">
      <c r="A357" s="38"/>
      <c r="B357" s="33"/>
      <c r="C357" s="34"/>
      <c r="D357" s="34"/>
      <c r="E357" s="34"/>
      <c r="F357" s="34"/>
      <c r="G357" s="34"/>
      <c r="H357" s="34"/>
      <c r="I357" s="33"/>
      <c r="J357" s="34"/>
      <c r="K357" s="70"/>
      <c r="L357" s="5"/>
      <c r="M357" s="5"/>
      <c r="N357" s="5"/>
      <c r="O357" s="5"/>
      <c r="P357" s="5"/>
      <c r="Q357" s="5"/>
    </row>
    <row r="358" spans="1:17" ht="15.95" customHeight="1" x14ac:dyDescent="0.2">
      <c r="A358" s="38"/>
      <c r="B358" s="33"/>
      <c r="C358" s="34"/>
      <c r="D358" s="34"/>
      <c r="E358" s="34"/>
      <c r="F358" s="34"/>
      <c r="G358" s="34"/>
      <c r="H358" s="34"/>
      <c r="I358" s="33"/>
      <c r="J358" s="34"/>
      <c r="K358" s="70"/>
      <c r="L358" s="5"/>
      <c r="M358" s="5"/>
      <c r="N358" s="5"/>
      <c r="O358" s="5"/>
      <c r="P358" s="5"/>
      <c r="Q358" s="5"/>
    </row>
    <row r="359" spans="1:17" ht="15.95" customHeight="1" x14ac:dyDescent="0.2">
      <c r="A359" s="38"/>
      <c r="B359" s="33"/>
      <c r="C359" s="34"/>
      <c r="D359" s="34"/>
      <c r="E359" s="34"/>
      <c r="F359" s="34"/>
      <c r="G359" s="34"/>
      <c r="H359" s="34"/>
      <c r="I359" s="33"/>
      <c r="J359" s="34"/>
      <c r="K359" s="70"/>
      <c r="L359" s="5"/>
      <c r="M359" s="5"/>
      <c r="N359" s="5"/>
      <c r="O359" s="5"/>
      <c r="P359" s="5"/>
      <c r="Q359" s="5"/>
    </row>
    <row r="360" spans="1:17" ht="15.95" customHeight="1" x14ac:dyDescent="0.2">
      <c r="A360" s="38"/>
      <c r="B360" s="33"/>
      <c r="C360" s="34"/>
      <c r="D360" s="34"/>
      <c r="E360" s="34"/>
      <c r="F360" s="34"/>
      <c r="G360" s="34"/>
      <c r="H360" s="34"/>
      <c r="I360" s="33"/>
      <c r="J360" s="34"/>
      <c r="K360" s="70"/>
      <c r="L360" s="5"/>
      <c r="M360" s="5"/>
      <c r="N360" s="5"/>
      <c r="O360" s="5"/>
      <c r="P360" s="5"/>
      <c r="Q360" s="5"/>
    </row>
    <row r="361" spans="1:17" ht="15.95" customHeight="1" x14ac:dyDescent="0.2">
      <c r="A361" s="38"/>
      <c r="B361" s="33"/>
      <c r="C361" s="34"/>
      <c r="D361" s="34"/>
      <c r="E361" s="34"/>
      <c r="F361" s="34"/>
      <c r="G361" s="34"/>
      <c r="H361" s="34"/>
      <c r="I361" s="33"/>
      <c r="J361" s="34"/>
      <c r="K361" s="70"/>
      <c r="L361" s="5"/>
      <c r="M361" s="5"/>
      <c r="N361" s="5"/>
      <c r="O361" s="5"/>
      <c r="P361" s="5"/>
      <c r="Q361" s="5"/>
    </row>
    <row r="362" spans="1:17" ht="15.95" customHeight="1" x14ac:dyDescent="0.2">
      <c r="A362" s="38"/>
      <c r="B362" s="33"/>
      <c r="C362" s="34"/>
      <c r="D362" s="34"/>
      <c r="E362" s="34"/>
      <c r="F362" s="34"/>
      <c r="G362" s="34"/>
      <c r="H362" s="34"/>
      <c r="I362" s="33"/>
      <c r="J362" s="34"/>
      <c r="K362" s="70"/>
      <c r="L362" s="5"/>
      <c r="M362" s="5"/>
      <c r="N362" s="5"/>
      <c r="O362" s="5"/>
      <c r="P362" s="5"/>
      <c r="Q362" s="5"/>
    </row>
    <row r="363" spans="1:17" ht="15.95" customHeight="1" x14ac:dyDescent="0.2">
      <c r="A363" s="38"/>
      <c r="B363" s="33"/>
      <c r="C363" s="34"/>
      <c r="D363" s="34"/>
      <c r="E363" s="34"/>
      <c r="F363" s="34"/>
      <c r="G363" s="34"/>
      <c r="H363" s="34"/>
      <c r="I363" s="33"/>
      <c r="J363" s="34"/>
      <c r="K363" s="70"/>
      <c r="L363" s="5"/>
      <c r="M363" s="5"/>
      <c r="N363" s="5"/>
      <c r="O363" s="5"/>
      <c r="P363" s="5"/>
      <c r="Q363" s="5"/>
    </row>
    <row r="364" spans="1:17" ht="15.95" customHeight="1" x14ac:dyDescent="0.2">
      <c r="A364" s="38"/>
      <c r="B364" s="33"/>
      <c r="C364" s="34"/>
      <c r="D364" s="34"/>
      <c r="E364" s="34"/>
      <c r="F364" s="34"/>
      <c r="G364" s="34"/>
      <c r="H364" s="34"/>
      <c r="I364" s="33"/>
      <c r="J364" s="34"/>
      <c r="K364" s="70"/>
      <c r="L364" s="5"/>
      <c r="M364" s="5"/>
      <c r="N364" s="5"/>
      <c r="O364" s="5"/>
      <c r="P364" s="5"/>
      <c r="Q364" s="5"/>
    </row>
    <row r="365" spans="1:17" ht="15.95" customHeight="1" x14ac:dyDescent="0.2">
      <c r="A365" s="38"/>
      <c r="B365" s="33"/>
      <c r="C365" s="34"/>
      <c r="D365" s="34"/>
      <c r="E365" s="34"/>
      <c r="F365" s="34"/>
      <c r="G365" s="34"/>
      <c r="H365" s="34"/>
      <c r="I365" s="33"/>
      <c r="J365" s="34"/>
      <c r="K365" s="70"/>
      <c r="L365" s="5"/>
      <c r="M365" s="5"/>
      <c r="N365" s="5"/>
      <c r="O365" s="5"/>
      <c r="P365" s="5"/>
      <c r="Q365" s="5"/>
    </row>
    <row r="366" spans="1:17" ht="15.95" customHeight="1" x14ac:dyDescent="0.2">
      <c r="A366" s="38"/>
      <c r="B366" s="33"/>
      <c r="C366" s="34"/>
      <c r="D366" s="34"/>
      <c r="E366" s="34"/>
      <c r="F366" s="34"/>
      <c r="G366" s="34"/>
      <c r="H366" s="34"/>
      <c r="I366" s="33"/>
      <c r="J366" s="34"/>
      <c r="K366" s="70"/>
      <c r="L366" s="5"/>
      <c r="M366" s="5"/>
      <c r="N366" s="5"/>
      <c r="O366" s="5"/>
      <c r="P366" s="5"/>
      <c r="Q366" s="5"/>
    </row>
    <row r="367" spans="1:17" ht="15.95" customHeight="1" x14ac:dyDescent="0.2">
      <c r="A367" s="38"/>
      <c r="B367" s="33"/>
      <c r="C367" s="34"/>
      <c r="D367" s="34"/>
      <c r="E367" s="34"/>
      <c r="F367" s="34"/>
      <c r="G367" s="34"/>
      <c r="H367" s="34"/>
      <c r="I367" s="33"/>
      <c r="J367" s="34"/>
      <c r="K367" s="70"/>
      <c r="L367" s="5"/>
      <c r="M367" s="5"/>
      <c r="N367" s="5"/>
      <c r="O367" s="5"/>
      <c r="P367" s="5"/>
      <c r="Q367" s="5"/>
    </row>
    <row r="368" spans="1:17" ht="15.95" customHeight="1" x14ac:dyDescent="0.2">
      <c r="A368" s="38"/>
      <c r="B368" s="33"/>
      <c r="C368" s="34"/>
      <c r="D368" s="34"/>
      <c r="E368" s="34"/>
      <c r="F368" s="34"/>
      <c r="G368" s="34"/>
      <c r="H368" s="34"/>
      <c r="I368" s="33"/>
      <c r="J368" s="34"/>
      <c r="K368" s="70"/>
      <c r="L368" s="5"/>
      <c r="M368" s="5"/>
      <c r="N368" s="5"/>
      <c r="O368" s="5"/>
      <c r="P368" s="5"/>
      <c r="Q368" s="5"/>
    </row>
    <row r="369" spans="1:17" ht="15.95" customHeight="1" x14ac:dyDescent="0.2">
      <c r="A369" s="38"/>
      <c r="B369" s="33"/>
      <c r="C369" s="34"/>
      <c r="D369" s="34"/>
      <c r="E369" s="34"/>
      <c r="F369" s="34"/>
      <c r="G369" s="34"/>
      <c r="H369" s="34"/>
      <c r="I369" s="33"/>
      <c r="J369" s="34"/>
      <c r="K369" s="70"/>
      <c r="L369" s="5"/>
      <c r="M369" s="5"/>
      <c r="N369" s="5"/>
      <c r="O369" s="5"/>
      <c r="P369" s="5"/>
      <c r="Q369" s="5"/>
    </row>
    <row r="370" spans="1:17" ht="15.95" customHeight="1" x14ac:dyDescent="0.2">
      <c r="A370" s="38"/>
      <c r="B370" s="33"/>
      <c r="C370" s="34"/>
      <c r="D370" s="34"/>
      <c r="E370" s="34"/>
      <c r="F370" s="34"/>
      <c r="G370" s="34"/>
      <c r="H370" s="34"/>
      <c r="I370" s="33"/>
      <c r="J370" s="34"/>
      <c r="K370" s="70"/>
      <c r="L370" s="5"/>
      <c r="M370" s="5"/>
      <c r="N370" s="5"/>
      <c r="O370" s="5"/>
      <c r="P370" s="5"/>
      <c r="Q370" s="5"/>
    </row>
    <row r="371" spans="1:17" ht="15.95" customHeight="1" x14ac:dyDescent="0.2">
      <c r="A371" s="38"/>
      <c r="B371" s="33"/>
      <c r="C371" s="34"/>
      <c r="D371" s="34"/>
      <c r="E371" s="34"/>
      <c r="F371" s="34"/>
      <c r="G371" s="34"/>
      <c r="H371" s="34"/>
      <c r="I371" s="33"/>
      <c r="J371" s="34"/>
      <c r="K371" s="70"/>
      <c r="L371" s="5"/>
      <c r="M371" s="5"/>
      <c r="N371" s="5"/>
      <c r="O371" s="5"/>
      <c r="P371" s="5"/>
      <c r="Q371" s="5"/>
    </row>
    <row r="372" spans="1:17" ht="15.95" customHeight="1" x14ac:dyDescent="0.2">
      <c r="A372" s="38"/>
      <c r="B372" s="33"/>
      <c r="C372" s="34"/>
      <c r="D372" s="34"/>
      <c r="E372" s="34"/>
      <c r="F372" s="34"/>
      <c r="G372" s="34"/>
      <c r="H372" s="34"/>
      <c r="I372" s="33"/>
      <c r="J372" s="34"/>
      <c r="K372" s="70"/>
      <c r="L372" s="5"/>
      <c r="M372" s="5"/>
      <c r="N372" s="5"/>
      <c r="O372" s="5"/>
      <c r="P372" s="5"/>
      <c r="Q372" s="5"/>
    </row>
    <row r="373" spans="1:17" ht="15.95" customHeight="1" x14ac:dyDescent="0.2">
      <c r="A373" s="38"/>
      <c r="B373" s="33"/>
      <c r="C373" s="34"/>
      <c r="D373" s="34"/>
      <c r="E373" s="34"/>
      <c r="F373" s="34"/>
      <c r="G373" s="34"/>
      <c r="H373" s="34"/>
      <c r="I373" s="33"/>
      <c r="J373" s="34"/>
      <c r="K373" s="70"/>
      <c r="L373" s="5"/>
      <c r="M373" s="5"/>
      <c r="N373" s="5"/>
      <c r="O373" s="5"/>
      <c r="P373" s="5"/>
      <c r="Q373" s="5"/>
    </row>
    <row r="374" spans="1:17" ht="15.95" customHeight="1" x14ac:dyDescent="0.2">
      <c r="A374" s="38"/>
      <c r="B374" s="33"/>
      <c r="C374" s="34"/>
      <c r="D374" s="34"/>
      <c r="E374" s="34"/>
      <c r="F374" s="34"/>
      <c r="G374" s="34"/>
      <c r="H374" s="34"/>
      <c r="I374" s="33"/>
      <c r="J374" s="34"/>
      <c r="K374" s="70"/>
      <c r="L374" s="5"/>
      <c r="M374" s="5"/>
      <c r="N374" s="5"/>
      <c r="O374" s="5"/>
      <c r="P374" s="5"/>
      <c r="Q374" s="5"/>
    </row>
    <row r="375" spans="1:17" ht="15.95" customHeight="1" x14ac:dyDescent="0.2">
      <c r="A375" s="38"/>
      <c r="B375" s="33"/>
      <c r="C375" s="34"/>
      <c r="D375" s="34"/>
      <c r="E375" s="34"/>
      <c r="F375" s="34"/>
      <c r="G375" s="34"/>
      <c r="H375" s="34"/>
      <c r="I375" s="33"/>
      <c r="J375" s="34"/>
      <c r="K375" s="70"/>
      <c r="L375" s="5"/>
      <c r="M375" s="5"/>
      <c r="N375" s="5"/>
      <c r="O375" s="5"/>
      <c r="P375" s="5"/>
      <c r="Q375" s="5"/>
    </row>
    <row r="376" spans="1:17" ht="15.95" customHeight="1" x14ac:dyDescent="0.2">
      <c r="A376" s="38"/>
      <c r="B376" s="33"/>
      <c r="C376" s="34"/>
      <c r="D376" s="34"/>
      <c r="E376" s="34"/>
      <c r="F376" s="34"/>
      <c r="G376" s="34"/>
      <c r="H376" s="34"/>
      <c r="I376" s="33"/>
      <c r="J376" s="34"/>
      <c r="K376" s="70"/>
      <c r="L376" s="5"/>
      <c r="M376" s="5"/>
      <c r="N376" s="5"/>
      <c r="O376" s="5"/>
      <c r="P376" s="5"/>
      <c r="Q376" s="5"/>
    </row>
    <row r="377" spans="1:17" ht="15.95" customHeight="1" x14ac:dyDescent="0.2">
      <c r="A377" s="38"/>
      <c r="B377" s="33"/>
      <c r="C377" s="34"/>
      <c r="D377" s="34"/>
      <c r="E377" s="34"/>
      <c r="F377" s="34"/>
      <c r="G377" s="34"/>
      <c r="H377" s="34"/>
      <c r="I377" s="33"/>
      <c r="J377" s="34"/>
      <c r="K377" s="70"/>
      <c r="L377" s="5"/>
      <c r="M377" s="5"/>
      <c r="N377" s="5"/>
      <c r="O377" s="5"/>
      <c r="P377" s="5"/>
      <c r="Q377" s="5"/>
    </row>
    <row r="378" spans="1:17" ht="15.95" customHeight="1" x14ac:dyDescent="0.2">
      <c r="A378" s="38"/>
      <c r="B378" s="33"/>
      <c r="C378" s="34"/>
      <c r="D378" s="34"/>
      <c r="E378" s="34"/>
      <c r="F378" s="34"/>
      <c r="G378" s="34"/>
      <c r="H378" s="34"/>
      <c r="I378" s="33"/>
      <c r="J378" s="34"/>
      <c r="K378" s="70"/>
      <c r="L378" s="5"/>
      <c r="M378" s="5"/>
      <c r="N378" s="5"/>
      <c r="O378" s="5"/>
      <c r="P378" s="5"/>
      <c r="Q378" s="5"/>
    </row>
    <row r="379" spans="1:17" ht="15.95" customHeight="1" x14ac:dyDescent="0.2">
      <c r="A379" s="38"/>
      <c r="B379" s="33"/>
      <c r="C379" s="34"/>
      <c r="D379" s="34"/>
      <c r="E379" s="34"/>
      <c r="F379" s="34"/>
      <c r="G379" s="34"/>
      <c r="H379" s="34"/>
      <c r="I379" s="33"/>
      <c r="J379" s="34"/>
      <c r="K379" s="70"/>
      <c r="L379" s="5"/>
      <c r="M379" s="5"/>
      <c r="N379" s="5"/>
      <c r="O379" s="5"/>
      <c r="P379" s="5"/>
      <c r="Q379" s="5"/>
    </row>
    <row r="380" spans="1:17" ht="15.95" customHeight="1" x14ac:dyDescent="0.2">
      <c r="A380" s="38"/>
      <c r="B380" s="33"/>
      <c r="C380" s="34"/>
      <c r="D380" s="34"/>
      <c r="E380" s="34"/>
      <c r="F380" s="34"/>
      <c r="G380" s="34"/>
      <c r="H380" s="34"/>
      <c r="I380" s="33"/>
      <c r="J380" s="34"/>
      <c r="K380" s="70"/>
      <c r="L380" s="5"/>
      <c r="M380" s="5"/>
      <c r="N380" s="5"/>
      <c r="O380" s="5"/>
      <c r="P380" s="5"/>
      <c r="Q380" s="5"/>
    </row>
    <row r="381" spans="1:17" ht="15.95" customHeight="1" x14ac:dyDescent="0.2">
      <c r="A381" s="38"/>
      <c r="B381" s="33"/>
      <c r="C381" s="34"/>
      <c r="D381" s="34"/>
      <c r="E381" s="34"/>
      <c r="F381" s="34"/>
      <c r="G381" s="34"/>
      <c r="H381" s="34"/>
      <c r="I381" s="33"/>
      <c r="J381" s="34"/>
      <c r="K381" s="70"/>
      <c r="L381" s="5"/>
      <c r="M381" s="5"/>
      <c r="N381" s="5"/>
      <c r="O381" s="5"/>
      <c r="P381" s="5"/>
      <c r="Q381" s="5"/>
    </row>
    <row r="382" spans="1:17" ht="15.95" customHeight="1" x14ac:dyDescent="0.2">
      <c r="A382" s="38"/>
      <c r="B382" s="33"/>
      <c r="C382" s="34"/>
      <c r="D382" s="34"/>
      <c r="E382" s="34"/>
      <c r="F382" s="34"/>
      <c r="G382" s="34"/>
      <c r="H382" s="34"/>
      <c r="I382" s="33"/>
      <c r="J382" s="34"/>
      <c r="K382" s="70"/>
      <c r="L382" s="5"/>
      <c r="M382" s="5"/>
      <c r="N382" s="5"/>
      <c r="O382" s="5"/>
      <c r="P382" s="5"/>
      <c r="Q382" s="5"/>
    </row>
    <row r="383" spans="1:17" ht="15.95" customHeight="1" x14ac:dyDescent="0.2">
      <c r="A383" s="38"/>
      <c r="B383" s="33"/>
      <c r="C383" s="34"/>
      <c r="D383" s="34"/>
      <c r="E383" s="34"/>
      <c r="F383" s="34"/>
      <c r="G383" s="34"/>
      <c r="H383" s="34"/>
      <c r="I383" s="33"/>
      <c r="J383" s="34"/>
      <c r="K383" s="70"/>
      <c r="L383" s="5"/>
      <c r="M383" s="5"/>
      <c r="N383" s="5"/>
      <c r="O383" s="5"/>
      <c r="P383" s="5"/>
      <c r="Q383" s="5"/>
    </row>
    <row r="384" spans="1:17" ht="15.95" customHeight="1" x14ac:dyDescent="0.2">
      <c r="A384" s="38"/>
      <c r="B384" s="33"/>
      <c r="C384" s="34"/>
      <c r="D384" s="34"/>
      <c r="E384" s="34"/>
      <c r="F384" s="34"/>
      <c r="G384" s="34"/>
      <c r="H384" s="34"/>
      <c r="I384" s="33"/>
      <c r="J384" s="34"/>
      <c r="K384" s="70"/>
      <c r="L384" s="5"/>
      <c r="M384" s="5"/>
      <c r="N384" s="5"/>
      <c r="O384" s="5"/>
      <c r="P384" s="5"/>
      <c r="Q384" s="5"/>
    </row>
    <row r="385" spans="1:17" ht="15.95" customHeight="1" x14ac:dyDescent="0.2">
      <c r="A385" s="38"/>
      <c r="B385" s="33"/>
      <c r="C385" s="34"/>
      <c r="D385" s="34"/>
      <c r="E385" s="34"/>
      <c r="F385" s="34"/>
      <c r="G385" s="34"/>
      <c r="H385" s="34"/>
      <c r="I385" s="33"/>
      <c r="J385" s="34"/>
      <c r="K385" s="70"/>
      <c r="L385" s="5"/>
      <c r="M385" s="5"/>
      <c r="N385" s="5"/>
      <c r="O385" s="5"/>
      <c r="P385" s="5"/>
      <c r="Q385" s="5"/>
    </row>
    <row r="386" spans="1:17" ht="15.95" customHeight="1" x14ac:dyDescent="0.2">
      <c r="A386" s="38"/>
      <c r="B386" s="33"/>
      <c r="C386" s="34"/>
      <c r="D386" s="34"/>
      <c r="E386" s="34"/>
      <c r="F386" s="34"/>
      <c r="G386" s="34"/>
      <c r="H386" s="34"/>
      <c r="I386" s="33"/>
      <c r="J386" s="34"/>
      <c r="K386" s="70"/>
      <c r="L386" s="5"/>
      <c r="M386" s="5"/>
      <c r="N386" s="5"/>
      <c r="O386" s="5"/>
      <c r="P386" s="5"/>
      <c r="Q386" s="5"/>
    </row>
    <row r="387" spans="1:17" ht="15.95" customHeight="1" x14ac:dyDescent="0.2">
      <c r="A387" s="38"/>
      <c r="B387" s="33"/>
      <c r="C387" s="34"/>
      <c r="D387" s="34"/>
      <c r="E387" s="34"/>
      <c r="F387" s="34"/>
      <c r="G387" s="34"/>
      <c r="H387" s="34"/>
      <c r="I387" s="33"/>
      <c r="J387" s="34"/>
      <c r="K387" s="70"/>
      <c r="L387" s="5"/>
      <c r="M387" s="5"/>
      <c r="N387" s="5"/>
      <c r="O387" s="5"/>
      <c r="P387" s="5"/>
      <c r="Q387" s="5"/>
    </row>
    <row r="388" spans="1:17" ht="15.95" customHeight="1" x14ac:dyDescent="0.2">
      <c r="A388" s="38"/>
      <c r="B388" s="33"/>
      <c r="C388" s="34"/>
      <c r="D388" s="34"/>
      <c r="E388" s="34"/>
      <c r="F388" s="34"/>
      <c r="G388" s="34"/>
      <c r="H388" s="34"/>
      <c r="I388" s="33"/>
      <c r="J388" s="34"/>
      <c r="K388" s="70"/>
      <c r="L388" s="5"/>
      <c r="M388" s="5"/>
      <c r="N388" s="5"/>
      <c r="O388" s="5"/>
      <c r="P388" s="5"/>
      <c r="Q388" s="5"/>
    </row>
    <row r="389" spans="1:17" ht="15.95" customHeight="1" x14ac:dyDescent="0.2">
      <c r="A389" s="38"/>
      <c r="B389" s="33"/>
      <c r="C389" s="34"/>
      <c r="D389" s="34"/>
      <c r="E389" s="34"/>
      <c r="F389" s="34"/>
      <c r="G389" s="34"/>
      <c r="H389" s="34"/>
      <c r="I389" s="33"/>
      <c r="J389" s="34"/>
      <c r="K389" s="70"/>
      <c r="L389" s="5"/>
      <c r="M389" s="5"/>
      <c r="N389" s="5"/>
      <c r="O389" s="5"/>
      <c r="P389" s="5"/>
      <c r="Q389" s="5"/>
    </row>
    <row r="390" spans="1:17" ht="15.95" customHeight="1" x14ac:dyDescent="0.2">
      <c r="A390" s="38"/>
      <c r="B390" s="33"/>
      <c r="C390" s="34"/>
      <c r="D390" s="34"/>
      <c r="E390" s="34"/>
      <c r="F390" s="34"/>
      <c r="G390" s="34"/>
      <c r="H390" s="34"/>
      <c r="I390" s="33"/>
      <c r="J390" s="34"/>
      <c r="K390" s="70"/>
      <c r="L390" s="5"/>
      <c r="M390" s="5"/>
      <c r="N390" s="5"/>
      <c r="O390" s="5"/>
      <c r="P390" s="5"/>
      <c r="Q390" s="5"/>
    </row>
    <row r="391" spans="1:17" ht="15.95" customHeight="1" x14ac:dyDescent="0.2">
      <c r="A391" s="38"/>
      <c r="B391" s="33"/>
      <c r="C391" s="34"/>
      <c r="D391" s="34"/>
      <c r="E391" s="34"/>
      <c r="F391" s="34"/>
      <c r="G391" s="34"/>
      <c r="H391" s="34"/>
      <c r="I391" s="33"/>
      <c r="J391" s="34"/>
      <c r="K391" s="70"/>
      <c r="L391" s="5"/>
      <c r="M391" s="5"/>
      <c r="N391" s="5"/>
      <c r="O391" s="5"/>
      <c r="P391" s="5"/>
      <c r="Q391" s="5"/>
    </row>
    <row r="392" spans="1:17" ht="15.95" customHeight="1" x14ac:dyDescent="0.2">
      <c r="A392" s="38"/>
      <c r="B392" s="33"/>
      <c r="C392" s="34"/>
      <c r="D392" s="34"/>
      <c r="E392" s="34"/>
      <c r="F392" s="34"/>
      <c r="G392" s="34"/>
      <c r="H392" s="34"/>
      <c r="I392" s="33"/>
      <c r="J392" s="34"/>
      <c r="K392" s="70"/>
      <c r="L392" s="5"/>
      <c r="M392" s="5"/>
      <c r="N392" s="5"/>
      <c r="O392" s="5"/>
      <c r="P392" s="5"/>
      <c r="Q392" s="5"/>
    </row>
    <row r="393" spans="1:17" ht="15.95" customHeight="1" x14ac:dyDescent="0.2">
      <c r="A393" s="38"/>
      <c r="B393" s="33"/>
      <c r="C393" s="34"/>
      <c r="D393" s="34"/>
      <c r="E393" s="34"/>
      <c r="F393" s="34"/>
      <c r="G393" s="34"/>
      <c r="H393" s="34"/>
      <c r="I393" s="33"/>
      <c r="J393" s="34"/>
      <c r="K393" s="70"/>
      <c r="L393" s="5"/>
      <c r="M393" s="5"/>
      <c r="N393" s="5"/>
      <c r="O393" s="5"/>
      <c r="P393" s="5"/>
      <c r="Q393" s="5"/>
    </row>
    <row r="394" spans="1:17" ht="15.95" customHeight="1" x14ac:dyDescent="0.2">
      <c r="A394" s="38"/>
      <c r="B394" s="33"/>
      <c r="C394" s="34"/>
      <c r="D394" s="34"/>
      <c r="E394" s="34"/>
      <c r="F394" s="34"/>
      <c r="G394" s="34"/>
      <c r="H394" s="34"/>
      <c r="I394" s="33"/>
      <c r="J394" s="34"/>
      <c r="K394" s="70"/>
      <c r="L394" s="5"/>
      <c r="M394" s="5"/>
      <c r="N394" s="5"/>
      <c r="O394" s="5"/>
      <c r="P394" s="5"/>
      <c r="Q394" s="5"/>
    </row>
    <row r="395" spans="1:17" ht="15.95" customHeight="1" x14ac:dyDescent="0.2">
      <c r="A395" s="38"/>
      <c r="B395" s="33"/>
      <c r="C395" s="34"/>
      <c r="D395" s="34"/>
      <c r="E395" s="34"/>
      <c r="F395" s="34"/>
      <c r="G395" s="34"/>
      <c r="H395" s="34"/>
      <c r="I395" s="33"/>
      <c r="J395" s="34"/>
      <c r="K395" s="70"/>
      <c r="L395" s="5"/>
      <c r="M395" s="5"/>
      <c r="N395" s="5"/>
      <c r="O395" s="5"/>
      <c r="P395" s="5"/>
      <c r="Q395" s="5"/>
    </row>
    <row r="396" spans="1:17" ht="15.95" customHeight="1" x14ac:dyDescent="0.2">
      <c r="A396" s="38"/>
      <c r="B396" s="33"/>
      <c r="C396" s="34"/>
      <c r="D396" s="34"/>
      <c r="E396" s="34"/>
      <c r="F396" s="34"/>
      <c r="G396" s="34"/>
      <c r="H396" s="34"/>
      <c r="I396" s="33"/>
      <c r="J396" s="34"/>
      <c r="K396" s="70"/>
      <c r="L396" s="5"/>
      <c r="M396" s="5"/>
      <c r="N396" s="5"/>
      <c r="O396" s="5"/>
      <c r="P396" s="5"/>
      <c r="Q396" s="5"/>
    </row>
    <row r="397" spans="1:17" ht="15.95" customHeight="1" x14ac:dyDescent="0.2">
      <c r="A397" s="38"/>
      <c r="B397" s="33"/>
      <c r="C397" s="34"/>
      <c r="D397" s="34"/>
      <c r="E397" s="34"/>
      <c r="F397" s="34"/>
      <c r="G397" s="34"/>
      <c r="H397" s="34"/>
      <c r="I397" s="33"/>
      <c r="J397" s="34"/>
      <c r="K397" s="70"/>
      <c r="L397" s="5"/>
      <c r="M397" s="5"/>
      <c r="N397" s="5"/>
      <c r="O397" s="5"/>
      <c r="P397" s="5"/>
      <c r="Q397" s="5"/>
    </row>
    <row r="398" spans="1:17" ht="15.95" customHeight="1" x14ac:dyDescent="0.2">
      <c r="A398" s="38"/>
      <c r="B398" s="33"/>
      <c r="C398" s="34"/>
      <c r="D398" s="34"/>
      <c r="E398" s="34"/>
      <c r="F398" s="34"/>
      <c r="G398" s="34"/>
      <c r="H398" s="34"/>
      <c r="I398" s="33"/>
      <c r="J398" s="34"/>
      <c r="K398" s="70"/>
      <c r="L398" s="5"/>
      <c r="M398" s="5"/>
      <c r="N398" s="5"/>
      <c r="O398" s="5"/>
      <c r="P398" s="5"/>
      <c r="Q398" s="5"/>
    </row>
    <row r="399" spans="1:17" ht="15.95" customHeight="1" x14ac:dyDescent="0.2">
      <c r="A399" s="38"/>
      <c r="B399" s="33"/>
      <c r="C399" s="34"/>
      <c r="D399" s="34"/>
      <c r="E399" s="34"/>
      <c r="F399" s="34"/>
      <c r="G399" s="34"/>
      <c r="H399" s="34"/>
      <c r="I399" s="33"/>
      <c r="J399" s="34"/>
      <c r="K399" s="70"/>
      <c r="L399" s="5"/>
      <c r="M399" s="5"/>
      <c r="N399" s="5"/>
      <c r="O399" s="5"/>
      <c r="P399" s="5"/>
      <c r="Q399" s="5"/>
    </row>
    <row r="400" spans="1:17" ht="15.95" customHeight="1" x14ac:dyDescent="0.2">
      <c r="A400" s="38"/>
      <c r="B400" s="33"/>
      <c r="C400" s="34"/>
      <c r="D400" s="34"/>
      <c r="E400" s="34"/>
      <c r="F400" s="34"/>
      <c r="G400" s="34"/>
      <c r="H400" s="34"/>
      <c r="I400" s="33"/>
      <c r="J400" s="34"/>
      <c r="K400" s="70"/>
      <c r="L400" s="5"/>
      <c r="M400" s="5"/>
      <c r="N400" s="5"/>
      <c r="O400" s="5"/>
      <c r="P400" s="5"/>
      <c r="Q400" s="5"/>
    </row>
    <row r="401" spans="1:17" ht="15.95" customHeight="1" x14ac:dyDescent="0.2">
      <c r="A401" s="38"/>
      <c r="B401" s="33"/>
      <c r="C401" s="34"/>
      <c r="D401" s="34"/>
      <c r="E401" s="34"/>
      <c r="F401" s="34"/>
      <c r="G401" s="34"/>
      <c r="H401" s="34"/>
      <c r="I401" s="33"/>
      <c r="J401" s="34"/>
      <c r="K401" s="70"/>
      <c r="L401" s="5"/>
      <c r="M401" s="5"/>
      <c r="N401" s="5"/>
      <c r="O401" s="5"/>
      <c r="P401" s="5"/>
      <c r="Q401" s="5"/>
    </row>
    <row r="402" spans="1:17" ht="15.95" customHeight="1" x14ac:dyDescent="0.2">
      <c r="A402" s="38"/>
      <c r="B402" s="33"/>
      <c r="C402" s="34"/>
      <c r="D402" s="34"/>
      <c r="E402" s="34"/>
      <c r="F402" s="34"/>
      <c r="G402" s="34"/>
      <c r="H402" s="34"/>
      <c r="I402" s="33"/>
      <c r="J402" s="34"/>
      <c r="K402" s="70"/>
      <c r="L402" s="5"/>
      <c r="M402" s="5"/>
      <c r="N402" s="5"/>
      <c r="O402" s="5"/>
      <c r="P402" s="5"/>
      <c r="Q402" s="5"/>
    </row>
    <row r="403" spans="1:17" ht="15.95" customHeight="1" x14ac:dyDescent="0.2">
      <c r="A403" s="38"/>
      <c r="B403" s="33"/>
      <c r="C403" s="34"/>
      <c r="D403" s="34"/>
      <c r="E403" s="34"/>
      <c r="F403" s="34"/>
      <c r="G403" s="34"/>
      <c r="H403" s="34"/>
      <c r="I403" s="33"/>
      <c r="J403" s="34"/>
      <c r="K403" s="70"/>
      <c r="L403" s="5"/>
      <c r="M403" s="5"/>
      <c r="N403" s="5"/>
      <c r="O403" s="5"/>
      <c r="P403" s="5"/>
      <c r="Q403" s="5"/>
    </row>
    <row r="404" spans="1:17" ht="15.95" customHeight="1" x14ac:dyDescent="0.2">
      <c r="A404" s="38"/>
      <c r="B404" s="33"/>
      <c r="C404" s="34"/>
      <c r="D404" s="34"/>
      <c r="E404" s="34"/>
      <c r="F404" s="34"/>
      <c r="G404" s="34"/>
      <c r="H404" s="34"/>
      <c r="I404" s="33"/>
      <c r="J404" s="34"/>
      <c r="K404" s="70"/>
      <c r="L404" s="5"/>
      <c r="M404" s="5"/>
      <c r="N404" s="5"/>
      <c r="O404" s="5"/>
      <c r="P404" s="5"/>
      <c r="Q404" s="5"/>
    </row>
    <row r="405" spans="1:17" ht="15.95" customHeight="1" x14ac:dyDescent="0.2">
      <c r="A405" s="38"/>
      <c r="B405" s="33"/>
      <c r="C405" s="34"/>
      <c r="D405" s="34"/>
      <c r="E405" s="34"/>
      <c r="F405" s="34"/>
      <c r="G405" s="34"/>
      <c r="H405" s="34"/>
      <c r="I405" s="33"/>
      <c r="J405" s="34"/>
      <c r="K405" s="70"/>
      <c r="L405" s="5"/>
      <c r="M405" s="5"/>
      <c r="N405" s="5"/>
      <c r="O405" s="5"/>
      <c r="P405" s="5"/>
      <c r="Q405" s="5"/>
    </row>
    <row r="406" spans="1:17" ht="15.95" customHeight="1" x14ac:dyDescent="0.2">
      <c r="A406" s="38"/>
      <c r="B406" s="33"/>
      <c r="C406" s="34"/>
      <c r="D406" s="34"/>
      <c r="E406" s="34"/>
      <c r="F406" s="34"/>
      <c r="G406" s="34"/>
      <c r="H406" s="34"/>
      <c r="I406" s="33"/>
      <c r="J406" s="34"/>
      <c r="K406" s="70"/>
      <c r="L406" s="5"/>
      <c r="M406" s="5"/>
      <c r="N406" s="5"/>
      <c r="O406" s="5"/>
      <c r="P406" s="5"/>
      <c r="Q406" s="5"/>
    </row>
    <row r="407" spans="1:17" ht="15.95" customHeight="1" x14ac:dyDescent="0.2">
      <c r="A407" s="38"/>
      <c r="B407" s="33"/>
      <c r="C407" s="34"/>
      <c r="D407" s="34"/>
      <c r="E407" s="34"/>
      <c r="F407" s="34"/>
      <c r="G407" s="34"/>
      <c r="H407" s="34"/>
      <c r="I407" s="33"/>
      <c r="J407" s="34"/>
      <c r="K407" s="70"/>
      <c r="L407" s="5"/>
      <c r="M407" s="5"/>
      <c r="N407" s="5"/>
      <c r="O407" s="5"/>
      <c r="P407" s="5"/>
      <c r="Q407" s="5"/>
    </row>
    <row r="408" spans="1:17" ht="15.95" customHeight="1" x14ac:dyDescent="0.2">
      <c r="A408" s="38"/>
      <c r="B408" s="33"/>
      <c r="C408" s="34"/>
      <c r="D408" s="34"/>
      <c r="E408" s="34"/>
      <c r="F408" s="34"/>
      <c r="G408" s="34"/>
      <c r="H408" s="34"/>
      <c r="I408" s="33"/>
      <c r="J408" s="34"/>
      <c r="K408" s="70"/>
      <c r="L408" s="5"/>
      <c r="M408" s="5"/>
      <c r="N408" s="5"/>
      <c r="O408" s="5"/>
      <c r="P408" s="5"/>
      <c r="Q408" s="5"/>
    </row>
    <row r="409" spans="1:17" ht="15.95" customHeight="1" x14ac:dyDescent="0.2">
      <c r="A409" s="38"/>
      <c r="B409" s="33"/>
      <c r="C409" s="34"/>
      <c r="D409" s="34"/>
      <c r="E409" s="34"/>
      <c r="F409" s="34"/>
      <c r="G409" s="34"/>
      <c r="H409" s="34"/>
      <c r="I409" s="33"/>
      <c r="J409" s="34"/>
      <c r="K409" s="70"/>
      <c r="L409" s="5"/>
      <c r="M409" s="5"/>
      <c r="N409" s="5"/>
      <c r="O409" s="5"/>
      <c r="P409" s="5"/>
      <c r="Q409" s="5"/>
    </row>
    <row r="410" spans="1:17" ht="15.95" customHeight="1" x14ac:dyDescent="0.2">
      <c r="A410" s="38"/>
      <c r="B410" s="33"/>
      <c r="C410" s="34"/>
      <c r="D410" s="34"/>
      <c r="E410" s="34"/>
      <c r="F410" s="34"/>
      <c r="G410" s="34"/>
      <c r="H410" s="34"/>
      <c r="I410" s="33"/>
      <c r="J410" s="34"/>
      <c r="K410" s="70"/>
      <c r="L410" s="5"/>
      <c r="M410" s="5"/>
      <c r="N410" s="5"/>
      <c r="O410" s="5"/>
      <c r="P410" s="5"/>
      <c r="Q410" s="5"/>
    </row>
    <row r="411" spans="1:17" ht="15.95" customHeight="1" x14ac:dyDescent="0.2">
      <c r="A411" s="38"/>
      <c r="B411" s="33"/>
      <c r="C411" s="34"/>
      <c r="D411" s="34"/>
      <c r="E411" s="34"/>
      <c r="F411" s="34"/>
      <c r="G411" s="34"/>
      <c r="H411" s="34"/>
      <c r="I411" s="33"/>
      <c r="J411" s="34"/>
      <c r="K411" s="70"/>
      <c r="L411" s="5"/>
      <c r="M411" s="5"/>
      <c r="N411" s="5"/>
      <c r="O411" s="5"/>
      <c r="P411" s="5"/>
      <c r="Q411" s="5"/>
    </row>
    <row r="412" spans="1:17" ht="15.95" customHeight="1" x14ac:dyDescent="0.2">
      <c r="A412" s="38"/>
      <c r="B412" s="33"/>
      <c r="C412" s="34"/>
      <c r="D412" s="34"/>
      <c r="E412" s="34"/>
      <c r="F412" s="34"/>
      <c r="G412" s="34"/>
      <c r="H412" s="34"/>
      <c r="I412" s="33"/>
      <c r="J412" s="34"/>
      <c r="K412" s="70"/>
      <c r="L412" s="5"/>
      <c r="M412" s="5"/>
      <c r="N412" s="5"/>
      <c r="O412" s="5"/>
      <c r="P412" s="5"/>
      <c r="Q412" s="5"/>
    </row>
    <row r="413" spans="1:17" ht="15.95" customHeight="1" x14ac:dyDescent="0.2">
      <c r="A413" s="38"/>
      <c r="B413" s="33"/>
      <c r="C413" s="34"/>
      <c r="D413" s="34"/>
      <c r="E413" s="34"/>
      <c r="F413" s="34"/>
      <c r="G413" s="34"/>
      <c r="H413" s="34"/>
      <c r="I413" s="33"/>
      <c r="J413" s="34"/>
      <c r="K413" s="70"/>
      <c r="L413" s="5"/>
      <c r="M413" s="5"/>
      <c r="N413" s="5"/>
      <c r="O413" s="5"/>
      <c r="P413" s="5"/>
      <c r="Q413" s="5"/>
    </row>
    <row r="414" spans="1:17" ht="15.95" customHeight="1" x14ac:dyDescent="0.2">
      <c r="A414" s="38"/>
      <c r="B414" s="33"/>
      <c r="C414" s="34"/>
      <c r="D414" s="34"/>
      <c r="E414" s="34"/>
      <c r="F414" s="34"/>
      <c r="G414" s="34"/>
      <c r="H414" s="34"/>
      <c r="I414" s="33"/>
      <c r="J414" s="34"/>
      <c r="K414" s="70"/>
      <c r="L414" s="5"/>
      <c r="M414" s="5"/>
      <c r="N414" s="5"/>
      <c r="O414" s="5"/>
      <c r="P414" s="5"/>
      <c r="Q414" s="5"/>
    </row>
    <row r="415" spans="1:17" ht="15.95" customHeight="1" x14ac:dyDescent="0.2">
      <c r="A415" s="38"/>
      <c r="B415" s="33"/>
      <c r="C415" s="34"/>
      <c r="D415" s="34"/>
      <c r="E415" s="34"/>
      <c r="F415" s="34"/>
      <c r="G415" s="34"/>
      <c r="H415" s="34"/>
      <c r="I415" s="33"/>
      <c r="J415" s="34"/>
      <c r="K415" s="70"/>
      <c r="L415" s="5"/>
      <c r="M415" s="5"/>
      <c r="N415" s="5"/>
      <c r="O415" s="5"/>
      <c r="P415" s="5"/>
      <c r="Q415" s="5"/>
    </row>
    <row r="416" spans="1:17" ht="15.95" customHeight="1" x14ac:dyDescent="0.2">
      <c r="A416" s="38"/>
      <c r="B416" s="33"/>
      <c r="C416" s="34"/>
      <c r="D416" s="34"/>
      <c r="E416" s="34"/>
      <c r="F416" s="34"/>
      <c r="G416" s="34"/>
      <c r="H416" s="34"/>
      <c r="I416" s="33"/>
      <c r="J416" s="34"/>
      <c r="K416" s="70"/>
      <c r="L416" s="5"/>
      <c r="M416" s="5"/>
      <c r="N416" s="5"/>
      <c r="O416" s="5"/>
      <c r="P416" s="5"/>
      <c r="Q416" s="5"/>
    </row>
    <row r="417" spans="1:17" ht="15.95" customHeight="1" x14ac:dyDescent="0.2">
      <c r="A417" s="38"/>
      <c r="B417" s="33"/>
      <c r="C417" s="34"/>
      <c r="D417" s="34"/>
      <c r="E417" s="34"/>
      <c r="F417" s="34"/>
      <c r="G417" s="34"/>
      <c r="H417" s="34"/>
      <c r="I417" s="33"/>
      <c r="J417" s="34"/>
      <c r="K417" s="70"/>
      <c r="L417" s="5"/>
      <c r="M417" s="5"/>
      <c r="N417" s="5"/>
      <c r="O417" s="5"/>
      <c r="P417" s="5"/>
      <c r="Q417" s="5"/>
    </row>
    <row r="418" spans="1:17" ht="15.95" customHeight="1" x14ac:dyDescent="0.2">
      <c r="A418" s="38"/>
      <c r="B418" s="33"/>
      <c r="C418" s="34"/>
      <c r="D418" s="34"/>
      <c r="E418" s="34"/>
      <c r="F418" s="34"/>
      <c r="G418" s="34"/>
      <c r="H418" s="34"/>
      <c r="I418" s="33"/>
      <c r="J418" s="34"/>
      <c r="K418" s="70"/>
      <c r="L418" s="5"/>
      <c r="M418" s="5"/>
      <c r="N418" s="5"/>
      <c r="O418" s="5"/>
      <c r="P418" s="5"/>
      <c r="Q418" s="5"/>
    </row>
    <row r="419" spans="1:17" ht="15.95" customHeight="1" x14ac:dyDescent="0.2">
      <c r="A419" s="38"/>
      <c r="B419" s="33"/>
      <c r="C419" s="34"/>
      <c r="D419" s="34"/>
      <c r="E419" s="34"/>
      <c r="F419" s="34"/>
      <c r="G419" s="34"/>
      <c r="H419" s="34"/>
      <c r="I419" s="33"/>
      <c r="J419" s="34"/>
      <c r="K419" s="70"/>
      <c r="L419" s="5"/>
      <c r="M419" s="5"/>
      <c r="N419" s="5"/>
      <c r="O419" s="5"/>
      <c r="P419" s="5"/>
      <c r="Q419" s="5"/>
    </row>
    <row r="420" spans="1:17" ht="15.95" customHeight="1" x14ac:dyDescent="0.2">
      <c r="A420" s="38"/>
      <c r="B420" s="33"/>
      <c r="C420" s="34"/>
      <c r="D420" s="34"/>
      <c r="E420" s="34"/>
      <c r="F420" s="34"/>
      <c r="G420" s="34"/>
      <c r="H420" s="34"/>
      <c r="I420" s="33"/>
      <c r="J420" s="34"/>
      <c r="K420" s="70"/>
      <c r="L420" s="5"/>
      <c r="M420" s="5"/>
      <c r="N420" s="5"/>
      <c r="O420" s="5"/>
      <c r="P420" s="5"/>
      <c r="Q420" s="5"/>
    </row>
    <row r="421" spans="1:17" ht="15.95" customHeight="1" x14ac:dyDescent="0.2">
      <c r="A421" s="38"/>
      <c r="B421" s="33"/>
      <c r="C421" s="34"/>
      <c r="D421" s="34"/>
      <c r="E421" s="34"/>
      <c r="F421" s="34"/>
      <c r="G421" s="34"/>
      <c r="H421" s="34"/>
      <c r="I421" s="33"/>
      <c r="J421" s="34"/>
      <c r="K421" s="70"/>
      <c r="L421" s="5"/>
      <c r="M421" s="5"/>
      <c r="N421" s="5"/>
      <c r="O421" s="5"/>
      <c r="P421" s="5"/>
      <c r="Q421" s="5"/>
    </row>
    <row r="422" spans="1:17" ht="15.95" customHeight="1" x14ac:dyDescent="0.2">
      <c r="A422" s="38"/>
      <c r="B422" s="33"/>
      <c r="C422" s="34"/>
      <c r="D422" s="34"/>
      <c r="E422" s="34"/>
      <c r="F422" s="34"/>
      <c r="G422" s="34"/>
      <c r="H422" s="34"/>
      <c r="I422" s="33"/>
      <c r="J422" s="34"/>
      <c r="K422" s="70"/>
      <c r="L422" s="5"/>
      <c r="M422" s="5"/>
      <c r="N422" s="5"/>
      <c r="O422" s="5"/>
      <c r="P422" s="5"/>
      <c r="Q422" s="5"/>
    </row>
    <row r="423" spans="1:17" ht="15.95" customHeight="1" x14ac:dyDescent="0.2">
      <c r="A423" s="38"/>
      <c r="B423" s="33"/>
      <c r="C423" s="34"/>
      <c r="D423" s="34"/>
      <c r="E423" s="34"/>
      <c r="F423" s="34"/>
      <c r="G423" s="34"/>
      <c r="H423" s="34"/>
      <c r="I423" s="33"/>
      <c r="J423" s="34"/>
      <c r="K423" s="70"/>
      <c r="L423" s="5"/>
      <c r="M423" s="5"/>
      <c r="N423" s="5"/>
      <c r="O423" s="5"/>
      <c r="P423" s="5"/>
      <c r="Q423" s="5"/>
    </row>
    <row r="424" spans="1:17" ht="15.95" customHeight="1" x14ac:dyDescent="0.2">
      <c r="A424" s="38"/>
      <c r="B424" s="33"/>
      <c r="C424" s="34"/>
      <c r="D424" s="34"/>
      <c r="E424" s="34"/>
      <c r="F424" s="34"/>
      <c r="G424" s="34"/>
      <c r="H424" s="34"/>
      <c r="I424" s="33"/>
      <c r="J424" s="34"/>
      <c r="K424" s="70"/>
      <c r="L424" s="5"/>
      <c r="M424" s="5"/>
      <c r="N424" s="5"/>
      <c r="O424" s="5"/>
      <c r="P424" s="5"/>
      <c r="Q424" s="5"/>
    </row>
    <row r="425" spans="1:17" ht="15.95" customHeight="1" x14ac:dyDescent="0.2">
      <c r="A425" s="38"/>
      <c r="B425" s="33"/>
      <c r="C425" s="34"/>
      <c r="D425" s="34"/>
      <c r="E425" s="34"/>
      <c r="F425" s="34"/>
      <c r="G425" s="34"/>
      <c r="H425" s="34"/>
      <c r="I425" s="33"/>
      <c r="J425" s="34"/>
      <c r="K425" s="70"/>
      <c r="L425" s="5"/>
      <c r="M425" s="5"/>
      <c r="N425" s="5"/>
      <c r="O425" s="5"/>
      <c r="P425" s="5"/>
      <c r="Q425" s="5"/>
    </row>
    <row r="426" spans="1:17" ht="15.95" customHeight="1" x14ac:dyDescent="0.2">
      <c r="A426" s="38"/>
      <c r="B426" s="33"/>
      <c r="C426" s="34"/>
      <c r="D426" s="34"/>
      <c r="E426" s="34"/>
      <c r="F426" s="34"/>
      <c r="G426" s="34"/>
      <c r="H426" s="34"/>
      <c r="I426" s="33"/>
      <c r="J426" s="34"/>
      <c r="K426" s="70"/>
      <c r="L426" s="5"/>
      <c r="M426" s="5"/>
      <c r="N426" s="5"/>
      <c r="O426" s="5"/>
      <c r="P426" s="5"/>
      <c r="Q426" s="5"/>
    </row>
    <row r="427" spans="1:17" ht="15.95" customHeight="1" x14ac:dyDescent="0.2">
      <c r="A427" s="38"/>
      <c r="B427" s="33"/>
      <c r="C427" s="34"/>
      <c r="D427" s="34"/>
      <c r="E427" s="34"/>
      <c r="F427" s="34"/>
      <c r="G427" s="34"/>
      <c r="H427" s="34"/>
      <c r="I427" s="33"/>
      <c r="J427" s="34"/>
      <c r="K427" s="70"/>
      <c r="L427" s="5"/>
      <c r="M427" s="5"/>
      <c r="N427" s="5"/>
      <c r="O427" s="5"/>
      <c r="P427" s="5"/>
      <c r="Q427" s="5"/>
    </row>
    <row r="428" spans="1:17" ht="15.95" customHeight="1" x14ac:dyDescent="0.2">
      <c r="A428" s="38"/>
      <c r="B428" s="33"/>
      <c r="C428" s="34"/>
      <c r="D428" s="34"/>
      <c r="E428" s="34"/>
      <c r="F428" s="34"/>
      <c r="G428" s="34"/>
      <c r="H428" s="34"/>
      <c r="I428" s="33"/>
      <c r="J428" s="34"/>
      <c r="K428" s="70"/>
      <c r="L428" s="5"/>
      <c r="M428" s="5"/>
      <c r="N428" s="5"/>
      <c r="O428" s="5"/>
      <c r="P428" s="5"/>
      <c r="Q428" s="5"/>
    </row>
    <row r="429" spans="1:17" ht="15.95" customHeight="1" x14ac:dyDescent="0.2">
      <c r="A429" s="38"/>
      <c r="B429" s="33"/>
      <c r="C429" s="34"/>
      <c r="D429" s="34"/>
      <c r="E429" s="34"/>
      <c r="F429" s="34"/>
      <c r="G429" s="34"/>
      <c r="H429" s="34"/>
      <c r="I429" s="33"/>
      <c r="J429" s="34"/>
      <c r="K429" s="70"/>
      <c r="L429" s="5"/>
      <c r="M429" s="5"/>
      <c r="N429" s="5"/>
      <c r="O429" s="5"/>
      <c r="P429" s="5"/>
      <c r="Q429" s="5"/>
    </row>
    <row r="430" spans="1:17" ht="15.95" customHeight="1" x14ac:dyDescent="0.2">
      <c r="A430" s="38"/>
      <c r="B430" s="33"/>
      <c r="C430" s="34"/>
      <c r="D430" s="34"/>
      <c r="E430" s="34"/>
      <c r="F430" s="34"/>
      <c r="G430" s="34"/>
      <c r="H430" s="34"/>
      <c r="I430" s="33"/>
      <c r="J430" s="34"/>
      <c r="K430" s="70"/>
      <c r="L430" s="5"/>
      <c r="M430" s="5"/>
      <c r="N430" s="5"/>
      <c r="O430" s="5"/>
      <c r="P430" s="5"/>
      <c r="Q430" s="5"/>
    </row>
    <row r="431" spans="1:17" ht="15.95" customHeight="1" x14ac:dyDescent="0.2">
      <c r="A431" s="38"/>
      <c r="B431" s="33"/>
      <c r="C431" s="34"/>
      <c r="D431" s="34"/>
      <c r="E431" s="34"/>
      <c r="F431" s="34"/>
      <c r="G431" s="34"/>
      <c r="H431" s="34"/>
      <c r="I431" s="33"/>
      <c r="J431" s="34"/>
      <c r="K431" s="70"/>
      <c r="L431" s="5"/>
      <c r="M431" s="5"/>
      <c r="N431" s="5"/>
      <c r="O431" s="5"/>
      <c r="P431" s="5"/>
      <c r="Q431" s="5"/>
    </row>
    <row r="432" spans="1:17" ht="15.95" customHeight="1" x14ac:dyDescent="0.2">
      <c r="A432" s="38"/>
      <c r="B432" s="33"/>
      <c r="C432" s="34"/>
      <c r="D432" s="34"/>
      <c r="E432" s="34"/>
      <c r="F432" s="34"/>
      <c r="G432" s="34"/>
      <c r="H432" s="34"/>
      <c r="I432" s="33"/>
      <c r="J432" s="34"/>
      <c r="K432" s="70"/>
      <c r="L432" s="5"/>
      <c r="M432" s="5"/>
      <c r="N432" s="5"/>
      <c r="O432" s="5"/>
      <c r="P432" s="5"/>
      <c r="Q432" s="5"/>
    </row>
    <row r="433" spans="1:17" ht="15.95" customHeight="1" x14ac:dyDescent="0.2">
      <c r="A433" s="38"/>
      <c r="B433" s="33"/>
      <c r="C433" s="34"/>
      <c r="D433" s="34"/>
      <c r="E433" s="34"/>
      <c r="F433" s="34"/>
      <c r="G433" s="34"/>
      <c r="H433" s="34"/>
      <c r="I433" s="33"/>
      <c r="J433" s="34"/>
      <c r="K433" s="70"/>
      <c r="L433" s="5"/>
      <c r="M433" s="5"/>
      <c r="N433" s="5"/>
      <c r="O433" s="5"/>
      <c r="P433" s="5"/>
      <c r="Q433" s="5"/>
    </row>
    <row r="434" spans="1:17" ht="15.95" customHeight="1" x14ac:dyDescent="0.2">
      <c r="A434" s="38"/>
      <c r="B434" s="33"/>
      <c r="C434" s="34"/>
      <c r="D434" s="34"/>
      <c r="E434" s="34"/>
      <c r="F434" s="34"/>
      <c r="G434" s="34"/>
      <c r="H434" s="34"/>
      <c r="I434" s="33"/>
      <c r="J434" s="34"/>
      <c r="K434" s="70"/>
      <c r="L434" s="5"/>
      <c r="M434" s="5"/>
      <c r="N434" s="5"/>
      <c r="O434" s="5"/>
      <c r="P434" s="5"/>
      <c r="Q434" s="5"/>
    </row>
    <row r="435" spans="1:17" ht="15.95" customHeight="1" x14ac:dyDescent="0.2">
      <c r="A435" s="38"/>
      <c r="B435" s="33"/>
      <c r="C435" s="34"/>
      <c r="D435" s="34"/>
      <c r="E435" s="34"/>
      <c r="F435" s="34"/>
      <c r="G435" s="34"/>
      <c r="H435" s="34"/>
      <c r="I435" s="33"/>
      <c r="J435" s="34"/>
      <c r="K435" s="70"/>
      <c r="L435" s="5"/>
      <c r="M435" s="5"/>
      <c r="N435" s="5"/>
      <c r="O435" s="5"/>
      <c r="P435" s="5"/>
      <c r="Q435" s="5"/>
    </row>
    <row r="436" spans="1:17" ht="15.95" customHeight="1" x14ac:dyDescent="0.2">
      <c r="A436" s="38"/>
      <c r="B436" s="33"/>
      <c r="C436" s="34"/>
      <c r="D436" s="34"/>
      <c r="E436" s="34"/>
      <c r="F436" s="34"/>
      <c r="G436" s="34"/>
      <c r="H436" s="34"/>
      <c r="I436" s="33"/>
      <c r="J436" s="34"/>
      <c r="K436" s="70"/>
      <c r="L436" s="5"/>
      <c r="M436" s="5"/>
      <c r="N436" s="5"/>
      <c r="O436" s="5"/>
      <c r="P436" s="5"/>
      <c r="Q436" s="5"/>
    </row>
    <row r="437" spans="1:17" ht="15.95" customHeight="1" x14ac:dyDescent="0.2">
      <c r="A437" s="38"/>
      <c r="B437" s="33"/>
      <c r="C437" s="34"/>
      <c r="D437" s="34"/>
      <c r="E437" s="34"/>
      <c r="F437" s="34"/>
      <c r="G437" s="34"/>
      <c r="H437" s="34"/>
      <c r="I437" s="33"/>
      <c r="J437" s="34"/>
      <c r="K437" s="70"/>
      <c r="L437" s="5"/>
      <c r="M437" s="5"/>
      <c r="N437" s="5"/>
      <c r="O437" s="5"/>
      <c r="P437" s="5"/>
      <c r="Q437" s="5"/>
    </row>
    <row r="438" spans="1:17" ht="15.95" customHeight="1" x14ac:dyDescent="0.2">
      <c r="A438" s="38"/>
      <c r="B438" s="33"/>
      <c r="C438" s="34"/>
      <c r="D438" s="34"/>
      <c r="E438" s="34"/>
      <c r="F438" s="34"/>
      <c r="G438" s="34"/>
      <c r="H438" s="34"/>
      <c r="I438" s="33"/>
      <c r="J438" s="34"/>
      <c r="K438" s="70"/>
      <c r="L438" s="5"/>
      <c r="M438" s="5"/>
      <c r="N438" s="5"/>
      <c r="O438" s="5"/>
      <c r="P438" s="5"/>
      <c r="Q438" s="5"/>
    </row>
    <row r="439" spans="1:17" ht="15.95" customHeight="1" x14ac:dyDescent="0.2">
      <c r="A439" s="38"/>
      <c r="B439" s="33"/>
      <c r="C439" s="34"/>
      <c r="D439" s="34"/>
      <c r="E439" s="34"/>
      <c r="F439" s="34"/>
      <c r="G439" s="34"/>
      <c r="H439" s="34"/>
      <c r="I439" s="33"/>
      <c r="J439" s="34"/>
      <c r="K439" s="70"/>
      <c r="L439" s="5"/>
      <c r="M439" s="5"/>
      <c r="N439" s="5"/>
      <c r="O439" s="5"/>
      <c r="P439" s="5"/>
      <c r="Q439" s="5"/>
    </row>
    <row r="440" spans="1:17" ht="15.95" customHeight="1" x14ac:dyDescent="0.2">
      <c r="A440" s="38"/>
      <c r="B440" s="33"/>
      <c r="C440" s="34"/>
      <c r="D440" s="34"/>
      <c r="E440" s="34"/>
      <c r="F440" s="34"/>
      <c r="G440" s="34"/>
      <c r="H440" s="34"/>
      <c r="I440" s="33"/>
      <c r="J440" s="34"/>
      <c r="K440" s="70"/>
      <c r="L440" s="5"/>
      <c r="M440" s="5"/>
      <c r="N440" s="5"/>
      <c r="O440" s="5"/>
      <c r="P440" s="5"/>
      <c r="Q440" s="5"/>
    </row>
    <row r="441" spans="1:17" ht="15.95" customHeight="1" x14ac:dyDescent="0.2">
      <c r="A441" s="38"/>
      <c r="B441" s="33"/>
      <c r="C441" s="34"/>
      <c r="D441" s="34"/>
      <c r="E441" s="34"/>
      <c r="F441" s="34"/>
      <c r="G441" s="34"/>
      <c r="H441" s="34"/>
      <c r="I441" s="33"/>
      <c r="J441" s="34"/>
      <c r="K441" s="70"/>
      <c r="L441" s="5"/>
      <c r="M441" s="5"/>
      <c r="N441" s="5"/>
      <c r="O441" s="5"/>
      <c r="P441" s="5"/>
      <c r="Q441" s="5"/>
    </row>
    <row r="442" spans="1:17" ht="15.95" customHeight="1" x14ac:dyDescent="0.2">
      <c r="A442" s="38"/>
      <c r="B442" s="33"/>
      <c r="C442" s="34"/>
      <c r="D442" s="34"/>
      <c r="E442" s="34"/>
      <c r="F442" s="34"/>
      <c r="G442" s="34"/>
      <c r="H442" s="34"/>
      <c r="I442" s="33"/>
      <c r="J442" s="34"/>
      <c r="K442" s="70"/>
      <c r="L442" s="5"/>
      <c r="M442" s="5"/>
      <c r="N442" s="5"/>
      <c r="O442" s="5"/>
      <c r="P442" s="5"/>
      <c r="Q442" s="5"/>
    </row>
    <row r="443" spans="1:17" ht="15.95" customHeight="1" x14ac:dyDescent="0.2">
      <c r="A443" s="38"/>
      <c r="B443" s="33"/>
      <c r="C443" s="34"/>
      <c r="D443" s="34"/>
      <c r="E443" s="34"/>
      <c r="F443" s="34"/>
      <c r="G443" s="34"/>
      <c r="H443" s="34"/>
      <c r="I443" s="33"/>
      <c r="J443" s="34"/>
      <c r="K443" s="70"/>
      <c r="L443" s="5"/>
      <c r="M443" s="5"/>
      <c r="N443" s="5"/>
      <c r="O443" s="5"/>
      <c r="P443" s="5"/>
      <c r="Q443" s="5"/>
    </row>
    <row r="444" spans="1:17" ht="15.95" customHeight="1" x14ac:dyDescent="0.2">
      <c r="A444" s="38"/>
      <c r="B444" s="33"/>
      <c r="C444" s="34"/>
      <c r="D444" s="34"/>
      <c r="E444" s="34"/>
      <c r="F444" s="34"/>
      <c r="G444" s="34"/>
      <c r="H444" s="34"/>
      <c r="I444" s="33"/>
      <c r="J444" s="34"/>
      <c r="K444" s="70"/>
      <c r="L444" s="5"/>
      <c r="M444" s="5"/>
      <c r="N444" s="5"/>
      <c r="O444" s="5"/>
      <c r="P444" s="5"/>
      <c r="Q444" s="5"/>
    </row>
    <row r="445" spans="1:17" ht="15.95" customHeight="1" x14ac:dyDescent="0.2">
      <c r="A445" s="38"/>
      <c r="B445" s="33"/>
      <c r="C445" s="34"/>
      <c r="D445" s="34"/>
      <c r="E445" s="34"/>
      <c r="F445" s="34"/>
      <c r="G445" s="34"/>
      <c r="H445" s="34"/>
      <c r="I445" s="33"/>
      <c r="J445" s="34"/>
      <c r="K445" s="70"/>
      <c r="L445" s="5"/>
      <c r="M445" s="5"/>
      <c r="N445" s="5"/>
      <c r="O445" s="5"/>
      <c r="P445" s="5"/>
      <c r="Q445" s="5"/>
    </row>
    <row r="446" spans="1:17" ht="15.95" customHeight="1" x14ac:dyDescent="0.2">
      <c r="A446" s="38"/>
      <c r="B446" s="33"/>
      <c r="C446" s="34"/>
      <c r="D446" s="34"/>
      <c r="E446" s="34"/>
      <c r="F446" s="34"/>
      <c r="G446" s="34"/>
      <c r="H446" s="34"/>
      <c r="I446" s="33"/>
      <c r="J446" s="34"/>
      <c r="K446" s="70"/>
      <c r="L446" s="5"/>
      <c r="M446" s="5"/>
      <c r="N446" s="5"/>
      <c r="O446" s="5"/>
      <c r="P446" s="5"/>
      <c r="Q446" s="5"/>
    </row>
    <row r="447" spans="1:17" ht="15.95" customHeight="1" x14ac:dyDescent="0.2">
      <c r="A447" s="38"/>
      <c r="B447" s="33"/>
      <c r="C447" s="34"/>
      <c r="D447" s="34"/>
      <c r="E447" s="34"/>
      <c r="F447" s="34"/>
      <c r="G447" s="34"/>
      <c r="H447" s="34"/>
      <c r="I447" s="33"/>
      <c r="J447" s="34"/>
      <c r="K447" s="70"/>
      <c r="L447" s="5"/>
      <c r="M447" s="5"/>
      <c r="N447" s="5"/>
      <c r="O447" s="5"/>
      <c r="P447" s="5"/>
      <c r="Q447" s="5"/>
    </row>
    <row r="448" spans="1:17" ht="15.95" customHeight="1" x14ac:dyDescent="0.2">
      <c r="A448" s="38"/>
      <c r="B448" s="33"/>
      <c r="C448" s="34"/>
      <c r="D448" s="34"/>
      <c r="E448" s="34"/>
      <c r="F448" s="34"/>
      <c r="G448" s="34"/>
      <c r="H448" s="34"/>
      <c r="I448" s="33"/>
      <c r="J448" s="34"/>
      <c r="K448" s="70"/>
      <c r="L448" s="5"/>
      <c r="M448" s="5"/>
      <c r="N448" s="5"/>
      <c r="O448" s="5"/>
      <c r="P448" s="5"/>
      <c r="Q448" s="5"/>
    </row>
    <row r="449" spans="1:17" ht="15.95" customHeight="1" x14ac:dyDescent="0.2">
      <c r="A449" s="38"/>
      <c r="B449" s="33"/>
      <c r="C449" s="34"/>
      <c r="D449" s="34"/>
      <c r="E449" s="34"/>
      <c r="F449" s="34"/>
      <c r="G449" s="34"/>
      <c r="H449" s="34"/>
      <c r="I449" s="33"/>
      <c r="J449" s="34"/>
      <c r="K449" s="70"/>
      <c r="L449" s="5"/>
      <c r="M449" s="5"/>
      <c r="N449" s="5"/>
      <c r="O449" s="5"/>
      <c r="P449" s="5"/>
      <c r="Q449" s="5"/>
    </row>
    <row r="450" spans="1:17" ht="15.95" customHeight="1" x14ac:dyDescent="0.2">
      <c r="A450" s="38"/>
      <c r="B450" s="33"/>
      <c r="C450" s="34"/>
      <c r="D450" s="34"/>
      <c r="E450" s="34"/>
      <c r="F450" s="34"/>
      <c r="G450" s="34"/>
      <c r="H450" s="34"/>
      <c r="I450" s="33"/>
      <c r="J450" s="34"/>
      <c r="K450" s="70"/>
      <c r="L450" s="5"/>
      <c r="M450" s="5"/>
      <c r="N450" s="5"/>
      <c r="O450" s="5"/>
      <c r="P450" s="5"/>
      <c r="Q450" s="5"/>
    </row>
    <row r="451" spans="1:17" ht="15.95" customHeight="1" x14ac:dyDescent="0.2">
      <c r="A451" s="38"/>
      <c r="B451" s="33"/>
      <c r="C451" s="34"/>
      <c r="D451" s="34"/>
      <c r="E451" s="34"/>
      <c r="F451" s="34"/>
      <c r="G451" s="34"/>
      <c r="H451" s="34"/>
      <c r="I451" s="33"/>
      <c r="J451" s="34"/>
      <c r="K451" s="70"/>
      <c r="L451" s="5"/>
      <c r="M451" s="5"/>
      <c r="N451" s="5"/>
      <c r="O451" s="5"/>
      <c r="P451" s="5"/>
      <c r="Q451" s="5"/>
    </row>
    <row r="452" spans="1:17" ht="15.95" customHeight="1" x14ac:dyDescent="0.2">
      <c r="A452" s="38"/>
      <c r="B452" s="33"/>
      <c r="C452" s="34"/>
      <c r="D452" s="34"/>
      <c r="E452" s="34"/>
      <c r="F452" s="34"/>
      <c r="G452" s="34"/>
      <c r="H452" s="34"/>
      <c r="I452" s="33"/>
      <c r="J452" s="34"/>
      <c r="K452" s="70"/>
      <c r="L452" s="5"/>
      <c r="M452" s="5"/>
      <c r="N452" s="5"/>
      <c r="O452" s="5"/>
      <c r="P452" s="5"/>
      <c r="Q452" s="5"/>
    </row>
    <row r="453" spans="1:17" ht="15.95" customHeight="1" x14ac:dyDescent="0.2">
      <c r="A453" s="38"/>
      <c r="B453" s="33"/>
      <c r="C453" s="34"/>
      <c r="D453" s="34"/>
      <c r="E453" s="34"/>
      <c r="F453" s="34"/>
      <c r="G453" s="34"/>
      <c r="H453" s="34"/>
      <c r="I453" s="33"/>
      <c r="J453" s="34"/>
      <c r="K453" s="70"/>
      <c r="L453" s="5"/>
      <c r="M453" s="5"/>
      <c r="N453" s="5"/>
      <c r="O453" s="5"/>
      <c r="P453" s="5"/>
      <c r="Q453" s="5"/>
    </row>
    <row r="454" spans="1:17" ht="15.95" customHeight="1" x14ac:dyDescent="0.2">
      <c r="A454" s="38"/>
      <c r="B454" s="33"/>
      <c r="C454" s="34"/>
      <c r="D454" s="34"/>
      <c r="E454" s="34"/>
      <c r="F454" s="34"/>
      <c r="G454" s="34"/>
      <c r="H454" s="34"/>
      <c r="I454" s="33"/>
      <c r="J454" s="34"/>
      <c r="K454" s="70"/>
      <c r="L454" s="5"/>
      <c r="M454" s="5"/>
      <c r="N454" s="5"/>
      <c r="O454" s="5"/>
      <c r="P454" s="5"/>
      <c r="Q454" s="5"/>
    </row>
    <row r="455" spans="1:17" ht="15.95" customHeight="1" x14ac:dyDescent="0.2">
      <c r="A455" s="38"/>
      <c r="B455" s="33"/>
      <c r="C455" s="34"/>
      <c r="D455" s="34"/>
      <c r="E455" s="34"/>
      <c r="F455" s="34"/>
      <c r="G455" s="34"/>
      <c r="H455" s="34"/>
      <c r="I455" s="33"/>
      <c r="J455" s="34"/>
      <c r="K455" s="70"/>
      <c r="L455" s="5"/>
      <c r="M455" s="5"/>
      <c r="N455" s="5"/>
      <c r="O455" s="5"/>
      <c r="P455" s="5"/>
      <c r="Q455" s="5"/>
    </row>
    <row r="456" spans="1:17" ht="15.95" customHeight="1" x14ac:dyDescent="0.2">
      <c r="A456" s="38"/>
      <c r="B456" s="33"/>
      <c r="C456" s="34"/>
      <c r="D456" s="34"/>
      <c r="E456" s="34"/>
      <c r="F456" s="34"/>
      <c r="G456" s="34"/>
      <c r="H456" s="34"/>
      <c r="I456" s="33"/>
      <c r="J456" s="34"/>
      <c r="K456" s="70"/>
      <c r="L456" s="5"/>
      <c r="M456" s="5"/>
      <c r="N456" s="5"/>
      <c r="O456" s="5"/>
      <c r="P456" s="5"/>
      <c r="Q456" s="5"/>
    </row>
    <row r="457" spans="1:17" ht="15.95" customHeight="1" x14ac:dyDescent="0.2">
      <c r="A457" s="38"/>
      <c r="B457" s="33"/>
      <c r="C457" s="34"/>
      <c r="D457" s="34"/>
      <c r="E457" s="34"/>
      <c r="F457" s="34"/>
      <c r="G457" s="34"/>
      <c r="H457" s="34"/>
      <c r="I457" s="33"/>
      <c r="J457" s="34"/>
      <c r="K457" s="70"/>
      <c r="L457" s="5"/>
      <c r="M457" s="5"/>
      <c r="N457" s="5"/>
      <c r="O457" s="5"/>
      <c r="P457" s="5"/>
      <c r="Q457" s="5"/>
    </row>
    <row r="458" spans="1:17" ht="15.95" customHeight="1" x14ac:dyDescent="0.2">
      <c r="A458" s="38"/>
      <c r="B458" s="33"/>
      <c r="C458" s="34"/>
      <c r="D458" s="34"/>
      <c r="E458" s="34"/>
      <c r="F458" s="34"/>
      <c r="G458" s="34"/>
      <c r="H458" s="34"/>
      <c r="I458" s="33"/>
      <c r="J458" s="34"/>
      <c r="K458" s="70"/>
      <c r="L458" s="5"/>
      <c r="M458" s="5"/>
      <c r="N458" s="5"/>
      <c r="O458" s="5"/>
      <c r="P458" s="5"/>
      <c r="Q458" s="5"/>
    </row>
    <row r="459" spans="1:17" ht="15.95" customHeight="1" x14ac:dyDescent="0.2">
      <c r="A459" s="38"/>
      <c r="B459" s="33"/>
      <c r="C459" s="34"/>
      <c r="D459" s="34"/>
      <c r="E459" s="34"/>
      <c r="F459" s="34"/>
      <c r="G459" s="34"/>
      <c r="H459" s="34"/>
      <c r="I459" s="33"/>
      <c r="J459" s="34"/>
      <c r="K459" s="70"/>
      <c r="L459" s="5"/>
      <c r="M459" s="5"/>
      <c r="N459" s="5"/>
      <c r="O459" s="5"/>
      <c r="P459" s="5"/>
      <c r="Q459" s="5"/>
    </row>
    <row r="460" spans="1:17" ht="15.95" customHeight="1" x14ac:dyDescent="0.2">
      <c r="A460" s="38"/>
      <c r="B460" s="33"/>
      <c r="C460" s="34"/>
      <c r="D460" s="34"/>
      <c r="E460" s="34"/>
      <c r="F460" s="34"/>
      <c r="G460" s="34"/>
      <c r="H460" s="34"/>
      <c r="I460" s="33"/>
      <c r="J460" s="34"/>
      <c r="K460" s="70"/>
      <c r="L460" s="5"/>
      <c r="M460" s="5"/>
      <c r="N460" s="5"/>
      <c r="O460" s="5"/>
      <c r="P460" s="5"/>
      <c r="Q460" s="5"/>
    </row>
    <row r="461" spans="1:17" ht="15.95" customHeight="1" x14ac:dyDescent="0.2">
      <c r="A461" s="38"/>
      <c r="B461" s="33"/>
      <c r="C461" s="34"/>
      <c r="D461" s="34"/>
      <c r="E461" s="34"/>
      <c r="F461" s="34"/>
      <c r="G461" s="34"/>
      <c r="H461" s="34"/>
      <c r="I461" s="33"/>
      <c r="J461" s="34"/>
      <c r="K461" s="70"/>
      <c r="L461" s="5"/>
      <c r="M461" s="5"/>
      <c r="N461" s="5"/>
      <c r="O461" s="5"/>
      <c r="P461" s="5"/>
      <c r="Q461" s="5"/>
    </row>
    <row r="462" spans="1:17" ht="15.95" customHeight="1" x14ac:dyDescent="0.2">
      <c r="A462" s="38"/>
      <c r="B462" s="33"/>
      <c r="C462" s="34"/>
      <c r="D462" s="34"/>
      <c r="E462" s="34"/>
      <c r="F462" s="34"/>
      <c r="G462" s="34"/>
      <c r="H462" s="34"/>
      <c r="I462" s="33"/>
      <c r="J462" s="34"/>
      <c r="K462" s="70"/>
      <c r="L462" s="5"/>
      <c r="M462" s="5"/>
      <c r="N462" s="5"/>
      <c r="O462" s="5"/>
      <c r="P462" s="5"/>
      <c r="Q462" s="5"/>
    </row>
    <row r="463" spans="1:17" ht="15.95" customHeight="1" x14ac:dyDescent="0.2">
      <c r="A463" s="38"/>
      <c r="B463" s="33"/>
      <c r="C463" s="34"/>
      <c r="D463" s="34"/>
      <c r="E463" s="34"/>
      <c r="F463" s="34"/>
      <c r="G463" s="34"/>
      <c r="H463" s="34"/>
      <c r="I463" s="33"/>
      <c r="J463" s="34"/>
      <c r="K463" s="70"/>
      <c r="L463" s="5"/>
      <c r="M463" s="5"/>
      <c r="N463" s="5"/>
      <c r="O463" s="5"/>
      <c r="P463" s="5"/>
      <c r="Q463" s="5"/>
    </row>
    <row r="464" spans="1:17" ht="15.95" customHeight="1" x14ac:dyDescent="0.2">
      <c r="A464" s="38"/>
      <c r="B464" s="33"/>
      <c r="C464" s="34"/>
      <c r="D464" s="34"/>
      <c r="E464" s="34"/>
      <c r="F464" s="34"/>
      <c r="G464" s="34"/>
      <c r="H464" s="34"/>
      <c r="I464" s="33"/>
      <c r="J464" s="34"/>
      <c r="K464" s="70"/>
      <c r="L464" s="5"/>
      <c r="M464" s="5"/>
      <c r="N464" s="5"/>
      <c r="O464" s="5"/>
      <c r="P464" s="5"/>
      <c r="Q464" s="5"/>
    </row>
    <row r="465" spans="1:17" ht="15.95" customHeight="1" x14ac:dyDescent="0.2">
      <c r="A465" s="38"/>
      <c r="B465" s="33"/>
      <c r="C465" s="34"/>
      <c r="D465" s="34"/>
      <c r="E465" s="34"/>
      <c r="F465" s="34"/>
      <c r="G465" s="34"/>
      <c r="H465" s="34"/>
      <c r="I465" s="33"/>
      <c r="J465" s="34"/>
      <c r="K465" s="70"/>
      <c r="L465" s="5"/>
      <c r="M465" s="5"/>
      <c r="N465" s="5"/>
      <c r="O465" s="5"/>
      <c r="P465" s="5"/>
      <c r="Q465" s="5"/>
    </row>
    <row r="466" spans="1:17" ht="15.95" customHeight="1" x14ac:dyDescent="0.2">
      <c r="A466" s="38"/>
      <c r="B466" s="33"/>
      <c r="C466" s="34"/>
      <c r="D466" s="34"/>
      <c r="E466" s="34"/>
      <c r="F466" s="34"/>
      <c r="G466" s="34"/>
      <c r="H466" s="34"/>
      <c r="I466" s="33"/>
      <c r="J466" s="34"/>
      <c r="K466" s="70"/>
      <c r="L466" s="5"/>
      <c r="M466" s="5"/>
      <c r="N466" s="5"/>
      <c r="O466" s="5"/>
      <c r="P466" s="5"/>
      <c r="Q466" s="5"/>
    </row>
    <row r="467" spans="1:17" ht="15.95" customHeight="1" x14ac:dyDescent="0.2">
      <c r="A467" s="38"/>
      <c r="B467" s="33"/>
      <c r="C467" s="34"/>
      <c r="D467" s="34"/>
      <c r="E467" s="34"/>
      <c r="F467" s="34"/>
      <c r="G467" s="34"/>
      <c r="H467" s="34"/>
      <c r="I467" s="33"/>
      <c r="J467" s="34"/>
      <c r="K467" s="70"/>
      <c r="L467" s="5"/>
      <c r="M467" s="5"/>
      <c r="N467" s="5"/>
      <c r="O467" s="5"/>
      <c r="P467" s="5"/>
      <c r="Q467" s="5"/>
    </row>
    <row r="468" spans="1:17" ht="15.95" customHeight="1" x14ac:dyDescent="0.2">
      <c r="A468" s="38"/>
      <c r="B468" s="33"/>
      <c r="C468" s="34"/>
      <c r="D468" s="34"/>
      <c r="E468" s="34"/>
      <c r="F468" s="34"/>
      <c r="G468" s="34"/>
      <c r="H468" s="34"/>
      <c r="I468" s="33"/>
      <c r="J468" s="34"/>
      <c r="K468" s="70"/>
      <c r="L468" s="5"/>
      <c r="M468" s="5"/>
      <c r="N468" s="5"/>
      <c r="O468" s="5"/>
      <c r="P468" s="5"/>
      <c r="Q468" s="5"/>
    </row>
    <row r="469" spans="1:17" ht="15.95" customHeight="1" x14ac:dyDescent="0.2">
      <c r="A469" s="38"/>
      <c r="B469" s="33"/>
      <c r="C469" s="34"/>
      <c r="D469" s="34"/>
      <c r="E469" s="34"/>
      <c r="F469" s="34"/>
      <c r="G469" s="34"/>
      <c r="H469" s="34"/>
      <c r="I469" s="33"/>
      <c r="J469" s="34"/>
      <c r="K469" s="70"/>
      <c r="L469" s="5"/>
      <c r="M469" s="5"/>
      <c r="N469" s="5"/>
      <c r="O469" s="5"/>
      <c r="P469" s="5"/>
      <c r="Q469" s="5"/>
    </row>
    <row r="470" spans="1:17" ht="15.95" customHeight="1" x14ac:dyDescent="0.2">
      <c r="A470" s="38"/>
      <c r="B470" s="33"/>
      <c r="C470" s="34"/>
      <c r="D470" s="34"/>
      <c r="E470" s="34"/>
      <c r="F470" s="34"/>
      <c r="G470" s="34"/>
      <c r="H470" s="34"/>
      <c r="I470" s="33"/>
      <c r="J470" s="34"/>
      <c r="K470" s="70"/>
      <c r="L470" s="5"/>
      <c r="M470" s="5"/>
      <c r="N470" s="5"/>
      <c r="O470" s="5"/>
      <c r="P470" s="5"/>
      <c r="Q470" s="5"/>
    </row>
    <row r="471" spans="1:17" ht="15.95" customHeight="1" x14ac:dyDescent="0.2">
      <c r="A471" s="38"/>
      <c r="B471" s="33"/>
      <c r="C471" s="34"/>
      <c r="D471" s="34"/>
      <c r="E471" s="34"/>
      <c r="F471" s="34"/>
      <c r="G471" s="34"/>
      <c r="H471" s="34"/>
      <c r="I471" s="33"/>
      <c r="J471" s="34"/>
      <c r="K471" s="70"/>
      <c r="L471" s="5"/>
      <c r="M471" s="5"/>
      <c r="N471" s="5"/>
      <c r="O471" s="5"/>
      <c r="P471" s="5"/>
      <c r="Q471" s="5"/>
    </row>
    <row r="472" spans="1:17" ht="15.95" customHeight="1" x14ac:dyDescent="0.2">
      <c r="A472" s="38"/>
      <c r="B472" s="33"/>
      <c r="C472" s="34"/>
      <c r="D472" s="34"/>
      <c r="E472" s="34"/>
      <c r="F472" s="34"/>
      <c r="G472" s="34"/>
      <c r="H472" s="34"/>
      <c r="I472" s="33"/>
      <c r="J472" s="34"/>
      <c r="K472" s="70"/>
      <c r="L472" s="5"/>
      <c r="M472" s="5"/>
      <c r="N472" s="5"/>
      <c r="O472" s="5"/>
      <c r="P472" s="5"/>
      <c r="Q472" s="5"/>
    </row>
    <row r="473" spans="1:17" ht="15.95" customHeight="1" x14ac:dyDescent="0.2">
      <c r="A473" s="38"/>
      <c r="B473" s="33"/>
      <c r="C473" s="34"/>
      <c r="D473" s="34"/>
      <c r="E473" s="34"/>
      <c r="F473" s="34"/>
      <c r="G473" s="34"/>
      <c r="H473" s="34"/>
      <c r="I473" s="33"/>
      <c r="J473" s="34"/>
      <c r="K473" s="70"/>
      <c r="L473" s="5"/>
      <c r="M473" s="5"/>
      <c r="N473" s="5"/>
      <c r="O473" s="5"/>
      <c r="P473" s="5"/>
      <c r="Q473" s="5"/>
    </row>
    <row r="474" spans="1:17" ht="15.95" customHeight="1" x14ac:dyDescent="0.2">
      <c r="A474" s="38"/>
      <c r="B474" s="33"/>
      <c r="C474" s="34"/>
      <c r="D474" s="34"/>
      <c r="E474" s="34"/>
      <c r="F474" s="34"/>
      <c r="G474" s="34"/>
      <c r="H474" s="34"/>
      <c r="I474" s="33"/>
      <c r="J474" s="34"/>
      <c r="K474" s="70"/>
      <c r="L474" s="5"/>
      <c r="M474" s="5"/>
      <c r="N474" s="5"/>
      <c r="O474" s="5"/>
      <c r="P474" s="5"/>
      <c r="Q474" s="5"/>
    </row>
    <row r="475" spans="1:17" ht="15.95" customHeight="1" x14ac:dyDescent="0.2">
      <c r="A475" s="38"/>
      <c r="B475" s="33"/>
      <c r="C475" s="34"/>
      <c r="D475" s="34"/>
      <c r="E475" s="34"/>
      <c r="F475" s="34"/>
      <c r="G475" s="34"/>
      <c r="H475" s="34"/>
      <c r="I475" s="33"/>
      <c r="J475" s="34"/>
      <c r="K475" s="70"/>
      <c r="L475" s="5"/>
      <c r="M475" s="5"/>
      <c r="N475" s="5"/>
      <c r="O475" s="5"/>
      <c r="P475" s="5"/>
      <c r="Q475" s="5"/>
    </row>
    <row r="476" spans="1:17" ht="15.95" customHeight="1" x14ac:dyDescent="0.2">
      <c r="A476" s="38"/>
      <c r="B476" s="33"/>
      <c r="C476" s="34"/>
      <c r="D476" s="34"/>
      <c r="E476" s="34"/>
      <c r="F476" s="34"/>
      <c r="G476" s="34"/>
      <c r="H476" s="34"/>
      <c r="I476" s="33"/>
      <c r="J476" s="34"/>
      <c r="K476" s="70"/>
      <c r="L476" s="5"/>
      <c r="M476" s="5"/>
      <c r="N476" s="5"/>
      <c r="O476" s="5"/>
      <c r="P476" s="5"/>
      <c r="Q476" s="5"/>
    </row>
    <row r="477" spans="1:17" ht="15.95" customHeight="1" x14ac:dyDescent="0.2">
      <c r="A477" s="38"/>
      <c r="B477" s="33"/>
      <c r="C477" s="34"/>
      <c r="D477" s="34"/>
      <c r="E477" s="34"/>
      <c r="F477" s="34"/>
      <c r="G477" s="34"/>
      <c r="H477" s="34"/>
      <c r="I477" s="33"/>
      <c r="J477" s="34"/>
      <c r="K477" s="70"/>
      <c r="L477" s="5"/>
      <c r="M477" s="5"/>
      <c r="N477" s="5"/>
      <c r="O477" s="5"/>
      <c r="P477" s="5"/>
      <c r="Q477" s="5"/>
    </row>
    <row r="478" spans="1:17" ht="15.95" customHeight="1" x14ac:dyDescent="0.2">
      <c r="A478" s="38"/>
      <c r="B478" s="33"/>
      <c r="C478" s="34"/>
      <c r="D478" s="34"/>
      <c r="E478" s="34"/>
      <c r="F478" s="34"/>
      <c r="G478" s="34"/>
      <c r="H478" s="34"/>
      <c r="I478" s="33"/>
      <c r="J478" s="34"/>
      <c r="K478" s="70"/>
      <c r="L478" s="5"/>
      <c r="M478" s="5"/>
      <c r="N478" s="5"/>
      <c r="O478" s="5"/>
      <c r="P478" s="5"/>
      <c r="Q478" s="5"/>
    </row>
    <row r="479" spans="1:17" ht="15.95" customHeight="1" x14ac:dyDescent="0.2">
      <c r="A479" s="38"/>
      <c r="B479" s="33"/>
      <c r="C479" s="34"/>
      <c r="D479" s="34"/>
      <c r="E479" s="34"/>
      <c r="F479" s="34"/>
      <c r="G479" s="34"/>
      <c r="H479" s="34"/>
      <c r="I479" s="33"/>
      <c r="J479" s="34"/>
      <c r="K479" s="70"/>
      <c r="L479" s="5"/>
      <c r="M479" s="5"/>
      <c r="N479" s="5"/>
      <c r="O479" s="5"/>
      <c r="P479" s="5"/>
      <c r="Q479" s="5"/>
    </row>
    <row r="480" spans="1:17" ht="15.95" customHeight="1" x14ac:dyDescent="0.2">
      <c r="A480" s="38"/>
      <c r="B480" s="33"/>
      <c r="C480" s="34"/>
      <c r="D480" s="34"/>
      <c r="E480" s="34"/>
      <c r="F480" s="34"/>
      <c r="G480" s="34"/>
      <c r="H480" s="34"/>
      <c r="I480" s="33"/>
      <c r="J480" s="34"/>
      <c r="K480" s="70"/>
      <c r="L480" s="5"/>
      <c r="M480" s="5"/>
      <c r="N480" s="5"/>
      <c r="O480" s="5"/>
      <c r="P480" s="5"/>
      <c r="Q480" s="5"/>
    </row>
    <row r="481" spans="1:17" ht="15.95" customHeight="1" x14ac:dyDescent="0.2">
      <c r="A481" s="38"/>
      <c r="B481" s="33"/>
      <c r="C481" s="34"/>
      <c r="D481" s="34"/>
      <c r="E481" s="34"/>
      <c r="F481" s="34"/>
      <c r="G481" s="34"/>
      <c r="H481" s="34"/>
      <c r="I481" s="33"/>
      <c r="J481" s="34"/>
      <c r="K481" s="70"/>
      <c r="L481" s="5"/>
      <c r="M481" s="5"/>
      <c r="N481" s="5"/>
      <c r="O481" s="5"/>
      <c r="P481" s="5"/>
      <c r="Q481" s="5"/>
    </row>
    <row r="482" spans="1:17" ht="15.95" customHeight="1" x14ac:dyDescent="0.2">
      <c r="A482" s="38"/>
      <c r="B482" s="33"/>
      <c r="C482" s="34"/>
      <c r="D482" s="34"/>
      <c r="E482" s="34"/>
      <c r="F482" s="34"/>
      <c r="G482" s="34"/>
      <c r="H482" s="34"/>
      <c r="I482" s="33"/>
      <c r="J482" s="34"/>
      <c r="K482" s="70"/>
      <c r="L482" s="5"/>
      <c r="M482" s="5"/>
      <c r="N482" s="5"/>
      <c r="O482" s="5"/>
      <c r="P482" s="5"/>
      <c r="Q482" s="5"/>
    </row>
    <row r="483" spans="1:17" ht="15.95" customHeight="1" x14ac:dyDescent="0.2">
      <c r="A483" s="38"/>
      <c r="B483" s="33"/>
      <c r="C483" s="34"/>
      <c r="D483" s="34"/>
      <c r="E483" s="34"/>
      <c r="F483" s="34"/>
      <c r="G483" s="34"/>
      <c r="H483" s="34"/>
      <c r="I483" s="33"/>
      <c r="J483" s="34"/>
      <c r="K483" s="70"/>
      <c r="L483" s="5"/>
      <c r="M483" s="5"/>
      <c r="N483" s="5"/>
      <c r="O483" s="5"/>
      <c r="P483" s="5"/>
      <c r="Q483" s="5"/>
    </row>
    <row r="484" spans="1:17" ht="15.95" customHeight="1" x14ac:dyDescent="0.2">
      <c r="A484" s="38"/>
      <c r="B484" s="33"/>
      <c r="C484" s="34"/>
      <c r="D484" s="34"/>
      <c r="E484" s="34"/>
      <c r="F484" s="34"/>
      <c r="G484" s="34"/>
      <c r="H484" s="34"/>
      <c r="I484" s="33"/>
      <c r="J484" s="34"/>
      <c r="K484" s="70"/>
      <c r="L484" s="5"/>
      <c r="M484" s="5"/>
      <c r="N484" s="5"/>
      <c r="O484" s="5"/>
      <c r="P484" s="5"/>
      <c r="Q484" s="5"/>
    </row>
    <row r="485" spans="1:17" ht="15.95" customHeight="1" x14ac:dyDescent="0.2">
      <c r="A485" s="38"/>
      <c r="B485" s="33"/>
      <c r="C485" s="34"/>
      <c r="D485" s="34"/>
      <c r="E485" s="34"/>
      <c r="F485" s="34"/>
      <c r="G485" s="34"/>
      <c r="H485" s="34"/>
      <c r="I485" s="33"/>
      <c r="J485" s="34"/>
      <c r="K485" s="70"/>
      <c r="L485" s="5"/>
      <c r="M485" s="5"/>
      <c r="N485" s="5"/>
      <c r="O485" s="5"/>
      <c r="P485" s="5"/>
      <c r="Q485" s="5"/>
    </row>
    <row r="486" spans="1:17" ht="15.95" customHeight="1" x14ac:dyDescent="0.2">
      <c r="A486" s="38"/>
      <c r="B486" s="33"/>
      <c r="C486" s="34"/>
      <c r="D486" s="34"/>
      <c r="E486" s="34"/>
      <c r="F486" s="34"/>
      <c r="G486" s="34"/>
      <c r="H486" s="34"/>
      <c r="I486" s="33"/>
      <c r="J486" s="34"/>
      <c r="K486" s="70"/>
      <c r="L486" s="5"/>
      <c r="M486" s="5"/>
      <c r="N486" s="5"/>
      <c r="O486" s="5"/>
      <c r="P486" s="5"/>
      <c r="Q486" s="5"/>
    </row>
    <row r="487" spans="1:17" ht="15.95" customHeight="1" x14ac:dyDescent="0.2">
      <c r="A487" s="38"/>
      <c r="B487" s="33"/>
      <c r="C487" s="34"/>
      <c r="D487" s="34"/>
      <c r="E487" s="34"/>
      <c r="F487" s="34"/>
      <c r="G487" s="34"/>
      <c r="H487" s="34"/>
      <c r="I487" s="33"/>
      <c r="J487" s="34"/>
      <c r="K487" s="70"/>
      <c r="L487" s="5"/>
      <c r="M487" s="5"/>
      <c r="N487" s="5"/>
      <c r="O487" s="5"/>
      <c r="P487" s="5"/>
      <c r="Q487" s="5"/>
    </row>
    <row r="488" spans="1:17" ht="15.95" customHeight="1" x14ac:dyDescent="0.2">
      <c r="A488" s="38"/>
      <c r="B488" s="33"/>
      <c r="C488" s="34"/>
      <c r="D488" s="34"/>
      <c r="E488" s="34"/>
      <c r="F488" s="34"/>
      <c r="G488" s="34"/>
      <c r="H488" s="34"/>
      <c r="I488" s="33"/>
      <c r="J488" s="34"/>
      <c r="K488" s="70"/>
      <c r="L488" s="5"/>
      <c r="M488" s="5"/>
      <c r="N488" s="5"/>
      <c r="O488" s="5"/>
      <c r="P488" s="5"/>
      <c r="Q488" s="5"/>
    </row>
    <row r="489" spans="1:17" ht="15.95" customHeight="1" x14ac:dyDescent="0.2">
      <c r="A489" s="38"/>
      <c r="B489" s="33"/>
      <c r="C489" s="34"/>
      <c r="D489" s="34"/>
      <c r="E489" s="34"/>
      <c r="F489" s="34"/>
      <c r="G489" s="34"/>
      <c r="H489" s="34"/>
      <c r="I489" s="33"/>
      <c r="J489" s="34"/>
      <c r="K489" s="70"/>
      <c r="L489" s="5"/>
      <c r="M489" s="5"/>
      <c r="N489" s="5"/>
      <c r="O489" s="5"/>
      <c r="P489" s="5"/>
      <c r="Q489" s="5"/>
    </row>
    <row r="490" spans="1:17" ht="15.95" customHeight="1" x14ac:dyDescent="0.2">
      <c r="A490" s="38"/>
      <c r="B490" s="33"/>
      <c r="C490" s="34"/>
      <c r="D490" s="34"/>
      <c r="E490" s="34"/>
      <c r="F490" s="34"/>
      <c r="G490" s="34"/>
      <c r="H490" s="34"/>
      <c r="I490" s="33"/>
      <c r="J490" s="34"/>
      <c r="K490" s="70"/>
      <c r="L490" s="5"/>
      <c r="M490" s="5"/>
      <c r="N490" s="5"/>
      <c r="O490" s="5"/>
      <c r="P490" s="5"/>
      <c r="Q490" s="5"/>
    </row>
    <row r="491" spans="1:17" ht="15.95" customHeight="1" x14ac:dyDescent="0.2">
      <c r="A491" s="38"/>
      <c r="B491" s="33"/>
      <c r="C491" s="34"/>
      <c r="D491" s="34"/>
      <c r="E491" s="34"/>
      <c r="F491" s="34"/>
      <c r="G491" s="34"/>
      <c r="H491" s="34"/>
      <c r="I491" s="33"/>
      <c r="J491" s="34"/>
      <c r="K491" s="70"/>
      <c r="L491" s="5"/>
      <c r="M491" s="5"/>
      <c r="N491" s="5"/>
      <c r="O491" s="5"/>
      <c r="P491" s="5"/>
      <c r="Q491" s="5"/>
    </row>
    <row r="492" spans="1:17" ht="15.95" customHeight="1" x14ac:dyDescent="0.2">
      <c r="A492" s="38"/>
      <c r="B492" s="33"/>
      <c r="C492" s="34"/>
      <c r="D492" s="34"/>
      <c r="E492" s="34"/>
      <c r="F492" s="34"/>
      <c r="G492" s="34"/>
      <c r="H492" s="34"/>
      <c r="I492" s="33"/>
      <c r="J492" s="34"/>
      <c r="K492" s="70"/>
      <c r="L492" s="5"/>
      <c r="M492" s="5"/>
      <c r="N492" s="5"/>
      <c r="O492" s="5"/>
      <c r="P492" s="5"/>
      <c r="Q492" s="5"/>
    </row>
    <row r="493" spans="1:17" ht="15.95" customHeight="1" x14ac:dyDescent="0.2">
      <c r="A493" s="38"/>
      <c r="B493" s="33"/>
      <c r="C493" s="34"/>
      <c r="D493" s="34"/>
      <c r="E493" s="34"/>
      <c r="F493" s="34"/>
      <c r="G493" s="34"/>
      <c r="H493" s="34"/>
      <c r="I493" s="33"/>
      <c r="J493" s="34"/>
      <c r="K493" s="70"/>
      <c r="L493" s="5"/>
      <c r="M493" s="5"/>
      <c r="N493" s="5"/>
      <c r="O493" s="5"/>
      <c r="P493" s="5"/>
      <c r="Q493" s="5"/>
    </row>
    <row r="494" spans="1:17" ht="15.95" customHeight="1" x14ac:dyDescent="0.2">
      <c r="A494" s="38"/>
      <c r="B494" s="33"/>
      <c r="C494" s="34"/>
      <c r="D494" s="34"/>
      <c r="E494" s="34"/>
      <c r="F494" s="34"/>
      <c r="G494" s="34"/>
      <c r="H494" s="34"/>
      <c r="I494" s="33"/>
      <c r="J494" s="34"/>
      <c r="K494" s="70"/>
      <c r="L494" s="5"/>
      <c r="M494" s="5"/>
      <c r="N494" s="5"/>
      <c r="O494" s="5"/>
      <c r="P494" s="5"/>
      <c r="Q494" s="5"/>
    </row>
    <row r="495" spans="1:17" ht="15.95" customHeight="1" x14ac:dyDescent="0.2">
      <c r="A495" s="38"/>
      <c r="B495" s="33"/>
      <c r="C495" s="34"/>
      <c r="D495" s="34"/>
      <c r="E495" s="34"/>
      <c r="F495" s="34"/>
      <c r="G495" s="34"/>
      <c r="H495" s="34"/>
      <c r="I495" s="33"/>
      <c r="J495" s="34"/>
      <c r="K495" s="70"/>
      <c r="L495" s="5"/>
      <c r="M495" s="5"/>
      <c r="N495" s="5"/>
      <c r="O495" s="5"/>
      <c r="P495" s="5"/>
      <c r="Q495" s="5"/>
    </row>
    <row r="496" spans="1:17" ht="15.95" customHeight="1" x14ac:dyDescent="0.2">
      <c r="A496" s="38"/>
      <c r="B496" s="33"/>
      <c r="C496" s="34"/>
      <c r="D496" s="34"/>
      <c r="E496" s="34"/>
      <c r="F496" s="34"/>
      <c r="G496" s="34"/>
      <c r="H496" s="34"/>
      <c r="I496" s="33"/>
      <c r="J496" s="34"/>
      <c r="K496" s="70"/>
      <c r="L496" s="5"/>
      <c r="M496" s="5"/>
      <c r="N496" s="5"/>
      <c r="O496" s="5"/>
      <c r="P496" s="5"/>
      <c r="Q496" s="5"/>
    </row>
    <row r="497" spans="1:17" ht="15.95" customHeight="1" x14ac:dyDescent="0.2">
      <c r="A497" s="38"/>
      <c r="B497" s="33"/>
      <c r="C497" s="34"/>
      <c r="D497" s="34"/>
      <c r="E497" s="34"/>
      <c r="F497" s="34"/>
      <c r="G497" s="34"/>
      <c r="H497" s="34"/>
      <c r="I497" s="33"/>
      <c r="J497" s="34"/>
      <c r="K497" s="70"/>
      <c r="L497" s="5"/>
      <c r="M497" s="5"/>
      <c r="N497" s="5"/>
      <c r="O497" s="5"/>
      <c r="P497" s="5"/>
      <c r="Q497" s="5"/>
    </row>
    <row r="498" spans="1:17" ht="15.95" customHeight="1" x14ac:dyDescent="0.2">
      <c r="A498" s="38"/>
      <c r="B498" s="33"/>
      <c r="C498" s="34"/>
      <c r="D498" s="34"/>
      <c r="E498" s="34"/>
      <c r="F498" s="34"/>
      <c r="G498" s="34"/>
      <c r="H498" s="34"/>
      <c r="I498" s="33"/>
      <c r="J498" s="34"/>
      <c r="K498" s="70"/>
      <c r="L498" s="5"/>
      <c r="M498" s="5"/>
      <c r="N498" s="5"/>
      <c r="O498" s="5"/>
      <c r="P498" s="5"/>
      <c r="Q498" s="5"/>
    </row>
    <row r="499" spans="1:17" ht="15.95" customHeight="1" x14ac:dyDescent="0.2">
      <c r="A499" s="38"/>
      <c r="B499" s="33"/>
      <c r="C499" s="34"/>
      <c r="D499" s="34"/>
      <c r="E499" s="34"/>
      <c r="F499" s="34"/>
      <c r="G499" s="34"/>
      <c r="H499" s="34"/>
      <c r="I499" s="33"/>
      <c r="J499" s="34"/>
      <c r="K499" s="70"/>
      <c r="L499" s="5"/>
      <c r="M499" s="5"/>
      <c r="N499" s="5"/>
      <c r="O499" s="5"/>
      <c r="P499" s="5"/>
      <c r="Q499" s="5"/>
    </row>
    <row r="500" spans="1:17" ht="15.95" customHeight="1" x14ac:dyDescent="0.2">
      <c r="A500" s="38"/>
      <c r="B500" s="33"/>
      <c r="C500" s="34"/>
      <c r="D500" s="34"/>
      <c r="E500" s="34"/>
      <c r="F500" s="34"/>
      <c r="G500" s="34"/>
      <c r="H500" s="34"/>
      <c r="I500" s="33"/>
      <c r="J500" s="34"/>
      <c r="K500" s="70"/>
      <c r="L500" s="5"/>
      <c r="M500" s="5"/>
      <c r="N500" s="5"/>
      <c r="O500" s="5"/>
      <c r="P500" s="5"/>
      <c r="Q500" s="5"/>
    </row>
    <row r="501" spans="1:17" ht="15.95" customHeight="1" x14ac:dyDescent="0.2">
      <c r="A501" s="38"/>
      <c r="B501" s="33"/>
      <c r="C501" s="34"/>
      <c r="D501" s="34"/>
      <c r="E501" s="34"/>
      <c r="F501" s="34"/>
      <c r="G501" s="34"/>
      <c r="H501" s="34"/>
      <c r="I501" s="33"/>
      <c r="J501" s="34"/>
      <c r="K501" s="70"/>
      <c r="L501" s="5"/>
      <c r="M501" s="5"/>
      <c r="N501" s="5"/>
      <c r="O501" s="5"/>
      <c r="P501" s="5"/>
      <c r="Q501" s="5"/>
    </row>
    <row r="502" spans="1:17" ht="15.95" customHeight="1" x14ac:dyDescent="0.2">
      <c r="A502" s="38"/>
      <c r="B502" s="33"/>
      <c r="C502" s="34"/>
      <c r="D502" s="34"/>
      <c r="E502" s="34"/>
      <c r="F502" s="34"/>
      <c r="G502" s="34"/>
      <c r="H502" s="34"/>
      <c r="I502" s="33"/>
      <c r="J502" s="34"/>
      <c r="K502" s="70"/>
      <c r="L502" s="5"/>
      <c r="M502" s="5"/>
      <c r="N502" s="5"/>
      <c r="O502" s="5"/>
      <c r="P502" s="5"/>
      <c r="Q502" s="5"/>
    </row>
    <row r="503" spans="1:17" ht="15.95" customHeight="1" x14ac:dyDescent="0.2">
      <c r="A503" s="38"/>
      <c r="B503" s="33"/>
      <c r="C503" s="34"/>
      <c r="D503" s="34"/>
      <c r="E503" s="34"/>
      <c r="F503" s="34"/>
      <c r="G503" s="34"/>
      <c r="H503" s="34"/>
      <c r="I503" s="33"/>
      <c r="J503" s="34"/>
      <c r="K503" s="70"/>
      <c r="L503" s="5"/>
      <c r="M503" s="5"/>
      <c r="N503" s="5"/>
      <c r="O503" s="5"/>
      <c r="P503" s="5"/>
      <c r="Q503" s="5"/>
    </row>
    <row r="504" spans="1:17" ht="15.95" customHeight="1" x14ac:dyDescent="0.2">
      <c r="A504" s="38"/>
      <c r="B504" s="33"/>
      <c r="C504" s="34"/>
      <c r="D504" s="34"/>
      <c r="E504" s="34"/>
      <c r="F504" s="34"/>
      <c r="G504" s="34"/>
      <c r="H504" s="34"/>
      <c r="I504" s="33"/>
      <c r="J504" s="34"/>
      <c r="K504" s="70"/>
      <c r="L504" s="5"/>
      <c r="M504" s="5"/>
      <c r="N504" s="5"/>
      <c r="O504" s="5"/>
      <c r="P504" s="5"/>
      <c r="Q504" s="5"/>
    </row>
    <row r="505" spans="1:17" ht="15.95" customHeight="1" x14ac:dyDescent="0.2">
      <c r="A505" s="38"/>
      <c r="B505" s="33"/>
      <c r="C505" s="34"/>
      <c r="D505" s="34"/>
      <c r="E505" s="34"/>
      <c r="F505" s="34"/>
      <c r="G505" s="34"/>
      <c r="H505" s="34"/>
      <c r="I505" s="33"/>
      <c r="J505" s="34"/>
      <c r="K505" s="70"/>
      <c r="L505" s="5"/>
      <c r="M505" s="5"/>
      <c r="N505" s="5"/>
      <c r="O505" s="5"/>
      <c r="P505" s="5"/>
      <c r="Q505" s="5"/>
    </row>
    <row r="506" spans="1:17" ht="15.95" customHeight="1" x14ac:dyDescent="0.2">
      <c r="A506" s="38"/>
      <c r="B506" s="33"/>
      <c r="C506" s="34"/>
      <c r="D506" s="34"/>
      <c r="E506" s="34"/>
      <c r="F506" s="34"/>
      <c r="G506" s="34"/>
      <c r="H506" s="34"/>
      <c r="I506" s="33"/>
      <c r="J506" s="34"/>
      <c r="K506" s="70"/>
      <c r="L506" s="5"/>
      <c r="M506" s="5"/>
      <c r="N506" s="5"/>
      <c r="O506" s="5"/>
      <c r="P506" s="5"/>
      <c r="Q506" s="5"/>
    </row>
    <row r="507" spans="1:17" ht="15.95" customHeight="1" x14ac:dyDescent="0.2">
      <c r="A507" s="38"/>
      <c r="B507" s="33"/>
      <c r="C507" s="34"/>
      <c r="D507" s="34"/>
      <c r="E507" s="34"/>
      <c r="F507" s="34"/>
      <c r="G507" s="34"/>
      <c r="H507" s="34"/>
      <c r="I507" s="33"/>
      <c r="J507" s="34"/>
      <c r="K507" s="70"/>
      <c r="L507" s="5"/>
      <c r="M507" s="5"/>
      <c r="N507" s="5"/>
      <c r="O507" s="5"/>
      <c r="P507" s="5"/>
      <c r="Q507" s="5"/>
    </row>
    <row r="508" spans="1:17" ht="15.95" customHeight="1" x14ac:dyDescent="0.2">
      <c r="A508" s="38"/>
      <c r="B508" s="33"/>
      <c r="C508" s="34"/>
      <c r="D508" s="34"/>
      <c r="E508" s="34"/>
      <c r="F508" s="34"/>
      <c r="G508" s="34"/>
      <c r="H508" s="34"/>
      <c r="I508" s="33"/>
      <c r="J508" s="34"/>
      <c r="K508" s="70"/>
      <c r="L508" s="5"/>
      <c r="M508" s="5"/>
      <c r="N508" s="5"/>
      <c r="O508" s="5"/>
      <c r="P508" s="5"/>
      <c r="Q508" s="5"/>
    </row>
    <row r="509" spans="1:17" ht="15.95" customHeight="1" x14ac:dyDescent="0.2">
      <c r="A509" s="38"/>
      <c r="B509" s="33"/>
      <c r="C509" s="34"/>
      <c r="D509" s="34"/>
      <c r="E509" s="34"/>
      <c r="F509" s="34"/>
      <c r="G509" s="34"/>
      <c r="H509" s="34"/>
      <c r="I509" s="33"/>
      <c r="J509" s="34"/>
      <c r="K509" s="70"/>
      <c r="L509" s="5"/>
      <c r="M509" s="5"/>
      <c r="N509" s="5"/>
      <c r="O509" s="5"/>
      <c r="P509" s="5"/>
      <c r="Q509" s="5"/>
    </row>
    <row r="510" spans="1:17" ht="15.95" customHeight="1" x14ac:dyDescent="0.2">
      <c r="A510" s="38"/>
      <c r="B510" s="33"/>
      <c r="C510" s="34"/>
      <c r="D510" s="34"/>
      <c r="E510" s="34"/>
      <c r="F510" s="34"/>
      <c r="G510" s="34"/>
      <c r="H510" s="34"/>
      <c r="I510" s="33"/>
      <c r="J510" s="34"/>
      <c r="K510" s="70"/>
      <c r="L510" s="5"/>
      <c r="M510" s="5"/>
      <c r="N510" s="5"/>
      <c r="O510" s="5"/>
      <c r="P510" s="5"/>
      <c r="Q510" s="5"/>
    </row>
    <row r="511" spans="1:17" ht="15.95" customHeight="1" x14ac:dyDescent="0.2">
      <c r="A511" s="38"/>
      <c r="B511" s="33"/>
      <c r="C511" s="34"/>
      <c r="D511" s="34"/>
      <c r="E511" s="34"/>
      <c r="F511" s="34"/>
      <c r="G511" s="34"/>
      <c r="H511" s="34"/>
      <c r="I511" s="33"/>
      <c r="J511" s="34"/>
      <c r="K511" s="70"/>
      <c r="L511" s="5"/>
      <c r="M511" s="5"/>
      <c r="N511" s="5"/>
      <c r="O511" s="5"/>
      <c r="P511" s="5"/>
      <c r="Q511" s="5"/>
    </row>
    <row r="512" spans="1:17" ht="15.95" customHeight="1" x14ac:dyDescent="0.2">
      <c r="A512" s="38"/>
      <c r="B512" s="33"/>
      <c r="C512" s="34"/>
      <c r="D512" s="34"/>
      <c r="E512" s="34"/>
      <c r="F512" s="34"/>
      <c r="G512" s="34"/>
      <c r="H512" s="34"/>
      <c r="I512" s="33"/>
      <c r="J512" s="34"/>
      <c r="K512" s="70"/>
      <c r="L512" s="5"/>
      <c r="M512" s="5"/>
      <c r="N512" s="5"/>
      <c r="O512" s="5"/>
      <c r="P512" s="5"/>
      <c r="Q512" s="5"/>
    </row>
    <row r="513" spans="1:17" ht="15.95" customHeight="1" x14ac:dyDescent="0.2">
      <c r="A513" s="38"/>
      <c r="B513" s="33"/>
      <c r="C513" s="34"/>
      <c r="D513" s="34"/>
      <c r="E513" s="34"/>
      <c r="F513" s="34"/>
      <c r="G513" s="34"/>
      <c r="H513" s="34"/>
      <c r="I513" s="33"/>
      <c r="J513" s="34"/>
      <c r="K513" s="70"/>
      <c r="L513" s="5"/>
      <c r="M513" s="5"/>
      <c r="N513" s="5"/>
      <c r="O513" s="5"/>
      <c r="P513" s="5"/>
      <c r="Q513" s="5"/>
    </row>
    <row r="514" spans="1:17" ht="15.95" customHeight="1" x14ac:dyDescent="0.2">
      <c r="A514" s="38"/>
      <c r="B514" s="33"/>
      <c r="C514" s="34"/>
      <c r="D514" s="34"/>
      <c r="E514" s="34"/>
      <c r="F514" s="34"/>
      <c r="G514" s="34"/>
      <c r="H514" s="34"/>
      <c r="I514" s="33"/>
      <c r="J514" s="34"/>
      <c r="K514" s="70"/>
      <c r="L514" s="5"/>
      <c r="M514" s="5"/>
      <c r="N514" s="5"/>
      <c r="O514" s="5"/>
      <c r="P514" s="5"/>
      <c r="Q514" s="5"/>
    </row>
    <row r="515" spans="1:17" ht="15.95" customHeight="1" x14ac:dyDescent="0.2">
      <c r="A515" s="38"/>
      <c r="B515" s="33"/>
      <c r="C515" s="34"/>
      <c r="D515" s="34"/>
      <c r="E515" s="34"/>
      <c r="F515" s="34"/>
      <c r="G515" s="34"/>
      <c r="H515" s="34"/>
      <c r="I515" s="33"/>
      <c r="J515" s="34"/>
      <c r="K515" s="70"/>
      <c r="L515" s="5"/>
      <c r="M515" s="5"/>
      <c r="N515" s="5"/>
      <c r="O515" s="5"/>
      <c r="P515" s="5"/>
      <c r="Q515" s="5"/>
    </row>
    <row r="516" spans="1:17" ht="15.95" customHeight="1" x14ac:dyDescent="0.2">
      <c r="A516" s="38"/>
      <c r="B516" s="33"/>
      <c r="C516" s="34"/>
      <c r="D516" s="34"/>
      <c r="E516" s="34"/>
      <c r="F516" s="34"/>
      <c r="G516" s="34"/>
      <c r="H516" s="34"/>
      <c r="I516" s="33"/>
      <c r="J516" s="34"/>
      <c r="K516" s="70"/>
      <c r="L516" s="5"/>
      <c r="M516" s="5"/>
      <c r="N516" s="5"/>
      <c r="O516" s="5"/>
      <c r="P516" s="5"/>
      <c r="Q516" s="5"/>
    </row>
    <row r="517" spans="1:17" ht="15.95" customHeight="1" x14ac:dyDescent="0.2">
      <c r="A517" s="38"/>
      <c r="B517" s="33"/>
      <c r="C517" s="34"/>
      <c r="D517" s="34"/>
      <c r="E517" s="34"/>
      <c r="F517" s="34"/>
      <c r="G517" s="34"/>
      <c r="H517" s="34"/>
      <c r="I517" s="33"/>
      <c r="J517" s="34"/>
      <c r="K517" s="70"/>
      <c r="L517" s="5"/>
      <c r="M517" s="5"/>
      <c r="N517" s="5"/>
      <c r="O517" s="5"/>
      <c r="P517" s="5"/>
      <c r="Q517" s="5"/>
    </row>
    <row r="518" spans="1:17" ht="15.95" customHeight="1" x14ac:dyDescent="0.2">
      <c r="A518" s="38"/>
      <c r="B518" s="33"/>
      <c r="C518" s="34"/>
      <c r="D518" s="34"/>
      <c r="E518" s="34"/>
      <c r="F518" s="34"/>
      <c r="G518" s="34"/>
      <c r="H518" s="34"/>
      <c r="I518" s="33"/>
      <c r="J518" s="34"/>
      <c r="K518" s="70"/>
      <c r="L518" s="5"/>
      <c r="M518" s="5"/>
      <c r="N518" s="5"/>
      <c r="O518" s="5"/>
      <c r="P518" s="5"/>
      <c r="Q518" s="5"/>
    </row>
    <row r="519" spans="1:17" ht="15.95" customHeight="1" x14ac:dyDescent="0.2">
      <c r="A519" s="38"/>
      <c r="B519" s="33"/>
      <c r="C519" s="34"/>
      <c r="D519" s="34"/>
      <c r="E519" s="34"/>
      <c r="F519" s="34"/>
      <c r="G519" s="34"/>
      <c r="H519" s="34"/>
      <c r="I519" s="33"/>
      <c r="J519" s="34"/>
      <c r="K519" s="70"/>
      <c r="L519" s="5"/>
      <c r="M519" s="5"/>
      <c r="N519" s="5"/>
      <c r="O519" s="5"/>
      <c r="P519" s="5"/>
      <c r="Q519" s="5"/>
    </row>
    <row r="520" spans="1:17" ht="15.95" customHeight="1" x14ac:dyDescent="0.2">
      <c r="A520" s="38"/>
      <c r="B520" s="33"/>
      <c r="C520" s="34"/>
      <c r="D520" s="34"/>
      <c r="E520" s="34"/>
      <c r="F520" s="34"/>
      <c r="G520" s="34"/>
      <c r="H520" s="34"/>
      <c r="I520" s="33"/>
      <c r="J520" s="34"/>
      <c r="K520" s="70"/>
      <c r="L520" s="5"/>
      <c r="M520" s="5"/>
      <c r="N520" s="5"/>
      <c r="O520" s="5"/>
      <c r="P520" s="5"/>
      <c r="Q520" s="5"/>
    </row>
    <row r="521" spans="1:17" ht="15.95" customHeight="1" x14ac:dyDescent="0.2">
      <c r="A521" s="38"/>
      <c r="B521" s="33"/>
      <c r="C521" s="34"/>
      <c r="D521" s="34"/>
      <c r="E521" s="34"/>
      <c r="F521" s="34"/>
      <c r="G521" s="34"/>
      <c r="H521" s="34"/>
      <c r="I521" s="33"/>
      <c r="J521" s="34"/>
      <c r="K521" s="70"/>
      <c r="L521" s="5"/>
      <c r="M521" s="5"/>
      <c r="N521" s="5"/>
      <c r="O521" s="5"/>
      <c r="P521" s="5"/>
      <c r="Q521" s="5"/>
    </row>
    <row r="522" spans="1:17" ht="15.95" customHeight="1" x14ac:dyDescent="0.2">
      <c r="A522" s="38"/>
      <c r="B522" s="33"/>
      <c r="C522" s="34"/>
      <c r="D522" s="34"/>
      <c r="E522" s="34"/>
      <c r="F522" s="34"/>
      <c r="G522" s="34"/>
      <c r="H522" s="34"/>
      <c r="I522" s="33"/>
      <c r="J522" s="34"/>
      <c r="K522" s="70"/>
      <c r="L522" s="5"/>
      <c r="M522" s="5"/>
      <c r="N522" s="5"/>
      <c r="O522" s="5"/>
      <c r="P522" s="5"/>
      <c r="Q522" s="5"/>
    </row>
    <row r="523" spans="1:17" ht="15.95" customHeight="1" x14ac:dyDescent="0.2">
      <c r="A523" s="38"/>
      <c r="B523" s="33"/>
      <c r="C523" s="34"/>
      <c r="D523" s="34"/>
      <c r="E523" s="34"/>
      <c r="F523" s="34"/>
      <c r="G523" s="34"/>
      <c r="H523" s="34"/>
      <c r="I523" s="33"/>
      <c r="J523" s="34"/>
      <c r="K523" s="70"/>
      <c r="L523" s="5"/>
      <c r="M523" s="5"/>
      <c r="N523" s="5"/>
      <c r="O523" s="5"/>
      <c r="P523" s="5"/>
      <c r="Q523" s="5"/>
    </row>
    <row r="524" spans="1:17" ht="15.95" customHeight="1" x14ac:dyDescent="0.2">
      <c r="A524" s="38"/>
      <c r="B524" s="33"/>
      <c r="C524" s="34"/>
      <c r="D524" s="34"/>
      <c r="E524" s="34"/>
      <c r="F524" s="34"/>
      <c r="G524" s="34"/>
      <c r="H524" s="34"/>
      <c r="I524" s="33"/>
      <c r="J524" s="34"/>
      <c r="K524" s="70"/>
      <c r="L524" s="5"/>
      <c r="M524" s="5"/>
      <c r="N524" s="5"/>
      <c r="O524" s="5"/>
      <c r="P524" s="5"/>
      <c r="Q524" s="5"/>
    </row>
    <row r="525" spans="1:17" ht="15.95" customHeight="1" x14ac:dyDescent="0.2">
      <c r="A525" s="38"/>
      <c r="B525" s="33"/>
      <c r="C525" s="34"/>
      <c r="D525" s="34"/>
      <c r="E525" s="34"/>
      <c r="F525" s="34"/>
      <c r="G525" s="34"/>
      <c r="H525" s="34"/>
      <c r="I525" s="33"/>
      <c r="J525" s="34"/>
      <c r="K525" s="70"/>
      <c r="L525" s="5"/>
      <c r="M525" s="5"/>
      <c r="N525" s="5"/>
      <c r="O525" s="5"/>
      <c r="P525" s="5"/>
      <c r="Q525" s="5"/>
    </row>
    <row r="526" spans="1:17" ht="15.95" customHeight="1" x14ac:dyDescent="0.2">
      <c r="A526" s="38"/>
      <c r="B526" s="33"/>
      <c r="C526" s="34"/>
      <c r="D526" s="34"/>
      <c r="E526" s="34"/>
      <c r="F526" s="34"/>
      <c r="G526" s="34"/>
      <c r="H526" s="34"/>
      <c r="I526" s="33"/>
      <c r="J526" s="34"/>
      <c r="K526" s="70"/>
      <c r="L526" s="5"/>
      <c r="M526" s="5"/>
      <c r="N526" s="5"/>
      <c r="O526" s="5"/>
      <c r="P526" s="5"/>
      <c r="Q526" s="5"/>
    </row>
    <row r="527" spans="1:17" ht="15.95" customHeight="1" x14ac:dyDescent="0.2">
      <c r="A527" s="38"/>
      <c r="B527" s="33"/>
      <c r="C527" s="34"/>
      <c r="D527" s="34"/>
      <c r="E527" s="34"/>
      <c r="F527" s="34"/>
      <c r="G527" s="34"/>
      <c r="H527" s="34"/>
      <c r="I527" s="33"/>
      <c r="J527" s="34"/>
      <c r="K527" s="70"/>
      <c r="L527" s="5"/>
      <c r="M527" s="5"/>
      <c r="N527" s="5"/>
      <c r="O527" s="5"/>
      <c r="P527" s="5"/>
      <c r="Q527" s="5"/>
    </row>
    <row r="528" spans="1:17" ht="15.95" customHeight="1" x14ac:dyDescent="0.2">
      <c r="A528" s="38"/>
      <c r="B528" s="33"/>
      <c r="C528" s="34"/>
      <c r="D528" s="34"/>
      <c r="E528" s="34"/>
      <c r="F528" s="34"/>
      <c r="G528" s="34"/>
      <c r="H528" s="34"/>
      <c r="I528" s="33"/>
      <c r="J528" s="34"/>
      <c r="K528" s="70"/>
      <c r="L528" s="5"/>
      <c r="M528" s="5"/>
      <c r="N528" s="5"/>
      <c r="O528" s="5"/>
      <c r="P528" s="5"/>
      <c r="Q528" s="5"/>
    </row>
    <row r="529" spans="1:17" ht="15.95" customHeight="1" x14ac:dyDescent="0.2">
      <c r="A529" s="38"/>
      <c r="B529" s="33"/>
      <c r="C529" s="34"/>
      <c r="D529" s="34"/>
      <c r="E529" s="34"/>
      <c r="F529" s="34"/>
      <c r="G529" s="34"/>
      <c r="H529" s="34"/>
      <c r="I529" s="33"/>
      <c r="J529" s="34"/>
      <c r="K529" s="70"/>
      <c r="L529" s="5"/>
      <c r="M529" s="5"/>
      <c r="N529" s="5"/>
      <c r="O529" s="5"/>
      <c r="P529" s="5"/>
      <c r="Q529" s="5"/>
    </row>
    <row r="530" spans="1:17" ht="15.95" customHeight="1" x14ac:dyDescent="0.2">
      <c r="A530" s="38"/>
      <c r="B530" s="33"/>
      <c r="C530" s="34"/>
      <c r="D530" s="34"/>
      <c r="E530" s="34"/>
      <c r="F530" s="34"/>
      <c r="G530" s="34"/>
      <c r="H530" s="34"/>
      <c r="I530" s="33"/>
      <c r="J530" s="34"/>
      <c r="K530" s="70"/>
      <c r="L530" s="5"/>
      <c r="M530" s="5"/>
      <c r="N530" s="5"/>
      <c r="O530" s="5"/>
      <c r="P530" s="5"/>
      <c r="Q530" s="5"/>
    </row>
    <row r="531" spans="1:17" ht="15.95" customHeight="1" x14ac:dyDescent="0.2">
      <c r="A531" s="38"/>
      <c r="B531" s="33"/>
      <c r="C531" s="34"/>
      <c r="D531" s="34"/>
      <c r="E531" s="34"/>
      <c r="F531" s="34"/>
      <c r="G531" s="34"/>
      <c r="H531" s="34"/>
      <c r="I531" s="33"/>
      <c r="J531" s="34"/>
      <c r="K531" s="70"/>
      <c r="L531" s="5"/>
      <c r="M531" s="5"/>
      <c r="N531" s="5"/>
      <c r="O531" s="5"/>
      <c r="P531" s="5"/>
      <c r="Q531" s="5"/>
    </row>
    <row r="532" spans="1:17" ht="15.95" customHeight="1" x14ac:dyDescent="0.2">
      <c r="A532" s="38"/>
      <c r="B532" s="33"/>
      <c r="C532" s="34"/>
      <c r="D532" s="34"/>
      <c r="E532" s="34"/>
      <c r="F532" s="34"/>
      <c r="G532" s="34"/>
      <c r="H532" s="34"/>
      <c r="I532" s="33"/>
      <c r="J532" s="34"/>
      <c r="K532" s="70"/>
      <c r="L532" s="5"/>
      <c r="M532" s="5"/>
      <c r="N532" s="5"/>
      <c r="O532" s="5"/>
      <c r="P532" s="5"/>
      <c r="Q532" s="5"/>
    </row>
    <row r="533" spans="1:17" ht="15.95" customHeight="1" x14ac:dyDescent="0.2">
      <c r="A533" s="38"/>
      <c r="B533" s="33"/>
      <c r="C533" s="34"/>
      <c r="D533" s="34"/>
      <c r="E533" s="34"/>
      <c r="F533" s="34"/>
      <c r="G533" s="34"/>
      <c r="H533" s="34"/>
      <c r="I533" s="33"/>
      <c r="J533" s="34"/>
      <c r="K533" s="70"/>
      <c r="L533" s="5"/>
      <c r="M533" s="5"/>
      <c r="N533" s="5"/>
      <c r="O533" s="5"/>
      <c r="P533" s="5"/>
      <c r="Q533" s="5"/>
    </row>
    <row r="534" spans="1:17" ht="15.95" customHeight="1" x14ac:dyDescent="0.2">
      <c r="A534" s="38"/>
      <c r="B534" s="33"/>
      <c r="C534" s="34"/>
      <c r="D534" s="34"/>
      <c r="E534" s="34"/>
      <c r="F534" s="34"/>
      <c r="G534" s="34"/>
      <c r="H534" s="34"/>
      <c r="I534" s="33"/>
      <c r="J534" s="34"/>
      <c r="K534" s="70"/>
      <c r="L534" s="5"/>
      <c r="M534" s="5"/>
      <c r="N534" s="5"/>
      <c r="O534" s="5"/>
      <c r="P534" s="5"/>
      <c r="Q534" s="5"/>
    </row>
    <row r="535" spans="1:17" ht="15.95" customHeight="1" x14ac:dyDescent="0.2">
      <c r="A535" s="38"/>
      <c r="B535" s="33"/>
      <c r="C535" s="34"/>
      <c r="D535" s="34"/>
      <c r="E535" s="34"/>
      <c r="F535" s="34"/>
      <c r="G535" s="34"/>
      <c r="H535" s="34"/>
      <c r="I535" s="33"/>
      <c r="J535" s="34"/>
      <c r="K535" s="70"/>
      <c r="L535" s="5"/>
      <c r="M535" s="5"/>
      <c r="N535" s="5"/>
      <c r="O535" s="5"/>
      <c r="P535" s="5"/>
      <c r="Q535" s="5"/>
    </row>
    <row r="536" spans="1:17" ht="15.95" customHeight="1" x14ac:dyDescent="0.2">
      <c r="A536" s="38"/>
      <c r="B536" s="33"/>
      <c r="C536" s="34"/>
      <c r="D536" s="34"/>
      <c r="E536" s="34"/>
      <c r="F536" s="34"/>
      <c r="G536" s="34"/>
      <c r="H536" s="34"/>
      <c r="I536" s="33"/>
      <c r="J536" s="34"/>
      <c r="K536" s="70"/>
      <c r="L536" s="5"/>
      <c r="M536" s="5"/>
      <c r="N536" s="5"/>
      <c r="O536" s="5"/>
      <c r="P536" s="5"/>
      <c r="Q536" s="5"/>
    </row>
    <row r="537" spans="1:17" ht="15.95" customHeight="1" x14ac:dyDescent="0.2">
      <c r="A537" s="38"/>
      <c r="B537" s="33"/>
      <c r="C537" s="34"/>
      <c r="D537" s="34"/>
      <c r="E537" s="34"/>
      <c r="F537" s="34"/>
      <c r="G537" s="34"/>
      <c r="H537" s="34"/>
      <c r="I537" s="33"/>
      <c r="J537" s="34"/>
      <c r="K537" s="70"/>
      <c r="L537" s="5"/>
      <c r="M537" s="5"/>
      <c r="N537" s="5"/>
      <c r="O537" s="5"/>
      <c r="P537" s="5"/>
      <c r="Q537" s="5"/>
    </row>
    <row r="538" spans="1:17" ht="15.95" customHeight="1" x14ac:dyDescent="0.2">
      <c r="A538" s="38"/>
      <c r="B538" s="33"/>
      <c r="C538" s="34"/>
      <c r="D538" s="34"/>
      <c r="E538" s="34"/>
      <c r="F538" s="34"/>
      <c r="G538" s="34"/>
      <c r="H538" s="34"/>
      <c r="I538" s="33"/>
      <c r="J538" s="34"/>
      <c r="K538" s="70"/>
      <c r="L538" s="5"/>
      <c r="M538" s="5"/>
      <c r="N538" s="5"/>
      <c r="O538" s="5"/>
      <c r="P538" s="5"/>
      <c r="Q538" s="5"/>
    </row>
    <row r="539" spans="1:17" ht="15.95" customHeight="1" x14ac:dyDescent="0.2">
      <c r="A539" s="38"/>
      <c r="B539" s="33"/>
      <c r="C539" s="34"/>
      <c r="D539" s="34"/>
      <c r="E539" s="34"/>
      <c r="F539" s="34"/>
      <c r="G539" s="34"/>
      <c r="H539" s="34"/>
      <c r="I539" s="33"/>
      <c r="J539" s="34"/>
      <c r="K539" s="70"/>
      <c r="L539" s="5"/>
      <c r="M539" s="5"/>
      <c r="N539" s="5"/>
      <c r="O539" s="5"/>
      <c r="P539" s="5"/>
      <c r="Q539" s="5"/>
    </row>
    <row r="540" spans="1:17" ht="15.95" customHeight="1" x14ac:dyDescent="0.2">
      <c r="A540" s="38"/>
      <c r="B540" s="33"/>
      <c r="C540" s="34"/>
      <c r="D540" s="34"/>
      <c r="E540" s="34"/>
      <c r="F540" s="34"/>
      <c r="G540" s="34"/>
      <c r="H540" s="34"/>
      <c r="I540" s="33"/>
      <c r="J540" s="34"/>
      <c r="K540" s="70"/>
      <c r="L540" s="5"/>
      <c r="M540" s="5"/>
      <c r="N540" s="5"/>
      <c r="O540" s="5"/>
      <c r="P540" s="5"/>
      <c r="Q540" s="5"/>
    </row>
    <row r="541" spans="1:17" ht="15.95" customHeight="1" x14ac:dyDescent="0.2">
      <c r="A541" s="38"/>
      <c r="B541" s="33"/>
      <c r="C541" s="34"/>
      <c r="D541" s="34"/>
      <c r="E541" s="34"/>
      <c r="F541" s="34"/>
      <c r="G541" s="34"/>
      <c r="H541" s="34"/>
      <c r="I541" s="33"/>
      <c r="J541" s="34"/>
      <c r="K541" s="70"/>
      <c r="L541" s="5"/>
      <c r="M541" s="5"/>
      <c r="N541" s="5"/>
      <c r="O541" s="5"/>
      <c r="P541" s="5"/>
      <c r="Q541" s="5"/>
    </row>
    <row r="542" spans="1:17" ht="15.95" customHeight="1" x14ac:dyDescent="0.2">
      <c r="A542" s="38"/>
      <c r="B542" s="33"/>
      <c r="C542" s="34"/>
      <c r="D542" s="34"/>
      <c r="E542" s="34"/>
      <c r="F542" s="34"/>
      <c r="G542" s="34"/>
      <c r="H542" s="34"/>
      <c r="I542" s="33"/>
      <c r="J542" s="34"/>
      <c r="K542" s="70"/>
      <c r="L542" s="5"/>
      <c r="M542" s="5"/>
      <c r="N542" s="5"/>
      <c r="O542" s="5"/>
      <c r="P542" s="5"/>
      <c r="Q542" s="5"/>
    </row>
    <row r="543" spans="1:17" ht="15.95" customHeight="1" x14ac:dyDescent="0.2">
      <c r="A543" s="38"/>
      <c r="B543" s="33"/>
      <c r="C543" s="34"/>
      <c r="D543" s="34"/>
      <c r="E543" s="34"/>
      <c r="F543" s="34"/>
      <c r="G543" s="34"/>
      <c r="H543" s="34"/>
      <c r="I543" s="33"/>
      <c r="J543" s="34"/>
      <c r="K543" s="70"/>
      <c r="L543" s="5"/>
      <c r="M543" s="5"/>
      <c r="N543" s="5"/>
      <c r="O543" s="5"/>
      <c r="P543" s="5"/>
      <c r="Q543" s="5"/>
    </row>
    <row r="544" spans="1:17" ht="15.95" customHeight="1" x14ac:dyDescent="0.2">
      <c r="A544" s="38"/>
      <c r="B544" s="33"/>
      <c r="C544" s="34"/>
      <c r="D544" s="34"/>
      <c r="E544" s="34"/>
      <c r="F544" s="34"/>
      <c r="G544" s="34"/>
      <c r="H544" s="34"/>
      <c r="I544" s="33"/>
      <c r="J544" s="34"/>
      <c r="K544" s="70"/>
      <c r="L544" s="5"/>
      <c r="M544" s="5"/>
      <c r="N544" s="5"/>
      <c r="O544" s="5"/>
      <c r="P544" s="5"/>
      <c r="Q544" s="5"/>
    </row>
    <row r="545" spans="1:17" ht="15.95" customHeight="1" x14ac:dyDescent="0.2">
      <c r="A545" s="38"/>
      <c r="B545" s="33"/>
      <c r="C545" s="34"/>
      <c r="D545" s="34"/>
      <c r="E545" s="34"/>
      <c r="F545" s="34"/>
      <c r="G545" s="34"/>
      <c r="H545" s="34"/>
      <c r="I545" s="33"/>
      <c r="J545" s="34"/>
      <c r="K545" s="70"/>
      <c r="L545" s="5"/>
      <c r="M545" s="5"/>
      <c r="N545" s="5"/>
      <c r="O545" s="5"/>
      <c r="P545" s="5"/>
      <c r="Q545" s="5"/>
    </row>
    <row r="546" spans="1:17" ht="15.95" customHeight="1" x14ac:dyDescent="0.2">
      <c r="A546" s="38"/>
      <c r="B546" s="33"/>
      <c r="C546" s="34"/>
      <c r="D546" s="34"/>
      <c r="E546" s="34"/>
      <c r="F546" s="34"/>
      <c r="G546" s="34"/>
      <c r="H546" s="34"/>
      <c r="I546" s="33"/>
      <c r="J546" s="34"/>
      <c r="K546" s="70"/>
      <c r="L546" s="5"/>
      <c r="M546" s="5"/>
      <c r="N546" s="5"/>
      <c r="O546" s="5"/>
      <c r="P546" s="5"/>
      <c r="Q546" s="5"/>
    </row>
    <row r="547" spans="1:17" ht="15.95" customHeight="1" x14ac:dyDescent="0.2">
      <c r="A547" s="38"/>
      <c r="B547" s="33"/>
      <c r="C547" s="34"/>
      <c r="D547" s="34"/>
      <c r="E547" s="34"/>
      <c r="F547" s="34"/>
      <c r="G547" s="34"/>
      <c r="H547" s="34"/>
      <c r="I547" s="33"/>
      <c r="J547" s="34"/>
      <c r="K547" s="70"/>
      <c r="L547" s="5"/>
      <c r="M547" s="5"/>
      <c r="N547" s="5"/>
      <c r="O547" s="5"/>
      <c r="P547" s="5"/>
      <c r="Q547" s="5"/>
    </row>
    <row r="548" spans="1:17" ht="15.95" customHeight="1" x14ac:dyDescent="0.2">
      <c r="A548" s="38"/>
      <c r="B548" s="33"/>
      <c r="C548" s="34"/>
      <c r="D548" s="34"/>
      <c r="E548" s="34"/>
      <c r="F548" s="34"/>
      <c r="G548" s="34"/>
      <c r="H548" s="34"/>
      <c r="I548" s="33"/>
      <c r="J548" s="34"/>
      <c r="K548" s="70"/>
      <c r="L548" s="5"/>
      <c r="M548" s="5"/>
      <c r="N548" s="5"/>
      <c r="O548" s="5"/>
      <c r="P548" s="5"/>
      <c r="Q548" s="5"/>
    </row>
    <row r="549" spans="1:17" ht="15.95" customHeight="1" x14ac:dyDescent="0.2">
      <c r="A549" s="38"/>
      <c r="B549" s="33"/>
      <c r="C549" s="34"/>
      <c r="D549" s="34"/>
      <c r="E549" s="34"/>
      <c r="F549" s="34"/>
      <c r="G549" s="34"/>
      <c r="H549" s="34"/>
      <c r="I549" s="33"/>
      <c r="J549" s="34"/>
      <c r="K549" s="70"/>
      <c r="L549" s="5"/>
      <c r="M549" s="5"/>
      <c r="N549" s="5"/>
      <c r="O549" s="5"/>
      <c r="P549" s="5"/>
      <c r="Q549" s="5"/>
    </row>
    <row r="550" spans="1:17" ht="15.95" customHeight="1" x14ac:dyDescent="0.2">
      <c r="A550" s="38"/>
      <c r="B550" s="33"/>
      <c r="C550" s="34"/>
      <c r="D550" s="34"/>
      <c r="E550" s="34"/>
      <c r="F550" s="34"/>
      <c r="G550" s="34"/>
      <c r="H550" s="34"/>
      <c r="I550" s="33"/>
      <c r="J550" s="34"/>
      <c r="K550" s="70"/>
      <c r="L550" s="5"/>
      <c r="M550" s="5"/>
      <c r="N550" s="5"/>
      <c r="O550" s="5"/>
      <c r="P550" s="5"/>
      <c r="Q550" s="5"/>
    </row>
    <row r="551" spans="1:17" ht="15.95" customHeight="1" x14ac:dyDescent="0.2">
      <c r="A551" s="38"/>
      <c r="B551" s="33"/>
      <c r="C551" s="34"/>
      <c r="D551" s="34"/>
      <c r="E551" s="34"/>
      <c r="F551" s="34"/>
      <c r="G551" s="34"/>
      <c r="H551" s="34"/>
      <c r="I551" s="33"/>
      <c r="J551" s="34"/>
      <c r="K551" s="70"/>
      <c r="L551" s="5"/>
      <c r="M551" s="5"/>
      <c r="N551" s="5"/>
      <c r="O551" s="5"/>
      <c r="P551" s="5"/>
      <c r="Q551" s="5"/>
    </row>
    <row r="552" spans="1:17" ht="15.95" customHeight="1" x14ac:dyDescent="0.2">
      <c r="A552" s="38"/>
      <c r="B552" s="33"/>
      <c r="C552" s="34"/>
      <c r="D552" s="34"/>
      <c r="E552" s="34"/>
      <c r="F552" s="34"/>
      <c r="G552" s="34"/>
      <c r="H552" s="34"/>
      <c r="I552" s="33"/>
      <c r="J552" s="34"/>
      <c r="K552" s="70"/>
      <c r="L552" s="5"/>
      <c r="M552" s="5"/>
      <c r="N552" s="5"/>
      <c r="O552" s="5"/>
      <c r="P552" s="5"/>
      <c r="Q552" s="5"/>
    </row>
    <row r="553" spans="1:17" ht="15.95" customHeight="1" x14ac:dyDescent="0.2">
      <c r="A553" s="38"/>
      <c r="B553" s="33"/>
      <c r="C553" s="34"/>
      <c r="D553" s="34"/>
      <c r="E553" s="34"/>
      <c r="F553" s="34"/>
      <c r="G553" s="34"/>
      <c r="H553" s="34"/>
      <c r="I553" s="33"/>
      <c r="J553" s="34"/>
      <c r="K553" s="70"/>
      <c r="L553" s="5"/>
      <c r="M553" s="5"/>
      <c r="N553" s="5"/>
      <c r="O553" s="5"/>
      <c r="P553" s="5"/>
      <c r="Q553" s="5"/>
    </row>
    <row r="554" spans="1:17" ht="15.95" customHeight="1" x14ac:dyDescent="0.2">
      <c r="A554" s="38"/>
      <c r="B554" s="33"/>
      <c r="C554" s="34"/>
      <c r="D554" s="34"/>
      <c r="E554" s="34"/>
      <c r="F554" s="34"/>
      <c r="G554" s="34"/>
      <c r="H554" s="34"/>
      <c r="I554" s="33"/>
      <c r="J554" s="34"/>
      <c r="K554" s="70"/>
      <c r="L554" s="5"/>
      <c r="M554" s="5"/>
      <c r="N554" s="5"/>
      <c r="O554" s="5"/>
      <c r="P554" s="5"/>
      <c r="Q554" s="5"/>
    </row>
    <row r="555" spans="1:17" ht="15.95" customHeight="1" x14ac:dyDescent="0.2">
      <c r="A555" s="38"/>
      <c r="B555" s="33"/>
      <c r="C555" s="34"/>
      <c r="D555" s="34"/>
      <c r="E555" s="34"/>
      <c r="F555" s="34"/>
      <c r="G555" s="34"/>
      <c r="H555" s="34"/>
      <c r="I555" s="33"/>
      <c r="J555" s="34"/>
      <c r="K555" s="70"/>
      <c r="L555" s="5"/>
      <c r="M555" s="5"/>
      <c r="N555" s="5"/>
      <c r="O555" s="5"/>
      <c r="P555" s="5"/>
      <c r="Q555" s="5"/>
    </row>
    <row r="556" spans="1:17" ht="15.95" customHeight="1" x14ac:dyDescent="0.2">
      <c r="A556" s="38"/>
      <c r="B556" s="33"/>
      <c r="C556" s="34"/>
      <c r="D556" s="34"/>
      <c r="E556" s="34"/>
      <c r="F556" s="34"/>
      <c r="G556" s="34"/>
      <c r="H556" s="34"/>
      <c r="I556" s="33"/>
      <c r="J556" s="34"/>
      <c r="K556" s="70"/>
      <c r="L556" s="5"/>
      <c r="M556" s="5"/>
      <c r="N556" s="5"/>
      <c r="O556" s="5"/>
      <c r="P556" s="5"/>
      <c r="Q556" s="5"/>
    </row>
    <row r="557" spans="1:17" ht="15.95" customHeight="1" x14ac:dyDescent="0.2">
      <c r="A557" s="38"/>
      <c r="B557" s="33"/>
      <c r="C557" s="34"/>
      <c r="D557" s="34"/>
      <c r="E557" s="34"/>
      <c r="F557" s="34"/>
      <c r="G557" s="34"/>
      <c r="H557" s="34"/>
      <c r="I557" s="33"/>
      <c r="J557" s="34"/>
      <c r="K557" s="70"/>
      <c r="L557" s="5"/>
      <c r="M557" s="5"/>
      <c r="N557" s="5"/>
      <c r="O557" s="5"/>
      <c r="P557" s="5"/>
      <c r="Q557" s="5"/>
    </row>
    <row r="558" spans="1:17" ht="15.95" customHeight="1" x14ac:dyDescent="0.2">
      <c r="A558" s="38"/>
      <c r="B558" s="33"/>
      <c r="C558" s="34"/>
      <c r="D558" s="34"/>
      <c r="E558" s="34"/>
      <c r="F558" s="34"/>
      <c r="G558" s="34"/>
      <c r="H558" s="34"/>
      <c r="I558" s="33"/>
      <c r="J558" s="34"/>
      <c r="K558" s="70"/>
      <c r="L558" s="5"/>
      <c r="M558" s="5"/>
      <c r="N558" s="5"/>
      <c r="O558" s="5"/>
      <c r="P558" s="5"/>
      <c r="Q558" s="5"/>
    </row>
    <row r="559" spans="1:17" ht="15.95" customHeight="1" x14ac:dyDescent="0.2">
      <c r="A559" s="38"/>
      <c r="B559" s="33"/>
      <c r="C559" s="34"/>
      <c r="D559" s="34"/>
      <c r="E559" s="34"/>
      <c r="F559" s="34"/>
      <c r="G559" s="34"/>
      <c r="H559" s="34"/>
      <c r="I559" s="33"/>
      <c r="J559" s="34"/>
      <c r="K559" s="70"/>
      <c r="L559" s="5"/>
      <c r="M559" s="5"/>
      <c r="N559" s="5"/>
      <c r="O559" s="5"/>
      <c r="P559" s="5"/>
      <c r="Q559" s="5"/>
    </row>
    <row r="560" spans="1:17" ht="15.95" customHeight="1" x14ac:dyDescent="0.2">
      <c r="A560" s="38"/>
      <c r="B560" s="33"/>
      <c r="C560" s="34"/>
      <c r="D560" s="34"/>
      <c r="E560" s="34"/>
      <c r="F560" s="34"/>
      <c r="G560" s="34"/>
      <c r="H560" s="34"/>
      <c r="I560" s="33"/>
      <c r="J560" s="34"/>
      <c r="K560" s="70"/>
      <c r="L560" s="5"/>
      <c r="M560" s="5"/>
      <c r="N560" s="5"/>
      <c r="O560" s="5"/>
      <c r="P560" s="5"/>
      <c r="Q560" s="5"/>
    </row>
    <row r="561" spans="1:17" ht="15.95" customHeight="1" x14ac:dyDescent="0.2">
      <c r="A561" s="38"/>
      <c r="B561" s="33"/>
      <c r="C561" s="34"/>
      <c r="D561" s="34"/>
      <c r="E561" s="34"/>
      <c r="F561" s="34"/>
      <c r="G561" s="34"/>
      <c r="H561" s="34"/>
      <c r="I561" s="33"/>
      <c r="J561" s="34"/>
      <c r="K561" s="70"/>
      <c r="L561" s="5"/>
      <c r="M561" s="5"/>
      <c r="N561" s="5"/>
      <c r="O561" s="5"/>
      <c r="P561" s="5"/>
      <c r="Q561" s="5"/>
    </row>
    <row r="562" spans="1:17" ht="15.95" customHeight="1" x14ac:dyDescent="0.2">
      <c r="A562" s="38"/>
      <c r="B562" s="33"/>
      <c r="C562" s="34"/>
      <c r="D562" s="34"/>
      <c r="E562" s="34"/>
      <c r="F562" s="34"/>
      <c r="G562" s="34"/>
      <c r="H562" s="34"/>
      <c r="I562" s="33"/>
      <c r="J562" s="34"/>
      <c r="K562" s="70"/>
      <c r="L562" s="5"/>
      <c r="M562" s="5"/>
      <c r="N562" s="5"/>
      <c r="O562" s="5"/>
      <c r="P562" s="5"/>
      <c r="Q562" s="5"/>
    </row>
    <row r="563" spans="1:17" ht="15.95" customHeight="1" x14ac:dyDescent="0.2">
      <c r="A563" s="38"/>
      <c r="B563" s="33"/>
      <c r="C563" s="34"/>
      <c r="D563" s="34"/>
      <c r="E563" s="34"/>
      <c r="F563" s="34"/>
      <c r="G563" s="34"/>
      <c r="H563" s="34"/>
      <c r="I563" s="33"/>
      <c r="J563" s="34"/>
      <c r="K563" s="70"/>
      <c r="L563" s="5"/>
      <c r="M563" s="5"/>
      <c r="N563" s="5"/>
      <c r="O563" s="5"/>
      <c r="P563" s="5"/>
      <c r="Q563" s="5"/>
    </row>
    <row r="564" spans="1:17" ht="15.95" customHeight="1" x14ac:dyDescent="0.2">
      <c r="A564" s="38"/>
      <c r="B564" s="33"/>
      <c r="C564" s="34"/>
      <c r="D564" s="34"/>
      <c r="E564" s="34"/>
      <c r="F564" s="34"/>
      <c r="G564" s="34"/>
      <c r="H564" s="34"/>
      <c r="I564" s="33"/>
      <c r="J564" s="34"/>
      <c r="K564" s="70"/>
      <c r="L564" s="5"/>
      <c r="M564" s="5"/>
      <c r="N564" s="5"/>
      <c r="O564" s="5"/>
      <c r="P564" s="5"/>
      <c r="Q564" s="5"/>
    </row>
    <row r="565" spans="1:17" ht="15.95" customHeight="1" x14ac:dyDescent="0.2">
      <c r="A565" s="38"/>
      <c r="B565" s="33"/>
      <c r="C565" s="34"/>
      <c r="D565" s="34"/>
      <c r="E565" s="34"/>
      <c r="F565" s="34"/>
      <c r="G565" s="34"/>
      <c r="H565" s="34"/>
      <c r="I565" s="33"/>
      <c r="J565" s="34"/>
      <c r="K565" s="70"/>
      <c r="L565" s="5"/>
      <c r="M565" s="5"/>
      <c r="N565" s="5"/>
      <c r="O565" s="5"/>
      <c r="P565" s="5"/>
      <c r="Q565" s="5"/>
    </row>
    <row r="566" spans="1:17" ht="15.95" customHeight="1" x14ac:dyDescent="0.2">
      <c r="A566" s="38"/>
      <c r="B566" s="33"/>
      <c r="C566" s="34"/>
      <c r="D566" s="34"/>
      <c r="E566" s="34"/>
      <c r="F566" s="34"/>
      <c r="G566" s="34"/>
      <c r="H566" s="34"/>
      <c r="I566" s="33"/>
      <c r="J566" s="34"/>
      <c r="K566" s="70"/>
      <c r="L566" s="5"/>
      <c r="M566" s="5"/>
      <c r="N566" s="5"/>
      <c r="O566" s="5"/>
      <c r="P566" s="5"/>
      <c r="Q566" s="5"/>
    </row>
    <row r="567" spans="1:17" ht="15.95" customHeight="1" x14ac:dyDescent="0.2">
      <c r="A567" s="38"/>
      <c r="B567" s="33"/>
      <c r="C567" s="34"/>
      <c r="D567" s="34"/>
      <c r="E567" s="34"/>
      <c r="F567" s="34"/>
      <c r="G567" s="34"/>
      <c r="H567" s="34"/>
      <c r="I567" s="33"/>
      <c r="J567" s="34"/>
      <c r="K567" s="70"/>
      <c r="L567" s="5"/>
      <c r="M567" s="5"/>
      <c r="N567" s="5"/>
      <c r="O567" s="5"/>
      <c r="P567" s="5"/>
      <c r="Q567" s="5"/>
    </row>
    <row r="568" spans="1:17" ht="15.95" customHeight="1" x14ac:dyDescent="0.2">
      <c r="A568" s="38"/>
      <c r="B568" s="33"/>
      <c r="C568" s="34"/>
      <c r="D568" s="34"/>
      <c r="E568" s="34"/>
      <c r="F568" s="34"/>
      <c r="G568" s="34"/>
      <c r="H568" s="34"/>
      <c r="I568" s="33"/>
      <c r="J568" s="34"/>
      <c r="K568" s="70"/>
      <c r="L568" s="5"/>
      <c r="M568" s="5"/>
      <c r="N568" s="5"/>
      <c r="O568" s="5"/>
      <c r="P568" s="5"/>
      <c r="Q568" s="5"/>
    </row>
    <row r="569" spans="1:17" ht="15.95" customHeight="1" x14ac:dyDescent="0.2">
      <c r="A569" s="38"/>
      <c r="B569" s="33"/>
      <c r="C569" s="34"/>
      <c r="D569" s="34"/>
      <c r="E569" s="34"/>
      <c r="F569" s="34"/>
      <c r="G569" s="34"/>
      <c r="H569" s="34"/>
      <c r="I569" s="33"/>
      <c r="J569" s="34"/>
      <c r="K569" s="70"/>
      <c r="L569" s="5"/>
      <c r="M569" s="5"/>
      <c r="N569" s="5"/>
      <c r="O569" s="5"/>
      <c r="P569" s="5"/>
      <c r="Q569" s="5"/>
    </row>
    <row r="570" spans="1:17" ht="15.95" customHeight="1" x14ac:dyDescent="0.2">
      <c r="A570" s="38"/>
      <c r="B570" s="33"/>
      <c r="C570" s="34"/>
      <c r="D570" s="34"/>
      <c r="E570" s="34"/>
      <c r="F570" s="34"/>
      <c r="G570" s="34"/>
      <c r="H570" s="34"/>
      <c r="I570" s="33"/>
      <c r="J570" s="34"/>
      <c r="K570" s="70"/>
      <c r="L570" s="5"/>
      <c r="M570" s="5"/>
      <c r="N570" s="5"/>
      <c r="O570" s="5"/>
      <c r="P570" s="5"/>
      <c r="Q570" s="5"/>
    </row>
    <row r="571" spans="1:17" ht="15.95" customHeight="1" x14ac:dyDescent="0.2">
      <c r="A571" s="38"/>
      <c r="B571" s="33"/>
      <c r="C571" s="34"/>
      <c r="D571" s="34"/>
      <c r="E571" s="34"/>
      <c r="F571" s="34"/>
      <c r="G571" s="34"/>
      <c r="H571" s="34"/>
      <c r="I571" s="33"/>
      <c r="J571" s="34"/>
      <c r="K571" s="70"/>
      <c r="L571" s="5"/>
      <c r="M571" s="5"/>
      <c r="N571" s="5"/>
      <c r="O571" s="5"/>
      <c r="P571" s="5"/>
      <c r="Q571" s="5"/>
    </row>
    <row r="572" spans="1:17" ht="15.95" customHeight="1" x14ac:dyDescent="0.2">
      <c r="A572" s="38"/>
      <c r="B572" s="33"/>
      <c r="C572" s="34"/>
      <c r="D572" s="34"/>
      <c r="E572" s="34"/>
      <c r="F572" s="34"/>
      <c r="G572" s="34"/>
      <c r="H572" s="34"/>
      <c r="I572" s="33"/>
      <c r="J572" s="34"/>
      <c r="K572" s="70"/>
      <c r="L572" s="5"/>
      <c r="M572" s="5"/>
      <c r="N572" s="5"/>
      <c r="O572" s="5"/>
      <c r="P572" s="5"/>
      <c r="Q572" s="5"/>
    </row>
    <row r="573" spans="1:17" ht="15.95" customHeight="1" x14ac:dyDescent="0.2">
      <c r="A573" s="38"/>
      <c r="B573" s="33"/>
      <c r="C573" s="34"/>
      <c r="D573" s="34"/>
      <c r="E573" s="34"/>
      <c r="F573" s="34"/>
      <c r="G573" s="34"/>
      <c r="H573" s="34"/>
      <c r="I573" s="33"/>
      <c r="J573" s="34"/>
      <c r="K573" s="70"/>
      <c r="L573" s="5"/>
      <c r="M573" s="5"/>
      <c r="N573" s="5"/>
      <c r="O573" s="5"/>
      <c r="P573" s="5"/>
      <c r="Q573" s="5"/>
    </row>
    <row r="574" spans="1:17" ht="15.95" customHeight="1" x14ac:dyDescent="0.2">
      <c r="A574" s="38"/>
      <c r="B574" s="33"/>
      <c r="C574" s="34"/>
      <c r="D574" s="34"/>
      <c r="E574" s="34"/>
      <c r="F574" s="34"/>
      <c r="G574" s="34"/>
      <c r="H574" s="34"/>
      <c r="I574" s="33"/>
      <c r="J574" s="34"/>
      <c r="K574" s="70"/>
      <c r="L574" s="5"/>
      <c r="M574" s="5"/>
      <c r="N574" s="5"/>
      <c r="O574" s="5"/>
      <c r="P574" s="5"/>
      <c r="Q574" s="5"/>
    </row>
    <row r="575" spans="1:17" ht="15.95" customHeight="1" x14ac:dyDescent="0.2">
      <c r="A575" s="38"/>
      <c r="B575" s="33"/>
      <c r="C575" s="34"/>
      <c r="D575" s="34"/>
      <c r="E575" s="34"/>
      <c r="F575" s="34"/>
      <c r="G575" s="34"/>
      <c r="H575" s="34"/>
      <c r="I575" s="33"/>
      <c r="J575" s="34"/>
      <c r="K575" s="70"/>
      <c r="L575" s="5"/>
      <c r="M575" s="5"/>
      <c r="N575" s="5"/>
      <c r="O575" s="5"/>
      <c r="P575" s="5"/>
      <c r="Q575" s="5"/>
    </row>
    <row r="576" spans="1:17" ht="15.95" customHeight="1" x14ac:dyDescent="0.2">
      <c r="A576" s="38"/>
      <c r="B576" s="33"/>
      <c r="C576" s="34"/>
      <c r="D576" s="34"/>
      <c r="E576" s="34"/>
      <c r="F576" s="34"/>
      <c r="G576" s="34"/>
      <c r="H576" s="34"/>
      <c r="I576" s="33"/>
      <c r="J576" s="34"/>
      <c r="K576" s="70"/>
      <c r="L576" s="5"/>
      <c r="M576" s="5"/>
      <c r="N576" s="5"/>
      <c r="O576" s="5"/>
      <c r="P576" s="5"/>
      <c r="Q576" s="5"/>
    </row>
    <row r="577" spans="1:17" ht="15.95" customHeight="1" x14ac:dyDescent="0.2">
      <c r="A577" s="38"/>
      <c r="B577" s="33"/>
      <c r="C577" s="34"/>
      <c r="D577" s="34"/>
      <c r="E577" s="34"/>
      <c r="F577" s="34"/>
      <c r="G577" s="34"/>
      <c r="H577" s="34"/>
      <c r="I577" s="33"/>
      <c r="J577" s="34"/>
      <c r="K577" s="70"/>
      <c r="L577" s="5"/>
      <c r="M577" s="5"/>
      <c r="N577" s="5"/>
      <c r="O577" s="5"/>
      <c r="P577" s="5"/>
      <c r="Q577" s="5"/>
    </row>
    <row r="578" spans="1:17" ht="15.95" customHeight="1" x14ac:dyDescent="0.2">
      <c r="A578" s="38"/>
      <c r="B578" s="33"/>
      <c r="C578" s="34"/>
      <c r="D578" s="34"/>
      <c r="E578" s="34"/>
      <c r="F578" s="34"/>
      <c r="G578" s="34"/>
      <c r="H578" s="34"/>
      <c r="I578" s="33"/>
      <c r="J578" s="34"/>
      <c r="K578" s="70"/>
      <c r="L578" s="5"/>
      <c r="M578" s="5"/>
      <c r="N578" s="5"/>
      <c r="O578" s="5"/>
      <c r="P578" s="5"/>
      <c r="Q578" s="5"/>
    </row>
    <row r="579" spans="1:17" ht="15.95" customHeight="1" x14ac:dyDescent="0.2">
      <c r="A579" s="38"/>
      <c r="B579" s="33"/>
      <c r="C579" s="34"/>
      <c r="D579" s="34"/>
      <c r="E579" s="34"/>
      <c r="F579" s="34"/>
      <c r="G579" s="34"/>
      <c r="H579" s="34"/>
      <c r="I579" s="33"/>
      <c r="J579" s="34"/>
      <c r="K579" s="70"/>
      <c r="L579" s="5"/>
      <c r="M579" s="5"/>
      <c r="N579" s="5"/>
      <c r="O579" s="5"/>
      <c r="P579" s="5"/>
      <c r="Q579" s="5"/>
    </row>
    <row r="580" spans="1:17" ht="15.95" customHeight="1" x14ac:dyDescent="0.2">
      <c r="A580" s="38"/>
      <c r="B580" s="33"/>
      <c r="C580" s="34"/>
      <c r="D580" s="34"/>
      <c r="E580" s="34"/>
      <c r="F580" s="34"/>
      <c r="G580" s="34"/>
      <c r="H580" s="34"/>
      <c r="I580" s="33"/>
      <c r="J580" s="34"/>
      <c r="K580" s="70"/>
      <c r="L580" s="5"/>
      <c r="M580" s="5"/>
      <c r="N580" s="5"/>
      <c r="O580" s="5"/>
      <c r="P580" s="5"/>
      <c r="Q580" s="5"/>
    </row>
    <row r="581" spans="1:17" ht="15.95" customHeight="1" x14ac:dyDescent="0.2">
      <c r="A581" s="38"/>
      <c r="B581" s="33"/>
      <c r="C581" s="34"/>
      <c r="D581" s="34"/>
      <c r="E581" s="34"/>
      <c r="F581" s="34"/>
      <c r="G581" s="34"/>
      <c r="H581" s="34"/>
      <c r="I581" s="33"/>
      <c r="J581" s="34"/>
      <c r="K581" s="70"/>
      <c r="L581" s="5"/>
      <c r="M581" s="5"/>
      <c r="N581" s="5"/>
      <c r="O581" s="5"/>
      <c r="P581" s="5"/>
      <c r="Q581" s="5"/>
    </row>
    <row r="582" spans="1:17" ht="15.95" customHeight="1" x14ac:dyDescent="0.2">
      <c r="A582" s="38"/>
      <c r="B582" s="33"/>
      <c r="C582" s="34"/>
      <c r="D582" s="34"/>
      <c r="E582" s="34"/>
      <c r="F582" s="34"/>
      <c r="G582" s="34"/>
      <c r="H582" s="34"/>
      <c r="I582" s="33"/>
      <c r="J582" s="34"/>
      <c r="K582" s="70"/>
      <c r="L582" s="5"/>
      <c r="M582" s="5"/>
      <c r="N582" s="5"/>
      <c r="O582" s="5"/>
      <c r="P582" s="5"/>
      <c r="Q582" s="5"/>
    </row>
    <row r="583" spans="1:17" ht="15.95" customHeight="1" x14ac:dyDescent="0.2">
      <c r="A583" s="38"/>
      <c r="B583" s="33"/>
      <c r="C583" s="34"/>
      <c r="D583" s="34"/>
      <c r="E583" s="34"/>
      <c r="F583" s="34"/>
      <c r="G583" s="34"/>
      <c r="H583" s="34"/>
      <c r="I583" s="33"/>
      <c r="J583" s="34"/>
      <c r="K583" s="70"/>
      <c r="L583" s="5"/>
      <c r="M583" s="5"/>
      <c r="N583" s="5"/>
      <c r="O583" s="5"/>
      <c r="P583" s="5"/>
      <c r="Q583" s="5"/>
    </row>
    <row r="584" spans="1:17" ht="15.95" customHeight="1" x14ac:dyDescent="0.2">
      <c r="A584" s="38"/>
      <c r="B584" s="33"/>
      <c r="C584" s="34"/>
      <c r="D584" s="34"/>
      <c r="E584" s="34"/>
      <c r="F584" s="34"/>
      <c r="G584" s="34"/>
      <c r="H584" s="34"/>
      <c r="I584" s="33"/>
      <c r="J584" s="34"/>
      <c r="K584" s="70"/>
      <c r="L584" s="5"/>
      <c r="M584" s="5"/>
      <c r="N584" s="5"/>
      <c r="O584" s="5"/>
      <c r="P584" s="5"/>
      <c r="Q584" s="5"/>
    </row>
    <row r="585" spans="1:17" ht="15.95" customHeight="1" x14ac:dyDescent="0.2">
      <c r="A585" s="38"/>
      <c r="B585" s="33"/>
      <c r="C585" s="34"/>
      <c r="D585" s="34"/>
      <c r="E585" s="34"/>
      <c r="F585" s="34"/>
      <c r="G585" s="34"/>
      <c r="H585" s="34"/>
      <c r="I585" s="33"/>
      <c r="J585" s="34"/>
      <c r="K585" s="70"/>
      <c r="L585" s="5"/>
      <c r="M585" s="5"/>
      <c r="N585" s="5"/>
      <c r="O585" s="5"/>
      <c r="P585" s="5"/>
      <c r="Q585" s="5"/>
    </row>
    <row r="586" spans="1:17" ht="15.95" customHeight="1" x14ac:dyDescent="0.2">
      <c r="A586" s="38"/>
      <c r="B586" s="33"/>
      <c r="C586" s="34"/>
      <c r="D586" s="34"/>
      <c r="E586" s="34"/>
      <c r="F586" s="34"/>
      <c r="G586" s="34"/>
      <c r="H586" s="34"/>
      <c r="I586" s="33"/>
      <c r="J586" s="34"/>
      <c r="K586" s="70"/>
      <c r="L586" s="5"/>
      <c r="M586" s="5"/>
      <c r="N586" s="5"/>
      <c r="O586" s="5"/>
      <c r="P586" s="5"/>
      <c r="Q586" s="5"/>
    </row>
    <row r="587" spans="1:17" ht="15.95" customHeight="1" x14ac:dyDescent="0.2">
      <c r="A587" s="38"/>
      <c r="B587" s="33"/>
      <c r="C587" s="34"/>
      <c r="D587" s="34"/>
      <c r="E587" s="34"/>
      <c r="F587" s="34"/>
      <c r="G587" s="34"/>
      <c r="H587" s="34"/>
      <c r="I587" s="33"/>
      <c r="J587" s="34"/>
      <c r="K587" s="70"/>
      <c r="L587" s="5"/>
      <c r="M587" s="5"/>
      <c r="N587" s="5"/>
      <c r="O587" s="5"/>
      <c r="P587" s="5"/>
      <c r="Q587" s="5"/>
    </row>
    <row r="588" spans="1:17" ht="15.95" customHeight="1" x14ac:dyDescent="0.2">
      <c r="A588" s="38"/>
      <c r="B588" s="33"/>
      <c r="C588" s="34"/>
      <c r="D588" s="34"/>
      <c r="E588" s="34"/>
      <c r="F588" s="34"/>
      <c r="G588" s="34"/>
      <c r="H588" s="34"/>
      <c r="I588" s="33"/>
      <c r="J588" s="34"/>
      <c r="K588" s="70"/>
      <c r="L588" s="5"/>
      <c r="M588" s="5"/>
      <c r="N588" s="5"/>
      <c r="O588" s="5"/>
      <c r="P588" s="5"/>
      <c r="Q588" s="5"/>
    </row>
    <row r="589" spans="1:17" ht="15.95" customHeight="1" x14ac:dyDescent="0.2">
      <c r="A589" s="38"/>
      <c r="B589" s="33"/>
      <c r="C589" s="34"/>
      <c r="D589" s="34"/>
      <c r="E589" s="34"/>
      <c r="F589" s="34"/>
      <c r="G589" s="34"/>
      <c r="H589" s="34"/>
      <c r="I589" s="33"/>
      <c r="J589" s="34"/>
      <c r="K589" s="70"/>
      <c r="L589" s="5"/>
      <c r="M589" s="5"/>
      <c r="N589" s="5"/>
      <c r="O589" s="5"/>
      <c r="P589" s="5"/>
      <c r="Q589" s="5"/>
    </row>
    <row r="590" spans="1:17" ht="15.95" customHeight="1" x14ac:dyDescent="0.2">
      <c r="A590" s="38"/>
      <c r="B590" s="33"/>
      <c r="C590" s="34"/>
      <c r="D590" s="34"/>
      <c r="E590" s="34"/>
      <c r="F590" s="34"/>
      <c r="G590" s="34"/>
      <c r="H590" s="34"/>
      <c r="I590" s="33"/>
      <c r="J590" s="34"/>
      <c r="K590" s="70"/>
      <c r="L590" s="5"/>
      <c r="M590" s="5"/>
      <c r="N590" s="5"/>
      <c r="O590" s="5"/>
      <c r="P590" s="5"/>
      <c r="Q590" s="5"/>
    </row>
    <row r="591" spans="1:17" ht="15.95" customHeight="1" x14ac:dyDescent="0.2">
      <c r="A591" s="38"/>
      <c r="B591" s="33"/>
      <c r="C591" s="34"/>
      <c r="D591" s="34"/>
      <c r="E591" s="34"/>
      <c r="F591" s="34"/>
      <c r="G591" s="34"/>
      <c r="H591" s="34"/>
      <c r="I591" s="33"/>
      <c r="J591" s="34"/>
      <c r="K591" s="70"/>
      <c r="L591" s="5"/>
      <c r="M591" s="5"/>
      <c r="N591" s="5"/>
      <c r="O591" s="5"/>
      <c r="P591" s="5"/>
      <c r="Q591" s="5"/>
    </row>
    <row r="592" spans="1:17" ht="15.95" customHeight="1" x14ac:dyDescent="0.2">
      <c r="A592" s="38"/>
      <c r="B592" s="33"/>
      <c r="C592" s="34"/>
      <c r="D592" s="34"/>
      <c r="E592" s="34"/>
      <c r="F592" s="34"/>
      <c r="G592" s="34"/>
      <c r="H592" s="34"/>
      <c r="I592" s="33"/>
      <c r="J592" s="34"/>
      <c r="K592" s="70"/>
      <c r="L592" s="5"/>
      <c r="M592" s="5"/>
      <c r="N592" s="5"/>
      <c r="O592" s="5"/>
      <c r="P592" s="5"/>
      <c r="Q592" s="5"/>
    </row>
    <row r="593" spans="1:17" ht="15.95" customHeight="1" x14ac:dyDescent="0.2">
      <c r="A593" s="38"/>
      <c r="B593" s="33"/>
      <c r="C593" s="34"/>
      <c r="D593" s="34"/>
      <c r="E593" s="34"/>
      <c r="F593" s="34"/>
      <c r="G593" s="34"/>
      <c r="H593" s="34"/>
      <c r="I593" s="33"/>
      <c r="J593" s="34"/>
      <c r="K593" s="70"/>
      <c r="L593" s="5"/>
      <c r="M593" s="5"/>
      <c r="N593" s="5"/>
      <c r="O593" s="5"/>
      <c r="P593" s="5"/>
      <c r="Q593" s="5"/>
    </row>
    <row r="594" spans="1:17" ht="15.95" customHeight="1" x14ac:dyDescent="0.2">
      <c r="A594" s="38"/>
      <c r="B594" s="33"/>
      <c r="C594" s="34"/>
      <c r="D594" s="34"/>
      <c r="E594" s="34"/>
      <c r="F594" s="34"/>
      <c r="G594" s="34"/>
      <c r="H594" s="34"/>
      <c r="I594" s="33"/>
      <c r="J594" s="34"/>
      <c r="K594" s="70"/>
      <c r="L594" s="5"/>
      <c r="M594" s="5"/>
      <c r="N594" s="5"/>
      <c r="O594" s="5"/>
      <c r="P594" s="5"/>
      <c r="Q594" s="5"/>
    </row>
    <row r="595" spans="1:17" ht="15.95" customHeight="1" x14ac:dyDescent="0.2">
      <c r="A595" s="38"/>
      <c r="B595" s="33"/>
      <c r="C595" s="34"/>
      <c r="D595" s="34"/>
      <c r="E595" s="34"/>
      <c r="F595" s="34"/>
      <c r="G595" s="34"/>
      <c r="H595" s="34"/>
      <c r="I595" s="33"/>
      <c r="J595" s="34"/>
      <c r="K595" s="70"/>
      <c r="L595" s="5"/>
      <c r="M595" s="5"/>
      <c r="N595" s="5"/>
      <c r="O595" s="5"/>
      <c r="P595" s="5"/>
      <c r="Q595" s="5"/>
    </row>
    <row r="596" spans="1:17" ht="15.95" customHeight="1" x14ac:dyDescent="0.2">
      <c r="A596" s="38"/>
      <c r="B596" s="33"/>
      <c r="C596" s="34"/>
      <c r="D596" s="34"/>
      <c r="E596" s="34"/>
      <c r="F596" s="34"/>
      <c r="G596" s="34"/>
      <c r="H596" s="34"/>
      <c r="I596" s="33"/>
      <c r="J596" s="34"/>
      <c r="K596" s="70"/>
      <c r="L596" s="5"/>
      <c r="M596" s="5"/>
      <c r="N596" s="5"/>
      <c r="O596" s="5"/>
      <c r="P596" s="5"/>
      <c r="Q596" s="5"/>
    </row>
    <row r="597" spans="1:17" ht="15.95" customHeight="1" x14ac:dyDescent="0.2">
      <c r="A597" s="38"/>
      <c r="B597" s="33"/>
      <c r="C597" s="34"/>
      <c r="D597" s="34"/>
      <c r="E597" s="34"/>
      <c r="F597" s="34"/>
      <c r="G597" s="34"/>
      <c r="H597" s="34"/>
      <c r="I597" s="33"/>
      <c r="J597" s="34"/>
      <c r="K597" s="70"/>
      <c r="L597" s="5"/>
      <c r="M597" s="5"/>
      <c r="N597" s="5"/>
      <c r="O597" s="5"/>
      <c r="P597" s="5"/>
      <c r="Q597" s="5"/>
    </row>
    <row r="598" spans="1:17" ht="15.95" customHeight="1" x14ac:dyDescent="0.2">
      <c r="A598" s="38"/>
      <c r="B598" s="33"/>
      <c r="C598" s="34"/>
      <c r="D598" s="34"/>
      <c r="E598" s="34"/>
      <c r="F598" s="34"/>
      <c r="G598" s="34"/>
      <c r="H598" s="34"/>
      <c r="I598" s="33"/>
      <c r="J598" s="34"/>
      <c r="K598" s="70"/>
      <c r="L598" s="5"/>
      <c r="M598" s="5"/>
      <c r="N598" s="5"/>
      <c r="O598" s="5"/>
      <c r="P598" s="5"/>
      <c r="Q598" s="5"/>
    </row>
    <row r="599" spans="1:17" ht="15.95" customHeight="1" x14ac:dyDescent="0.2">
      <c r="A599" s="38"/>
      <c r="B599" s="33"/>
      <c r="C599" s="34"/>
      <c r="D599" s="34"/>
      <c r="E599" s="34"/>
      <c r="F599" s="34"/>
      <c r="G599" s="34"/>
      <c r="H599" s="34"/>
      <c r="I599" s="33"/>
      <c r="J599" s="34"/>
      <c r="K599" s="70"/>
      <c r="L599" s="5"/>
      <c r="M599" s="5"/>
      <c r="N599" s="5"/>
      <c r="O599" s="5"/>
      <c r="P599" s="5"/>
      <c r="Q599" s="5"/>
    </row>
    <row r="600" spans="1:17" ht="15.95" customHeight="1" x14ac:dyDescent="0.2">
      <c r="A600" s="38"/>
      <c r="B600" s="33"/>
      <c r="C600" s="34"/>
      <c r="D600" s="34"/>
      <c r="E600" s="34"/>
      <c r="F600" s="34"/>
      <c r="G600" s="34"/>
      <c r="H600" s="34"/>
      <c r="I600" s="33"/>
      <c r="J600" s="34"/>
      <c r="K600" s="70"/>
      <c r="L600" s="5"/>
      <c r="M600" s="5"/>
      <c r="N600" s="5"/>
      <c r="O600" s="5"/>
      <c r="P600" s="5"/>
      <c r="Q600" s="5"/>
    </row>
    <row r="601" spans="1:17" ht="15.95" customHeight="1" x14ac:dyDescent="0.2">
      <c r="A601" s="38"/>
      <c r="B601" s="33"/>
      <c r="C601" s="34"/>
      <c r="D601" s="34"/>
      <c r="E601" s="34"/>
      <c r="F601" s="34"/>
      <c r="G601" s="34"/>
      <c r="H601" s="34"/>
      <c r="I601" s="33"/>
      <c r="J601" s="34"/>
      <c r="K601" s="70"/>
      <c r="L601" s="5"/>
      <c r="M601" s="5"/>
      <c r="N601" s="5"/>
      <c r="O601" s="5"/>
      <c r="P601" s="5"/>
      <c r="Q601" s="5"/>
    </row>
    <row r="602" spans="1:17" ht="15.95" customHeight="1" x14ac:dyDescent="0.2">
      <c r="A602" s="38"/>
      <c r="B602" s="33"/>
      <c r="C602" s="34"/>
      <c r="D602" s="34"/>
      <c r="E602" s="34"/>
      <c r="F602" s="34"/>
      <c r="G602" s="34"/>
      <c r="H602" s="34"/>
      <c r="I602" s="33"/>
      <c r="J602" s="34"/>
      <c r="K602" s="70"/>
      <c r="L602" s="5"/>
      <c r="M602" s="5"/>
      <c r="N602" s="5"/>
      <c r="O602" s="5"/>
      <c r="P602" s="5"/>
      <c r="Q602" s="5"/>
    </row>
    <row r="603" spans="1:17" ht="15.95" customHeight="1" x14ac:dyDescent="0.2">
      <c r="A603" s="38"/>
      <c r="B603" s="33"/>
      <c r="C603" s="34"/>
      <c r="D603" s="34"/>
      <c r="E603" s="34"/>
      <c r="F603" s="34"/>
      <c r="G603" s="34"/>
      <c r="H603" s="34"/>
      <c r="I603" s="33"/>
      <c r="J603" s="34"/>
      <c r="K603" s="70"/>
      <c r="L603" s="5"/>
      <c r="M603" s="5"/>
      <c r="N603" s="5"/>
      <c r="O603" s="5"/>
      <c r="P603" s="5"/>
      <c r="Q603" s="5"/>
    </row>
    <row r="604" spans="1:17" ht="15.95" customHeight="1" x14ac:dyDescent="0.2">
      <c r="A604" s="38"/>
      <c r="B604" s="33"/>
      <c r="C604" s="34"/>
      <c r="D604" s="34"/>
      <c r="E604" s="34"/>
      <c r="F604" s="34"/>
      <c r="G604" s="34"/>
      <c r="H604" s="34"/>
      <c r="I604" s="33"/>
      <c r="J604" s="34"/>
      <c r="K604" s="70"/>
      <c r="L604" s="5"/>
      <c r="M604" s="5"/>
      <c r="N604" s="5"/>
      <c r="O604" s="5"/>
      <c r="P604" s="5"/>
      <c r="Q604" s="5"/>
    </row>
    <row r="605" spans="1:17" ht="15.95" customHeight="1" x14ac:dyDescent="0.2">
      <c r="A605" s="38"/>
      <c r="B605" s="33"/>
      <c r="C605" s="34"/>
      <c r="D605" s="34"/>
      <c r="E605" s="34"/>
      <c r="F605" s="34"/>
      <c r="G605" s="34"/>
      <c r="H605" s="34"/>
      <c r="I605" s="33"/>
      <c r="J605" s="34"/>
      <c r="K605" s="70"/>
      <c r="L605" s="5"/>
      <c r="M605" s="5"/>
      <c r="N605" s="5"/>
      <c r="O605" s="5"/>
      <c r="P605" s="5"/>
      <c r="Q605" s="5"/>
    </row>
    <row r="606" spans="1:17" ht="15.95" customHeight="1" x14ac:dyDescent="0.2">
      <c r="A606" s="38"/>
      <c r="B606" s="33"/>
      <c r="C606" s="34"/>
      <c r="D606" s="34"/>
      <c r="E606" s="34"/>
      <c r="F606" s="34"/>
      <c r="G606" s="34"/>
      <c r="H606" s="34"/>
      <c r="I606" s="33"/>
      <c r="J606" s="34"/>
      <c r="K606" s="70"/>
      <c r="L606" s="5"/>
      <c r="M606" s="5"/>
      <c r="N606" s="5"/>
      <c r="O606" s="5"/>
      <c r="P606" s="5"/>
      <c r="Q606" s="5"/>
    </row>
    <row r="607" spans="1:17" ht="15.95" customHeight="1" x14ac:dyDescent="0.2">
      <c r="A607" s="38"/>
      <c r="B607" s="33"/>
      <c r="C607" s="34"/>
      <c r="D607" s="34"/>
      <c r="E607" s="34"/>
      <c r="F607" s="34"/>
      <c r="G607" s="34"/>
      <c r="H607" s="34"/>
      <c r="I607" s="33"/>
      <c r="J607" s="34"/>
      <c r="K607" s="70"/>
      <c r="L607" s="5"/>
      <c r="M607" s="5"/>
      <c r="N607" s="5"/>
      <c r="O607" s="5"/>
      <c r="P607" s="5"/>
      <c r="Q607" s="5"/>
    </row>
    <row r="608" spans="1:17" ht="15.95" customHeight="1" x14ac:dyDescent="0.2">
      <c r="A608" s="38"/>
      <c r="B608" s="33"/>
      <c r="C608" s="34"/>
      <c r="D608" s="34"/>
      <c r="E608" s="34"/>
      <c r="F608" s="34"/>
      <c r="G608" s="34"/>
      <c r="H608" s="34"/>
      <c r="I608" s="33"/>
      <c r="J608" s="34"/>
      <c r="K608" s="70"/>
      <c r="L608" s="5"/>
      <c r="M608" s="5"/>
      <c r="N608" s="5"/>
      <c r="O608" s="5"/>
      <c r="P608" s="5"/>
      <c r="Q608" s="5"/>
    </row>
    <row r="609" spans="1:17" ht="15.95" customHeight="1" x14ac:dyDescent="0.2">
      <c r="A609" s="38"/>
      <c r="B609" s="33"/>
      <c r="C609" s="34"/>
      <c r="D609" s="34"/>
      <c r="E609" s="34"/>
      <c r="F609" s="34"/>
      <c r="G609" s="34"/>
      <c r="H609" s="34"/>
      <c r="I609" s="33"/>
      <c r="J609" s="34"/>
      <c r="K609" s="70"/>
      <c r="L609" s="5"/>
      <c r="M609" s="5"/>
      <c r="N609" s="5"/>
      <c r="O609" s="5"/>
      <c r="P609" s="5"/>
      <c r="Q609" s="5"/>
    </row>
    <row r="610" spans="1:17" ht="15.95" customHeight="1" x14ac:dyDescent="0.2">
      <c r="A610" s="38"/>
      <c r="B610" s="33"/>
      <c r="C610" s="34"/>
      <c r="D610" s="34"/>
      <c r="E610" s="34"/>
      <c r="F610" s="34"/>
      <c r="G610" s="34"/>
      <c r="H610" s="34"/>
      <c r="I610" s="33"/>
      <c r="J610" s="34"/>
      <c r="K610" s="70"/>
      <c r="L610" s="5"/>
      <c r="M610" s="5"/>
      <c r="N610" s="5"/>
      <c r="O610" s="5"/>
      <c r="P610" s="5"/>
      <c r="Q610" s="5"/>
    </row>
    <row r="611" spans="1:17" ht="15.95" customHeight="1" x14ac:dyDescent="0.2">
      <c r="A611" s="38"/>
      <c r="B611" s="33"/>
      <c r="C611" s="34"/>
      <c r="D611" s="34"/>
      <c r="E611" s="34"/>
      <c r="F611" s="34"/>
      <c r="G611" s="34"/>
      <c r="H611" s="34"/>
      <c r="I611" s="33"/>
      <c r="J611" s="34"/>
      <c r="K611" s="70"/>
      <c r="L611" s="5"/>
      <c r="M611" s="5"/>
      <c r="N611" s="5"/>
      <c r="O611" s="5"/>
      <c r="P611" s="5"/>
      <c r="Q611" s="5"/>
    </row>
    <row r="612" spans="1:17" ht="15.95" customHeight="1" x14ac:dyDescent="0.2">
      <c r="A612" s="38"/>
      <c r="B612" s="33"/>
      <c r="C612" s="34"/>
      <c r="D612" s="34"/>
      <c r="E612" s="34"/>
      <c r="F612" s="34"/>
      <c r="G612" s="34"/>
      <c r="H612" s="34"/>
      <c r="I612" s="33"/>
      <c r="J612" s="34"/>
      <c r="K612" s="70"/>
      <c r="L612" s="5"/>
      <c r="M612" s="5"/>
      <c r="N612" s="5"/>
      <c r="O612" s="5"/>
      <c r="P612" s="5"/>
      <c r="Q612" s="5"/>
    </row>
    <row r="613" spans="1:17" ht="15.95" customHeight="1" x14ac:dyDescent="0.2">
      <c r="A613" s="38"/>
      <c r="B613" s="33"/>
      <c r="C613" s="34"/>
      <c r="D613" s="34"/>
      <c r="E613" s="34"/>
      <c r="F613" s="34"/>
      <c r="G613" s="34"/>
      <c r="H613" s="34"/>
      <c r="I613" s="33"/>
      <c r="J613" s="34"/>
      <c r="K613" s="70"/>
      <c r="L613" s="5"/>
      <c r="M613" s="5"/>
      <c r="N613" s="5"/>
      <c r="O613" s="5"/>
      <c r="P613" s="5"/>
      <c r="Q613" s="5"/>
    </row>
    <row r="614" spans="1:17" ht="15.95" customHeight="1" x14ac:dyDescent="0.2">
      <c r="A614" s="38"/>
      <c r="B614" s="33"/>
      <c r="C614" s="34"/>
      <c r="D614" s="34"/>
      <c r="E614" s="34"/>
      <c r="F614" s="34"/>
      <c r="G614" s="34"/>
      <c r="H614" s="34"/>
      <c r="I614" s="33"/>
      <c r="J614" s="34"/>
      <c r="K614" s="70"/>
      <c r="L614" s="5"/>
      <c r="M614" s="5"/>
      <c r="N614" s="5"/>
      <c r="O614" s="5"/>
      <c r="P614" s="5"/>
      <c r="Q614" s="5"/>
    </row>
    <row r="615" spans="1:17" ht="15.95" customHeight="1" x14ac:dyDescent="0.2">
      <c r="A615" s="38"/>
      <c r="B615" s="33"/>
      <c r="C615" s="34"/>
      <c r="D615" s="34"/>
      <c r="E615" s="34"/>
      <c r="F615" s="34"/>
      <c r="G615" s="34"/>
      <c r="H615" s="34"/>
      <c r="I615" s="33"/>
      <c r="J615" s="34"/>
      <c r="K615" s="70"/>
      <c r="L615" s="5"/>
      <c r="M615" s="5"/>
      <c r="N615" s="5"/>
      <c r="O615" s="5"/>
      <c r="P615" s="5"/>
      <c r="Q615" s="5"/>
    </row>
    <row r="616" spans="1:17" ht="15.95" customHeight="1" x14ac:dyDescent="0.2">
      <c r="A616" s="38"/>
      <c r="B616" s="33"/>
      <c r="C616" s="34"/>
      <c r="D616" s="34"/>
      <c r="E616" s="34"/>
      <c r="F616" s="34"/>
      <c r="G616" s="34"/>
      <c r="H616" s="34"/>
      <c r="I616" s="33"/>
      <c r="J616" s="34"/>
      <c r="K616" s="70"/>
      <c r="L616" s="5"/>
      <c r="M616" s="5"/>
      <c r="N616" s="5"/>
      <c r="O616" s="5"/>
      <c r="P616" s="5"/>
      <c r="Q616" s="5"/>
    </row>
    <row r="617" spans="1:17" ht="15.95" customHeight="1" x14ac:dyDescent="0.2">
      <c r="A617" s="38"/>
      <c r="B617" s="33"/>
      <c r="C617" s="34"/>
      <c r="D617" s="34"/>
      <c r="E617" s="34"/>
      <c r="F617" s="34"/>
      <c r="G617" s="34"/>
      <c r="H617" s="34"/>
      <c r="I617" s="33"/>
      <c r="J617" s="34"/>
      <c r="K617" s="70"/>
      <c r="L617" s="5"/>
      <c r="M617" s="5"/>
      <c r="N617" s="5"/>
      <c r="O617" s="5"/>
      <c r="P617" s="5"/>
      <c r="Q617" s="5"/>
    </row>
    <row r="618" spans="1:17" ht="15.95" customHeight="1" x14ac:dyDescent="0.2">
      <c r="A618" s="38"/>
      <c r="B618" s="33"/>
      <c r="C618" s="34"/>
      <c r="D618" s="34"/>
      <c r="E618" s="34"/>
      <c r="F618" s="34"/>
      <c r="G618" s="34"/>
      <c r="H618" s="34"/>
      <c r="I618" s="33"/>
      <c r="J618" s="34"/>
      <c r="K618" s="70"/>
      <c r="L618" s="5"/>
      <c r="M618" s="5"/>
      <c r="N618" s="5"/>
      <c r="O618" s="5"/>
      <c r="P618" s="5"/>
      <c r="Q618" s="5"/>
    </row>
    <row r="619" spans="1:17" ht="15.95" customHeight="1" x14ac:dyDescent="0.2">
      <c r="A619" s="38"/>
      <c r="B619" s="33"/>
      <c r="C619" s="34"/>
      <c r="D619" s="34"/>
      <c r="E619" s="34"/>
      <c r="F619" s="34"/>
      <c r="G619" s="34"/>
      <c r="H619" s="34"/>
      <c r="I619" s="33"/>
      <c r="J619" s="34"/>
      <c r="K619" s="70"/>
      <c r="L619" s="5"/>
      <c r="M619" s="5"/>
      <c r="N619" s="5"/>
      <c r="O619" s="5"/>
      <c r="P619" s="5"/>
      <c r="Q619" s="5"/>
    </row>
    <row r="620" spans="1:17" ht="15.95" customHeight="1" x14ac:dyDescent="0.2">
      <c r="A620" s="38"/>
      <c r="B620" s="33"/>
      <c r="C620" s="34"/>
      <c r="D620" s="34"/>
      <c r="E620" s="34"/>
      <c r="F620" s="34"/>
      <c r="G620" s="34"/>
      <c r="H620" s="34"/>
      <c r="I620" s="33"/>
      <c r="J620" s="34"/>
      <c r="K620" s="70"/>
      <c r="L620" s="5"/>
      <c r="M620" s="5"/>
      <c r="N620" s="5"/>
      <c r="O620" s="5"/>
      <c r="P620" s="5"/>
      <c r="Q620" s="5"/>
    </row>
    <row r="621" spans="1:17" ht="15.95" customHeight="1" x14ac:dyDescent="0.2">
      <c r="A621" s="38"/>
      <c r="B621" s="33"/>
      <c r="C621" s="34"/>
      <c r="D621" s="34"/>
      <c r="E621" s="34"/>
      <c r="F621" s="34"/>
      <c r="G621" s="34"/>
      <c r="H621" s="34"/>
      <c r="I621" s="33"/>
      <c r="J621" s="34"/>
      <c r="K621" s="70"/>
      <c r="L621" s="5"/>
      <c r="M621" s="5"/>
      <c r="N621" s="5"/>
      <c r="O621" s="5"/>
      <c r="P621" s="5"/>
      <c r="Q621" s="5"/>
    </row>
    <row r="622" spans="1:17" ht="15.95" customHeight="1" x14ac:dyDescent="0.2">
      <c r="A622" s="38"/>
      <c r="B622" s="33"/>
      <c r="C622" s="34"/>
      <c r="D622" s="34"/>
      <c r="E622" s="34"/>
      <c r="F622" s="34"/>
      <c r="G622" s="34"/>
      <c r="H622" s="34"/>
      <c r="I622" s="33"/>
      <c r="J622" s="34"/>
      <c r="K622" s="70"/>
      <c r="L622" s="5"/>
      <c r="M622" s="5"/>
      <c r="N622" s="5"/>
      <c r="O622" s="5"/>
      <c r="P622" s="5"/>
      <c r="Q622" s="5"/>
    </row>
    <row r="623" spans="1:17" ht="15.95" customHeight="1" x14ac:dyDescent="0.2">
      <c r="A623" s="38"/>
      <c r="B623" s="33"/>
      <c r="C623" s="34"/>
      <c r="D623" s="34"/>
      <c r="E623" s="34"/>
      <c r="F623" s="34"/>
      <c r="G623" s="34"/>
      <c r="H623" s="34"/>
      <c r="I623" s="33"/>
      <c r="J623" s="34"/>
      <c r="K623" s="70"/>
      <c r="L623" s="5"/>
      <c r="M623" s="5"/>
      <c r="N623" s="5"/>
      <c r="O623" s="5"/>
      <c r="P623" s="5"/>
      <c r="Q623" s="5"/>
    </row>
    <row r="624" spans="1:17" ht="15.95" customHeight="1" x14ac:dyDescent="0.2">
      <c r="A624" s="38"/>
      <c r="B624" s="33"/>
      <c r="C624" s="34"/>
      <c r="D624" s="34"/>
      <c r="E624" s="34"/>
      <c r="F624" s="34"/>
      <c r="G624" s="34"/>
      <c r="H624" s="34"/>
      <c r="I624" s="33"/>
      <c r="J624" s="34"/>
      <c r="K624" s="70"/>
      <c r="L624" s="5"/>
      <c r="M624" s="5"/>
      <c r="N624" s="5"/>
      <c r="O624" s="5"/>
      <c r="P624" s="5"/>
      <c r="Q624" s="5"/>
    </row>
    <row r="625" spans="1:17" ht="15.95" customHeight="1" x14ac:dyDescent="0.2">
      <c r="A625" s="38"/>
      <c r="B625" s="33"/>
      <c r="C625" s="34"/>
      <c r="D625" s="34"/>
      <c r="E625" s="34"/>
      <c r="F625" s="34"/>
      <c r="G625" s="34"/>
      <c r="H625" s="34"/>
      <c r="I625" s="33"/>
      <c r="J625" s="34"/>
      <c r="K625" s="70"/>
      <c r="L625" s="5"/>
      <c r="M625" s="5"/>
      <c r="N625" s="5"/>
      <c r="O625" s="5"/>
      <c r="P625" s="5"/>
      <c r="Q625" s="5"/>
    </row>
    <row r="626" spans="1:17" ht="15.95" customHeight="1" x14ac:dyDescent="0.2">
      <c r="A626" s="38"/>
      <c r="B626" s="33"/>
      <c r="C626" s="34"/>
      <c r="D626" s="34"/>
      <c r="E626" s="34"/>
      <c r="F626" s="34"/>
      <c r="G626" s="34"/>
      <c r="H626" s="34"/>
      <c r="I626" s="33"/>
      <c r="J626" s="34"/>
      <c r="K626" s="70"/>
      <c r="L626" s="5"/>
      <c r="M626" s="5"/>
      <c r="N626" s="5"/>
      <c r="O626" s="5"/>
      <c r="P626" s="5"/>
      <c r="Q626" s="5"/>
    </row>
    <row r="627" spans="1:17" ht="15.95" customHeight="1" x14ac:dyDescent="0.2">
      <c r="A627" s="38"/>
      <c r="B627" s="33"/>
      <c r="C627" s="34"/>
      <c r="D627" s="34"/>
      <c r="E627" s="34"/>
      <c r="F627" s="34"/>
      <c r="G627" s="34"/>
      <c r="H627" s="34"/>
      <c r="I627" s="33"/>
      <c r="J627" s="34"/>
      <c r="K627" s="70"/>
      <c r="L627" s="5"/>
      <c r="M627" s="5"/>
      <c r="N627" s="5"/>
      <c r="O627" s="5"/>
      <c r="P627" s="5"/>
      <c r="Q627" s="5"/>
    </row>
    <row r="628" spans="1:17" ht="15.95" customHeight="1" x14ac:dyDescent="0.2">
      <c r="A628" s="38"/>
      <c r="B628" s="33"/>
      <c r="C628" s="34"/>
      <c r="D628" s="34"/>
      <c r="E628" s="34"/>
      <c r="F628" s="34"/>
      <c r="G628" s="34"/>
      <c r="H628" s="34"/>
      <c r="I628" s="33"/>
      <c r="J628" s="34"/>
      <c r="K628" s="70"/>
      <c r="L628" s="5"/>
      <c r="M628" s="5"/>
      <c r="N628" s="5"/>
      <c r="O628" s="5"/>
      <c r="P628" s="5"/>
      <c r="Q628" s="5"/>
    </row>
    <row r="629" spans="1:17" ht="15.95" customHeight="1" x14ac:dyDescent="0.2">
      <c r="A629" s="38"/>
      <c r="B629" s="33"/>
      <c r="C629" s="34"/>
      <c r="D629" s="34"/>
      <c r="E629" s="34"/>
      <c r="F629" s="34"/>
      <c r="G629" s="34"/>
      <c r="H629" s="34"/>
      <c r="I629" s="33"/>
      <c r="J629" s="34"/>
      <c r="K629" s="70"/>
      <c r="L629" s="5"/>
      <c r="M629" s="5"/>
      <c r="N629" s="5"/>
      <c r="O629" s="5"/>
      <c r="P629" s="5"/>
      <c r="Q629" s="5"/>
    </row>
    <row r="630" spans="1:17" ht="15.95" customHeight="1" x14ac:dyDescent="0.2">
      <c r="A630" s="38"/>
      <c r="B630" s="33"/>
      <c r="C630" s="34"/>
      <c r="D630" s="34"/>
      <c r="E630" s="34"/>
      <c r="F630" s="34"/>
      <c r="G630" s="34"/>
      <c r="H630" s="34"/>
      <c r="I630" s="33"/>
      <c r="J630" s="34"/>
      <c r="K630" s="70"/>
      <c r="L630" s="5"/>
      <c r="M630" s="5"/>
      <c r="N630" s="5"/>
      <c r="O630" s="5"/>
      <c r="P630" s="5"/>
      <c r="Q630" s="5"/>
    </row>
    <row r="631" spans="1:17" ht="15.95" customHeight="1" x14ac:dyDescent="0.2">
      <c r="A631" s="38"/>
      <c r="B631" s="33"/>
      <c r="C631" s="34"/>
      <c r="D631" s="34"/>
      <c r="E631" s="34"/>
      <c r="F631" s="34"/>
      <c r="G631" s="34"/>
      <c r="H631" s="34"/>
      <c r="I631" s="33"/>
      <c r="J631" s="34"/>
      <c r="K631" s="70"/>
      <c r="L631" s="5"/>
      <c r="M631" s="5"/>
      <c r="N631" s="5"/>
      <c r="O631" s="5"/>
      <c r="P631" s="5"/>
      <c r="Q631" s="5"/>
    </row>
    <row r="632" spans="1:17" ht="15.95" customHeight="1" x14ac:dyDescent="0.2">
      <c r="A632" s="38"/>
      <c r="B632" s="33"/>
      <c r="C632" s="34"/>
      <c r="D632" s="34"/>
      <c r="E632" s="34"/>
      <c r="F632" s="34"/>
      <c r="G632" s="34"/>
      <c r="H632" s="34"/>
      <c r="I632" s="33"/>
      <c r="J632" s="34"/>
      <c r="K632" s="70"/>
      <c r="L632" s="5"/>
      <c r="M632" s="5"/>
      <c r="N632" s="5"/>
      <c r="O632" s="5"/>
      <c r="P632" s="5"/>
      <c r="Q632" s="5"/>
    </row>
    <row r="633" spans="1:17" ht="15.95" customHeight="1" x14ac:dyDescent="0.2">
      <c r="A633" s="38"/>
      <c r="B633" s="33"/>
      <c r="C633" s="34"/>
      <c r="D633" s="34"/>
      <c r="E633" s="34"/>
      <c r="F633" s="34"/>
      <c r="G633" s="34"/>
      <c r="H633" s="34"/>
      <c r="I633" s="33"/>
      <c r="J633" s="34"/>
      <c r="K633" s="70"/>
      <c r="L633" s="5"/>
      <c r="M633" s="5"/>
      <c r="N633" s="5"/>
      <c r="O633" s="5"/>
      <c r="P633" s="5"/>
      <c r="Q633" s="5"/>
    </row>
    <row r="634" spans="1:17" ht="15.95" customHeight="1" x14ac:dyDescent="0.2">
      <c r="A634" s="38"/>
      <c r="B634" s="33"/>
      <c r="C634" s="34"/>
      <c r="D634" s="34"/>
      <c r="E634" s="34"/>
      <c r="F634" s="34"/>
      <c r="G634" s="34"/>
      <c r="H634" s="34"/>
      <c r="I634" s="33"/>
      <c r="J634" s="34"/>
      <c r="K634" s="70"/>
      <c r="L634" s="5"/>
      <c r="M634" s="5"/>
      <c r="N634" s="5"/>
      <c r="O634" s="5"/>
      <c r="P634" s="5"/>
      <c r="Q634" s="5"/>
    </row>
    <row r="635" spans="1:17" ht="15.95" customHeight="1" x14ac:dyDescent="0.2">
      <c r="A635" s="38"/>
      <c r="B635" s="33"/>
      <c r="C635" s="34"/>
      <c r="D635" s="34"/>
      <c r="E635" s="34"/>
      <c r="F635" s="34"/>
      <c r="G635" s="34"/>
      <c r="H635" s="34"/>
      <c r="I635" s="33"/>
      <c r="J635" s="34"/>
      <c r="K635" s="70"/>
      <c r="L635" s="5"/>
      <c r="M635" s="5"/>
      <c r="N635" s="5"/>
      <c r="O635" s="5"/>
      <c r="P635" s="5"/>
      <c r="Q635" s="5"/>
    </row>
    <row r="636" spans="1:17" ht="15.95" customHeight="1" x14ac:dyDescent="0.2">
      <c r="A636" s="38"/>
      <c r="B636" s="33"/>
      <c r="C636" s="34"/>
      <c r="D636" s="34"/>
      <c r="E636" s="34"/>
      <c r="F636" s="34"/>
      <c r="G636" s="34"/>
      <c r="H636" s="34"/>
      <c r="I636" s="33"/>
      <c r="J636" s="34"/>
      <c r="K636" s="70"/>
      <c r="L636" s="5"/>
      <c r="M636" s="5"/>
      <c r="N636" s="5"/>
      <c r="O636" s="5"/>
      <c r="P636" s="5"/>
      <c r="Q636" s="5"/>
    </row>
    <row r="637" spans="1:17" ht="15.95" customHeight="1" x14ac:dyDescent="0.2">
      <c r="A637" s="38"/>
      <c r="B637" s="33"/>
      <c r="C637" s="34"/>
      <c r="D637" s="34"/>
      <c r="E637" s="34"/>
      <c r="F637" s="34"/>
      <c r="G637" s="34"/>
      <c r="H637" s="34"/>
      <c r="I637" s="33"/>
      <c r="J637" s="34"/>
      <c r="K637" s="70"/>
      <c r="L637" s="5"/>
      <c r="M637" s="5"/>
      <c r="N637" s="5"/>
      <c r="O637" s="5"/>
      <c r="P637" s="5"/>
      <c r="Q637" s="5"/>
    </row>
    <row r="638" spans="1:17" ht="15.95" customHeight="1" x14ac:dyDescent="0.2">
      <c r="A638" s="38"/>
      <c r="B638" s="33"/>
      <c r="C638" s="34"/>
      <c r="D638" s="34"/>
      <c r="E638" s="34"/>
      <c r="F638" s="34"/>
      <c r="G638" s="34"/>
      <c r="H638" s="34"/>
      <c r="I638" s="33"/>
      <c r="J638" s="34"/>
      <c r="K638" s="70"/>
      <c r="L638" s="5"/>
      <c r="M638" s="5"/>
      <c r="N638" s="5"/>
      <c r="O638" s="5"/>
      <c r="P638" s="5"/>
      <c r="Q638" s="5"/>
    </row>
    <row r="639" spans="1:17" ht="15.95" customHeight="1" x14ac:dyDescent="0.2">
      <c r="A639" s="38"/>
      <c r="B639" s="33"/>
      <c r="C639" s="34"/>
      <c r="D639" s="34"/>
      <c r="E639" s="34"/>
      <c r="F639" s="34"/>
      <c r="G639" s="34"/>
      <c r="H639" s="34"/>
      <c r="I639" s="33"/>
      <c r="J639" s="34"/>
      <c r="K639" s="70"/>
      <c r="L639" s="5"/>
      <c r="M639" s="5"/>
      <c r="N639" s="5"/>
      <c r="O639" s="5"/>
      <c r="P639" s="5"/>
      <c r="Q639" s="5"/>
    </row>
    <row r="640" spans="1:17" ht="15.95" customHeight="1" x14ac:dyDescent="0.2">
      <c r="A640" s="38"/>
      <c r="B640" s="33"/>
      <c r="C640" s="34"/>
      <c r="D640" s="34"/>
      <c r="E640" s="34"/>
      <c r="F640" s="34"/>
      <c r="G640" s="34"/>
      <c r="H640" s="34"/>
      <c r="I640" s="33"/>
      <c r="J640" s="34"/>
      <c r="K640" s="70"/>
      <c r="L640" s="5"/>
      <c r="M640" s="5"/>
      <c r="N640" s="5"/>
      <c r="O640" s="5"/>
      <c r="P640" s="5"/>
      <c r="Q640" s="5"/>
    </row>
    <row r="641" spans="1:17" ht="15.95" customHeight="1" x14ac:dyDescent="0.2">
      <c r="A641" s="38"/>
      <c r="B641" s="33"/>
      <c r="C641" s="34"/>
      <c r="D641" s="34"/>
      <c r="E641" s="34"/>
      <c r="F641" s="34"/>
      <c r="G641" s="34"/>
      <c r="H641" s="34"/>
      <c r="I641" s="33"/>
      <c r="J641" s="34"/>
      <c r="K641" s="70"/>
      <c r="L641" s="5"/>
      <c r="M641" s="5"/>
      <c r="N641" s="5"/>
      <c r="O641" s="5"/>
      <c r="P641" s="5"/>
      <c r="Q641" s="5"/>
    </row>
    <row r="642" spans="1:17" ht="15.95" customHeight="1" x14ac:dyDescent="0.2">
      <c r="A642" s="38"/>
      <c r="B642" s="33"/>
      <c r="C642" s="34"/>
      <c r="D642" s="34"/>
      <c r="E642" s="34"/>
      <c r="F642" s="34"/>
      <c r="G642" s="34"/>
      <c r="H642" s="34"/>
      <c r="I642" s="33"/>
      <c r="J642" s="34"/>
      <c r="K642" s="70"/>
      <c r="L642" s="5"/>
      <c r="M642" s="5"/>
      <c r="N642" s="5"/>
      <c r="O642" s="5"/>
      <c r="P642" s="5"/>
      <c r="Q642" s="5"/>
    </row>
    <row r="643" spans="1:17" ht="15.95" customHeight="1" x14ac:dyDescent="0.2">
      <c r="A643" s="38"/>
      <c r="B643" s="33"/>
      <c r="C643" s="34"/>
      <c r="D643" s="34"/>
      <c r="E643" s="34"/>
      <c r="F643" s="34"/>
      <c r="G643" s="34"/>
      <c r="H643" s="34"/>
      <c r="I643" s="33"/>
      <c r="J643" s="34"/>
      <c r="K643" s="70"/>
      <c r="L643" s="5"/>
      <c r="M643" s="5"/>
      <c r="N643" s="5"/>
      <c r="O643" s="5"/>
      <c r="P643" s="5"/>
      <c r="Q643" s="5"/>
    </row>
    <row r="644" spans="1:17" ht="15.95" customHeight="1" x14ac:dyDescent="0.2">
      <c r="A644" s="38"/>
      <c r="B644" s="33"/>
      <c r="C644" s="34"/>
      <c r="D644" s="34"/>
      <c r="E644" s="34"/>
      <c r="F644" s="34"/>
      <c r="G644" s="34"/>
      <c r="H644" s="34"/>
      <c r="I644" s="33"/>
      <c r="J644" s="34"/>
      <c r="K644" s="70"/>
      <c r="L644" s="5"/>
      <c r="M644" s="5"/>
      <c r="N644" s="5"/>
      <c r="O644" s="5"/>
      <c r="P644" s="5"/>
      <c r="Q644" s="5"/>
    </row>
    <row r="645" spans="1:17" ht="15.95" customHeight="1" x14ac:dyDescent="0.2">
      <c r="A645" s="38"/>
      <c r="B645" s="33"/>
      <c r="C645" s="34"/>
      <c r="D645" s="34"/>
      <c r="E645" s="34"/>
      <c r="F645" s="34"/>
      <c r="G645" s="34"/>
      <c r="H645" s="34"/>
      <c r="I645" s="33"/>
      <c r="J645" s="34"/>
      <c r="K645" s="70"/>
      <c r="L645" s="5"/>
      <c r="M645" s="5"/>
      <c r="N645" s="5"/>
      <c r="O645" s="5"/>
      <c r="P645" s="5"/>
      <c r="Q645" s="5"/>
    </row>
    <row r="646" spans="1:17" ht="15.95" customHeight="1" x14ac:dyDescent="0.2">
      <c r="A646" s="38"/>
      <c r="B646" s="33"/>
      <c r="C646" s="34"/>
      <c r="D646" s="34"/>
      <c r="E646" s="34"/>
      <c r="F646" s="34"/>
      <c r="G646" s="34"/>
      <c r="H646" s="34"/>
      <c r="I646" s="33"/>
      <c r="J646" s="34"/>
      <c r="K646" s="70"/>
      <c r="L646" s="5"/>
      <c r="M646" s="5"/>
      <c r="N646" s="5"/>
      <c r="O646" s="5"/>
      <c r="P646" s="5"/>
      <c r="Q646" s="5"/>
    </row>
    <row r="647" spans="1:17" ht="15.95" customHeight="1" x14ac:dyDescent="0.2">
      <c r="A647" s="38"/>
      <c r="B647" s="33"/>
      <c r="C647" s="34"/>
      <c r="D647" s="34"/>
      <c r="E647" s="34"/>
      <c r="F647" s="34"/>
      <c r="G647" s="34"/>
      <c r="H647" s="34"/>
      <c r="I647" s="33"/>
      <c r="J647" s="34"/>
      <c r="K647" s="70"/>
      <c r="L647" s="5"/>
      <c r="M647" s="5"/>
      <c r="N647" s="5"/>
      <c r="O647" s="5"/>
      <c r="P647" s="5"/>
      <c r="Q647" s="5"/>
    </row>
    <row r="648" spans="1:17" ht="15.95" customHeight="1" x14ac:dyDescent="0.2">
      <c r="A648" s="38"/>
      <c r="B648" s="33"/>
      <c r="C648" s="34"/>
      <c r="D648" s="34"/>
      <c r="E648" s="34"/>
      <c r="F648" s="34"/>
      <c r="G648" s="34"/>
      <c r="H648" s="34"/>
      <c r="I648" s="33"/>
      <c r="J648" s="34"/>
      <c r="K648" s="70"/>
      <c r="L648" s="5"/>
      <c r="M648" s="5"/>
      <c r="N648" s="5"/>
      <c r="O648" s="5"/>
      <c r="P648" s="5"/>
      <c r="Q648" s="5"/>
    </row>
    <row r="649" spans="1:17" ht="15.95" customHeight="1" x14ac:dyDescent="0.2">
      <c r="A649" s="38"/>
      <c r="B649" s="33"/>
      <c r="C649" s="34"/>
      <c r="D649" s="34"/>
      <c r="E649" s="34"/>
      <c r="F649" s="34"/>
      <c r="G649" s="34"/>
      <c r="H649" s="34"/>
      <c r="I649" s="33"/>
      <c r="J649" s="34"/>
      <c r="K649" s="70"/>
      <c r="L649" s="5"/>
      <c r="M649" s="5"/>
      <c r="N649" s="5"/>
      <c r="O649" s="5"/>
      <c r="P649" s="5"/>
      <c r="Q649" s="5"/>
    </row>
    <row r="650" spans="1:17" ht="15.95" customHeight="1" x14ac:dyDescent="0.2">
      <c r="A650" s="38"/>
      <c r="B650" s="33"/>
      <c r="C650" s="34"/>
      <c r="D650" s="34"/>
      <c r="E650" s="34"/>
      <c r="F650" s="34"/>
      <c r="G650" s="34"/>
      <c r="H650" s="34"/>
      <c r="I650" s="33"/>
      <c r="J650" s="34"/>
      <c r="K650" s="70"/>
      <c r="L650" s="5"/>
      <c r="M650" s="5"/>
      <c r="N650" s="5"/>
      <c r="O650" s="5"/>
      <c r="P650" s="5"/>
      <c r="Q650" s="5"/>
    </row>
    <row r="651" spans="1:17" ht="15.95" customHeight="1" x14ac:dyDescent="0.2">
      <c r="A651" s="38"/>
      <c r="B651" s="33"/>
      <c r="C651" s="34"/>
      <c r="D651" s="34"/>
      <c r="E651" s="34"/>
      <c r="F651" s="34"/>
      <c r="G651" s="34"/>
      <c r="H651" s="34"/>
      <c r="I651" s="33"/>
      <c r="J651" s="34"/>
      <c r="K651" s="70"/>
      <c r="L651" s="5"/>
      <c r="M651" s="5"/>
      <c r="N651" s="5"/>
      <c r="O651" s="5"/>
      <c r="P651" s="5"/>
      <c r="Q651" s="5"/>
    </row>
    <row r="652" spans="1:17" ht="15.95" customHeight="1" x14ac:dyDescent="0.2">
      <c r="A652" s="38"/>
      <c r="B652" s="33"/>
      <c r="C652" s="34"/>
      <c r="D652" s="34"/>
      <c r="E652" s="34"/>
      <c r="F652" s="34"/>
      <c r="G652" s="34"/>
      <c r="H652" s="34"/>
      <c r="I652" s="33"/>
      <c r="J652" s="34"/>
      <c r="K652" s="70"/>
      <c r="L652" s="5"/>
      <c r="M652" s="5"/>
      <c r="N652" s="5"/>
      <c r="O652" s="5"/>
      <c r="P652" s="5"/>
      <c r="Q652" s="5"/>
    </row>
    <row r="653" spans="1:17" ht="15.95" customHeight="1" x14ac:dyDescent="0.2">
      <c r="A653" s="38"/>
      <c r="B653" s="33"/>
      <c r="C653" s="34"/>
      <c r="D653" s="34"/>
      <c r="E653" s="34"/>
      <c r="F653" s="34"/>
      <c r="G653" s="34"/>
      <c r="H653" s="34"/>
      <c r="I653" s="33"/>
      <c r="J653" s="34"/>
      <c r="K653" s="70"/>
      <c r="L653" s="5"/>
      <c r="M653" s="5"/>
      <c r="N653" s="5"/>
      <c r="O653" s="5"/>
      <c r="P653" s="5"/>
      <c r="Q653" s="5"/>
    </row>
    <row r="654" spans="1:17" ht="15.95" customHeight="1" x14ac:dyDescent="0.2">
      <c r="A654" s="38"/>
      <c r="B654" s="33"/>
      <c r="C654" s="34"/>
      <c r="D654" s="34"/>
      <c r="E654" s="34"/>
      <c r="F654" s="34"/>
      <c r="G654" s="34"/>
      <c r="H654" s="34"/>
      <c r="I654" s="33"/>
      <c r="J654" s="34"/>
      <c r="K654" s="70"/>
      <c r="L654" s="5"/>
      <c r="M654" s="5"/>
      <c r="N654" s="5"/>
      <c r="O654" s="5"/>
      <c r="P654" s="5"/>
      <c r="Q654" s="5"/>
    </row>
    <row r="655" spans="1:17" ht="15.95" customHeight="1" x14ac:dyDescent="0.2">
      <c r="A655" s="38"/>
      <c r="B655" s="33"/>
      <c r="C655" s="34"/>
      <c r="D655" s="34"/>
      <c r="E655" s="34"/>
      <c r="F655" s="34"/>
      <c r="G655" s="34"/>
      <c r="H655" s="34"/>
      <c r="I655" s="33"/>
      <c r="J655" s="34"/>
      <c r="K655" s="70"/>
      <c r="L655" s="5"/>
      <c r="M655" s="5"/>
      <c r="N655" s="5"/>
      <c r="O655" s="5"/>
      <c r="P655" s="5"/>
      <c r="Q655" s="5"/>
    </row>
    <row r="656" spans="1:17" ht="15.95" customHeight="1" x14ac:dyDescent="0.2">
      <c r="A656" s="38"/>
      <c r="B656" s="33"/>
      <c r="C656" s="34"/>
      <c r="D656" s="34"/>
      <c r="E656" s="34"/>
      <c r="F656" s="34"/>
      <c r="G656" s="34"/>
      <c r="H656" s="34"/>
      <c r="I656" s="33"/>
      <c r="J656" s="34"/>
      <c r="K656" s="70"/>
      <c r="L656" s="5"/>
      <c r="M656" s="5"/>
      <c r="N656" s="5"/>
      <c r="O656" s="5"/>
      <c r="P656" s="5"/>
      <c r="Q656" s="5"/>
    </row>
    <row r="657" spans="1:17" ht="15.95" customHeight="1" x14ac:dyDescent="0.2">
      <c r="A657" s="38"/>
      <c r="B657" s="33"/>
      <c r="C657" s="34"/>
      <c r="D657" s="34"/>
      <c r="E657" s="34"/>
      <c r="F657" s="34"/>
      <c r="G657" s="34"/>
      <c r="H657" s="34"/>
      <c r="I657" s="33"/>
      <c r="J657" s="34"/>
      <c r="K657" s="70"/>
      <c r="L657" s="5"/>
      <c r="M657" s="5"/>
      <c r="N657" s="5"/>
      <c r="O657" s="5"/>
      <c r="P657" s="5"/>
      <c r="Q657" s="5"/>
    </row>
    <row r="658" spans="1:17" ht="15.95" customHeight="1" x14ac:dyDescent="0.2">
      <c r="A658" s="38"/>
      <c r="B658" s="33"/>
      <c r="C658" s="34"/>
      <c r="D658" s="34"/>
      <c r="E658" s="34"/>
      <c r="F658" s="34"/>
      <c r="G658" s="34"/>
      <c r="H658" s="34"/>
      <c r="I658" s="33"/>
      <c r="J658" s="34"/>
      <c r="K658" s="70"/>
      <c r="L658" s="5"/>
      <c r="M658" s="5"/>
      <c r="N658" s="5"/>
      <c r="O658" s="5"/>
      <c r="P658" s="5"/>
      <c r="Q658" s="5"/>
    </row>
    <row r="659" spans="1:17" ht="15.95" customHeight="1" x14ac:dyDescent="0.2">
      <c r="A659" s="38"/>
      <c r="B659" s="33"/>
      <c r="C659" s="34"/>
      <c r="D659" s="34"/>
      <c r="E659" s="34"/>
      <c r="F659" s="34"/>
      <c r="G659" s="34"/>
      <c r="H659" s="34"/>
      <c r="I659" s="33"/>
      <c r="J659" s="34"/>
      <c r="K659" s="70"/>
      <c r="L659" s="5"/>
      <c r="M659" s="5"/>
      <c r="N659" s="5"/>
      <c r="O659" s="5"/>
      <c r="P659" s="5"/>
      <c r="Q659" s="5"/>
    </row>
    <row r="660" spans="1:17" ht="15.95" customHeight="1" x14ac:dyDescent="0.2">
      <c r="A660" s="38"/>
      <c r="B660" s="33"/>
      <c r="C660" s="34"/>
      <c r="D660" s="34"/>
      <c r="E660" s="34"/>
      <c r="F660" s="34"/>
      <c r="G660" s="34"/>
      <c r="H660" s="34"/>
      <c r="I660" s="33"/>
      <c r="J660" s="34"/>
      <c r="K660" s="70"/>
      <c r="L660" s="5"/>
      <c r="M660" s="5"/>
      <c r="N660" s="5"/>
      <c r="O660" s="5"/>
      <c r="P660" s="5"/>
      <c r="Q660" s="5"/>
    </row>
    <row r="661" spans="1:17" ht="15.95" customHeight="1" x14ac:dyDescent="0.2">
      <c r="A661" s="38"/>
      <c r="B661" s="33"/>
      <c r="C661" s="34"/>
      <c r="D661" s="34"/>
      <c r="E661" s="34"/>
      <c r="F661" s="34"/>
      <c r="G661" s="34"/>
      <c r="H661" s="34"/>
      <c r="I661" s="33"/>
      <c r="J661" s="34"/>
      <c r="K661" s="70"/>
      <c r="L661" s="5"/>
      <c r="M661" s="5"/>
      <c r="N661" s="5"/>
      <c r="O661" s="5"/>
      <c r="P661" s="5"/>
      <c r="Q661" s="5"/>
    </row>
    <row r="662" spans="1:17" ht="15.95" customHeight="1" x14ac:dyDescent="0.2">
      <c r="A662" s="38"/>
      <c r="B662" s="33"/>
      <c r="C662" s="34"/>
      <c r="D662" s="34"/>
      <c r="E662" s="34"/>
      <c r="F662" s="34"/>
      <c r="G662" s="34"/>
      <c r="H662" s="34"/>
      <c r="I662" s="33"/>
      <c r="J662" s="34"/>
      <c r="K662" s="70"/>
      <c r="L662" s="5"/>
      <c r="M662" s="5"/>
      <c r="N662" s="5"/>
      <c r="O662" s="5"/>
      <c r="P662" s="5"/>
      <c r="Q662" s="5"/>
    </row>
    <row r="663" spans="1:17" ht="15.95" customHeight="1" x14ac:dyDescent="0.2">
      <c r="A663" s="38"/>
      <c r="B663" s="33"/>
      <c r="C663" s="34"/>
      <c r="D663" s="34"/>
      <c r="E663" s="34"/>
      <c r="F663" s="34"/>
      <c r="G663" s="34"/>
      <c r="H663" s="34"/>
      <c r="I663" s="33"/>
      <c r="J663" s="34"/>
      <c r="K663" s="70"/>
      <c r="L663" s="5"/>
      <c r="M663" s="5"/>
      <c r="N663" s="5"/>
      <c r="O663" s="5"/>
      <c r="P663" s="5"/>
      <c r="Q663" s="5"/>
    </row>
    <row r="664" spans="1:17" ht="15.95" customHeight="1" x14ac:dyDescent="0.2">
      <c r="A664" s="38"/>
      <c r="B664" s="33"/>
      <c r="C664" s="34"/>
      <c r="D664" s="34"/>
      <c r="E664" s="34"/>
      <c r="F664" s="34"/>
      <c r="G664" s="34"/>
      <c r="H664" s="34"/>
      <c r="I664" s="33"/>
      <c r="J664" s="34"/>
      <c r="K664" s="70"/>
      <c r="L664" s="5"/>
      <c r="M664" s="5"/>
      <c r="N664" s="5"/>
      <c r="O664" s="5"/>
      <c r="P664" s="5"/>
      <c r="Q664" s="5"/>
    </row>
    <row r="665" spans="1:17" ht="15.95" customHeight="1" x14ac:dyDescent="0.2">
      <c r="A665" s="38"/>
      <c r="B665" s="33"/>
      <c r="C665" s="34"/>
      <c r="D665" s="34"/>
      <c r="E665" s="34"/>
      <c r="F665" s="34"/>
      <c r="G665" s="34"/>
      <c r="H665" s="34"/>
      <c r="I665" s="33"/>
      <c r="J665" s="34"/>
      <c r="K665" s="70"/>
      <c r="L665" s="5"/>
      <c r="M665" s="5"/>
      <c r="N665" s="5"/>
      <c r="O665" s="5"/>
      <c r="P665" s="5"/>
      <c r="Q665" s="5"/>
    </row>
    <row r="666" spans="1:17" ht="15.95" customHeight="1" x14ac:dyDescent="0.2">
      <c r="A666" s="38"/>
      <c r="B666" s="33"/>
      <c r="C666" s="34"/>
      <c r="D666" s="34"/>
      <c r="E666" s="34"/>
      <c r="F666" s="34"/>
      <c r="G666" s="34"/>
      <c r="H666" s="34"/>
      <c r="I666" s="33"/>
      <c r="J666" s="34"/>
      <c r="K666" s="70"/>
      <c r="L666" s="5"/>
      <c r="M666" s="5"/>
      <c r="N666" s="5"/>
      <c r="O666" s="5"/>
      <c r="P666" s="5"/>
      <c r="Q666" s="5"/>
    </row>
    <row r="667" spans="1:17" ht="15.95" customHeight="1" x14ac:dyDescent="0.2">
      <c r="A667" s="38"/>
      <c r="B667" s="33"/>
      <c r="C667" s="34"/>
      <c r="D667" s="34"/>
      <c r="E667" s="34"/>
      <c r="F667" s="34"/>
      <c r="G667" s="34"/>
      <c r="H667" s="34"/>
      <c r="I667" s="33"/>
      <c r="J667" s="34"/>
      <c r="K667" s="70"/>
      <c r="L667" s="5"/>
      <c r="M667" s="5"/>
      <c r="N667" s="5"/>
      <c r="O667" s="5"/>
      <c r="P667" s="5"/>
      <c r="Q667" s="5"/>
    </row>
    <row r="668" spans="1:17" ht="15.95" customHeight="1" x14ac:dyDescent="0.2">
      <c r="A668" s="38"/>
      <c r="B668" s="33"/>
      <c r="C668" s="34"/>
      <c r="D668" s="34"/>
      <c r="E668" s="34"/>
      <c r="F668" s="34"/>
      <c r="G668" s="34"/>
      <c r="H668" s="34"/>
      <c r="I668" s="33"/>
      <c r="J668" s="34"/>
      <c r="K668" s="70"/>
      <c r="L668" s="5"/>
      <c r="M668" s="5"/>
      <c r="N668" s="5"/>
      <c r="O668" s="5"/>
      <c r="P668" s="5"/>
      <c r="Q668" s="5"/>
    </row>
    <row r="669" spans="1:17" ht="15.95" customHeight="1" x14ac:dyDescent="0.2">
      <c r="A669" s="38"/>
      <c r="B669" s="33"/>
      <c r="C669" s="34"/>
      <c r="D669" s="34"/>
      <c r="E669" s="34"/>
      <c r="F669" s="34"/>
      <c r="G669" s="34"/>
      <c r="H669" s="34"/>
      <c r="I669" s="33"/>
      <c r="J669" s="34"/>
      <c r="K669" s="70"/>
      <c r="L669" s="5"/>
      <c r="M669" s="5"/>
      <c r="N669" s="5"/>
      <c r="O669" s="5"/>
      <c r="P669" s="5"/>
      <c r="Q669" s="5"/>
    </row>
    <row r="670" spans="1:17" ht="15.95" customHeight="1" x14ac:dyDescent="0.2">
      <c r="A670" s="38"/>
      <c r="B670" s="33"/>
      <c r="C670" s="34"/>
      <c r="D670" s="34"/>
      <c r="E670" s="34"/>
      <c r="F670" s="34"/>
      <c r="G670" s="34"/>
      <c r="H670" s="34"/>
      <c r="I670" s="33"/>
      <c r="J670" s="34"/>
      <c r="K670" s="70"/>
      <c r="L670" s="5"/>
      <c r="M670" s="5"/>
      <c r="N670" s="5"/>
      <c r="O670" s="5"/>
      <c r="P670" s="5"/>
      <c r="Q670" s="5"/>
    </row>
    <row r="671" spans="1:17" ht="15.95" customHeight="1" x14ac:dyDescent="0.2">
      <c r="A671" s="38"/>
      <c r="B671" s="33"/>
      <c r="C671" s="34"/>
      <c r="D671" s="34"/>
      <c r="E671" s="34"/>
      <c r="F671" s="34"/>
      <c r="G671" s="34"/>
      <c r="H671" s="34"/>
      <c r="I671" s="33"/>
      <c r="J671" s="34"/>
      <c r="K671" s="70"/>
      <c r="L671" s="5"/>
      <c r="M671" s="5"/>
      <c r="N671" s="5"/>
      <c r="O671" s="5"/>
      <c r="P671" s="5"/>
      <c r="Q671" s="5"/>
    </row>
    <row r="672" spans="1:17" ht="15.95" customHeight="1" x14ac:dyDescent="0.2">
      <c r="A672" s="38"/>
      <c r="B672" s="33"/>
      <c r="C672" s="34"/>
      <c r="D672" s="34"/>
      <c r="E672" s="34"/>
      <c r="F672" s="34"/>
      <c r="G672" s="34"/>
      <c r="H672" s="34"/>
      <c r="I672" s="33"/>
      <c r="J672" s="34"/>
      <c r="K672" s="70"/>
      <c r="L672" s="5"/>
      <c r="M672" s="5"/>
      <c r="N672" s="5"/>
      <c r="O672" s="5"/>
      <c r="P672" s="5"/>
      <c r="Q672" s="5"/>
    </row>
    <row r="673" spans="1:17" ht="15.95" customHeight="1" x14ac:dyDescent="0.2">
      <c r="A673" s="38"/>
      <c r="B673" s="33"/>
      <c r="C673" s="34"/>
      <c r="D673" s="34"/>
      <c r="E673" s="34"/>
      <c r="F673" s="34"/>
      <c r="G673" s="34"/>
      <c r="H673" s="34"/>
      <c r="I673" s="33"/>
      <c r="J673" s="34"/>
      <c r="K673" s="70"/>
      <c r="L673" s="5"/>
      <c r="M673" s="5"/>
      <c r="N673" s="5"/>
      <c r="O673" s="5"/>
      <c r="P673" s="5"/>
      <c r="Q673" s="5"/>
    </row>
    <row r="674" spans="1:17" ht="15.95" customHeight="1" x14ac:dyDescent="0.2">
      <c r="A674" s="38"/>
      <c r="B674" s="33"/>
      <c r="C674" s="34"/>
      <c r="D674" s="34"/>
      <c r="E674" s="34"/>
      <c r="F674" s="34"/>
      <c r="G674" s="34"/>
      <c r="H674" s="34"/>
      <c r="I674" s="33"/>
      <c r="J674" s="34"/>
      <c r="K674" s="70"/>
      <c r="L674" s="5"/>
      <c r="M674" s="5"/>
      <c r="N674" s="5"/>
      <c r="O674" s="5"/>
      <c r="P674" s="5"/>
      <c r="Q674" s="5"/>
    </row>
    <row r="675" spans="1:17" ht="15.95" customHeight="1" x14ac:dyDescent="0.2">
      <c r="A675" s="38"/>
      <c r="B675" s="33"/>
      <c r="C675" s="34"/>
      <c r="D675" s="34"/>
      <c r="E675" s="34"/>
      <c r="F675" s="34"/>
      <c r="G675" s="34"/>
      <c r="H675" s="34"/>
      <c r="I675" s="33"/>
      <c r="J675" s="34"/>
      <c r="K675" s="70"/>
      <c r="L675" s="5"/>
      <c r="M675" s="5"/>
      <c r="N675" s="5"/>
      <c r="O675" s="5"/>
      <c r="P675" s="5"/>
      <c r="Q675" s="5"/>
    </row>
    <row r="676" spans="1:17" ht="15.95" customHeight="1" x14ac:dyDescent="0.2">
      <c r="A676" s="38"/>
      <c r="B676" s="33"/>
      <c r="C676" s="34"/>
      <c r="D676" s="34"/>
      <c r="E676" s="34"/>
      <c r="F676" s="34"/>
      <c r="G676" s="34"/>
      <c r="H676" s="34"/>
      <c r="I676" s="33"/>
      <c r="J676" s="34"/>
      <c r="K676" s="70"/>
      <c r="L676" s="5"/>
      <c r="M676" s="5"/>
      <c r="N676" s="5"/>
      <c r="O676" s="5"/>
      <c r="P676" s="5"/>
      <c r="Q676" s="5"/>
    </row>
    <row r="677" spans="1:17" ht="15.95" customHeight="1" x14ac:dyDescent="0.2">
      <c r="A677" s="38"/>
      <c r="B677" s="33"/>
      <c r="C677" s="34"/>
      <c r="D677" s="34"/>
      <c r="E677" s="34"/>
      <c r="F677" s="34"/>
      <c r="G677" s="34"/>
      <c r="H677" s="34"/>
      <c r="I677" s="33"/>
      <c r="J677" s="34"/>
      <c r="K677" s="70"/>
      <c r="L677" s="5"/>
      <c r="M677" s="5"/>
      <c r="N677" s="5"/>
      <c r="O677" s="5"/>
      <c r="P677" s="5"/>
      <c r="Q677" s="5"/>
    </row>
    <row r="678" spans="1:17" ht="15.95" customHeight="1" x14ac:dyDescent="0.2">
      <c r="A678" s="38"/>
      <c r="B678" s="33"/>
      <c r="C678" s="34"/>
      <c r="D678" s="34"/>
      <c r="E678" s="34"/>
      <c r="F678" s="34"/>
      <c r="G678" s="34"/>
      <c r="H678" s="34"/>
      <c r="I678" s="33"/>
      <c r="J678" s="34"/>
      <c r="K678" s="70"/>
      <c r="L678" s="5"/>
      <c r="M678" s="5"/>
      <c r="N678" s="5"/>
      <c r="O678" s="5"/>
      <c r="P678" s="5"/>
      <c r="Q678" s="5"/>
    </row>
    <row r="679" spans="1:17" ht="15.95" customHeight="1" x14ac:dyDescent="0.2">
      <c r="A679" s="38"/>
      <c r="B679" s="33"/>
      <c r="C679" s="34"/>
      <c r="D679" s="34"/>
      <c r="E679" s="34"/>
      <c r="F679" s="34"/>
      <c r="G679" s="34"/>
      <c r="H679" s="34"/>
      <c r="I679" s="33"/>
      <c r="J679" s="34"/>
      <c r="K679" s="70"/>
      <c r="L679" s="5"/>
      <c r="M679" s="5"/>
      <c r="N679" s="5"/>
      <c r="O679" s="5"/>
      <c r="P679" s="5"/>
      <c r="Q679" s="5"/>
    </row>
    <row r="680" spans="1:17" ht="15.95" customHeight="1" x14ac:dyDescent="0.2">
      <c r="A680" s="38"/>
      <c r="B680" s="33"/>
      <c r="C680" s="34"/>
      <c r="D680" s="34"/>
      <c r="E680" s="34"/>
      <c r="F680" s="34"/>
      <c r="G680" s="34"/>
      <c r="H680" s="34"/>
      <c r="I680" s="33"/>
      <c r="J680" s="34"/>
      <c r="K680" s="70"/>
      <c r="L680" s="5"/>
      <c r="M680" s="5"/>
      <c r="N680" s="5"/>
      <c r="O680" s="5"/>
      <c r="P680" s="5"/>
      <c r="Q680" s="5"/>
    </row>
    <row r="681" spans="1:17" ht="15.95" customHeight="1" x14ac:dyDescent="0.2">
      <c r="A681" s="38"/>
      <c r="B681" s="33"/>
      <c r="C681" s="34"/>
      <c r="D681" s="34"/>
      <c r="E681" s="34"/>
      <c r="F681" s="34"/>
      <c r="G681" s="34"/>
      <c r="H681" s="34"/>
      <c r="I681" s="33"/>
      <c r="J681" s="34"/>
      <c r="K681" s="70"/>
      <c r="L681" s="5"/>
      <c r="M681" s="5"/>
      <c r="N681" s="5"/>
      <c r="O681" s="5"/>
      <c r="P681" s="5"/>
      <c r="Q681" s="5"/>
    </row>
    <row r="682" spans="1:17" ht="15.95" customHeight="1" x14ac:dyDescent="0.2">
      <c r="A682" s="38"/>
      <c r="B682" s="33"/>
      <c r="C682" s="34"/>
      <c r="D682" s="34"/>
      <c r="E682" s="34"/>
      <c r="F682" s="34"/>
      <c r="G682" s="34"/>
      <c r="H682" s="34"/>
      <c r="I682" s="33"/>
      <c r="J682" s="34"/>
      <c r="K682" s="70"/>
      <c r="L682" s="5"/>
      <c r="M682" s="5"/>
      <c r="N682" s="5"/>
      <c r="O682" s="5"/>
      <c r="P682" s="5"/>
      <c r="Q682" s="5"/>
    </row>
    <row r="683" spans="1:17" ht="15.95" customHeight="1" x14ac:dyDescent="0.2">
      <c r="A683" s="38"/>
      <c r="B683" s="33"/>
      <c r="C683" s="34"/>
      <c r="D683" s="34"/>
      <c r="E683" s="34"/>
      <c r="F683" s="34"/>
      <c r="G683" s="34"/>
      <c r="H683" s="34"/>
      <c r="I683" s="33"/>
      <c r="J683" s="34"/>
      <c r="K683" s="70"/>
      <c r="L683" s="5"/>
      <c r="M683" s="5"/>
      <c r="N683" s="5"/>
      <c r="O683" s="5"/>
      <c r="P683" s="5"/>
      <c r="Q683" s="5"/>
    </row>
    <row r="684" spans="1:17" ht="15.95" customHeight="1" x14ac:dyDescent="0.2">
      <c r="A684" s="38"/>
      <c r="B684" s="33"/>
      <c r="C684" s="34"/>
      <c r="D684" s="34"/>
      <c r="E684" s="34"/>
      <c r="F684" s="34"/>
      <c r="G684" s="34"/>
      <c r="H684" s="34"/>
      <c r="I684" s="33"/>
      <c r="J684" s="34"/>
      <c r="K684" s="70"/>
      <c r="L684" s="5"/>
      <c r="M684" s="5"/>
      <c r="N684" s="5"/>
      <c r="O684" s="5"/>
      <c r="P684" s="5"/>
      <c r="Q684" s="5"/>
    </row>
    <row r="685" spans="1:17" ht="15.95" customHeight="1" x14ac:dyDescent="0.2">
      <c r="A685" s="38"/>
      <c r="B685" s="33"/>
      <c r="C685" s="34"/>
      <c r="D685" s="34"/>
      <c r="E685" s="34"/>
      <c r="F685" s="34"/>
      <c r="G685" s="34"/>
      <c r="H685" s="34"/>
      <c r="I685" s="33"/>
      <c r="J685" s="34"/>
      <c r="K685" s="70"/>
      <c r="L685" s="5"/>
      <c r="M685" s="5"/>
      <c r="N685" s="5"/>
      <c r="O685" s="5"/>
      <c r="P685" s="5"/>
      <c r="Q685" s="5"/>
    </row>
    <row r="686" spans="1:17" ht="15.95" customHeight="1" x14ac:dyDescent="0.2">
      <c r="A686" s="38"/>
      <c r="B686" s="33"/>
      <c r="C686" s="34"/>
      <c r="D686" s="34"/>
      <c r="E686" s="34"/>
      <c r="F686" s="34"/>
      <c r="G686" s="34"/>
      <c r="H686" s="34"/>
      <c r="I686" s="33"/>
      <c r="J686" s="34"/>
      <c r="K686" s="70"/>
      <c r="L686" s="5"/>
      <c r="M686" s="5"/>
      <c r="N686" s="5"/>
      <c r="O686" s="5"/>
      <c r="P686" s="5"/>
      <c r="Q686" s="5"/>
    </row>
    <row r="687" spans="1:17" ht="15.95" customHeight="1" x14ac:dyDescent="0.2">
      <c r="A687" s="38"/>
      <c r="B687" s="33"/>
      <c r="C687" s="34"/>
      <c r="D687" s="34"/>
      <c r="E687" s="34"/>
      <c r="F687" s="34"/>
      <c r="G687" s="34"/>
      <c r="H687" s="34"/>
      <c r="I687" s="33"/>
      <c r="J687" s="34"/>
      <c r="K687" s="70"/>
      <c r="L687" s="5"/>
      <c r="M687" s="5"/>
      <c r="N687" s="5"/>
      <c r="O687" s="5"/>
      <c r="P687" s="5"/>
      <c r="Q687" s="5"/>
    </row>
    <row r="688" spans="1:17" ht="15.95" customHeight="1" x14ac:dyDescent="0.2">
      <c r="A688" s="38"/>
      <c r="B688" s="33"/>
      <c r="C688" s="34"/>
      <c r="D688" s="34"/>
      <c r="E688" s="34"/>
      <c r="F688" s="34"/>
      <c r="G688" s="34"/>
      <c r="H688" s="34"/>
      <c r="I688" s="33"/>
      <c r="J688" s="34"/>
      <c r="K688" s="70"/>
      <c r="L688" s="5"/>
      <c r="M688" s="5"/>
      <c r="N688" s="5"/>
      <c r="O688" s="5"/>
      <c r="P688" s="5"/>
      <c r="Q688" s="5"/>
    </row>
    <row r="689" spans="1:17" ht="15.95" customHeight="1" x14ac:dyDescent="0.2">
      <c r="A689" s="38"/>
      <c r="B689" s="33"/>
      <c r="C689" s="34"/>
      <c r="D689" s="34"/>
      <c r="E689" s="34"/>
      <c r="F689" s="34"/>
      <c r="G689" s="34"/>
      <c r="H689" s="34"/>
      <c r="I689" s="33"/>
      <c r="J689" s="34"/>
      <c r="K689" s="70"/>
      <c r="L689" s="5"/>
      <c r="M689" s="5"/>
      <c r="N689" s="5"/>
      <c r="O689" s="5"/>
      <c r="P689" s="5"/>
      <c r="Q689" s="5"/>
    </row>
    <row r="690" spans="1:17" ht="15.95" customHeight="1" x14ac:dyDescent="0.2">
      <c r="A690" s="38"/>
      <c r="B690" s="33"/>
      <c r="C690" s="34"/>
      <c r="D690" s="34"/>
      <c r="E690" s="34"/>
      <c r="F690" s="34"/>
      <c r="G690" s="34"/>
      <c r="H690" s="34"/>
      <c r="I690" s="33"/>
      <c r="J690" s="34"/>
      <c r="K690" s="70"/>
      <c r="L690" s="5"/>
      <c r="M690" s="5"/>
      <c r="N690" s="5"/>
      <c r="O690" s="5"/>
      <c r="P690" s="5"/>
      <c r="Q690" s="5"/>
    </row>
    <row r="691" spans="1:17" ht="15.95" customHeight="1" x14ac:dyDescent="0.2">
      <c r="A691" s="38"/>
      <c r="B691" s="33"/>
      <c r="C691" s="34"/>
      <c r="D691" s="34"/>
      <c r="E691" s="34"/>
      <c r="F691" s="34"/>
      <c r="G691" s="34"/>
      <c r="H691" s="34"/>
      <c r="I691" s="33"/>
      <c r="J691" s="34"/>
      <c r="K691" s="70"/>
      <c r="L691" s="5"/>
      <c r="M691" s="5"/>
      <c r="N691" s="5"/>
      <c r="O691" s="5"/>
      <c r="P691" s="5"/>
      <c r="Q691" s="5"/>
    </row>
    <row r="692" spans="1:17" ht="15.95" customHeight="1" x14ac:dyDescent="0.2">
      <c r="A692" s="38"/>
      <c r="B692" s="33"/>
      <c r="C692" s="34"/>
      <c r="D692" s="34"/>
      <c r="E692" s="34"/>
      <c r="F692" s="34"/>
      <c r="G692" s="34"/>
      <c r="H692" s="34"/>
      <c r="I692" s="33"/>
      <c r="J692" s="34"/>
      <c r="K692" s="70"/>
      <c r="L692" s="5"/>
      <c r="M692" s="5"/>
      <c r="N692" s="5"/>
      <c r="O692" s="5"/>
      <c r="P692" s="5"/>
      <c r="Q692" s="5"/>
    </row>
    <row r="693" spans="1:17" ht="15.95" customHeight="1" x14ac:dyDescent="0.2">
      <c r="A693" s="38"/>
      <c r="B693" s="33"/>
      <c r="C693" s="34"/>
      <c r="D693" s="34"/>
      <c r="E693" s="34"/>
      <c r="F693" s="34"/>
      <c r="G693" s="34"/>
      <c r="H693" s="34"/>
      <c r="I693" s="33"/>
      <c r="J693" s="34"/>
      <c r="K693" s="70"/>
      <c r="L693" s="5"/>
      <c r="M693" s="5"/>
      <c r="N693" s="5"/>
      <c r="O693" s="5"/>
      <c r="P693" s="5"/>
      <c r="Q693" s="5"/>
    </row>
    <row r="694" spans="1:17" ht="15.95" customHeight="1" x14ac:dyDescent="0.2">
      <c r="A694" s="38"/>
      <c r="B694" s="33"/>
      <c r="C694" s="34"/>
      <c r="D694" s="34"/>
      <c r="E694" s="34"/>
      <c r="F694" s="34"/>
      <c r="G694" s="34"/>
      <c r="H694" s="34"/>
      <c r="I694" s="33"/>
      <c r="J694" s="34"/>
      <c r="K694" s="70"/>
      <c r="L694" s="5"/>
      <c r="M694" s="5"/>
      <c r="N694" s="5"/>
      <c r="O694" s="5"/>
      <c r="P694" s="5"/>
      <c r="Q694" s="5"/>
    </row>
    <row r="695" spans="1:17" ht="15.95" customHeight="1" x14ac:dyDescent="0.2">
      <c r="A695" s="38"/>
      <c r="B695" s="33"/>
      <c r="C695" s="34"/>
      <c r="D695" s="34"/>
      <c r="E695" s="34"/>
      <c r="F695" s="34"/>
      <c r="G695" s="34"/>
      <c r="H695" s="34"/>
      <c r="I695" s="33"/>
      <c r="J695" s="34"/>
      <c r="K695" s="70"/>
      <c r="L695" s="5"/>
      <c r="M695" s="5"/>
      <c r="N695" s="5"/>
      <c r="O695" s="5"/>
      <c r="P695" s="5"/>
      <c r="Q695" s="5"/>
    </row>
    <row r="696" spans="1:17" ht="15.95" customHeight="1" x14ac:dyDescent="0.2">
      <c r="A696" s="38"/>
      <c r="B696" s="33"/>
      <c r="C696" s="34"/>
      <c r="D696" s="34"/>
      <c r="E696" s="34"/>
      <c r="F696" s="34"/>
      <c r="G696" s="34"/>
      <c r="H696" s="34"/>
      <c r="I696" s="33"/>
      <c r="J696" s="34"/>
      <c r="K696" s="70"/>
      <c r="L696" s="5"/>
      <c r="M696" s="5"/>
      <c r="N696" s="5"/>
      <c r="O696" s="5"/>
      <c r="P696" s="5"/>
      <c r="Q696" s="5"/>
    </row>
    <row r="697" spans="1:17" ht="15.95" customHeight="1" x14ac:dyDescent="0.2">
      <c r="A697" s="38"/>
      <c r="B697" s="33"/>
      <c r="C697" s="34"/>
      <c r="D697" s="34"/>
      <c r="E697" s="34"/>
      <c r="F697" s="34"/>
      <c r="G697" s="34"/>
      <c r="H697" s="34"/>
      <c r="I697" s="33"/>
      <c r="J697" s="34"/>
      <c r="K697" s="70"/>
      <c r="L697" s="5"/>
      <c r="M697" s="5"/>
      <c r="N697" s="5"/>
      <c r="O697" s="5"/>
      <c r="P697" s="5"/>
      <c r="Q697" s="5"/>
    </row>
    <row r="698" spans="1:17" ht="15.95" customHeight="1" x14ac:dyDescent="0.2">
      <c r="A698" s="38"/>
      <c r="B698" s="33"/>
      <c r="C698" s="34"/>
      <c r="D698" s="34"/>
      <c r="E698" s="34"/>
      <c r="F698" s="34"/>
      <c r="G698" s="34"/>
      <c r="H698" s="34"/>
      <c r="I698" s="33"/>
      <c r="J698" s="34"/>
      <c r="K698" s="70"/>
      <c r="L698" s="5"/>
      <c r="M698" s="5"/>
      <c r="N698" s="5"/>
      <c r="O698" s="5"/>
      <c r="P698" s="5"/>
      <c r="Q698" s="5"/>
    </row>
    <row r="699" spans="1:17" ht="15.95" customHeight="1" x14ac:dyDescent="0.2">
      <c r="A699" s="38"/>
      <c r="B699" s="33"/>
      <c r="C699" s="34"/>
      <c r="D699" s="34"/>
      <c r="E699" s="34"/>
      <c r="F699" s="34"/>
      <c r="G699" s="34"/>
      <c r="H699" s="34"/>
      <c r="I699" s="33"/>
      <c r="J699" s="34"/>
      <c r="K699" s="70"/>
      <c r="L699" s="5"/>
      <c r="M699" s="5"/>
      <c r="N699" s="5"/>
      <c r="O699" s="5"/>
      <c r="P699" s="5"/>
      <c r="Q699" s="5"/>
    </row>
    <row r="700" spans="1:17" ht="15.95" customHeight="1" x14ac:dyDescent="0.2">
      <c r="A700" s="38"/>
      <c r="B700" s="33"/>
      <c r="C700" s="34"/>
      <c r="D700" s="34"/>
      <c r="E700" s="34"/>
      <c r="F700" s="34"/>
      <c r="G700" s="34"/>
      <c r="H700" s="34"/>
      <c r="I700" s="33"/>
      <c r="J700" s="34"/>
      <c r="K700" s="70"/>
      <c r="L700" s="5"/>
      <c r="M700" s="5"/>
      <c r="N700" s="5"/>
      <c r="O700" s="5"/>
      <c r="P700" s="5"/>
      <c r="Q700" s="5"/>
    </row>
    <row r="701" spans="1:17" ht="15.95" customHeight="1" x14ac:dyDescent="0.2">
      <c r="A701" s="38"/>
      <c r="B701" s="33"/>
      <c r="C701" s="34"/>
      <c r="D701" s="34"/>
      <c r="E701" s="34"/>
      <c r="F701" s="34"/>
      <c r="G701" s="34"/>
      <c r="H701" s="34"/>
      <c r="I701" s="33"/>
      <c r="J701" s="34"/>
      <c r="K701" s="70"/>
      <c r="L701" s="5"/>
      <c r="M701" s="5"/>
      <c r="N701" s="5"/>
      <c r="O701" s="5"/>
      <c r="P701" s="5"/>
      <c r="Q701" s="5"/>
    </row>
    <row r="702" spans="1:17" ht="15.95" customHeight="1" x14ac:dyDescent="0.2">
      <c r="A702" s="38"/>
      <c r="B702" s="33"/>
      <c r="C702" s="34"/>
      <c r="D702" s="34"/>
      <c r="E702" s="34"/>
      <c r="F702" s="34"/>
      <c r="G702" s="34"/>
      <c r="H702" s="34"/>
      <c r="I702" s="33"/>
      <c r="J702" s="34"/>
      <c r="K702" s="70"/>
      <c r="L702" s="5"/>
      <c r="M702" s="5"/>
      <c r="N702" s="5"/>
      <c r="O702" s="5"/>
      <c r="P702" s="5"/>
      <c r="Q702" s="5"/>
    </row>
    <row r="703" spans="1:17" ht="15.95" customHeight="1" x14ac:dyDescent="0.2">
      <c r="A703" s="38"/>
      <c r="B703" s="33"/>
      <c r="C703" s="34"/>
      <c r="D703" s="34"/>
      <c r="E703" s="34"/>
      <c r="F703" s="34"/>
      <c r="G703" s="34"/>
      <c r="H703" s="34"/>
      <c r="I703" s="33"/>
      <c r="J703" s="34"/>
      <c r="K703" s="70"/>
      <c r="L703" s="5"/>
      <c r="M703" s="5"/>
      <c r="N703" s="5"/>
      <c r="O703" s="5"/>
      <c r="P703" s="5"/>
      <c r="Q703" s="5"/>
    </row>
    <row r="704" spans="1:17" ht="15.95" customHeight="1" x14ac:dyDescent="0.2">
      <c r="A704" s="38"/>
      <c r="B704" s="33"/>
      <c r="C704" s="34"/>
      <c r="D704" s="34"/>
      <c r="E704" s="34"/>
      <c r="F704" s="34"/>
      <c r="G704" s="34"/>
      <c r="H704" s="34"/>
      <c r="I704" s="33"/>
      <c r="J704" s="34"/>
      <c r="K704" s="70"/>
      <c r="L704" s="5"/>
      <c r="M704" s="5"/>
      <c r="N704" s="5"/>
      <c r="O704" s="5"/>
      <c r="P704" s="5"/>
      <c r="Q704" s="5"/>
    </row>
    <row r="705" spans="1:17" ht="15.95" customHeight="1" x14ac:dyDescent="0.2">
      <c r="A705" s="38"/>
      <c r="B705" s="33"/>
      <c r="C705" s="34"/>
      <c r="D705" s="34"/>
      <c r="E705" s="34"/>
      <c r="F705" s="34"/>
      <c r="G705" s="34"/>
      <c r="H705" s="34"/>
      <c r="I705" s="33"/>
      <c r="J705" s="34"/>
      <c r="K705" s="70"/>
      <c r="L705" s="5"/>
      <c r="M705" s="5"/>
      <c r="N705" s="5"/>
      <c r="O705" s="5"/>
      <c r="P705" s="5"/>
      <c r="Q705" s="5"/>
    </row>
    <row r="706" spans="1:17" ht="15.95" customHeight="1" x14ac:dyDescent="0.2">
      <c r="A706" s="38"/>
      <c r="B706" s="33"/>
      <c r="C706" s="34"/>
      <c r="D706" s="34"/>
      <c r="E706" s="34"/>
      <c r="F706" s="34"/>
      <c r="G706" s="34"/>
      <c r="H706" s="34"/>
      <c r="I706" s="33"/>
      <c r="J706" s="34"/>
      <c r="K706" s="70"/>
      <c r="L706" s="5"/>
      <c r="M706" s="5"/>
      <c r="N706" s="5"/>
      <c r="O706" s="5"/>
      <c r="P706" s="5"/>
      <c r="Q706" s="5"/>
    </row>
    <row r="707" spans="1:17" ht="15.95" customHeight="1" x14ac:dyDescent="0.2">
      <c r="A707" s="38"/>
      <c r="B707" s="33"/>
      <c r="C707" s="34"/>
      <c r="D707" s="34"/>
      <c r="E707" s="34"/>
      <c r="F707" s="34"/>
      <c r="G707" s="34"/>
      <c r="H707" s="34"/>
      <c r="I707" s="33"/>
      <c r="J707" s="34"/>
      <c r="K707" s="70"/>
      <c r="L707" s="5"/>
      <c r="M707" s="5"/>
      <c r="N707" s="5"/>
      <c r="O707" s="5"/>
      <c r="P707" s="5"/>
      <c r="Q707" s="5"/>
    </row>
    <row r="708" spans="1:17" ht="15.95" customHeight="1" x14ac:dyDescent="0.2">
      <c r="A708" s="38"/>
      <c r="B708" s="33"/>
      <c r="C708" s="34"/>
      <c r="D708" s="34"/>
      <c r="E708" s="34"/>
      <c r="F708" s="34"/>
      <c r="G708" s="34"/>
      <c r="H708" s="34"/>
      <c r="I708" s="33"/>
      <c r="J708" s="34"/>
      <c r="K708" s="70"/>
      <c r="L708" s="5"/>
      <c r="M708" s="5"/>
      <c r="N708" s="5"/>
      <c r="O708" s="5"/>
      <c r="P708" s="5"/>
      <c r="Q708" s="5"/>
    </row>
    <row r="709" spans="1:17" ht="15.95" customHeight="1" x14ac:dyDescent="0.2">
      <c r="A709" s="38"/>
      <c r="B709" s="33"/>
      <c r="C709" s="34"/>
      <c r="D709" s="34"/>
      <c r="E709" s="34"/>
      <c r="F709" s="34"/>
      <c r="G709" s="34"/>
      <c r="H709" s="34"/>
      <c r="I709" s="33"/>
      <c r="J709" s="34"/>
      <c r="K709" s="70"/>
      <c r="L709" s="5"/>
      <c r="M709" s="5"/>
      <c r="N709" s="5"/>
      <c r="O709" s="5"/>
      <c r="P709" s="5"/>
      <c r="Q709" s="5"/>
    </row>
    <row r="710" spans="1:17" ht="15.95" customHeight="1" x14ac:dyDescent="0.2">
      <c r="A710" s="38"/>
      <c r="B710" s="33"/>
      <c r="C710" s="34"/>
      <c r="D710" s="34"/>
      <c r="E710" s="34"/>
      <c r="F710" s="34"/>
      <c r="G710" s="34"/>
      <c r="H710" s="34"/>
      <c r="I710" s="33"/>
      <c r="J710" s="34"/>
      <c r="K710" s="70"/>
      <c r="L710" s="5"/>
      <c r="M710" s="5"/>
      <c r="N710" s="5"/>
      <c r="O710" s="5"/>
      <c r="P710" s="5"/>
      <c r="Q710" s="5"/>
    </row>
    <row r="711" spans="1:17" ht="15.95" customHeight="1" x14ac:dyDescent="0.2">
      <c r="A711" s="38"/>
      <c r="B711" s="33"/>
      <c r="C711" s="34"/>
      <c r="D711" s="34"/>
      <c r="E711" s="34"/>
      <c r="F711" s="34"/>
      <c r="G711" s="34"/>
      <c r="H711" s="34"/>
      <c r="I711" s="33"/>
      <c r="J711" s="34"/>
      <c r="K711" s="70"/>
      <c r="L711" s="5"/>
      <c r="M711" s="5"/>
      <c r="N711" s="5"/>
      <c r="O711" s="5"/>
      <c r="P711" s="5"/>
      <c r="Q711" s="5"/>
    </row>
    <row r="712" spans="1:17" ht="15.95" customHeight="1" x14ac:dyDescent="0.2">
      <c r="A712" s="38"/>
      <c r="B712" s="33"/>
      <c r="C712" s="34"/>
      <c r="D712" s="34"/>
      <c r="E712" s="34"/>
      <c r="F712" s="34"/>
      <c r="G712" s="34"/>
      <c r="H712" s="34"/>
      <c r="I712" s="33"/>
      <c r="J712" s="34"/>
      <c r="K712" s="70"/>
      <c r="L712" s="5"/>
      <c r="M712" s="5"/>
      <c r="N712" s="5"/>
      <c r="O712" s="5"/>
      <c r="P712" s="5"/>
      <c r="Q712" s="5"/>
    </row>
    <row r="713" spans="1:17" ht="15.95" customHeight="1" x14ac:dyDescent="0.2">
      <c r="A713" s="38"/>
      <c r="B713" s="33"/>
      <c r="C713" s="34"/>
      <c r="D713" s="34"/>
      <c r="E713" s="34"/>
      <c r="F713" s="34"/>
      <c r="G713" s="34"/>
      <c r="H713" s="34"/>
      <c r="I713" s="33"/>
      <c r="J713" s="34"/>
      <c r="K713" s="70"/>
      <c r="L713" s="5"/>
      <c r="M713" s="5"/>
      <c r="N713" s="5"/>
      <c r="O713" s="5"/>
      <c r="P713" s="5"/>
      <c r="Q713" s="5"/>
    </row>
    <row r="714" spans="1:17" ht="15.95" customHeight="1" x14ac:dyDescent="0.2">
      <c r="A714" s="38"/>
      <c r="B714" s="33"/>
      <c r="C714" s="34"/>
      <c r="D714" s="34"/>
      <c r="E714" s="34"/>
      <c r="F714" s="34"/>
      <c r="G714" s="34"/>
      <c r="H714" s="34"/>
      <c r="I714" s="33"/>
      <c r="J714" s="34"/>
      <c r="K714" s="70"/>
      <c r="L714" s="5"/>
      <c r="M714" s="5"/>
      <c r="N714" s="5"/>
      <c r="O714" s="5"/>
      <c r="P714" s="5"/>
      <c r="Q714" s="5"/>
    </row>
    <row r="715" spans="1:17" ht="15.95" customHeight="1" x14ac:dyDescent="0.2">
      <c r="A715" s="38"/>
      <c r="B715" s="33"/>
      <c r="C715" s="34"/>
      <c r="D715" s="34"/>
      <c r="E715" s="34"/>
      <c r="F715" s="34"/>
      <c r="G715" s="34"/>
      <c r="H715" s="34"/>
      <c r="I715" s="33"/>
      <c r="J715" s="34"/>
      <c r="K715" s="70"/>
      <c r="L715" s="5"/>
      <c r="M715" s="5"/>
      <c r="N715" s="5"/>
      <c r="O715" s="5"/>
      <c r="P715" s="5"/>
      <c r="Q715" s="5"/>
    </row>
    <row r="716" spans="1:17" ht="15.95" customHeight="1" x14ac:dyDescent="0.2">
      <c r="A716" s="38"/>
      <c r="B716" s="33"/>
      <c r="C716" s="34"/>
      <c r="D716" s="34"/>
      <c r="E716" s="34"/>
      <c r="F716" s="34"/>
      <c r="G716" s="34"/>
      <c r="H716" s="34"/>
      <c r="I716" s="33"/>
      <c r="J716" s="34"/>
      <c r="K716" s="70"/>
      <c r="L716" s="5"/>
      <c r="M716" s="5"/>
      <c r="N716" s="5"/>
      <c r="O716" s="5"/>
      <c r="P716" s="5"/>
      <c r="Q716" s="5"/>
    </row>
    <row r="717" spans="1:17" ht="15.95" customHeight="1" x14ac:dyDescent="0.2">
      <c r="A717" s="38"/>
      <c r="B717" s="33"/>
      <c r="C717" s="34"/>
      <c r="D717" s="34"/>
      <c r="E717" s="34"/>
      <c r="F717" s="34"/>
      <c r="G717" s="34"/>
      <c r="H717" s="34"/>
      <c r="I717" s="33"/>
      <c r="J717" s="34"/>
      <c r="K717" s="70"/>
      <c r="L717" s="5"/>
      <c r="M717" s="5"/>
      <c r="N717" s="5"/>
      <c r="O717" s="5"/>
      <c r="P717" s="5"/>
      <c r="Q717" s="5"/>
    </row>
    <row r="718" spans="1:17" ht="15.95" customHeight="1" x14ac:dyDescent="0.2">
      <c r="A718" s="38"/>
      <c r="B718" s="33"/>
      <c r="C718" s="34"/>
      <c r="D718" s="34"/>
      <c r="E718" s="34"/>
      <c r="F718" s="34"/>
      <c r="G718" s="34"/>
      <c r="H718" s="34"/>
      <c r="I718" s="33"/>
      <c r="J718" s="34"/>
      <c r="K718" s="70"/>
      <c r="L718" s="5"/>
      <c r="M718" s="5"/>
      <c r="N718" s="5"/>
      <c r="O718" s="5"/>
      <c r="P718" s="5"/>
      <c r="Q718" s="5"/>
    </row>
    <row r="719" spans="1:17" ht="15.95" customHeight="1" x14ac:dyDescent="0.2">
      <c r="A719" s="38"/>
      <c r="B719" s="33"/>
      <c r="C719" s="34"/>
      <c r="D719" s="34"/>
      <c r="E719" s="34"/>
      <c r="F719" s="34"/>
      <c r="G719" s="34"/>
      <c r="H719" s="34"/>
      <c r="I719" s="33"/>
      <c r="J719" s="34"/>
      <c r="K719" s="70"/>
      <c r="L719" s="5"/>
      <c r="M719" s="5"/>
      <c r="N719" s="5"/>
      <c r="O719" s="5"/>
      <c r="P719" s="5"/>
      <c r="Q719" s="5"/>
    </row>
    <row r="720" spans="1:17" ht="15.95" customHeight="1" x14ac:dyDescent="0.2">
      <c r="A720" s="38"/>
      <c r="B720" s="33"/>
      <c r="C720" s="34"/>
      <c r="D720" s="34"/>
      <c r="E720" s="34"/>
      <c r="F720" s="34"/>
      <c r="G720" s="34"/>
      <c r="H720" s="34"/>
      <c r="I720" s="33"/>
      <c r="J720" s="34"/>
      <c r="K720" s="70"/>
      <c r="L720" s="5"/>
      <c r="M720" s="5"/>
      <c r="N720" s="5"/>
      <c r="O720" s="5"/>
      <c r="P720" s="5"/>
      <c r="Q720" s="5"/>
    </row>
    <row r="721" spans="1:17" ht="15.95" customHeight="1" x14ac:dyDescent="0.2">
      <c r="A721" s="38"/>
      <c r="B721" s="33"/>
      <c r="C721" s="34"/>
      <c r="D721" s="34"/>
      <c r="E721" s="34"/>
      <c r="F721" s="34"/>
      <c r="G721" s="34"/>
      <c r="H721" s="34"/>
      <c r="I721" s="33"/>
      <c r="J721" s="34"/>
      <c r="K721" s="70"/>
      <c r="L721" s="5"/>
      <c r="M721" s="5"/>
      <c r="N721" s="5"/>
      <c r="O721" s="5"/>
      <c r="P721" s="5"/>
      <c r="Q721" s="5"/>
    </row>
    <row r="722" spans="1:17" ht="15.95" customHeight="1" x14ac:dyDescent="0.2">
      <c r="A722" s="38"/>
      <c r="B722" s="33"/>
      <c r="C722" s="34"/>
      <c r="D722" s="34"/>
      <c r="E722" s="34"/>
      <c r="F722" s="34"/>
      <c r="G722" s="34"/>
      <c r="H722" s="34"/>
      <c r="I722" s="33"/>
      <c r="J722" s="34"/>
      <c r="K722" s="70"/>
      <c r="L722" s="5"/>
      <c r="M722" s="5"/>
      <c r="N722" s="5"/>
      <c r="O722" s="5"/>
      <c r="P722" s="5"/>
      <c r="Q722" s="5"/>
    </row>
    <row r="723" spans="1:17" ht="15.95" customHeight="1" x14ac:dyDescent="0.2">
      <c r="A723" s="38"/>
      <c r="B723" s="33"/>
      <c r="C723" s="34"/>
      <c r="D723" s="34"/>
      <c r="E723" s="34"/>
      <c r="F723" s="34"/>
      <c r="G723" s="34"/>
      <c r="H723" s="34"/>
      <c r="I723" s="33"/>
      <c r="J723" s="34"/>
      <c r="K723" s="70"/>
      <c r="L723" s="5"/>
      <c r="M723" s="5"/>
      <c r="N723" s="5"/>
      <c r="O723" s="5"/>
      <c r="P723" s="5"/>
      <c r="Q723" s="5"/>
    </row>
    <row r="724" spans="1:17" ht="15.95" customHeight="1" x14ac:dyDescent="0.2">
      <c r="A724" s="38"/>
      <c r="B724" s="33"/>
      <c r="C724" s="34"/>
      <c r="D724" s="34"/>
      <c r="E724" s="34"/>
      <c r="F724" s="34"/>
      <c r="G724" s="34"/>
      <c r="H724" s="34"/>
      <c r="I724" s="33"/>
      <c r="J724" s="34"/>
      <c r="K724" s="70"/>
      <c r="L724" s="5"/>
      <c r="M724" s="5"/>
      <c r="N724" s="5"/>
      <c r="O724" s="5"/>
      <c r="P724" s="5"/>
      <c r="Q724" s="5"/>
    </row>
    <row r="725" spans="1:17" ht="15.95" customHeight="1" x14ac:dyDescent="0.2">
      <c r="A725" s="38"/>
      <c r="B725" s="33"/>
      <c r="C725" s="34"/>
      <c r="D725" s="34"/>
      <c r="E725" s="34"/>
      <c r="F725" s="34"/>
      <c r="G725" s="34"/>
      <c r="H725" s="34"/>
      <c r="I725" s="33"/>
      <c r="J725" s="34"/>
      <c r="K725" s="70"/>
      <c r="L725" s="5"/>
      <c r="M725" s="5"/>
      <c r="N725" s="5"/>
      <c r="O725" s="5"/>
      <c r="P725" s="5"/>
      <c r="Q725" s="5"/>
    </row>
    <row r="726" spans="1:17" ht="15.95" customHeight="1" x14ac:dyDescent="0.2">
      <c r="A726" s="38"/>
      <c r="B726" s="33"/>
      <c r="C726" s="34"/>
      <c r="D726" s="34"/>
      <c r="E726" s="34"/>
      <c r="F726" s="34"/>
      <c r="G726" s="34"/>
      <c r="H726" s="34"/>
      <c r="I726" s="33"/>
      <c r="J726" s="34"/>
      <c r="K726" s="70"/>
      <c r="L726" s="5"/>
      <c r="M726" s="5"/>
      <c r="N726" s="5"/>
      <c r="O726" s="5"/>
      <c r="P726" s="5"/>
      <c r="Q726" s="5"/>
    </row>
    <row r="727" spans="1:17" ht="15.95" customHeight="1" x14ac:dyDescent="0.2">
      <c r="A727" s="38"/>
      <c r="B727" s="33"/>
      <c r="C727" s="34"/>
      <c r="D727" s="34"/>
      <c r="E727" s="34"/>
      <c r="F727" s="34"/>
      <c r="G727" s="34"/>
      <c r="H727" s="34"/>
      <c r="I727" s="33"/>
      <c r="J727" s="34"/>
      <c r="K727" s="70"/>
      <c r="L727" s="5"/>
      <c r="M727" s="5"/>
      <c r="N727" s="5"/>
      <c r="O727" s="5"/>
      <c r="P727" s="5"/>
      <c r="Q727" s="5"/>
    </row>
    <row r="728" spans="1:17" ht="15.95" customHeight="1" x14ac:dyDescent="0.2">
      <c r="A728" s="38"/>
      <c r="B728" s="33"/>
      <c r="C728" s="34"/>
      <c r="D728" s="34"/>
      <c r="E728" s="34"/>
      <c r="F728" s="34"/>
      <c r="G728" s="34"/>
      <c r="H728" s="34"/>
      <c r="I728" s="33"/>
      <c r="J728" s="34"/>
      <c r="K728" s="70"/>
      <c r="L728" s="5"/>
      <c r="M728" s="5"/>
      <c r="N728" s="5"/>
      <c r="O728" s="5"/>
      <c r="P728" s="5"/>
      <c r="Q728" s="5"/>
    </row>
    <row r="729" spans="1:17" ht="15.95" customHeight="1" x14ac:dyDescent="0.2">
      <c r="A729" s="38"/>
      <c r="B729" s="33"/>
      <c r="C729" s="34"/>
      <c r="D729" s="34"/>
      <c r="E729" s="34"/>
      <c r="F729" s="34"/>
      <c r="G729" s="34"/>
      <c r="H729" s="34"/>
      <c r="I729" s="33"/>
      <c r="J729" s="34"/>
      <c r="K729" s="70"/>
      <c r="L729" s="5"/>
      <c r="M729" s="5"/>
      <c r="N729" s="5"/>
      <c r="O729" s="5"/>
      <c r="P729" s="5"/>
      <c r="Q729" s="5"/>
    </row>
    <row r="730" spans="1:17" ht="15.95" customHeight="1" x14ac:dyDescent="0.2">
      <c r="A730" s="38"/>
      <c r="B730" s="33"/>
      <c r="C730" s="34"/>
      <c r="D730" s="34"/>
      <c r="E730" s="34"/>
      <c r="F730" s="34"/>
      <c r="G730" s="34"/>
      <c r="H730" s="34"/>
      <c r="I730" s="33"/>
      <c r="J730" s="34"/>
      <c r="K730" s="70"/>
      <c r="L730" s="5"/>
      <c r="M730" s="5"/>
      <c r="N730" s="5"/>
      <c r="O730" s="5"/>
      <c r="P730" s="5"/>
      <c r="Q730" s="5"/>
    </row>
    <row r="731" spans="1:17" ht="15.95" customHeight="1" x14ac:dyDescent="0.2">
      <c r="A731" s="38"/>
      <c r="B731" s="33"/>
      <c r="C731" s="34"/>
      <c r="D731" s="34"/>
      <c r="E731" s="34"/>
      <c r="F731" s="34"/>
      <c r="G731" s="34"/>
      <c r="H731" s="34"/>
      <c r="I731" s="33"/>
      <c r="J731" s="34"/>
      <c r="K731" s="70"/>
      <c r="L731" s="5"/>
      <c r="M731" s="5"/>
      <c r="N731" s="5"/>
      <c r="O731" s="5"/>
      <c r="P731" s="5"/>
      <c r="Q731" s="5"/>
    </row>
    <row r="732" spans="1:17" ht="15.95" customHeight="1" x14ac:dyDescent="0.2">
      <c r="A732" s="38"/>
      <c r="B732" s="33"/>
      <c r="C732" s="34"/>
      <c r="D732" s="34"/>
      <c r="E732" s="34"/>
      <c r="F732" s="34"/>
      <c r="G732" s="34"/>
      <c r="H732" s="34"/>
      <c r="I732" s="33"/>
      <c r="J732" s="34"/>
      <c r="K732" s="70"/>
      <c r="L732" s="5"/>
      <c r="M732" s="5"/>
      <c r="N732" s="5"/>
      <c r="O732" s="5"/>
      <c r="P732" s="5"/>
      <c r="Q732" s="5"/>
    </row>
    <row r="733" spans="1:17" ht="15.95" customHeight="1" x14ac:dyDescent="0.2">
      <c r="A733" s="38"/>
      <c r="B733" s="33"/>
      <c r="C733" s="34"/>
      <c r="D733" s="34"/>
      <c r="E733" s="34"/>
      <c r="F733" s="34"/>
      <c r="G733" s="34"/>
      <c r="H733" s="34"/>
      <c r="I733" s="33"/>
      <c r="J733" s="34"/>
      <c r="K733" s="70"/>
      <c r="L733" s="5"/>
      <c r="M733" s="5"/>
      <c r="N733" s="5"/>
      <c r="O733" s="5"/>
      <c r="P733" s="5"/>
      <c r="Q733" s="5"/>
    </row>
    <row r="734" spans="1:17" ht="15.95" customHeight="1" x14ac:dyDescent="0.2">
      <c r="A734" s="38"/>
      <c r="B734" s="33"/>
      <c r="C734" s="34"/>
      <c r="D734" s="34"/>
      <c r="E734" s="34"/>
      <c r="F734" s="34"/>
      <c r="G734" s="34"/>
      <c r="H734" s="34"/>
      <c r="I734" s="33"/>
      <c r="J734" s="34"/>
      <c r="K734" s="70"/>
      <c r="L734" s="5"/>
      <c r="M734" s="5"/>
      <c r="N734" s="5"/>
      <c r="O734" s="5"/>
      <c r="P734" s="5"/>
      <c r="Q734" s="5"/>
    </row>
    <row r="735" spans="1:17" ht="15.95" customHeight="1" x14ac:dyDescent="0.2">
      <c r="A735" s="38"/>
      <c r="B735" s="33"/>
      <c r="C735" s="34"/>
      <c r="D735" s="34"/>
      <c r="E735" s="34"/>
      <c r="F735" s="34"/>
      <c r="G735" s="34"/>
      <c r="H735" s="34"/>
      <c r="I735" s="33"/>
      <c r="J735" s="34"/>
      <c r="K735" s="70"/>
      <c r="L735" s="5"/>
      <c r="M735" s="5"/>
      <c r="N735" s="5"/>
      <c r="O735" s="5"/>
      <c r="P735" s="5"/>
      <c r="Q735" s="5"/>
    </row>
    <row r="736" spans="1:17" ht="15.95" customHeight="1" x14ac:dyDescent="0.2">
      <c r="A736" s="38"/>
      <c r="B736" s="33"/>
      <c r="C736" s="34"/>
      <c r="D736" s="34"/>
      <c r="E736" s="34"/>
      <c r="F736" s="34"/>
      <c r="G736" s="34"/>
      <c r="H736" s="34"/>
      <c r="I736" s="33"/>
      <c r="J736" s="34"/>
      <c r="K736" s="70"/>
      <c r="L736" s="5"/>
      <c r="M736" s="5"/>
      <c r="N736" s="5"/>
      <c r="O736" s="5"/>
      <c r="P736" s="5"/>
      <c r="Q736" s="5"/>
    </row>
    <row r="737" spans="1:17" ht="15.95" customHeight="1" x14ac:dyDescent="0.2">
      <c r="A737" s="38"/>
      <c r="B737" s="33"/>
      <c r="C737" s="34"/>
      <c r="D737" s="34"/>
      <c r="E737" s="34"/>
      <c r="F737" s="34"/>
      <c r="G737" s="34"/>
      <c r="H737" s="34"/>
      <c r="I737" s="33"/>
      <c r="J737" s="34"/>
      <c r="K737" s="70"/>
      <c r="L737" s="5"/>
      <c r="M737" s="5"/>
      <c r="N737" s="5"/>
      <c r="O737" s="5"/>
      <c r="P737" s="5"/>
      <c r="Q737" s="5"/>
    </row>
    <row r="738" spans="1:17" ht="15.95" customHeight="1" x14ac:dyDescent="0.2">
      <c r="A738" s="38"/>
      <c r="B738" s="33"/>
      <c r="C738" s="34"/>
      <c r="D738" s="34"/>
      <c r="E738" s="34"/>
      <c r="F738" s="34"/>
      <c r="G738" s="34"/>
      <c r="H738" s="34"/>
      <c r="I738" s="33"/>
      <c r="J738" s="34"/>
      <c r="K738" s="70"/>
      <c r="L738" s="5"/>
      <c r="M738" s="5"/>
      <c r="N738" s="5"/>
      <c r="O738" s="5"/>
      <c r="P738" s="5"/>
      <c r="Q738" s="5"/>
    </row>
    <row r="739" spans="1:17" ht="15.95" customHeight="1" x14ac:dyDescent="0.2">
      <c r="A739" s="38"/>
      <c r="B739" s="33"/>
      <c r="C739" s="34"/>
      <c r="D739" s="34"/>
      <c r="E739" s="34"/>
      <c r="F739" s="34"/>
      <c r="G739" s="34"/>
      <c r="H739" s="34"/>
      <c r="I739" s="33"/>
      <c r="J739" s="34"/>
      <c r="K739" s="70"/>
      <c r="L739" s="5"/>
      <c r="M739" s="5"/>
      <c r="N739" s="5"/>
      <c r="O739" s="5"/>
      <c r="P739" s="5"/>
      <c r="Q739" s="5"/>
    </row>
    <row r="740" spans="1:17" ht="15.95" customHeight="1" x14ac:dyDescent="0.2">
      <c r="A740" s="38"/>
      <c r="B740" s="33"/>
      <c r="C740" s="34"/>
      <c r="D740" s="34"/>
      <c r="E740" s="34"/>
      <c r="F740" s="34"/>
      <c r="G740" s="34"/>
      <c r="H740" s="34"/>
      <c r="I740" s="33"/>
      <c r="J740" s="34"/>
      <c r="K740" s="70"/>
      <c r="L740" s="5"/>
      <c r="M740" s="5"/>
      <c r="N740" s="5"/>
      <c r="O740" s="5"/>
      <c r="P740" s="5"/>
      <c r="Q740" s="5"/>
    </row>
    <row r="741" spans="1:17" ht="15.95" customHeight="1" x14ac:dyDescent="0.2">
      <c r="A741" s="38"/>
      <c r="B741" s="33"/>
      <c r="C741" s="34"/>
      <c r="D741" s="34"/>
      <c r="E741" s="34"/>
      <c r="F741" s="34"/>
      <c r="G741" s="34"/>
      <c r="H741" s="34"/>
      <c r="I741" s="33"/>
      <c r="J741" s="34"/>
      <c r="K741" s="70"/>
      <c r="L741" s="5"/>
      <c r="M741" s="5"/>
      <c r="N741" s="5"/>
      <c r="O741" s="5"/>
      <c r="P741" s="5"/>
      <c r="Q741" s="5"/>
    </row>
    <row r="742" spans="1:17" ht="15.95" customHeight="1" x14ac:dyDescent="0.2">
      <c r="A742" s="38"/>
      <c r="B742" s="33"/>
      <c r="C742" s="34"/>
      <c r="D742" s="34"/>
      <c r="E742" s="34"/>
      <c r="F742" s="34"/>
      <c r="G742" s="34"/>
      <c r="H742" s="34"/>
      <c r="I742" s="33"/>
      <c r="J742" s="34"/>
      <c r="K742" s="70"/>
      <c r="L742" s="5"/>
      <c r="M742" s="5"/>
      <c r="N742" s="5"/>
      <c r="O742" s="5"/>
      <c r="P742" s="5"/>
      <c r="Q742" s="5"/>
    </row>
    <row r="743" spans="1:17" ht="15.95" customHeight="1" x14ac:dyDescent="0.2">
      <c r="A743" s="38"/>
      <c r="B743" s="33"/>
      <c r="C743" s="34"/>
      <c r="D743" s="34"/>
      <c r="E743" s="34"/>
      <c r="F743" s="34"/>
      <c r="G743" s="34"/>
      <c r="H743" s="34"/>
      <c r="I743" s="33"/>
      <c r="J743" s="34"/>
      <c r="K743" s="70"/>
      <c r="L743" s="5"/>
      <c r="M743" s="5"/>
      <c r="N743" s="5"/>
      <c r="O743" s="5"/>
      <c r="P743" s="5"/>
      <c r="Q743" s="5"/>
    </row>
    <row r="744" spans="1:17" ht="15.95" customHeight="1" x14ac:dyDescent="0.2">
      <c r="A744" s="38"/>
      <c r="B744" s="33"/>
      <c r="C744" s="34"/>
      <c r="D744" s="34"/>
      <c r="E744" s="34"/>
      <c r="F744" s="34"/>
      <c r="G744" s="34"/>
      <c r="H744" s="34"/>
      <c r="I744" s="33"/>
      <c r="J744" s="34"/>
      <c r="K744" s="70"/>
      <c r="L744" s="5"/>
      <c r="M744" s="5"/>
      <c r="N744" s="5"/>
      <c r="O744" s="5"/>
      <c r="P744" s="5"/>
      <c r="Q744" s="5"/>
    </row>
    <row r="745" spans="1:17" ht="15.95" customHeight="1" x14ac:dyDescent="0.2">
      <c r="A745" s="38"/>
      <c r="B745" s="33"/>
      <c r="C745" s="34"/>
      <c r="D745" s="34"/>
      <c r="E745" s="34"/>
      <c r="F745" s="34"/>
      <c r="G745" s="34"/>
      <c r="H745" s="34"/>
      <c r="I745" s="33"/>
      <c r="J745" s="34"/>
      <c r="K745" s="70"/>
      <c r="L745" s="5"/>
      <c r="M745" s="5"/>
      <c r="N745" s="5"/>
      <c r="O745" s="5"/>
      <c r="P745" s="5"/>
      <c r="Q745" s="5"/>
    </row>
    <row r="746" spans="1:17" ht="15.95" customHeight="1" x14ac:dyDescent="0.2">
      <c r="A746" s="38"/>
      <c r="B746" s="33"/>
      <c r="C746" s="34"/>
      <c r="D746" s="34"/>
      <c r="E746" s="34"/>
      <c r="F746" s="34"/>
      <c r="G746" s="34"/>
      <c r="H746" s="34"/>
      <c r="I746" s="33"/>
      <c r="J746" s="34"/>
      <c r="K746" s="70"/>
      <c r="L746" s="5"/>
      <c r="M746" s="5"/>
      <c r="N746" s="5"/>
      <c r="O746" s="5"/>
      <c r="P746" s="5"/>
      <c r="Q746" s="5"/>
    </row>
    <row r="747" spans="1:17" ht="15.95" customHeight="1" x14ac:dyDescent="0.2">
      <c r="A747" s="38"/>
      <c r="B747" s="33"/>
      <c r="C747" s="34"/>
      <c r="D747" s="34"/>
      <c r="E747" s="34"/>
      <c r="F747" s="34"/>
      <c r="G747" s="34"/>
      <c r="H747" s="34"/>
      <c r="I747" s="33"/>
      <c r="J747" s="34"/>
      <c r="K747" s="70"/>
      <c r="L747" s="5"/>
      <c r="M747" s="5"/>
      <c r="N747" s="5"/>
      <c r="O747" s="5"/>
      <c r="P747" s="5"/>
      <c r="Q747" s="5"/>
    </row>
    <row r="748" spans="1:17" ht="15.95" customHeight="1" x14ac:dyDescent="0.2">
      <c r="A748" s="38"/>
      <c r="B748" s="33"/>
      <c r="C748" s="34"/>
      <c r="D748" s="34"/>
      <c r="E748" s="34"/>
      <c r="F748" s="34"/>
      <c r="G748" s="34"/>
      <c r="H748" s="34"/>
      <c r="I748" s="33"/>
      <c r="J748" s="34"/>
      <c r="K748" s="70"/>
      <c r="L748" s="5"/>
      <c r="M748" s="5"/>
      <c r="N748" s="5"/>
      <c r="O748" s="5"/>
      <c r="P748" s="5"/>
      <c r="Q748" s="5"/>
    </row>
    <row r="749" spans="1:17" ht="15.95" customHeight="1" x14ac:dyDescent="0.2">
      <c r="A749" s="38"/>
      <c r="B749" s="33"/>
      <c r="C749" s="34"/>
      <c r="D749" s="34"/>
      <c r="E749" s="34"/>
      <c r="F749" s="34"/>
      <c r="G749" s="34"/>
      <c r="H749" s="34"/>
      <c r="I749" s="33"/>
      <c r="J749" s="34"/>
      <c r="K749" s="70"/>
      <c r="L749" s="5"/>
      <c r="M749" s="5"/>
      <c r="N749" s="5"/>
      <c r="O749" s="5"/>
      <c r="P749" s="5"/>
      <c r="Q749" s="5"/>
    </row>
    <row r="750" spans="1:17" ht="15.95" customHeight="1" x14ac:dyDescent="0.2">
      <c r="A750" s="38"/>
      <c r="B750" s="33"/>
      <c r="C750" s="34"/>
      <c r="D750" s="34"/>
      <c r="E750" s="34"/>
      <c r="F750" s="34"/>
      <c r="G750" s="34"/>
      <c r="H750" s="34"/>
      <c r="I750" s="33"/>
      <c r="J750" s="34"/>
      <c r="K750" s="70"/>
      <c r="L750" s="5"/>
      <c r="M750" s="5"/>
      <c r="N750" s="5"/>
      <c r="O750" s="5"/>
      <c r="P750" s="5"/>
      <c r="Q750" s="5"/>
    </row>
    <row r="751" spans="1:17" ht="15.95" customHeight="1" x14ac:dyDescent="0.2">
      <c r="A751" s="38"/>
      <c r="B751" s="33"/>
      <c r="C751" s="34"/>
      <c r="D751" s="34"/>
      <c r="E751" s="34"/>
      <c r="F751" s="34"/>
      <c r="G751" s="34"/>
      <c r="H751" s="34"/>
      <c r="I751" s="33"/>
      <c r="J751" s="34"/>
      <c r="K751" s="70"/>
      <c r="L751" s="5"/>
      <c r="M751" s="5"/>
      <c r="N751" s="5"/>
      <c r="O751" s="5"/>
      <c r="P751" s="5"/>
      <c r="Q751" s="5"/>
    </row>
    <row r="752" spans="1:17" ht="15.95" customHeight="1" x14ac:dyDescent="0.2">
      <c r="A752" s="38"/>
      <c r="B752" s="33"/>
      <c r="C752" s="34"/>
      <c r="D752" s="34"/>
      <c r="E752" s="34"/>
      <c r="F752" s="34"/>
      <c r="G752" s="34"/>
      <c r="H752" s="34"/>
      <c r="I752" s="33"/>
      <c r="J752" s="34"/>
      <c r="K752" s="70"/>
      <c r="L752" s="5"/>
      <c r="M752" s="5"/>
      <c r="N752" s="5"/>
      <c r="O752" s="5"/>
      <c r="P752" s="5"/>
      <c r="Q752" s="5"/>
    </row>
    <row r="753" spans="1:17" ht="15.95" customHeight="1" x14ac:dyDescent="0.2">
      <c r="A753" s="38"/>
      <c r="B753" s="33"/>
      <c r="C753" s="34"/>
      <c r="D753" s="34"/>
      <c r="E753" s="34"/>
      <c r="F753" s="34"/>
      <c r="G753" s="34"/>
      <c r="H753" s="34"/>
      <c r="I753" s="33"/>
      <c r="J753" s="34"/>
      <c r="K753" s="70"/>
      <c r="L753" s="5"/>
      <c r="M753" s="5"/>
      <c r="N753" s="5"/>
      <c r="O753" s="5"/>
      <c r="P753" s="5"/>
      <c r="Q753" s="5"/>
    </row>
    <row r="754" spans="1:17" ht="15.95" customHeight="1" x14ac:dyDescent="0.2">
      <c r="A754" s="38"/>
      <c r="B754" s="33"/>
      <c r="C754" s="34"/>
      <c r="D754" s="34"/>
      <c r="E754" s="34"/>
      <c r="F754" s="34"/>
      <c r="G754" s="34"/>
      <c r="H754" s="34"/>
      <c r="I754" s="33"/>
      <c r="J754" s="34"/>
      <c r="K754" s="70"/>
      <c r="L754" s="5"/>
      <c r="M754" s="5"/>
      <c r="N754" s="5"/>
      <c r="O754" s="5"/>
      <c r="P754" s="5"/>
      <c r="Q754" s="5"/>
    </row>
    <row r="755" spans="1:17" ht="15.95" customHeight="1" x14ac:dyDescent="0.2">
      <c r="A755" s="38"/>
      <c r="B755" s="33"/>
      <c r="C755" s="34"/>
      <c r="D755" s="34"/>
      <c r="E755" s="34"/>
      <c r="F755" s="34"/>
      <c r="G755" s="34"/>
      <c r="H755" s="34"/>
      <c r="I755" s="33"/>
      <c r="J755" s="34"/>
      <c r="K755" s="70"/>
      <c r="L755" s="5"/>
      <c r="M755" s="5"/>
      <c r="N755" s="5"/>
      <c r="O755" s="5"/>
      <c r="P755" s="5"/>
      <c r="Q755" s="5"/>
    </row>
    <row r="756" spans="1:17" ht="15.95" customHeight="1" x14ac:dyDescent="0.2">
      <c r="A756" s="38"/>
      <c r="B756" s="33"/>
      <c r="C756" s="34"/>
      <c r="D756" s="34"/>
      <c r="E756" s="34"/>
      <c r="F756" s="34"/>
      <c r="G756" s="34"/>
      <c r="H756" s="34"/>
      <c r="I756" s="33"/>
      <c r="J756" s="34"/>
      <c r="K756" s="70"/>
      <c r="L756" s="5"/>
      <c r="M756" s="5"/>
      <c r="N756" s="5"/>
      <c r="O756" s="5"/>
      <c r="P756" s="5"/>
      <c r="Q756" s="5"/>
    </row>
    <row r="757" spans="1:17" ht="15.95" customHeight="1" x14ac:dyDescent="0.2">
      <c r="A757" s="38"/>
      <c r="B757" s="33"/>
      <c r="C757" s="34"/>
      <c r="D757" s="34"/>
      <c r="E757" s="34"/>
      <c r="F757" s="34"/>
      <c r="G757" s="34"/>
      <c r="H757" s="34"/>
      <c r="I757" s="33"/>
      <c r="J757" s="34"/>
      <c r="K757" s="70"/>
      <c r="L757" s="5"/>
      <c r="M757" s="5"/>
      <c r="N757" s="5"/>
      <c r="O757" s="5"/>
      <c r="P757" s="5"/>
      <c r="Q757" s="5"/>
    </row>
    <row r="758" spans="1:17" ht="15.95" customHeight="1" x14ac:dyDescent="0.2">
      <c r="A758" s="38"/>
      <c r="B758" s="33"/>
      <c r="C758" s="34"/>
      <c r="D758" s="34"/>
      <c r="E758" s="34"/>
      <c r="F758" s="34"/>
      <c r="G758" s="34"/>
      <c r="H758" s="34"/>
      <c r="I758" s="33"/>
      <c r="J758" s="34"/>
      <c r="K758" s="70"/>
      <c r="L758" s="5"/>
      <c r="M758" s="5"/>
      <c r="N758" s="5"/>
      <c r="O758" s="5"/>
      <c r="P758" s="5"/>
      <c r="Q758" s="5"/>
    </row>
    <row r="759" spans="1:17" ht="15.95" customHeight="1" x14ac:dyDescent="0.2">
      <c r="A759" s="38"/>
      <c r="B759" s="33"/>
      <c r="C759" s="34"/>
      <c r="D759" s="34"/>
      <c r="E759" s="34"/>
      <c r="F759" s="34"/>
      <c r="G759" s="34"/>
      <c r="H759" s="34"/>
      <c r="I759" s="33"/>
      <c r="J759" s="34"/>
      <c r="K759" s="70"/>
      <c r="L759" s="5"/>
      <c r="M759" s="5"/>
      <c r="N759" s="5"/>
      <c r="O759" s="5"/>
      <c r="P759" s="5"/>
      <c r="Q759" s="5"/>
    </row>
    <row r="760" spans="1:17" ht="15.95" customHeight="1" x14ac:dyDescent="0.2">
      <c r="A760" s="38"/>
      <c r="B760" s="33"/>
      <c r="C760" s="34"/>
      <c r="D760" s="34"/>
      <c r="E760" s="34"/>
      <c r="F760" s="34"/>
      <c r="G760" s="34"/>
      <c r="H760" s="34"/>
      <c r="I760" s="33"/>
      <c r="J760" s="34"/>
      <c r="K760" s="70"/>
      <c r="L760" s="5"/>
      <c r="M760" s="5"/>
      <c r="N760" s="5"/>
      <c r="O760" s="5"/>
      <c r="P760" s="5"/>
      <c r="Q760" s="5"/>
    </row>
    <row r="761" spans="1:17" ht="15.95" customHeight="1" x14ac:dyDescent="0.2">
      <c r="A761" s="38"/>
      <c r="B761" s="33"/>
      <c r="C761" s="34"/>
      <c r="D761" s="34"/>
      <c r="E761" s="34"/>
      <c r="F761" s="34"/>
      <c r="G761" s="34"/>
      <c r="H761" s="34"/>
      <c r="I761" s="33"/>
      <c r="J761" s="34"/>
      <c r="K761" s="70"/>
      <c r="L761" s="5"/>
      <c r="M761" s="5"/>
      <c r="N761" s="5"/>
      <c r="O761" s="5"/>
      <c r="P761" s="5"/>
      <c r="Q761" s="5"/>
    </row>
    <row r="762" spans="1:17" ht="15.95" customHeight="1" x14ac:dyDescent="0.2">
      <c r="A762" s="38"/>
      <c r="B762" s="33"/>
      <c r="C762" s="34"/>
      <c r="D762" s="34"/>
      <c r="E762" s="34"/>
      <c r="F762" s="34"/>
      <c r="G762" s="34"/>
      <c r="H762" s="34"/>
      <c r="I762" s="33"/>
      <c r="J762" s="34"/>
      <c r="K762" s="70"/>
      <c r="L762" s="5"/>
      <c r="M762" s="5"/>
      <c r="N762" s="5"/>
      <c r="O762" s="5"/>
      <c r="P762" s="5"/>
      <c r="Q762" s="5"/>
    </row>
    <row r="763" spans="1:17" ht="15.95" customHeight="1" x14ac:dyDescent="0.2">
      <c r="A763" s="38"/>
      <c r="B763" s="33"/>
      <c r="C763" s="34"/>
      <c r="D763" s="34"/>
      <c r="E763" s="34"/>
      <c r="F763" s="34"/>
      <c r="G763" s="34"/>
      <c r="H763" s="34"/>
      <c r="I763" s="33"/>
      <c r="J763" s="34"/>
      <c r="K763" s="70"/>
      <c r="L763" s="5"/>
      <c r="M763" s="5"/>
      <c r="N763" s="5"/>
      <c r="O763" s="5"/>
      <c r="P763" s="5"/>
      <c r="Q763" s="5"/>
    </row>
    <row r="764" spans="1:17" ht="15.95" customHeight="1" x14ac:dyDescent="0.2">
      <c r="A764" s="38"/>
      <c r="B764" s="33"/>
      <c r="C764" s="34"/>
      <c r="D764" s="34"/>
      <c r="E764" s="34"/>
      <c r="F764" s="34"/>
      <c r="G764" s="34"/>
      <c r="H764" s="34"/>
      <c r="I764" s="33"/>
      <c r="J764" s="34"/>
      <c r="K764" s="70"/>
      <c r="L764" s="5"/>
      <c r="M764" s="5"/>
      <c r="N764" s="5"/>
      <c r="O764" s="5"/>
      <c r="P764" s="5"/>
      <c r="Q764" s="5"/>
    </row>
    <row r="765" spans="1:17" ht="15.95" customHeight="1" x14ac:dyDescent="0.2">
      <c r="A765" s="38"/>
      <c r="B765" s="33"/>
      <c r="C765" s="34"/>
      <c r="D765" s="34"/>
      <c r="E765" s="34"/>
      <c r="F765" s="34"/>
      <c r="G765" s="34"/>
      <c r="H765" s="34"/>
      <c r="I765" s="33"/>
      <c r="J765" s="34"/>
      <c r="K765" s="70"/>
      <c r="L765" s="5"/>
      <c r="M765" s="5"/>
      <c r="N765" s="5"/>
      <c r="O765" s="5"/>
      <c r="P765" s="5"/>
      <c r="Q765" s="5"/>
    </row>
    <row r="766" spans="1:17" ht="15.95" customHeight="1" x14ac:dyDescent="0.2">
      <c r="A766" s="38"/>
      <c r="B766" s="33"/>
      <c r="C766" s="34"/>
      <c r="D766" s="34"/>
      <c r="E766" s="34"/>
      <c r="F766" s="34"/>
      <c r="G766" s="34"/>
      <c r="H766" s="34"/>
      <c r="I766" s="33"/>
      <c r="J766" s="34"/>
      <c r="K766" s="70"/>
      <c r="L766" s="5"/>
      <c r="M766" s="5"/>
      <c r="N766" s="5"/>
      <c r="O766" s="5"/>
      <c r="P766" s="5"/>
      <c r="Q766" s="5"/>
    </row>
    <row r="767" spans="1:17" ht="15.95" customHeight="1" x14ac:dyDescent="0.2">
      <c r="A767" s="38"/>
      <c r="B767" s="33"/>
      <c r="C767" s="34"/>
      <c r="D767" s="34"/>
      <c r="E767" s="34"/>
      <c r="F767" s="34"/>
      <c r="G767" s="34"/>
      <c r="H767" s="34"/>
      <c r="I767" s="33"/>
      <c r="J767" s="34"/>
      <c r="K767" s="70"/>
      <c r="L767" s="5"/>
      <c r="M767" s="5"/>
      <c r="N767" s="5"/>
      <c r="O767" s="5"/>
      <c r="P767" s="5"/>
      <c r="Q767" s="5"/>
    </row>
    <row r="768" spans="1:17" ht="15.95" customHeight="1" x14ac:dyDescent="0.2">
      <c r="A768" s="38"/>
      <c r="B768" s="33"/>
      <c r="C768" s="34"/>
      <c r="D768" s="34"/>
      <c r="E768" s="34"/>
      <c r="F768" s="34"/>
      <c r="G768" s="34"/>
      <c r="H768" s="34"/>
      <c r="I768" s="33"/>
      <c r="J768" s="34"/>
      <c r="K768" s="70"/>
      <c r="L768" s="5"/>
      <c r="M768" s="5"/>
      <c r="N768" s="5"/>
      <c r="O768" s="5"/>
      <c r="P768" s="5"/>
      <c r="Q768" s="5"/>
    </row>
    <row r="769" spans="1:17" ht="15.95" customHeight="1" x14ac:dyDescent="0.2">
      <c r="A769" s="38"/>
      <c r="B769" s="33"/>
      <c r="C769" s="34"/>
      <c r="D769" s="34"/>
      <c r="E769" s="34"/>
      <c r="F769" s="34"/>
      <c r="G769" s="34"/>
      <c r="H769" s="34"/>
      <c r="I769" s="33"/>
      <c r="J769" s="34"/>
      <c r="K769" s="70"/>
      <c r="L769" s="5"/>
      <c r="M769" s="5"/>
      <c r="N769" s="5"/>
      <c r="O769" s="5"/>
      <c r="P769" s="5"/>
      <c r="Q769" s="5"/>
    </row>
    <row r="770" spans="1:17" ht="15.95" customHeight="1" x14ac:dyDescent="0.2">
      <c r="A770" s="38"/>
      <c r="B770" s="33"/>
      <c r="C770" s="34"/>
      <c r="D770" s="34"/>
      <c r="E770" s="34"/>
      <c r="F770" s="34"/>
      <c r="G770" s="34"/>
      <c r="H770" s="34"/>
      <c r="I770" s="33"/>
      <c r="J770" s="34"/>
      <c r="K770" s="70"/>
      <c r="L770" s="5"/>
      <c r="M770" s="5"/>
      <c r="N770" s="5"/>
      <c r="O770" s="5"/>
      <c r="P770" s="5"/>
      <c r="Q770" s="5"/>
    </row>
    <row r="771" spans="1:17" ht="15.95" customHeight="1" x14ac:dyDescent="0.2">
      <c r="A771" s="38"/>
      <c r="B771" s="33"/>
      <c r="C771" s="34"/>
      <c r="D771" s="34"/>
      <c r="E771" s="34"/>
      <c r="F771" s="34"/>
      <c r="G771" s="34"/>
      <c r="H771" s="34"/>
      <c r="I771" s="33"/>
      <c r="J771" s="34"/>
      <c r="K771" s="70"/>
      <c r="L771" s="5"/>
      <c r="M771" s="5"/>
      <c r="N771" s="5"/>
      <c r="O771" s="5"/>
      <c r="P771" s="5"/>
      <c r="Q771" s="5"/>
    </row>
    <row r="772" spans="1:17" ht="15.95" customHeight="1" x14ac:dyDescent="0.2">
      <c r="A772" s="38"/>
      <c r="B772" s="33"/>
      <c r="C772" s="34"/>
      <c r="D772" s="34"/>
      <c r="E772" s="34"/>
      <c r="F772" s="34"/>
      <c r="G772" s="34"/>
      <c r="H772" s="34"/>
      <c r="I772" s="33"/>
      <c r="J772" s="34"/>
      <c r="K772" s="70"/>
      <c r="L772" s="5"/>
      <c r="M772" s="5"/>
      <c r="N772" s="5"/>
      <c r="O772" s="5"/>
      <c r="P772" s="5"/>
      <c r="Q772" s="5"/>
    </row>
    <row r="773" spans="1:17" ht="15.95" customHeight="1" x14ac:dyDescent="0.2">
      <c r="A773" s="38"/>
      <c r="B773" s="33"/>
      <c r="C773" s="34"/>
      <c r="D773" s="34"/>
      <c r="E773" s="34"/>
      <c r="F773" s="34"/>
      <c r="G773" s="34"/>
      <c r="H773" s="34"/>
      <c r="I773" s="33"/>
      <c r="J773" s="34"/>
      <c r="K773" s="70"/>
      <c r="L773" s="5"/>
      <c r="M773" s="5"/>
      <c r="N773" s="5"/>
      <c r="O773" s="5"/>
      <c r="P773" s="5"/>
      <c r="Q773" s="5"/>
    </row>
    <row r="774" spans="1:17" ht="15.95" customHeight="1" x14ac:dyDescent="0.2">
      <c r="A774" s="38"/>
      <c r="B774" s="33"/>
      <c r="C774" s="34"/>
      <c r="D774" s="34"/>
      <c r="E774" s="34"/>
      <c r="F774" s="34"/>
      <c r="G774" s="34"/>
      <c r="H774" s="34"/>
      <c r="I774" s="33"/>
      <c r="J774" s="34"/>
      <c r="K774" s="70"/>
      <c r="L774" s="5"/>
      <c r="M774" s="5"/>
      <c r="N774" s="5"/>
      <c r="O774" s="5"/>
      <c r="P774" s="5"/>
      <c r="Q774" s="5"/>
    </row>
    <row r="775" spans="1:17" ht="15.95" customHeight="1" x14ac:dyDescent="0.2">
      <c r="A775" s="38"/>
      <c r="B775" s="33"/>
      <c r="C775" s="34"/>
      <c r="D775" s="34"/>
      <c r="E775" s="34"/>
      <c r="F775" s="34"/>
      <c r="G775" s="34"/>
      <c r="H775" s="34"/>
      <c r="I775" s="33"/>
      <c r="J775" s="34"/>
      <c r="K775" s="70"/>
      <c r="L775" s="5"/>
      <c r="M775" s="5"/>
      <c r="N775" s="5"/>
      <c r="O775" s="5"/>
      <c r="P775" s="5"/>
      <c r="Q775" s="5"/>
    </row>
    <row r="776" spans="1:17" ht="15.95" customHeight="1" x14ac:dyDescent="0.2">
      <c r="A776" s="38"/>
      <c r="B776" s="33"/>
      <c r="C776" s="34"/>
      <c r="D776" s="34"/>
      <c r="E776" s="34"/>
      <c r="F776" s="34"/>
      <c r="G776" s="34"/>
      <c r="H776" s="34"/>
      <c r="I776" s="33"/>
      <c r="J776" s="34"/>
      <c r="K776" s="70"/>
      <c r="L776" s="5"/>
      <c r="M776" s="5"/>
      <c r="N776" s="5"/>
      <c r="O776" s="5"/>
      <c r="P776" s="5"/>
      <c r="Q776" s="5"/>
    </row>
    <row r="777" spans="1:17" ht="15.95" customHeight="1" x14ac:dyDescent="0.2">
      <c r="A777" s="38"/>
      <c r="B777" s="33"/>
      <c r="C777" s="34"/>
      <c r="D777" s="34"/>
      <c r="E777" s="34"/>
      <c r="F777" s="34"/>
      <c r="G777" s="34"/>
      <c r="H777" s="34"/>
      <c r="I777" s="33"/>
      <c r="J777" s="34"/>
      <c r="K777" s="70"/>
      <c r="L777" s="5"/>
      <c r="M777" s="5"/>
      <c r="N777" s="5"/>
      <c r="O777" s="5"/>
      <c r="P777" s="5"/>
      <c r="Q777" s="5"/>
    </row>
    <row r="778" spans="1:17" ht="15.95" customHeight="1" x14ac:dyDescent="0.2">
      <c r="A778" s="38"/>
      <c r="B778" s="33"/>
      <c r="C778" s="34"/>
      <c r="D778" s="34"/>
      <c r="E778" s="34"/>
      <c r="F778" s="34"/>
      <c r="G778" s="34"/>
      <c r="H778" s="34"/>
      <c r="I778" s="33"/>
      <c r="J778" s="34"/>
      <c r="K778" s="70"/>
      <c r="L778" s="5"/>
      <c r="M778" s="5"/>
      <c r="N778" s="5"/>
      <c r="O778" s="5"/>
      <c r="P778" s="5"/>
      <c r="Q778" s="5"/>
    </row>
    <row r="779" spans="1:17" ht="15.95" customHeight="1" x14ac:dyDescent="0.2">
      <c r="A779" s="38"/>
      <c r="B779" s="33"/>
      <c r="C779" s="34"/>
      <c r="D779" s="34"/>
      <c r="E779" s="34"/>
      <c r="F779" s="34"/>
      <c r="G779" s="34"/>
      <c r="H779" s="34"/>
      <c r="I779" s="33"/>
      <c r="J779" s="34"/>
      <c r="K779" s="70"/>
      <c r="L779" s="5"/>
      <c r="M779" s="5"/>
      <c r="N779" s="5"/>
      <c r="O779" s="5"/>
      <c r="P779" s="5"/>
      <c r="Q779" s="5"/>
    </row>
    <row r="780" spans="1:17" ht="15.95" customHeight="1" x14ac:dyDescent="0.2">
      <c r="A780" s="38"/>
      <c r="B780" s="33"/>
      <c r="C780" s="34"/>
      <c r="D780" s="34"/>
      <c r="E780" s="34"/>
      <c r="F780" s="34"/>
      <c r="G780" s="34"/>
      <c r="H780" s="34"/>
      <c r="I780" s="33"/>
      <c r="J780" s="34"/>
      <c r="K780" s="70"/>
      <c r="L780" s="5"/>
      <c r="M780" s="5"/>
      <c r="N780" s="5"/>
      <c r="O780" s="5"/>
      <c r="P780" s="5"/>
      <c r="Q780" s="5"/>
    </row>
    <row r="781" spans="1:17" ht="15.95" customHeight="1" x14ac:dyDescent="0.2">
      <c r="A781" s="38"/>
      <c r="B781" s="33"/>
      <c r="C781" s="34"/>
      <c r="D781" s="34"/>
      <c r="E781" s="34"/>
      <c r="F781" s="34"/>
      <c r="G781" s="34"/>
      <c r="H781" s="34"/>
      <c r="I781" s="33"/>
      <c r="J781" s="34"/>
      <c r="K781" s="70"/>
      <c r="L781" s="5"/>
      <c r="M781" s="5"/>
      <c r="N781" s="5"/>
      <c r="O781" s="5"/>
      <c r="P781" s="5"/>
      <c r="Q781" s="5"/>
    </row>
    <row r="782" spans="1:17" ht="15.95" customHeight="1" x14ac:dyDescent="0.2">
      <c r="A782" s="38"/>
      <c r="B782" s="33"/>
      <c r="C782" s="34"/>
      <c r="D782" s="34"/>
      <c r="E782" s="34"/>
      <c r="F782" s="34"/>
      <c r="G782" s="34"/>
      <c r="H782" s="34"/>
      <c r="I782" s="33"/>
      <c r="J782" s="34"/>
      <c r="K782" s="70"/>
      <c r="L782" s="5"/>
      <c r="M782" s="5"/>
      <c r="N782" s="5"/>
      <c r="O782" s="5"/>
      <c r="P782" s="5"/>
      <c r="Q782" s="5"/>
    </row>
    <row r="783" spans="1:17" ht="15.95" customHeight="1" x14ac:dyDescent="0.2">
      <c r="A783" s="38"/>
      <c r="B783" s="33"/>
      <c r="C783" s="34"/>
      <c r="D783" s="34"/>
      <c r="E783" s="34"/>
      <c r="F783" s="34"/>
      <c r="G783" s="34"/>
      <c r="H783" s="34"/>
      <c r="I783" s="33"/>
      <c r="J783" s="34"/>
      <c r="K783" s="70"/>
      <c r="L783" s="5"/>
      <c r="M783" s="5"/>
      <c r="N783" s="5"/>
      <c r="O783" s="5"/>
      <c r="P783" s="5"/>
      <c r="Q783" s="5"/>
    </row>
    <row r="784" spans="1:17" ht="15.95" customHeight="1" x14ac:dyDescent="0.2">
      <c r="A784" s="38"/>
      <c r="B784" s="33"/>
      <c r="C784" s="34"/>
      <c r="D784" s="34"/>
      <c r="E784" s="34"/>
      <c r="F784" s="34"/>
      <c r="G784" s="34"/>
      <c r="H784" s="34"/>
      <c r="I784" s="33"/>
      <c r="J784" s="34"/>
      <c r="K784" s="70"/>
      <c r="L784" s="5"/>
      <c r="M784" s="5"/>
      <c r="N784" s="5"/>
      <c r="O784" s="5"/>
      <c r="P784" s="5"/>
      <c r="Q784" s="5"/>
    </row>
    <row r="785" spans="1:17" ht="15.95" customHeight="1" x14ac:dyDescent="0.2">
      <c r="A785" s="38"/>
      <c r="B785" s="33"/>
      <c r="C785" s="34"/>
      <c r="D785" s="34"/>
      <c r="E785" s="34"/>
      <c r="F785" s="34"/>
      <c r="G785" s="34"/>
      <c r="H785" s="34"/>
      <c r="I785" s="33"/>
      <c r="J785" s="34"/>
      <c r="K785" s="70"/>
      <c r="L785" s="5"/>
      <c r="M785" s="5"/>
      <c r="N785" s="5"/>
      <c r="O785" s="5"/>
      <c r="P785" s="5"/>
      <c r="Q785" s="5"/>
    </row>
    <row r="786" spans="1:17" ht="15.95" customHeight="1" x14ac:dyDescent="0.2">
      <c r="A786" s="38"/>
      <c r="B786" s="33"/>
      <c r="C786" s="34"/>
      <c r="D786" s="34"/>
      <c r="E786" s="34"/>
      <c r="F786" s="34"/>
      <c r="G786" s="34"/>
      <c r="H786" s="34"/>
      <c r="I786" s="33"/>
      <c r="J786" s="34"/>
      <c r="K786" s="70"/>
      <c r="L786" s="5"/>
      <c r="M786" s="5"/>
      <c r="N786" s="5"/>
      <c r="O786" s="5"/>
      <c r="P786" s="5"/>
      <c r="Q786" s="5"/>
    </row>
    <row r="787" spans="1:17" ht="15.95" customHeight="1" x14ac:dyDescent="0.2">
      <c r="A787" s="38"/>
      <c r="B787" s="33"/>
      <c r="C787" s="34"/>
      <c r="D787" s="34"/>
      <c r="E787" s="34"/>
      <c r="F787" s="34"/>
      <c r="G787" s="34"/>
      <c r="H787" s="34"/>
      <c r="I787" s="33"/>
      <c r="J787" s="34"/>
      <c r="K787" s="70"/>
      <c r="L787" s="5"/>
      <c r="M787" s="5"/>
      <c r="N787" s="5"/>
      <c r="O787" s="5"/>
      <c r="P787" s="5"/>
      <c r="Q787" s="5"/>
    </row>
    <row r="788" spans="1:17" ht="15.95" customHeight="1" x14ac:dyDescent="0.2">
      <c r="A788" s="38"/>
      <c r="B788" s="33"/>
      <c r="C788" s="34"/>
      <c r="D788" s="34"/>
      <c r="E788" s="34"/>
      <c r="F788" s="34"/>
      <c r="G788" s="34"/>
      <c r="H788" s="34"/>
      <c r="I788" s="33"/>
      <c r="J788" s="34"/>
      <c r="K788" s="70"/>
      <c r="L788" s="5"/>
      <c r="M788" s="5"/>
      <c r="N788" s="5"/>
      <c r="O788" s="5"/>
      <c r="P788" s="5"/>
      <c r="Q788" s="5"/>
    </row>
    <row r="789" spans="1:17" ht="15.95" customHeight="1" x14ac:dyDescent="0.2">
      <c r="A789" s="38"/>
      <c r="B789" s="33"/>
      <c r="C789" s="34"/>
      <c r="D789" s="34"/>
      <c r="E789" s="34"/>
      <c r="F789" s="34"/>
      <c r="G789" s="34"/>
      <c r="H789" s="34"/>
      <c r="I789" s="33"/>
      <c r="J789" s="34"/>
      <c r="K789" s="70"/>
      <c r="L789" s="5"/>
      <c r="M789" s="5"/>
      <c r="N789" s="5"/>
      <c r="O789" s="5"/>
      <c r="P789" s="5"/>
      <c r="Q789" s="5"/>
    </row>
    <row r="790" spans="1:17" ht="15.95" customHeight="1" x14ac:dyDescent="0.2">
      <c r="A790" s="38"/>
      <c r="B790" s="33"/>
      <c r="C790" s="34"/>
      <c r="D790" s="34"/>
      <c r="E790" s="34"/>
      <c r="F790" s="34"/>
      <c r="G790" s="34"/>
      <c r="H790" s="34"/>
      <c r="I790" s="33"/>
      <c r="J790" s="34"/>
      <c r="K790" s="70"/>
      <c r="L790" s="5"/>
      <c r="M790" s="5"/>
      <c r="N790" s="5"/>
      <c r="O790" s="5"/>
      <c r="P790" s="5"/>
      <c r="Q790" s="5"/>
    </row>
    <row r="791" spans="1:17" ht="15.95" customHeight="1" x14ac:dyDescent="0.2">
      <c r="A791" s="38"/>
      <c r="B791" s="33"/>
      <c r="C791" s="34"/>
      <c r="D791" s="34"/>
      <c r="E791" s="34"/>
      <c r="F791" s="34"/>
      <c r="G791" s="34"/>
      <c r="H791" s="34"/>
      <c r="I791" s="33"/>
      <c r="J791" s="34"/>
      <c r="K791" s="70"/>
      <c r="L791" s="5"/>
      <c r="M791" s="5"/>
      <c r="N791" s="5"/>
      <c r="O791" s="5"/>
      <c r="P791" s="5"/>
      <c r="Q791" s="5"/>
    </row>
    <row r="792" spans="1:17" ht="15.95" customHeight="1" x14ac:dyDescent="0.2">
      <c r="A792" s="38"/>
      <c r="B792" s="33"/>
      <c r="C792" s="34"/>
      <c r="D792" s="34"/>
      <c r="E792" s="34"/>
      <c r="F792" s="34"/>
      <c r="G792" s="34"/>
      <c r="H792" s="34"/>
      <c r="I792" s="33"/>
      <c r="J792" s="34"/>
      <c r="K792" s="70"/>
      <c r="L792" s="5"/>
      <c r="M792" s="5"/>
      <c r="N792" s="5"/>
      <c r="O792" s="5"/>
      <c r="P792" s="5"/>
      <c r="Q792" s="5"/>
    </row>
    <row r="793" spans="1:17" ht="15.95" customHeight="1" x14ac:dyDescent="0.2">
      <c r="A793" s="38"/>
      <c r="B793" s="33"/>
      <c r="C793" s="34"/>
      <c r="D793" s="34"/>
      <c r="E793" s="34"/>
      <c r="F793" s="34"/>
      <c r="G793" s="34"/>
      <c r="H793" s="34"/>
      <c r="I793" s="33"/>
      <c r="J793" s="34"/>
      <c r="K793" s="70"/>
      <c r="L793" s="5"/>
      <c r="M793" s="5"/>
      <c r="N793" s="5"/>
      <c r="O793" s="5"/>
      <c r="P793" s="5"/>
      <c r="Q793" s="5"/>
    </row>
    <row r="794" spans="1:17" ht="15.95" customHeight="1" x14ac:dyDescent="0.2">
      <c r="A794" s="38"/>
      <c r="B794" s="33"/>
      <c r="C794" s="34"/>
      <c r="D794" s="34"/>
      <c r="E794" s="34"/>
      <c r="F794" s="34"/>
      <c r="G794" s="34"/>
      <c r="H794" s="34"/>
      <c r="I794" s="33"/>
      <c r="J794" s="34"/>
      <c r="K794" s="70"/>
      <c r="L794" s="5"/>
      <c r="M794" s="5"/>
      <c r="N794" s="5"/>
      <c r="O794" s="5"/>
      <c r="P794" s="5"/>
      <c r="Q794" s="5"/>
    </row>
    <row r="795" spans="1:17" ht="15.95" customHeight="1" x14ac:dyDescent="0.2">
      <c r="A795" s="38"/>
      <c r="B795" s="33"/>
      <c r="C795" s="34"/>
      <c r="D795" s="34"/>
      <c r="E795" s="34"/>
      <c r="F795" s="34"/>
      <c r="G795" s="34"/>
      <c r="H795" s="34"/>
      <c r="I795" s="33"/>
      <c r="J795" s="34"/>
      <c r="K795" s="70"/>
      <c r="L795" s="5"/>
      <c r="M795" s="5"/>
      <c r="N795" s="5"/>
      <c r="O795" s="5"/>
      <c r="P795" s="5"/>
      <c r="Q795" s="5"/>
    </row>
    <row r="796" spans="1:17" ht="15.95" customHeight="1" x14ac:dyDescent="0.2">
      <c r="A796" s="38"/>
      <c r="B796" s="33"/>
      <c r="C796" s="34"/>
      <c r="D796" s="34"/>
      <c r="E796" s="34"/>
      <c r="F796" s="34"/>
      <c r="G796" s="34"/>
      <c r="H796" s="34"/>
      <c r="I796" s="33"/>
      <c r="J796" s="34"/>
      <c r="K796" s="70"/>
      <c r="L796" s="5"/>
      <c r="M796" s="5"/>
      <c r="N796" s="5"/>
      <c r="O796" s="5"/>
      <c r="P796" s="5"/>
      <c r="Q796" s="5"/>
    </row>
    <row r="797" spans="1:17" ht="15.95" customHeight="1" x14ac:dyDescent="0.2">
      <c r="A797" s="38"/>
      <c r="B797" s="33"/>
      <c r="C797" s="34"/>
      <c r="D797" s="34"/>
      <c r="E797" s="34"/>
      <c r="F797" s="34"/>
      <c r="G797" s="34"/>
      <c r="H797" s="34"/>
      <c r="I797" s="33"/>
      <c r="J797" s="34"/>
      <c r="K797" s="70"/>
      <c r="L797" s="5"/>
      <c r="M797" s="5"/>
      <c r="N797" s="5"/>
      <c r="O797" s="5"/>
      <c r="P797" s="5"/>
      <c r="Q797" s="5"/>
    </row>
    <row r="798" spans="1:17" ht="15.95" customHeight="1" x14ac:dyDescent="0.2">
      <c r="A798" s="38"/>
      <c r="B798" s="33"/>
      <c r="C798" s="34"/>
      <c r="D798" s="34"/>
      <c r="E798" s="34"/>
      <c r="F798" s="34"/>
      <c r="G798" s="34"/>
      <c r="H798" s="34"/>
      <c r="I798" s="33"/>
      <c r="J798" s="34"/>
      <c r="K798" s="70"/>
      <c r="L798" s="5"/>
      <c r="M798" s="5"/>
      <c r="N798" s="5"/>
      <c r="O798" s="5"/>
      <c r="P798" s="5"/>
      <c r="Q798" s="5"/>
    </row>
    <row r="799" spans="1:17" ht="15.95" customHeight="1" x14ac:dyDescent="0.2">
      <c r="A799" s="38"/>
      <c r="B799" s="33"/>
      <c r="C799" s="34"/>
      <c r="D799" s="34"/>
      <c r="E799" s="34"/>
      <c r="F799" s="34"/>
      <c r="G799" s="34"/>
      <c r="H799" s="34"/>
      <c r="I799" s="33"/>
      <c r="J799" s="34"/>
      <c r="K799" s="70"/>
      <c r="L799" s="5"/>
      <c r="M799" s="5"/>
      <c r="N799" s="5"/>
      <c r="O799" s="5"/>
      <c r="P799" s="5"/>
      <c r="Q799" s="5"/>
    </row>
    <row r="800" spans="1:17" ht="15.95" customHeight="1" x14ac:dyDescent="0.2">
      <c r="A800" s="38"/>
      <c r="B800" s="33"/>
      <c r="C800" s="34"/>
      <c r="D800" s="34"/>
      <c r="E800" s="34"/>
      <c r="F800" s="34"/>
      <c r="G800" s="34"/>
      <c r="H800" s="34"/>
      <c r="I800" s="33"/>
      <c r="J800" s="34"/>
      <c r="K800" s="70"/>
      <c r="L800" s="5"/>
      <c r="M800" s="5"/>
      <c r="N800" s="5"/>
      <c r="O800" s="5"/>
      <c r="P800" s="5"/>
      <c r="Q800" s="5"/>
    </row>
    <row r="801" spans="1:17" ht="15.95" customHeight="1" x14ac:dyDescent="0.2">
      <c r="A801" s="38"/>
      <c r="B801" s="33"/>
      <c r="C801" s="34"/>
      <c r="D801" s="34"/>
      <c r="E801" s="34"/>
      <c r="F801" s="34"/>
      <c r="G801" s="34"/>
      <c r="H801" s="34"/>
      <c r="I801" s="33"/>
      <c r="J801" s="34"/>
      <c r="K801" s="70"/>
      <c r="L801" s="5"/>
      <c r="M801" s="5"/>
      <c r="N801" s="5"/>
      <c r="O801" s="5"/>
      <c r="P801" s="5"/>
      <c r="Q801" s="5"/>
    </row>
    <row r="802" spans="1:17" ht="15.95" customHeight="1" x14ac:dyDescent="0.2">
      <c r="A802" s="38"/>
      <c r="B802" s="33"/>
      <c r="C802" s="34"/>
      <c r="D802" s="34"/>
      <c r="E802" s="34"/>
      <c r="F802" s="34"/>
      <c r="G802" s="34"/>
      <c r="H802" s="34"/>
      <c r="I802" s="33"/>
      <c r="J802" s="34"/>
      <c r="K802" s="70"/>
      <c r="L802" s="5"/>
      <c r="M802" s="5"/>
      <c r="N802" s="5"/>
      <c r="O802" s="5"/>
      <c r="P802" s="5"/>
      <c r="Q802" s="5"/>
    </row>
    <row r="803" spans="1:17" ht="15.95" customHeight="1" x14ac:dyDescent="0.2">
      <c r="A803" s="38"/>
      <c r="B803" s="33"/>
      <c r="C803" s="34"/>
      <c r="D803" s="34"/>
      <c r="E803" s="34"/>
      <c r="F803" s="34"/>
      <c r="G803" s="34"/>
      <c r="H803" s="34"/>
      <c r="I803" s="33"/>
      <c r="J803" s="34"/>
      <c r="K803" s="70"/>
      <c r="L803" s="5"/>
      <c r="M803" s="5"/>
      <c r="N803" s="5"/>
      <c r="O803" s="5"/>
      <c r="P803" s="5"/>
      <c r="Q803" s="5"/>
    </row>
    <row r="804" spans="1:17" ht="15.95" customHeight="1" x14ac:dyDescent="0.2">
      <c r="A804" s="38"/>
      <c r="B804" s="33"/>
      <c r="C804" s="34"/>
      <c r="D804" s="34"/>
      <c r="E804" s="34"/>
      <c r="F804" s="34"/>
      <c r="G804" s="34"/>
      <c r="H804" s="34"/>
      <c r="I804" s="33"/>
      <c r="J804" s="34"/>
      <c r="K804" s="70"/>
      <c r="L804" s="5"/>
      <c r="M804" s="5"/>
      <c r="N804" s="5"/>
      <c r="O804" s="5"/>
      <c r="P804" s="5"/>
      <c r="Q804" s="5"/>
    </row>
    <row r="805" spans="1:17" ht="15.95" customHeight="1" x14ac:dyDescent="0.2">
      <c r="A805" s="38"/>
      <c r="B805" s="33"/>
      <c r="C805" s="34"/>
      <c r="D805" s="34"/>
      <c r="E805" s="34"/>
      <c r="F805" s="34"/>
      <c r="G805" s="34"/>
      <c r="H805" s="34"/>
      <c r="I805" s="33"/>
      <c r="J805" s="34"/>
      <c r="K805" s="70"/>
      <c r="L805" s="5"/>
      <c r="M805" s="5"/>
      <c r="N805" s="5"/>
      <c r="O805" s="5"/>
      <c r="P805" s="5"/>
      <c r="Q805" s="5"/>
    </row>
    <row r="806" spans="1:17" ht="15.95" customHeight="1" x14ac:dyDescent="0.2">
      <c r="A806" s="38"/>
      <c r="B806" s="33"/>
      <c r="C806" s="34"/>
      <c r="D806" s="34"/>
      <c r="E806" s="34"/>
      <c r="F806" s="34"/>
      <c r="G806" s="34"/>
      <c r="H806" s="34"/>
      <c r="I806" s="33"/>
      <c r="J806" s="34"/>
      <c r="K806" s="70"/>
      <c r="L806" s="5"/>
      <c r="M806" s="5"/>
      <c r="N806" s="5"/>
      <c r="O806" s="5"/>
      <c r="P806" s="5"/>
      <c r="Q806" s="5"/>
    </row>
    <row r="807" spans="1:17" ht="15.95" customHeight="1" x14ac:dyDescent="0.2">
      <c r="A807" s="38"/>
      <c r="B807" s="33"/>
      <c r="C807" s="34"/>
      <c r="D807" s="34"/>
      <c r="E807" s="34"/>
      <c r="F807" s="34"/>
      <c r="G807" s="34"/>
      <c r="H807" s="34"/>
      <c r="I807" s="33"/>
      <c r="J807" s="34"/>
      <c r="K807" s="70"/>
      <c r="L807" s="5"/>
      <c r="M807" s="5"/>
      <c r="N807" s="5"/>
      <c r="O807" s="5"/>
      <c r="P807" s="5"/>
      <c r="Q807" s="5"/>
    </row>
    <row r="808" spans="1:17" ht="15.95" customHeight="1" x14ac:dyDescent="0.2">
      <c r="A808" s="38"/>
      <c r="B808" s="33"/>
      <c r="C808" s="34"/>
      <c r="D808" s="34"/>
      <c r="E808" s="34"/>
      <c r="F808" s="34"/>
      <c r="G808" s="34"/>
      <c r="H808" s="34"/>
      <c r="I808" s="33"/>
      <c r="J808" s="34"/>
      <c r="K808" s="70"/>
      <c r="L808" s="5"/>
      <c r="M808" s="5"/>
      <c r="N808" s="5"/>
      <c r="O808" s="5"/>
      <c r="P808" s="5"/>
      <c r="Q808" s="5"/>
    </row>
    <row r="809" spans="1:17" ht="15.95" customHeight="1" x14ac:dyDescent="0.2">
      <c r="A809" s="38"/>
      <c r="B809" s="33"/>
      <c r="C809" s="34"/>
      <c r="D809" s="34"/>
      <c r="E809" s="34"/>
      <c r="F809" s="34"/>
      <c r="G809" s="34"/>
      <c r="H809" s="34"/>
      <c r="I809" s="33"/>
      <c r="J809" s="34"/>
      <c r="K809" s="70"/>
      <c r="L809" s="5"/>
      <c r="M809" s="5"/>
      <c r="N809" s="5"/>
      <c r="O809" s="5"/>
      <c r="P809" s="5"/>
      <c r="Q809" s="5"/>
    </row>
    <row r="810" spans="1:17" ht="15.95" customHeight="1" x14ac:dyDescent="0.2">
      <c r="A810" s="38"/>
      <c r="B810" s="33"/>
      <c r="C810" s="34"/>
      <c r="D810" s="34"/>
      <c r="E810" s="34"/>
      <c r="F810" s="34"/>
      <c r="G810" s="34"/>
      <c r="H810" s="34"/>
      <c r="I810" s="33"/>
      <c r="J810" s="34"/>
      <c r="K810" s="70"/>
      <c r="L810" s="5"/>
      <c r="M810" s="5"/>
      <c r="N810" s="5"/>
      <c r="O810" s="5"/>
      <c r="P810" s="5"/>
      <c r="Q810" s="5"/>
    </row>
    <row r="811" spans="1:17" ht="15.95" customHeight="1" x14ac:dyDescent="0.2">
      <c r="A811" s="38"/>
      <c r="B811" s="33"/>
      <c r="C811" s="34"/>
      <c r="D811" s="34"/>
      <c r="E811" s="34"/>
      <c r="F811" s="34"/>
      <c r="G811" s="34"/>
      <c r="H811" s="34"/>
      <c r="I811" s="33"/>
      <c r="J811" s="34"/>
      <c r="K811" s="70"/>
      <c r="L811" s="5"/>
      <c r="M811" s="5"/>
      <c r="N811" s="5"/>
      <c r="O811" s="5"/>
      <c r="P811" s="5"/>
      <c r="Q811" s="5"/>
    </row>
    <row r="812" spans="1:17" ht="15.95" customHeight="1" x14ac:dyDescent="0.2">
      <c r="A812" s="38"/>
      <c r="B812" s="33"/>
      <c r="C812" s="34"/>
      <c r="D812" s="34"/>
      <c r="E812" s="34"/>
      <c r="F812" s="34"/>
      <c r="G812" s="34"/>
      <c r="H812" s="34"/>
      <c r="I812" s="33"/>
      <c r="J812" s="34"/>
      <c r="K812" s="70"/>
      <c r="L812" s="5"/>
      <c r="M812" s="5"/>
      <c r="N812" s="5"/>
      <c r="O812" s="5"/>
      <c r="P812" s="5"/>
      <c r="Q812" s="5"/>
    </row>
    <row r="813" spans="1:17" ht="15.95" customHeight="1" x14ac:dyDescent="0.2">
      <c r="A813" s="38"/>
      <c r="B813" s="33"/>
      <c r="C813" s="34"/>
      <c r="D813" s="34"/>
      <c r="E813" s="34"/>
      <c r="F813" s="34"/>
      <c r="G813" s="34"/>
      <c r="H813" s="34"/>
      <c r="I813" s="33"/>
      <c r="J813" s="34"/>
      <c r="K813" s="70"/>
      <c r="L813" s="5"/>
      <c r="M813" s="5"/>
      <c r="N813" s="5"/>
      <c r="O813" s="5"/>
      <c r="P813" s="5"/>
      <c r="Q813" s="5"/>
    </row>
    <row r="814" spans="1:17" ht="15.95" customHeight="1" x14ac:dyDescent="0.2">
      <c r="A814" s="38"/>
      <c r="B814" s="33"/>
      <c r="C814" s="34"/>
      <c r="D814" s="34"/>
      <c r="E814" s="34"/>
      <c r="F814" s="34"/>
      <c r="G814" s="34"/>
      <c r="H814" s="34"/>
      <c r="I814" s="33"/>
      <c r="J814" s="34"/>
      <c r="K814" s="70"/>
      <c r="L814" s="5"/>
      <c r="M814" s="5"/>
      <c r="N814" s="5"/>
      <c r="O814" s="5"/>
      <c r="P814" s="5"/>
      <c r="Q814" s="5"/>
    </row>
    <row r="815" spans="1:17" ht="15.95" customHeight="1" x14ac:dyDescent="0.2">
      <c r="A815" s="38"/>
      <c r="B815" s="33"/>
      <c r="C815" s="34"/>
      <c r="D815" s="34"/>
      <c r="E815" s="34"/>
      <c r="F815" s="34"/>
      <c r="G815" s="34"/>
      <c r="H815" s="34"/>
      <c r="I815" s="33"/>
      <c r="J815" s="34"/>
      <c r="K815" s="70"/>
      <c r="L815" s="5"/>
      <c r="M815" s="5"/>
      <c r="N815" s="5"/>
      <c r="O815" s="5"/>
      <c r="P815" s="5"/>
      <c r="Q815" s="5"/>
    </row>
    <row r="816" spans="1:17" ht="15.95" customHeight="1" x14ac:dyDescent="0.2">
      <c r="A816" s="38"/>
      <c r="B816" s="33"/>
      <c r="C816" s="34"/>
      <c r="D816" s="34"/>
      <c r="E816" s="34"/>
      <c r="F816" s="34"/>
      <c r="G816" s="34"/>
      <c r="H816" s="34"/>
      <c r="I816" s="33"/>
      <c r="J816" s="34"/>
      <c r="K816" s="70"/>
      <c r="L816" s="5"/>
      <c r="M816" s="5"/>
      <c r="N816" s="5"/>
      <c r="O816" s="5"/>
      <c r="P816" s="5"/>
      <c r="Q816" s="5"/>
    </row>
    <row r="817" spans="1:17" ht="15.95" customHeight="1" x14ac:dyDescent="0.2">
      <c r="A817" s="38"/>
      <c r="B817" s="33"/>
      <c r="C817" s="34"/>
      <c r="D817" s="34"/>
      <c r="E817" s="34"/>
      <c r="F817" s="34"/>
      <c r="G817" s="34"/>
      <c r="H817" s="34"/>
      <c r="I817" s="33"/>
      <c r="J817" s="34"/>
      <c r="K817" s="70"/>
      <c r="L817" s="5"/>
      <c r="M817" s="5"/>
      <c r="N817" s="5"/>
      <c r="O817" s="5"/>
      <c r="P817" s="5"/>
      <c r="Q817" s="5"/>
    </row>
    <row r="818" spans="1:17" ht="15.95" customHeight="1" x14ac:dyDescent="0.2">
      <c r="A818" s="38"/>
      <c r="B818" s="33"/>
      <c r="C818" s="34"/>
      <c r="D818" s="34"/>
      <c r="E818" s="34"/>
      <c r="F818" s="34"/>
      <c r="G818" s="34"/>
      <c r="H818" s="34"/>
      <c r="I818" s="33"/>
      <c r="J818" s="34"/>
      <c r="K818" s="70"/>
      <c r="L818" s="5"/>
      <c r="M818" s="5"/>
      <c r="N818" s="5"/>
      <c r="O818" s="5"/>
      <c r="P818" s="5"/>
      <c r="Q818" s="5"/>
    </row>
    <row r="819" spans="1:17" ht="15.95" customHeight="1" x14ac:dyDescent="0.2">
      <c r="A819" s="38"/>
      <c r="B819" s="33"/>
      <c r="C819" s="34"/>
      <c r="D819" s="34"/>
      <c r="E819" s="34"/>
      <c r="F819" s="34"/>
      <c r="G819" s="34"/>
      <c r="H819" s="34"/>
      <c r="I819" s="33"/>
      <c r="J819" s="34"/>
      <c r="K819" s="70"/>
      <c r="L819" s="5"/>
      <c r="M819" s="5"/>
      <c r="N819" s="5"/>
      <c r="O819" s="5"/>
      <c r="P819" s="5"/>
      <c r="Q819" s="5"/>
    </row>
    <row r="820" spans="1:17" ht="15.95" customHeight="1" x14ac:dyDescent="0.2">
      <c r="A820" s="38"/>
      <c r="B820" s="33"/>
      <c r="C820" s="34"/>
      <c r="D820" s="34"/>
      <c r="E820" s="34"/>
      <c r="F820" s="34"/>
      <c r="G820" s="34"/>
      <c r="H820" s="34"/>
      <c r="I820" s="33"/>
      <c r="J820" s="34"/>
      <c r="K820" s="70"/>
      <c r="L820" s="5"/>
      <c r="M820" s="5"/>
      <c r="N820" s="5"/>
      <c r="O820" s="5"/>
      <c r="P820" s="5"/>
      <c r="Q820" s="5"/>
    </row>
    <row r="821" spans="1:17" ht="15.95" customHeight="1" x14ac:dyDescent="0.2">
      <c r="A821" s="38"/>
      <c r="B821" s="33"/>
      <c r="C821" s="34"/>
      <c r="D821" s="34"/>
      <c r="E821" s="34"/>
      <c r="F821" s="34"/>
      <c r="G821" s="34"/>
      <c r="H821" s="34"/>
      <c r="I821" s="33"/>
      <c r="J821" s="34"/>
      <c r="K821" s="70"/>
      <c r="L821" s="5"/>
      <c r="M821" s="5"/>
      <c r="N821" s="5"/>
      <c r="O821" s="5"/>
      <c r="P821" s="5"/>
      <c r="Q821" s="5"/>
    </row>
    <row r="822" spans="1:17" ht="15.95" customHeight="1" x14ac:dyDescent="0.2">
      <c r="A822" s="38"/>
      <c r="B822" s="33"/>
      <c r="C822" s="34"/>
      <c r="D822" s="34"/>
      <c r="E822" s="34"/>
      <c r="F822" s="34"/>
      <c r="G822" s="34"/>
      <c r="H822" s="34"/>
      <c r="I822" s="33"/>
      <c r="J822" s="34"/>
      <c r="K822" s="70"/>
      <c r="L822" s="5"/>
      <c r="M822" s="5"/>
      <c r="N822" s="5"/>
      <c r="O822" s="5"/>
      <c r="P822" s="5"/>
      <c r="Q822" s="5"/>
    </row>
    <row r="823" spans="1:17" ht="15.95" customHeight="1" x14ac:dyDescent="0.2">
      <c r="A823" s="38"/>
      <c r="B823" s="33"/>
      <c r="C823" s="34"/>
      <c r="D823" s="34"/>
      <c r="E823" s="34"/>
      <c r="F823" s="34"/>
      <c r="G823" s="34"/>
      <c r="H823" s="34"/>
      <c r="I823" s="33"/>
      <c r="J823" s="34"/>
      <c r="K823" s="70"/>
      <c r="L823" s="5"/>
      <c r="M823" s="5"/>
      <c r="N823" s="5"/>
      <c r="O823" s="5"/>
      <c r="P823" s="5"/>
      <c r="Q823" s="5"/>
    </row>
    <row r="824" spans="1:17" ht="15.95" customHeight="1" x14ac:dyDescent="0.2">
      <c r="A824" s="38"/>
      <c r="B824" s="33"/>
      <c r="C824" s="34"/>
      <c r="D824" s="34"/>
      <c r="E824" s="34"/>
      <c r="F824" s="34"/>
      <c r="G824" s="34"/>
      <c r="H824" s="34"/>
      <c r="I824" s="33"/>
      <c r="J824" s="34"/>
      <c r="K824" s="70"/>
      <c r="L824" s="5"/>
      <c r="M824" s="5"/>
      <c r="N824" s="5"/>
      <c r="O824" s="5"/>
      <c r="P824" s="5"/>
      <c r="Q824" s="5"/>
    </row>
    <row r="825" spans="1:17" ht="15.95" customHeight="1" x14ac:dyDescent="0.2">
      <c r="A825" s="38"/>
      <c r="B825" s="33"/>
      <c r="C825" s="34"/>
      <c r="D825" s="34"/>
      <c r="E825" s="34"/>
      <c r="F825" s="34"/>
      <c r="G825" s="34"/>
      <c r="H825" s="34"/>
      <c r="I825" s="33"/>
      <c r="J825" s="34"/>
      <c r="K825" s="70"/>
      <c r="L825" s="5"/>
      <c r="M825" s="5"/>
      <c r="N825" s="5"/>
      <c r="O825" s="5"/>
      <c r="P825" s="5"/>
      <c r="Q825" s="5"/>
    </row>
    <row r="826" spans="1:17" ht="15.95" customHeight="1" x14ac:dyDescent="0.2">
      <c r="A826" s="38"/>
      <c r="B826" s="33"/>
      <c r="C826" s="34"/>
      <c r="D826" s="34"/>
      <c r="E826" s="34"/>
      <c r="F826" s="34"/>
      <c r="G826" s="34"/>
      <c r="H826" s="34"/>
      <c r="I826" s="33"/>
      <c r="J826" s="34"/>
      <c r="K826" s="70"/>
      <c r="L826" s="5"/>
      <c r="M826" s="5"/>
      <c r="N826" s="5"/>
      <c r="O826" s="5"/>
      <c r="P826" s="5"/>
      <c r="Q826" s="5"/>
    </row>
    <row r="827" spans="1:17" ht="15.95" customHeight="1" x14ac:dyDescent="0.2">
      <c r="A827" s="38"/>
      <c r="B827" s="33"/>
      <c r="C827" s="34"/>
      <c r="D827" s="34"/>
      <c r="E827" s="34"/>
      <c r="F827" s="34"/>
      <c r="G827" s="34"/>
      <c r="H827" s="34"/>
      <c r="I827" s="33"/>
      <c r="J827" s="34"/>
      <c r="K827" s="70"/>
      <c r="L827" s="5"/>
      <c r="M827" s="5"/>
      <c r="N827" s="5"/>
      <c r="O827" s="5"/>
      <c r="P827" s="5"/>
      <c r="Q827" s="5"/>
    </row>
    <row r="828" spans="1:17" ht="15.95" customHeight="1" x14ac:dyDescent="0.2">
      <c r="A828" s="38"/>
      <c r="B828" s="33"/>
      <c r="C828" s="34"/>
      <c r="D828" s="34"/>
      <c r="E828" s="34"/>
      <c r="F828" s="34"/>
      <c r="G828" s="34"/>
      <c r="H828" s="34"/>
      <c r="I828" s="33"/>
      <c r="J828" s="34"/>
      <c r="K828" s="70"/>
      <c r="L828" s="5"/>
      <c r="M828" s="5"/>
      <c r="N828" s="5"/>
      <c r="O828" s="5"/>
      <c r="P828" s="5"/>
      <c r="Q828" s="5"/>
    </row>
    <row r="829" spans="1:17" ht="15.95" customHeight="1" x14ac:dyDescent="0.2">
      <c r="A829" s="38"/>
      <c r="B829" s="33"/>
      <c r="C829" s="34"/>
      <c r="D829" s="34"/>
      <c r="E829" s="34"/>
      <c r="F829" s="34"/>
      <c r="G829" s="34"/>
      <c r="H829" s="34"/>
      <c r="I829" s="33"/>
      <c r="J829" s="34"/>
      <c r="K829" s="70"/>
      <c r="L829" s="5"/>
      <c r="M829" s="5"/>
      <c r="N829" s="5"/>
      <c r="O829" s="5"/>
      <c r="P829" s="5"/>
      <c r="Q829" s="5"/>
    </row>
    <row r="830" spans="1:17" ht="15.95" customHeight="1" x14ac:dyDescent="0.2">
      <c r="A830" s="38"/>
      <c r="B830" s="33"/>
      <c r="C830" s="34"/>
      <c r="D830" s="34"/>
      <c r="E830" s="34"/>
      <c r="F830" s="34"/>
      <c r="G830" s="34"/>
      <c r="H830" s="34"/>
      <c r="I830" s="33"/>
      <c r="J830" s="34"/>
      <c r="K830" s="70"/>
      <c r="L830" s="5"/>
      <c r="M830" s="5"/>
      <c r="N830" s="5"/>
      <c r="O830" s="5"/>
      <c r="P830" s="5"/>
      <c r="Q830" s="5"/>
    </row>
    <row r="831" spans="1:17" ht="15.95" customHeight="1" x14ac:dyDescent="0.2">
      <c r="A831" s="38"/>
      <c r="B831" s="33"/>
      <c r="C831" s="34"/>
      <c r="D831" s="34"/>
      <c r="E831" s="34"/>
      <c r="F831" s="34"/>
      <c r="G831" s="34"/>
      <c r="H831" s="34"/>
      <c r="I831" s="33"/>
      <c r="J831" s="34"/>
      <c r="K831" s="70"/>
      <c r="L831" s="5"/>
      <c r="M831" s="5"/>
      <c r="N831" s="5"/>
      <c r="O831" s="5"/>
      <c r="P831" s="5"/>
      <c r="Q831" s="5"/>
    </row>
    <row r="832" spans="1:17" ht="15.95" customHeight="1" x14ac:dyDescent="0.2">
      <c r="A832" s="38"/>
      <c r="B832" s="33"/>
      <c r="C832" s="34"/>
      <c r="D832" s="34"/>
      <c r="E832" s="34"/>
      <c r="F832" s="34"/>
      <c r="G832" s="34"/>
      <c r="H832" s="34"/>
      <c r="I832" s="33"/>
      <c r="J832" s="34"/>
      <c r="K832" s="70"/>
      <c r="L832" s="5"/>
      <c r="M832" s="5"/>
      <c r="N832" s="5"/>
      <c r="O832" s="5"/>
      <c r="P832" s="5"/>
      <c r="Q832" s="5"/>
    </row>
    <row r="833" spans="1:17" ht="15.95" customHeight="1" x14ac:dyDescent="0.2">
      <c r="A833" s="38"/>
      <c r="B833" s="33"/>
      <c r="C833" s="34"/>
      <c r="D833" s="34"/>
      <c r="E833" s="34"/>
      <c r="F833" s="34"/>
      <c r="G833" s="34"/>
      <c r="H833" s="34"/>
      <c r="I833" s="33"/>
      <c r="J833" s="34"/>
      <c r="K833" s="70"/>
      <c r="L833" s="5"/>
      <c r="M833" s="5"/>
      <c r="N833" s="5"/>
      <c r="O833" s="5"/>
      <c r="P833" s="5"/>
      <c r="Q833" s="5"/>
    </row>
    <row r="834" spans="1:17" ht="15.95" customHeight="1" x14ac:dyDescent="0.2">
      <c r="A834" s="38"/>
      <c r="B834" s="33"/>
      <c r="C834" s="34"/>
      <c r="D834" s="34"/>
      <c r="E834" s="34"/>
      <c r="F834" s="34"/>
      <c r="G834" s="34"/>
      <c r="H834" s="34"/>
      <c r="I834" s="33"/>
      <c r="J834" s="34"/>
      <c r="K834" s="70"/>
      <c r="L834" s="5"/>
      <c r="M834" s="5"/>
      <c r="N834" s="5"/>
      <c r="O834" s="5"/>
      <c r="P834" s="5"/>
      <c r="Q834" s="5"/>
    </row>
    <row r="835" spans="1:17" ht="15.95" customHeight="1" x14ac:dyDescent="0.2">
      <c r="A835" s="38"/>
      <c r="B835" s="33"/>
      <c r="C835" s="34"/>
      <c r="D835" s="34"/>
      <c r="E835" s="34"/>
      <c r="F835" s="34"/>
      <c r="G835" s="34"/>
      <c r="H835" s="34"/>
      <c r="I835" s="33"/>
      <c r="J835" s="34"/>
      <c r="K835" s="70"/>
      <c r="L835" s="5"/>
      <c r="M835" s="5"/>
      <c r="N835" s="5"/>
      <c r="O835" s="5"/>
      <c r="P835" s="5"/>
      <c r="Q835" s="5"/>
    </row>
    <row r="836" spans="1:17" ht="15.95" customHeight="1" x14ac:dyDescent="0.2">
      <c r="A836" s="38"/>
      <c r="B836" s="33"/>
      <c r="C836" s="34"/>
      <c r="D836" s="34"/>
      <c r="E836" s="34"/>
      <c r="F836" s="34"/>
      <c r="G836" s="34"/>
      <c r="H836" s="34"/>
      <c r="I836" s="33"/>
      <c r="J836" s="34"/>
      <c r="K836" s="70"/>
      <c r="L836" s="5"/>
      <c r="M836" s="5"/>
      <c r="N836" s="5"/>
      <c r="O836" s="5"/>
      <c r="P836" s="5"/>
      <c r="Q836" s="5"/>
    </row>
    <row r="837" spans="1:17" ht="15.95" customHeight="1" x14ac:dyDescent="0.2">
      <c r="A837" s="38"/>
      <c r="B837" s="33"/>
      <c r="C837" s="34"/>
      <c r="D837" s="34"/>
      <c r="E837" s="34"/>
      <c r="F837" s="34"/>
      <c r="G837" s="34"/>
      <c r="H837" s="34"/>
      <c r="I837" s="33"/>
      <c r="J837" s="34"/>
      <c r="K837" s="70"/>
      <c r="L837" s="5"/>
      <c r="M837" s="5"/>
      <c r="N837" s="5"/>
      <c r="O837" s="5"/>
      <c r="P837" s="5"/>
      <c r="Q837" s="5"/>
    </row>
    <row r="838" spans="1:17" ht="15.95" customHeight="1" x14ac:dyDescent="0.2">
      <c r="A838" s="38"/>
      <c r="B838" s="33"/>
      <c r="C838" s="34"/>
      <c r="D838" s="34"/>
      <c r="E838" s="34"/>
      <c r="F838" s="34"/>
      <c r="G838" s="34"/>
      <c r="H838" s="34"/>
      <c r="I838" s="33"/>
      <c r="J838" s="34"/>
      <c r="K838" s="70"/>
      <c r="L838" s="5"/>
      <c r="M838" s="5"/>
      <c r="N838" s="5"/>
      <c r="O838" s="5"/>
      <c r="P838" s="5"/>
      <c r="Q838" s="5"/>
    </row>
    <row r="839" spans="1:17" ht="15.95" customHeight="1" x14ac:dyDescent="0.2">
      <c r="A839" s="38"/>
      <c r="B839" s="33"/>
      <c r="C839" s="34"/>
      <c r="D839" s="34"/>
      <c r="E839" s="34"/>
      <c r="F839" s="34"/>
      <c r="G839" s="34"/>
      <c r="H839" s="34"/>
      <c r="I839" s="33"/>
      <c r="J839" s="34"/>
      <c r="K839" s="70"/>
      <c r="L839" s="5"/>
      <c r="M839" s="5"/>
      <c r="N839" s="5"/>
      <c r="O839" s="5"/>
      <c r="P839" s="5"/>
      <c r="Q839" s="5"/>
    </row>
    <row r="840" spans="1:17" ht="15.95" customHeight="1" x14ac:dyDescent="0.2">
      <c r="A840" s="38"/>
      <c r="B840" s="33"/>
      <c r="C840" s="34"/>
      <c r="D840" s="34"/>
      <c r="E840" s="34"/>
      <c r="F840" s="34"/>
      <c r="G840" s="34"/>
      <c r="H840" s="34"/>
      <c r="I840" s="33"/>
      <c r="J840" s="34"/>
      <c r="K840" s="70"/>
      <c r="L840" s="5"/>
      <c r="M840" s="5"/>
      <c r="N840" s="5"/>
      <c r="O840" s="5"/>
      <c r="P840" s="5"/>
      <c r="Q840" s="5"/>
    </row>
    <row r="841" spans="1:17" ht="15.95" customHeight="1" x14ac:dyDescent="0.2">
      <c r="A841" s="38"/>
      <c r="B841" s="33"/>
      <c r="C841" s="34"/>
      <c r="D841" s="34"/>
      <c r="E841" s="34"/>
      <c r="F841" s="34"/>
      <c r="G841" s="34"/>
      <c r="H841" s="34"/>
      <c r="I841" s="33"/>
      <c r="J841" s="34"/>
      <c r="K841" s="70"/>
      <c r="L841" s="5"/>
      <c r="M841" s="5"/>
      <c r="N841" s="5"/>
      <c r="O841" s="5"/>
      <c r="P841" s="5"/>
      <c r="Q841" s="5"/>
    </row>
    <row r="842" spans="1:17" ht="15.95" customHeight="1" x14ac:dyDescent="0.2">
      <c r="A842" s="38"/>
      <c r="B842" s="33"/>
      <c r="C842" s="34"/>
      <c r="D842" s="34"/>
      <c r="E842" s="34"/>
      <c r="F842" s="34"/>
      <c r="G842" s="34"/>
      <c r="H842" s="34"/>
      <c r="I842" s="33"/>
      <c r="J842" s="34"/>
      <c r="K842" s="70"/>
      <c r="L842" s="5"/>
      <c r="M842" s="5"/>
      <c r="N842" s="5"/>
      <c r="O842" s="5"/>
      <c r="P842" s="5"/>
      <c r="Q842" s="5"/>
    </row>
    <row r="843" spans="1:17" ht="15.95" customHeight="1" x14ac:dyDescent="0.2">
      <c r="A843" s="38"/>
      <c r="B843" s="33"/>
      <c r="C843" s="34"/>
      <c r="D843" s="34"/>
      <c r="E843" s="34"/>
      <c r="F843" s="34"/>
      <c r="G843" s="34"/>
      <c r="H843" s="34"/>
      <c r="I843" s="33"/>
      <c r="J843" s="34"/>
      <c r="K843" s="70"/>
      <c r="L843" s="5"/>
      <c r="M843" s="5"/>
      <c r="N843" s="5"/>
      <c r="O843" s="5"/>
      <c r="P843" s="5"/>
      <c r="Q843" s="5"/>
    </row>
    <row r="844" spans="1:17" ht="15.95" customHeight="1" x14ac:dyDescent="0.2">
      <c r="A844" s="38"/>
      <c r="B844" s="33"/>
      <c r="C844" s="34"/>
      <c r="D844" s="34"/>
      <c r="E844" s="34"/>
      <c r="F844" s="34"/>
      <c r="G844" s="34"/>
      <c r="H844" s="34"/>
      <c r="I844" s="33"/>
      <c r="J844" s="34"/>
      <c r="K844" s="70"/>
      <c r="L844" s="5"/>
      <c r="M844" s="5"/>
      <c r="N844" s="5"/>
      <c r="O844" s="5"/>
      <c r="P844" s="5"/>
      <c r="Q844" s="5"/>
    </row>
    <row r="845" spans="1:17" ht="15.95" customHeight="1" x14ac:dyDescent="0.2">
      <c r="A845" s="38"/>
      <c r="B845" s="33"/>
      <c r="C845" s="34"/>
      <c r="D845" s="34"/>
      <c r="E845" s="34"/>
      <c r="F845" s="34"/>
      <c r="G845" s="34"/>
      <c r="H845" s="34"/>
      <c r="I845" s="33"/>
      <c r="J845" s="34"/>
      <c r="K845" s="70"/>
      <c r="L845" s="5"/>
      <c r="M845" s="5"/>
      <c r="N845" s="5"/>
      <c r="O845" s="5"/>
      <c r="P845" s="5"/>
      <c r="Q845" s="5"/>
    </row>
    <row r="846" spans="1:17" ht="15.95" customHeight="1" x14ac:dyDescent="0.2">
      <c r="A846" s="38"/>
      <c r="B846" s="33"/>
      <c r="C846" s="34"/>
      <c r="D846" s="34"/>
      <c r="E846" s="34"/>
      <c r="F846" s="34"/>
      <c r="G846" s="34"/>
      <c r="H846" s="34"/>
      <c r="I846" s="33"/>
      <c r="J846" s="34"/>
      <c r="K846" s="70"/>
      <c r="L846" s="5"/>
      <c r="M846" s="5"/>
      <c r="N846" s="5"/>
      <c r="O846" s="5"/>
      <c r="P846" s="5"/>
      <c r="Q846" s="5"/>
    </row>
    <row r="847" spans="1:17" ht="15.95" customHeight="1" x14ac:dyDescent="0.2">
      <c r="A847" s="38"/>
      <c r="B847" s="33"/>
      <c r="C847" s="34"/>
      <c r="D847" s="34"/>
      <c r="E847" s="34"/>
      <c r="F847" s="34"/>
      <c r="G847" s="34"/>
      <c r="H847" s="34"/>
      <c r="I847" s="33"/>
      <c r="J847" s="34"/>
      <c r="K847" s="70"/>
      <c r="L847" s="5"/>
      <c r="M847" s="5"/>
      <c r="N847" s="5"/>
      <c r="O847" s="5"/>
      <c r="P847" s="5"/>
      <c r="Q847" s="5"/>
    </row>
    <row r="848" spans="1:17" ht="15.95" customHeight="1" x14ac:dyDescent="0.2">
      <c r="A848" s="38"/>
      <c r="B848" s="33"/>
      <c r="C848" s="34"/>
      <c r="D848" s="34"/>
      <c r="E848" s="34"/>
      <c r="F848" s="34"/>
      <c r="G848" s="34"/>
      <c r="H848" s="34"/>
      <c r="I848" s="33"/>
      <c r="J848" s="34"/>
      <c r="K848" s="70"/>
      <c r="L848" s="5"/>
      <c r="M848" s="5"/>
      <c r="N848" s="5"/>
      <c r="O848" s="5"/>
      <c r="P848" s="5"/>
      <c r="Q848" s="5"/>
    </row>
    <row r="849" spans="1:17" ht="15.95" customHeight="1" x14ac:dyDescent="0.2">
      <c r="A849" s="38"/>
      <c r="B849" s="33"/>
      <c r="C849" s="34"/>
      <c r="D849" s="34"/>
      <c r="E849" s="34"/>
      <c r="F849" s="34"/>
      <c r="G849" s="34"/>
      <c r="H849" s="34"/>
      <c r="I849" s="33"/>
      <c r="J849" s="34"/>
      <c r="K849" s="70"/>
      <c r="L849" s="5"/>
      <c r="M849" s="5"/>
      <c r="N849" s="5"/>
      <c r="O849" s="5"/>
      <c r="P849" s="5"/>
      <c r="Q849" s="5"/>
    </row>
    <row r="850" spans="1:17" ht="15.95" customHeight="1" x14ac:dyDescent="0.2">
      <c r="A850" s="38"/>
      <c r="B850" s="33"/>
      <c r="C850" s="34"/>
      <c r="D850" s="34"/>
      <c r="E850" s="34"/>
      <c r="F850" s="34"/>
      <c r="G850" s="34"/>
      <c r="H850" s="34"/>
      <c r="I850" s="33"/>
      <c r="J850" s="34"/>
      <c r="K850" s="70"/>
      <c r="L850" s="5"/>
      <c r="M850" s="5"/>
      <c r="N850" s="5"/>
      <c r="O850" s="5"/>
      <c r="P850" s="5"/>
      <c r="Q850" s="5"/>
    </row>
    <row r="851" spans="1:17" ht="15.95" customHeight="1" x14ac:dyDescent="0.2">
      <c r="A851" s="38"/>
      <c r="B851" s="33"/>
      <c r="C851" s="34"/>
      <c r="D851" s="34"/>
      <c r="E851" s="34"/>
      <c r="F851" s="34"/>
      <c r="G851" s="34"/>
      <c r="H851" s="34"/>
      <c r="I851" s="33"/>
      <c r="J851" s="34"/>
      <c r="K851" s="70"/>
      <c r="L851" s="5"/>
      <c r="M851" s="5"/>
      <c r="N851" s="5"/>
      <c r="O851" s="5"/>
      <c r="P851" s="5"/>
      <c r="Q851" s="5"/>
    </row>
    <row r="852" spans="1:17" ht="15.95" customHeight="1" x14ac:dyDescent="0.2">
      <c r="A852" s="38"/>
      <c r="B852" s="33"/>
      <c r="C852" s="34"/>
      <c r="D852" s="34"/>
      <c r="E852" s="34"/>
      <c r="F852" s="34"/>
      <c r="G852" s="34"/>
      <c r="H852" s="34"/>
      <c r="I852" s="33"/>
      <c r="J852" s="34"/>
      <c r="K852" s="70"/>
      <c r="L852" s="5"/>
      <c r="M852" s="5"/>
      <c r="N852" s="5"/>
      <c r="O852" s="5"/>
      <c r="P852" s="5"/>
      <c r="Q852" s="5"/>
    </row>
    <row r="853" spans="1:17" ht="15.95" customHeight="1" x14ac:dyDescent="0.2">
      <c r="A853" s="38"/>
      <c r="B853" s="33"/>
      <c r="C853" s="34"/>
      <c r="D853" s="34"/>
      <c r="E853" s="34"/>
      <c r="F853" s="34"/>
      <c r="G853" s="34"/>
      <c r="H853" s="34"/>
      <c r="I853" s="33"/>
      <c r="J853" s="34"/>
      <c r="K853" s="70"/>
      <c r="L853" s="5"/>
      <c r="M853" s="5"/>
      <c r="N853" s="5"/>
      <c r="O853" s="5"/>
      <c r="P853" s="5"/>
      <c r="Q853" s="5"/>
    </row>
    <row r="854" spans="1:17" ht="15.95" customHeight="1" x14ac:dyDescent="0.2">
      <c r="A854" s="38"/>
      <c r="B854" s="33"/>
      <c r="C854" s="34"/>
      <c r="D854" s="34"/>
      <c r="E854" s="34"/>
      <c r="F854" s="34"/>
      <c r="G854" s="34"/>
      <c r="H854" s="34"/>
      <c r="I854" s="33"/>
      <c r="J854" s="34"/>
      <c r="K854" s="70"/>
      <c r="L854" s="5"/>
      <c r="M854" s="5"/>
      <c r="N854" s="5"/>
      <c r="O854" s="5"/>
      <c r="P854" s="5"/>
      <c r="Q854" s="5"/>
    </row>
    <row r="855" spans="1:17" ht="15.95" customHeight="1" x14ac:dyDescent="0.2">
      <c r="A855" s="38"/>
      <c r="B855" s="33"/>
      <c r="C855" s="34"/>
      <c r="D855" s="34"/>
      <c r="E855" s="34"/>
      <c r="F855" s="34"/>
      <c r="G855" s="34"/>
      <c r="H855" s="34"/>
      <c r="I855" s="33"/>
      <c r="J855" s="34"/>
      <c r="K855" s="70"/>
      <c r="L855" s="5"/>
      <c r="M855" s="5"/>
      <c r="N855" s="5"/>
      <c r="O855" s="5"/>
      <c r="P855" s="5"/>
      <c r="Q855" s="5"/>
    </row>
    <row r="856" spans="1:17" ht="15.95" customHeight="1" x14ac:dyDescent="0.2">
      <c r="A856" s="38"/>
      <c r="B856" s="33"/>
      <c r="C856" s="34"/>
      <c r="D856" s="34"/>
      <c r="E856" s="34"/>
      <c r="F856" s="34"/>
      <c r="G856" s="34"/>
      <c r="H856" s="34"/>
      <c r="I856" s="33"/>
      <c r="J856" s="34"/>
      <c r="K856" s="70"/>
      <c r="L856" s="5"/>
      <c r="M856" s="5"/>
      <c r="N856" s="5"/>
      <c r="O856" s="5"/>
      <c r="P856" s="5"/>
      <c r="Q856" s="5"/>
    </row>
    <row r="857" spans="1:17" ht="15.95" customHeight="1" x14ac:dyDescent="0.2">
      <c r="A857" s="38"/>
      <c r="B857" s="33"/>
      <c r="C857" s="34"/>
      <c r="D857" s="34"/>
      <c r="E857" s="34"/>
      <c r="F857" s="34"/>
      <c r="G857" s="34"/>
      <c r="H857" s="34"/>
      <c r="I857" s="33"/>
      <c r="J857" s="34"/>
      <c r="K857" s="70"/>
      <c r="L857" s="5"/>
      <c r="M857" s="5"/>
      <c r="N857" s="5"/>
      <c r="O857" s="5"/>
      <c r="P857" s="5"/>
      <c r="Q857" s="5"/>
    </row>
    <row r="858" spans="1:17" ht="15.95" customHeight="1" x14ac:dyDescent="0.2">
      <c r="A858" s="38"/>
      <c r="B858" s="33"/>
      <c r="C858" s="34"/>
      <c r="D858" s="34"/>
      <c r="E858" s="34"/>
      <c r="F858" s="34"/>
      <c r="G858" s="34"/>
      <c r="H858" s="34"/>
      <c r="I858" s="33"/>
      <c r="J858" s="34"/>
      <c r="K858" s="70"/>
      <c r="L858" s="5"/>
      <c r="M858" s="5"/>
      <c r="N858" s="5"/>
      <c r="O858" s="5"/>
      <c r="P858" s="5"/>
      <c r="Q858" s="5"/>
    </row>
    <row r="859" spans="1:17" ht="15.95" customHeight="1" x14ac:dyDescent="0.2">
      <c r="A859" s="38"/>
      <c r="B859" s="33"/>
      <c r="C859" s="34"/>
      <c r="D859" s="34"/>
      <c r="E859" s="34"/>
      <c r="F859" s="34"/>
      <c r="G859" s="34"/>
      <c r="H859" s="34"/>
      <c r="I859" s="33"/>
      <c r="J859" s="34"/>
      <c r="K859" s="70"/>
      <c r="L859" s="5"/>
      <c r="M859" s="5"/>
      <c r="N859" s="5"/>
      <c r="O859" s="5"/>
      <c r="P859" s="5"/>
      <c r="Q859" s="5"/>
    </row>
    <row r="860" spans="1:17" ht="15.95" customHeight="1" x14ac:dyDescent="0.2">
      <c r="A860" s="38"/>
      <c r="B860" s="33"/>
      <c r="C860" s="34"/>
      <c r="D860" s="34"/>
      <c r="E860" s="34"/>
      <c r="F860" s="34"/>
      <c r="G860" s="34"/>
      <c r="H860" s="34"/>
      <c r="I860" s="33"/>
      <c r="J860" s="34"/>
      <c r="K860" s="70"/>
      <c r="L860" s="5"/>
      <c r="M860" s="5"/>
      <c r="N860" s="5"/>
      <c r="O860" s="5"/>
      <c r="P860" s="5"/>
      <c r="Q860" s="5"/>
    </row>
    <row r="861" spans="1:17" ht="15.95" customHeight="1" x14ac:dyDescent="0.2">
      <c r="A861" s="38"/>
      <c r="B861" s="33"/>
      <c r="C861" s="34"/>
      <c r="D861" s="34"/>
      <c r="E861" s="34"/>
      <c r="F861" s="34"/>
      <c r="G861" s="34"/>
      <c r="H861" s="34"/>
      <c r="I861" s="33"/>
      <c r="J861" s="34"/>
      <c r="K861" s="70"/>
      <c r="L861" s="5"/>
      <c r="M861" s="5"/>
      <c r="N861" s="5"/>
      <c r="O861" s="5"/>
      <c r="P861" s="5"/>
      <c r="Q861" s="5"/>
    </row>
    <row r="862" spans="1:17" ht="15.95" customHeight="1" x14ac:dyDescent="0.2">
      <c r="A862" s="38"/>
      <c r="B862" s="33"/>
      <c r="C862" s="34"/>
      <c r="D862" s="34"/>
      <c r="E862" s="34"/>
      <c r="F862" s="34"/>
      <c r="G862" s="34"/>
      <c r="H862" s="34"/>
      <c r="I862" s="33"/>
      <c r="J862" s="34"/>
      <c r="K862" s="70"/>
      <c r="L862" s="5"/>
      <c r="M862" s="5"/>
      <c r="N862" s="5"/>
      <c r="O862" s="5"/>
      <c r="P862" s="5"/>
      <c r="Q862" s="5"/>
    </row>
    <row r="863" spans="1:17" ht="15.95" customHeight="1" x14ac:dyDescent="0.2">
      <c r="A863" s="38"/>
      <c r="B863" s="33"/>
      <c r="C863" s="34"/>
      <c r="D863" s="34"/>
      <c r="E863" s="34"/>
      <c r="F863" s="34"/>
      <c r="G863" s="34"/>
      <c r="H863" s="34"/>
      <c r="I863" s="33"/>
      <c r="J863" s="34"/>
      <c r="K863" s="70"/>
      <c r="L863" s="5"/>
      <c r="M863" s="5"/>
      <c r="N863" s="5"/>
      <c r="O863" s="5"/>
      <c r="P863" s="5"/>
      <c r="Q863" s="5"/>
    </row>
    <row r="864" spans="1:17" ht="15.95" customHeight="1" x14ac:dyDescent="0.2">
      <c r="A864" s="38"/>
      <c r="B864" s="33"/>
      <c r="C864" s="34"/>
      <c r="D864" s="34"/>
      <c r="E864" s="34"/>
      <c r="F864" s="34"/>
      <c r="G864" s="34"/>
      <c r="H864" s="34"/>
      <c r="I864" s="33"/>
      <c r="J864" s="34"/>
      <c r="K864" s="70"/>
      <c r="L864" s="5"/>
      <c r="M864" s="5"/>
      <c r="N864" s="5"/>
      <c r="O864" s="5"/>
      <c r="P864" s="5"/>
      <c r="Q864" s="5"/>
    </row>
    <row r="865" spans="1:17" ht="15.95" customHeight="1" x14ac:dyDescent="0.2">
      <c r="A865" s="38"/>
      <c r="B865" s="33"/>
      <c r="C865" s="34"/>
      <c r="D865" s="34"/>
      <c r="E865" s="34"/>
      <c r="F865" s="34"/>
      <c r="G865" s="34"/>
      <c r="H865" s="34"/>
      <c r="I865" s="33"/>
      <c r="J865" s="34"/>
      <c r="K865" s="70"/>
      <c r="L865" s="5"/>
      <c r="M865" s="5"/>
      <c r="N865" s="5"/>
      <c r="O865" s="5"/>
      <c r="P865" s="5"/>
      <c r="Q865" s="5"/>
    </row>
    <row r="866" spans="1:17" ht="15.95" customHeight="1" x14ac:dyDescent="0.2">
      <c r="A866" s="38"/>
      <c r="B866" s="33"/>
      <c r="C866" s="34"/>
      <c r="D866" s="34"/>
      <c r="E866" s="34"/>
      <c r="F866" s="34"/>
      <c r="G866" s="34"/>
      <c r="H866" s="34"/>
      <c r="I866" s="33"/>
      <c r="J866" s="34"/>
      <c r="K866" s="70"/>
      <c r="L866" s="5"/>
      <c r="M866" s="5"/>
      <c r="N866" s="5"/>
      <c r="O866" s="5"/>
      <c r="P866" s="5"/>
      <c r="Q866" s="5"/>
    </row>
    <row r="867" spans="1:17" ht="15.95" customHeight="1" x14ac:dyDescent="0.2">
      <c r="A867" s="38"/>
      <c r="B867" s="33"/>
      <c r="C867" s="34"/>
      <c r="D867" s="34"/>
      <c r="E867" s="34"/>
      <c r="F867" s="34"/>
      <c r="G867" s="34"/>
      <c r="H867" s="34"/>
      <c r="I867" s="33"/>
      <c r="J867" s="34"/>
      <c r="K867" s="70"/>
      <c r="L867" s="5"/>
      <c r="M867" s="5"/>
      <c r="N867" s="5"/>
      <c r="O867" s="5"/>
      <c r="P867" s="5"/>
      <c r="Q867" s="5"/>
    </row>
    <row r="868" spans="1:17" ht="15.95" customHeight="1" x14ac:dyDescent="0.2">
      <c r="A868" s="38"/>
      <c r="B868" s="33"/>
      <c r="C868" s="34"/>
      <c r="D868" s="34"/>
      <c r="E868" s="34"/>
      <c r="F868" s="34"/>
      <c r="G868" s="34"/>
      <c r="H868" s="34"/>
      <c r="I868" s="33"/>
      <c r="J868" s="34"/>
      <c r="K868" s="70"/>
      <c r="L868" s="5"/>
      <c r="M868" s="5"/>
      <c r="N868" s="5"/>
      <c r="O868" s="5"/>
      <c r="P868" s="5"/>
      <c r="Q868" s="5"/>
    </row>
    <row r="869" spans="1:17" ht="15.95" customHeight="1" x14ac:dyDescent="0.2">
      <c r="A869" s="38"/>
      <c r="B869" s="33"/>
      <c r="C869" s="34"/>
      <c r="D869" s="34"/>
      <c r="E869" s="34"/>
      <c r="F869" s="34"/>
      <c r="G869" s="34"/>
      <c r="H869" s="34"/>
      <c r="I869" s="33"/>
      <c r="J869" s="34"/>
      <c r="K869" s="70"/>
      <c r="L869" s="5"/>
      <c r="M869" s="5"/>
      <c r="N869" s="5"/>
      <c r="O869" s="5"/>
      <c r="P869" s="5"/>
      <c r="Q869" s="5"/>
    </row>
    <row r="870" spans="1:17" ht="15.95" customHeight="1" x14ac:dyDescent="0.2">
      <c r="A870" s="38"/>
      <c r="B870" s="33"/>
      <c r="C870" s="34"/>
      <c r="D870" s="34"/>
      <c r="E870" s="34"/>
      <c r="F870" s="34"/>
      <c r="G870" s="34"/>
      <c r="H870" s="34"/>
      <c r="I870" s="33"/>
      <c r="J870" s="34"/>
      <c r="K870" s="70"/>
      <c r="L870" s="5"/>
      <c r="M870" s="5"/>
      <c r="N870" s="5"/>
      <c r="O870" s="5"/>
      <c r="P870" s="5"/>
      <c r="Q870" s="5"/>
    </row>
    <row r="871" spans="1:17" ht="15.95" customHeight="1" x14ac:dyDescent="0.2">
      <c r="A871" s="38"/>
      <c r="B871" s="33"/>
      <c r="C871" s="34"/>
      <c r="D871" s="34"/>
      <c r="E871" s="34"/>
      <c r="F871" s="34"/>
      <c r="G871" s="34"/>
      <c r="H871" s="34"/>
      <c r="I871" s="33"/>
      <c r="J871" s="34"/>
      <c r="K871" s="70"/>
      <c r="L871" s="5"/>
      <c r="M871" s="5"/>
      <c r="N871" s="5"/>
      <c r="O871" s="5"/>
      <c r="P871" s="5"/>
      <c r="Q871" s="5"/>
    </row>
    <row r="872" spans="1:17" ht="15.95" customHeight="1" x14ac:dyDescent="0.2">
      <c r="A872" s="38"/>
      <c r="B872" s="33"/>
      <c r="C872" s="34"/>
      <c r="D872" s="34"/>
      <c r="E872" s="34"/>
      <c r="F872" s="34"/>
      <c r="G872" s="34"/>
      <c r="H872" s="34"/>
      <c r="I872" s="33"/>
      <c r="J872" s="34"/>
      <c r="K872" s="70"/>
      <c r="L872" s="5"/>
      <c r="M872" s="5"/>
      <c r="N872" s="5"/>
      <c r="O872" s="5"/>
      <c r="P872" s="5"/>
      <c r="Q872" s="5"/>
    </row>
    <row r="873" spans="1:17" ht="15.95" customHeight="1" x14ac:dyDescent="0.2">
      <c r="A873" s="38"/>
      <c r="B873" s="33"/>
      <c r="C873" s="34"/>
      <c r="D873" s="34"/>
      <c r="E873" s="34"/>
      <c r="F873" s="34"/>
      <c r="G873" s="34"/>
      <c r="H873" s="34"/>
      <c r="I873" s="33"/>
      <c r="J873" s="34"/>
      <c r="K873" s="70"/>
      <c r="L873" s="5"/>
      <c r="M873" s="5"/>
      <c r="N873" s="5"/>
      <c r="O873" s="5"/>
      <c r="P873" s="5"/>
      <c r="Q873" s="5"/>
    </row>
    <row r="874" spans="1:17" ht="15.95" customHeight="1" x14ac:dyDescent="0.2">
      <c r="A874" s="38"/>
      <c r="B874" s="33"/>
      <c r="C874" s="34"/>
      <c r="D874" s="34"/>
      <c r="E874" s="34"/>
      <c r="F874" s="34"/>
      <c r="G874" s="34"/>
      <c r="H874" s="34"/>
      <c r="I874" s="33"/>
      <c r="J874" s="34"/>
      <c r="K874" s="70"/>
      <c r="L874" s="5"/>
      <c r="M874" s="5"/>
      <c r="N874" s="5"/>
      <c r="O874" s="5"/>
      <c r="P874" s="5"/>
      <c r="Q874" s="5"/>
    </row>
    <row r="875" spans="1:17" ht="15.95" customHeight="1" x14ac:dyDescent="0.2">
      <c r="A875" s="38"/>
      <c r="B875" s="33"/>
      <c r="C875" s="34"/>
      <c r="D875" s="34"/>
      <c r="E875" s="34"/>
      <c r="F875" s="34"/>
      <c r="G875" s="34"/>
      <c r="H875" s="34"/>
      <c r="I875" s="33"/>
      <c r="J875" s="34"/>
      <c r="K875" s="70"/>
      <c r="L875" s="5"/>
      <c r="M875" s="5"/>
      <c r="N875" s="5"/>
      <c r="O875" s="5"/>
      <c r="P875" s="5"/>
      <c r="Q875" s="5"/>
    </row>
    <row r="876" spans="1:17" ht="15.95" customHeight="1" x14ac:dyDescent="0.2">
      <c r="A876" s="38"/>
      <c r="B876" s="33"/>
      <c r="C876" s="34"/>
      <c r="D876" s="34"/>
      <c r="E876" s="34"/>
      <c r="F876" s="34"/>
      <c r="G876" s="34"/>
      <c r="H876" s="34"/>
      <c r="I876" s="33"/>
      <c r="J876" s="34"/>
      <c r="K876" s="70"/>
      <c r="L876" s="5"/>
      <c r="M876" s="5"/>
      <c r="N876" s="5"/>
      <c r="O876" s="5"/>
      <c r="P876" s="5"/>
      <c r="Q876" s="5"/>
    </row>
    <row r="877" spans="1:17" ht="15.95" customHeight="1" x14ac:dyDescent="0.2">
      <c r="A877" s="38"/>
      <c r="B877" s="33"/>
      <c r="C877" s="34"/>
      <c r="D877" s="34"/>
      <c r="E877" s="34"/>
      <c r="F877" s="34"/>
      <c r="G877" s="34"/>
      <c r="H877" s="34"/>
      <c r="I877" s="33"/>
      <c r="J877" s="34"/>
      <c r="K877" s="70"/>
      <c r="L877" s="5"/>
      <c r="M877" s="5"/>
      <c r="N877" s="5"/>
      <c r="O877" s="5"/>
      <c r="P877" s="5"/>
      <c r="Q877" s="5"/>
    </row>
    <row r="878" spans="1:17" ht="15.95" customHeight="1" x14ac:dyDescent="0.2">
      <c r="A878" s="38"/>
      <c r="B878" s="33"/>
      <c r="C878" s="34"/>
      <c r="D878" s="34"/>
      <c r="E878" s="34"/>
      <c r="F878" s="34"/>
      <c r="G878" s="34"/>
      <c r="H878" s="34"/>
      <c r="I878" s="33"/>
      <c r="J878" s="34"/>
      <c r="K878" s="70"/>
      <c r="L878" s="5"/>
      <c r="M878" s="5"/>
      <c r="N878" s="5"/>
      <c r="O878" s="5"/>
      <c r="P878" s="5"/>
      <c r="Q878" s="5"/>
    </row>
    <row r="879" spans="1:17" ht="15.95" customHeight="1" x14ac:dyDescent="0.2">
      <c r="A879" s="38"/>
      <c r="B879" s="33"/>
      <c r="C879" s="34"/>
      <c r="D879" s="34"/>
      <c r="E879" s="34"/>
      <c r="F879" s="34"/>
      <c r="G879" s="34"/>
      <c r="H879" s="34"/>
      <c r="I879" s="33"/>
      <c r="J879" s="34"/>
      <c r="K879" s="70"/>
      <c r="L879" s="5"/>
      <c r="M879" s="5"/>
      <c r="N879" s="5"/>
      <c r="O879" s="5"/>
      <c r="P879" s="5"/>
      <c r="Q879" s="5"/>
    </row>
    <row r="880" spans="1:17" ht="15.95" customHeight="1" x14ac:dyDescent="0.2">
      <c r="A880" s="38"/>
      <c r="B880" s="33"/>
      <c r="C880" s="34"/>
      <c r="D880" s="34"/>
      <c r="E880" s="34"/>
      <c r="F880" s="34"/>
      <c r="G880" s="34"/>
      <c r="H880" s="34"/>
      <c r="I880" s="33"/>
      <c r="J880" s="34"/>
      <c r="K880" s="70"/>
      <c r="L880" s="5"/>
      <c r="M880" s="5"/>
      <c r="N880" s="5"/>
      <c r="O880" s="5"/>
      <c r="P880" s="5"/>
      <c r="Q880" s="5"/>
    </row>
    <row r="881" spans="1:17" ht="15.95" customHeight="1" x14ac:dyDescent="0.2">
      <c r="A881" s="38"/>
      <c r="B881" s="33"/>
      <c r="C881" s="34"/>
      <c r="D881" s="34"/>
      <c r="E881" s="34"/>
      <c r="F881" s="34"/>
      <c r="G881" s="34"/>
      <c r="H881" s="34"/>
      <c r="I881" s="33"/>
      <c r="J881" s="34"/>
      <c r="K881" s="70"/>
      <c r="L881" s="5"/>
      <c r="M881" s="5"/>
      <c r="N881" s="5"/>
      <c r="O881" s="5"/>
      <c r="P881" s="5"/>
      <c r="Q881" s="5"/>
    </row>
    <row r="882" spans="1:17" ht="15.95" customHeight="1" x14ac:dyDescent="0.2">
      <c r="A882" s="38"/>
      <c r="B882" s="33"/>
      <c r="C882" s="34"/>
      <c r="D882" s="34"/>
      <c r="E882" s="34"/>
      <c r="F882" s="34"/>
      <c r="G882" s="34"/>
      <c r="H882" s="34"/>
      <c r="I882" s="33"/>
      <c r="J882" s="34"/>
      <c r="K882" s="70"/>
      <c r="L882" s="5"/>
      <c r="M882" s="5"/>
      <c r="N882" s="5"/>
      <c r="O882" s="5"/>
      <c r="P882" s="5"/>
      <c r="Q882" s="5"/>
    </row>
    <row r="883" spans="1:17" ht="15.95" customHeight="1" x14ac:dyDescent="0.2">
      <c r="A883" s="38"/>
      <c r="B883" s="33"/>
      <c r="C883" s="34"/>
      <c r="D883" s="34"/>
      <c r="E883" s="34"/>
      <c r="F883" s="34"/>
      <c r="G883" s="34"/>
      <c r="H883" s="34"/>
      <c r="I883" s="33"/>
      <c r="J883" s="34"/>
      <c r="K883" s="70"/>
      <c r="L883" s="5"/>
      <c r="M883" s="5"/>
      <c r="N883" s="5"/>
      <c r="O883" s="5"/>
      <c r="P883" s="5"/>
      <c r="Q883" s="5"/>
    </row>
    <row r="884" spans="1:17" ht="15.95" customHeight="1" x14ac:dyDescent="0.2">
      <c r="A884" s="38"/>
      <c r="B884" s="33"/>
      <c r="C884" s="34"/>
      <c r="D884" s="34"/>
      <c r="E884" s="34"/>
      <c r="F884" s="34"/>
      <c r="G884" s="34"/>
      <c r="H884" s="34"/>
      <c r="I884" s="33"/>
      <c r="J884" s="34"/>
      <c r="K884" s="70"/>
      <c r="L884" s="5"/>
      <c r="M884" s="5"/>
      <c r="N884" s="5"/>
      <c r="O884" s="5"/>
      <c r="P884" s="5"/>
      <c r="Q884" s="5"/>
    </row>
    <row r="885" spans="1:17" ht="15.95" customHeight="1" x14ac:dyDescent="0.2">
      <c r="A885" s="38"/>
      <c r="B885" s="33"/>
      <c r="C885" s="34"/>
      <c r="D885" s="34"/>
      <c r="E885" s="34"/>
      <c r="F885" s="34"/>
      <c r="G885" s="34"/>
      <c r="H885" s="34"/>
      <c r="I885" s="33"/>
      <c r="J885" s="34"/>
      <c r="K885" s="70"/>
      <c r="L885" s="5"/>
      <c r="M885" s="5"/>
      <c r="N885" s="5"/>
      <c r="O885" s="5"/>
      <c r="P885" s="5"/>
      <c r="Q885" s="5"/>
    </row>
    <row r="886" spans="1:17" ht="15.95" customHeight="1" x14ac:dyDescent="0.2">
      <c r="A886" s="38"/>
      <c r="B886" s="33"/>
      <c r="C886" s="34"/>
      <c r="D886" s="34"/>
      <c r="E886" s="34"/>
      <c r="F886" s="34"/>
      <c r="G886" s="34"/>
      <c r="H886" s="34"/>
      <c r="I886" s="33"/>
      <c r="J886" s="34"/>
      <c r="K886" s="70"/>
      <c r="L886" s="5"/>
      <c r="M886" s="5"/>
      <c r="N886" s="5"/>
      <c r="O886" s="5"/>
      <c r="P886" s="5"/>
      <c r="Q886" s="5"/>
    </row>
    <row r="887" spans="1:17" ht="15.95" customHeight="1" x14ac:dyDescent="0.2">
      <c r="A887" s="38"/>
      <c r="B887" s="33"/>
      <c r="C887" s="34"/>
      <c r="D887" s="34"/>
      <c r="E887" s="34"/>
      <c r="F887" s="34"/>
      <c r="G887" s="34"/>
      <c r="H887" s="34"/>
      <c r="I887" s="33"/>
      <c r="J887" s="34"/>
      <c r="K887" s="70"/>
      <c r="L887" s="5"/>
      <c r="M887" s="5"/>
      <c r="N887" s="5"/>
      <c r="O887" s="5"/>
      <c r="P887" s="5"/>
      <c r="Q887" s="5"/>
    </row>
    <row r="888" spans="1:17" ht="15.95" customHeight="1" x14ac:dyDescent="0.2">
      <c r="A888" s="38"/>
      <c r="B888" s="33"/>
      <c r="C888" s="34"/>
      <c r="D888" s="34"/>
      <c r="E888" s="34"/>
      <c r="F888" s="34"/>
      <c r="G888" s="34"/>
      <c r="H888" s="34"/>
      <c r="I888" s="33"/>
      <c r="J888" s="34"/>
      <c r="K888" s="70"/>
      <c r="L888" s="5"/>
      <c r="M888" s="5"/>
      <c r="N888" s="5"/>
      <c r="O888" s="5"/>
      <c r="P888" s="5"/>
      <c r="Q888" s="5"/>
    </row>
    <row r="889" spans="1:17" ht="15.95" customHeight="1" x14ac:dyDescent="0.2">
      <c r="A889" s="38"/>
      <c r="B889" s="33"/>
      <c r="C889" s="34"/>
      <c r="D889" s="34"/>
      <c r="E889" s="34"/>
      <c r="F889" s="34"/>
      <c r="G889" s="34"/>
      <c r="H889" s="34"/>
      <c r="I889" s="33"/>
      <c r="J889" s="34"/>
      <c r="K889" s="70"/>
      <c r="L889" s="5"/>
      <c r="M889" s="5"/>
      <c r="N889" s="5"/>
      <c r="O889" s="5"/>
      <c r="P889" s="5"/>
      <c r="Q889" s="5"/>
    </row>
    <row r="890" spans="1:17" ht="15.95" customHeight="1" x14ac:dyDescent="0.2">
      <c r="A890" s="38"/>
      <c r="B890" s="33"/>
      <c r="C890" s="34"/>
      <c r="D890" s="34"/>
      <c r="E890" s="34"/>
      <c r="F890" s="34"/>
      <c r="G890" s="34"/>
      <c r="H890" s="34"/>
      <c r="I890" s="33"/>
      <c r="J890" s="34"/>
      <c r="K890" s="70"/>
      <c r="L890" s="5"/>
      <c r="M890" s="5"/>
      <c r="N890" s="5"/>
      <c r="O890" s="5"/>
      <c r="P890" s="5"/>
      <c r="Q890" s="5"/>
    </row>
    <row r="891" spans="1:17" ht="15.95" customHeight="1" x14ac:dyDescent="0.2">
      <c r="A891" s="38"/>
      <c r="B891" s="33"/>
      <c r="C891" s="34"/>
      <c r="D891" s="34"/>
      <c r="E891" s="34"/>
      <c r="F891" s="34"/>
      <c r="G891" s="34"/>
      <c r="H891" s="34"/>
      <c r="I891" s="33"/>
      <c r="J891" s="34"/>
      <c r="K891" s="70"/>
      <c r="L891" s="5"/>
      <c r="M891" s="5"/>
      <c r="N891" s="5"/>
      <c r="O891" s="5"/>
      <c r="P891" s="5"/>
      <c r="Q891" s="5"/>
    </row>
    <row r="892" spans="1:17" ht="15.95" customHeight="1" x14ac:dyDescent="0.2">
      <c r="A892" s="38"/>
      <c r="B892" s="33"/>
      <c r="C892" s="34"/>
      <c r="D892" s="34"/>
      <c r="E892" s="34"/>
      <c r="F892" s="34"/>
      <c r="G892" s="34"/>
      <c r="H892" s="34"/>
      <c r="I892" s="33"/>
      <c r="J892" s="34"/>
      <c r="K892" s="70"/>
      <c r="L892" s="5"/>
      <c r="M892" s="5"/>
      <c r="N892" s="5"/>
      <c r="O892" s="5"/>
      <c r="P892" s="5"/>
      <c r="Q892" s="5"/>
    </row>
    <row r="893" spans="1:17" ht="15.95" customHeight="1" x14ac:dyDescent="0.2">
      <c r="A893" s="38"/>
      <c r="B893" s="33"/>
      <c r="C893" s="34"/>
      <c r="D893" s="34"/>
      <c r="E893" s="34"/>
      <c r="F893" s="34"/>
      <c r="G893" s="34"/>
      <c r="H893" s="34"/>
      <c r="I893" s="33"/>
      <c r="J893" s="34"/>
      <c r="K893" s="70"/>
      <c r="L893" s="5"/>
      <c r="M893" s="5"/>
      <c r="N893" s="5"/>
      <c r="O893" s="5"/>
      <c r="P893" s="5"/>
      <c r="Q893" s="5"/>
    </row>
    <row r="894" spans="1:17" ht="15.95" customHeight="1" x14ac:dyDescent="0.2">
      <c r="A894" s="38"/>
      <c r="B894" s="33"/>
      <c r="C894" s="34"/>
      <c r="D894" s="34"/>
      <c r="E894" s="34"/>
      <c r="F894" s="34"/>
      <c r="G894" s="34"/>
      <c r="H894" s="34"/>
      <c r="I894" s="33"/>
      <c r="J894" s="34"/>
      <c r="K894" s="70"/>
      <c r="L894" s="5"/>
      <c r="M894" s="5"/>
      <c r="N894" s="5"/>
      <c r="O894" s="5"/>
      <c r="P894" s="5"/>
      <c r="Q894" s="5"/>
    </row>
    <row r="895" spans="1:17" ht="15.95" customHeight="1" x14ac:dyDescent="0.2">
      <c r="A895" s="38"/>
      <c r="B895" s="33"/>
      <c r="C895" s="34"/>
      <c r="D895" s="34"/>
      <c r="E895" s="34"/>
      <c r="F895" s="34"/>
      <c r="G895" s="34"/>
      <c r="H895" s="34"/>
      <c r="I895" s="33"/>
      <c r="J895" s="34"/>
      <c r="K895" s="70"/>
      <c r="L895" s="5"/>
      <c r="M895" s="5"/>
      <c r="N895" s="5"/>
      <c r="O895" s="5"/>
      <c r="P895" s="5"/>
      <c r="Q895" s="5"/>
    </row>
    <row r="896" spans="1:17" ht="15.95" customHeight="1" x14ac:dyDescent="0.2">
      <c r="A896" s="38"/>
      <c r="B896" s="33"/>
      <c r="C896" s="34"/>
      <c r="D896" s="34"/>
      <c r="E896" s="34"/>
      <c r="F896" s="34"/>
      <c r="G896" s="34"/>
      <c r="H896" s="34"/>
      <c r="I896" s="33"/>
      <c r="J896" s="34"/>
      <c r="K896" s="70"/>
      <c r="L896" s="5"/>
      <c r="M896" s="5"/>
      <c r="N896" s="5"/>
      <c r="O896" s="5"/>
      <c r="P896" s="5"/>
      <c r="Q896" s="5"/>
    </row>
    <row r="897" spans="1:17" ht="15.95" customHeight="1" x14ac:dyDescent="0.2">
      <c r="A897" s="38"/>
      <c r="B897" s="33"/>
      <c r="C897" s="34"/>
      <c r="D897" s="34"/>
      <c r="E897" s="34"/>
      <c r="F897" s="34"/>
      <c r="G897" s="34"/>
      <c r="H897" s="34"/>
      <c r="I897" s="33"/>
      <c r="J897" s="34"/>
      <c r="K897" s="70"/>
      <c r="L897" s="5"/>
      <c r="M897" s="5"/>
      <c r="N897" s="5"/>
      <c r="O897" s="5"/>
      <c r="P897" s="5"/>
      <c r="Q897" s="5"/>
    </row>
    <row r="898" spans="1:17" ht="15.95" customHeight="1" x14ac:dyDescent="0.2">
      <c r="A898" s="38"/>
      <c r="B898" s="33"/>
      <c r="C898" s="34"/>
      <c r="D898" s="34"/>
      <c r="E898" s="34"/>
      <c r="F898" s="34"/>
      <c r="G898" s="34"/>
      <c r="H898" s="34"/>
      <c r="I898" s="33"/>
      <c r="J898" s="34"/>
      <c r="K898" s="70"/>
      <c r="L898" s="5"/>
      <c r="M898" s="5"/>
      <c r="N898" s="5"/>
      <c r="O898" s="5"/>
      <c r="P898" s="5"/>
      <c r="Q898" s="5"/>
    </row>
    <row r="899" spans="1:17" ht="15.95" customHeight="1" x14ac:dyDescent="0.2">
      <c r="A899" s="38"/>
      <c r="B899" s="33"/>
      <c r="C899" s="34"/>
      <c r="D899" s="34"/>
      <c r="E899" s="34"/>
      <c r="F899" s="34"/>
      <c r="G899" s="34"/>
      <c r="H899" s="34"/>
      <c r="I899" s="33"/>
      <c r="J899" s="34"/>
      <c r="K899" s="70"/>
      <c r="L899" s="5"/>
      <c r="M899" s="5"/>
      <c r="N899" s="5"/>
      <c r="O899" s="5"/>
      <c r="P899" s="5"/>
      <c r="Q899" s="5"/>
    </row>
    <row r="900" spans="1:17" ht="15.95" customHeight="1" x14ac:dyDescent="0.2">
      <c r="A900" s="38"/>
      <c r="B900" s="33"/>
      <c r="C900" s="34"/>
      <c r="D900" s="34"/>
      <c r="E900" s="34"/>
      <c r="F900" s="34"/>
      <c r="G900" s="34"/>
      <c r="H900" s="34"/>
      <c r="I900" s="33"/>
      <c r="J900" s="34"/>
      <c r="K900" s="70"/>
      <c r="L900" s="5"/>
      <c r="M900" s="5"/>
      <c r="N900" s="5"/>
      <c r="O900" s="5"/>
      <c r="P900" s="5"/>
      <c r="Q900" s="5"/>
    </row>
    <row r="901" spans="1:17" ht="15.95" customHeight="1" x14ac:dyDescent="0.2">
      <c r="A901" s="38"/>
      <c r="B901" s="33"/>
      <c r="C901" s="34"/>
      <c r="D901" s="34"/>
      <c r="E901" s="34"/>
      <c r="F901" s="34"/>
      <c r="G901" s="34"/>
      <c r="H901" s="34"/>
      <c r="I901" s="33"/>
      <c r="J901" s="34"/>
      <c r="K901" s="70"/>
      <c r="L901" s="5"/>
      <c r="M901" s="5"/>
      <c r="N901" s="5"/>
      <c r="O901" s="5"/>
      <c r="P901" s="5"/>
      <c r="Q901" s="5"/>
    </row>
    <row r="902" spans="1:17" ht="15.95" customHeight="1" x14ac:dyDescent="0.2">
      <c r="A902" s="38"/>
      <c r="B902" s="33"/>
      <c r="C902" s="34"/>
      <c r="D902" s="34"/>
      <c r="E902" s="34"/>
      <c r="F902" s="34"/>
      <c r="G902" s="34"/>
      <c r="H902" s="34"/>
      <c r="I902" s="33"/>
      <c r="J902" s="34"/>
      <c r="K902" s="70"/>
      <c r="L902" s="5"/>
      <c r="M902" s="5"/>
      <c r="N902" s="5"/>
      <c r="O902" s="5"/>
      <c r="P902" s="5"/>
      <c r="Q902" s="5"/>
    </row>
    <row r="903" spans="1:17" ht="15.95" customHeight="1" x14ac:dyDescent="0.2">
      <c r="A903" s="38"/>
      <c r="B903" s="33"/>
      <c r="C903" s="34"/>
      <c r="D903" s="34"/>
      <c r="E903" s="34"/>
      <c r="F903" s="34"/>
      <c r="G903" s="34"/>
      <c r="H903" s="34"/>
      <c r="I903" s="33"/>
      <c r="J903" s="34"/>
      <c r="K903" s="70"/>
      <c r="L903" s="5"/>
      <c r="M903" s="5"/>
      <c r="N903" s="5"/>
      <c r="O903" s="5"/>
      <c r="P903" s="5"/>
      <c r="Q903" s="5"/>
    </row>
    <row r="904" spans="1:17" ht="15.95" customHeight="1" x14ac:dyDescent="0.2">
      <c r="A904" s="38"/>
      <c r="B904" s="33"/>
      <c r="C904" s="34"/>
      <c r="D904" s="34"/>
      <c r="E904" s="34"/>
      <c r="F904" s="34"/>
      <c r="G904" s="34"/>
      <c r="H904" s="34"/>
      <c r="I904" s="33"/>
      <c r="J904" s="34"/>
      <c r="K904" s="70"/>
      <c r="L904" s="5"/>
      <c r="M904" s="5"/>
      <c r="N904" s="5"/>
      <c r="O904" s="5"/>
      <c r="P904" s="5"/>
      <c r="Q904" s="5"/>
    </row>
    <row r="905" spans="1:17" ht="15.95" customHeight="1" x14ac:dyDescent="0.2">
      <c r="A905" s="38"/>
      <c r="B905" s="33"/>
      <c r="C905" s="34"/>
      <c r="D905" s="34"/>
      <c r="E905" s="34"/>
      <c r="F905" s="34"/>
      <c r="G905" s="34"/>
      <c r="H905" s="34"/>
      <c r="I905" s="33"/>
      <c r="J905" s="34"/>
      <c r="K905" s="70"/>
      <c r="L905" s="5"/>
      <c r="M905" s="5"/>
      <c r="N905" s="5"/>
      <c r="O905" s="5"/>
      <c r="P905" s="5"/>
      <c r="Q905" s="5"/>
    </row>
    <row r="906" spans="1:17" ht="15.95" customHeight="1" x14ac:dyDescent="0.2">
      <c r="A906" s="38"/>
      <c r="B906" s="33"/>
      <c r="C906" s="34"/>
      <c r="D906" s="34"/>
      <c r="E906" s="34"/>
      <c r="F906" s="34"/>
      <c r="G906" s="34"/>
      <c r="H906" s="34"/>
      <c r="I906" s="33"/>
      <c r="J906" s="34"/>
      <c r="K906" s="70"/>
      <c r="L906" s="5"/>
      <c r="M906" s="5"/>
      <c r="N906" s="5"/>
      <c r="O906" s="5"/>
      <c r="P906" s="5"/>
      <c r="Q906" s="5"/>
    </row>
    <row r="907" spans="1:17" ht="15.95" customHeight="1" x14ac:dyDescent="0.2">
      <c r="A907" s="38"/>
      <c r="B907" s="33"/>
      <c r="C907" s="34"/>
      <c r="D907" s="34"/>
      <c r="E907" s="34"/>
      <c r="F907" s="34"/>
      <c r="G907" s="34"/>
      <c r="H907" s="34"/>
      <c r="I907" s="33"/>
      <c r="J907" s="34"/>
      <c r="K907" s="70"/>
      <c r="L907" s="5"/>
      <c r="M907" s="5"/>
      <c r="N907" s="5"/>
      <c r="O907" s="5"/>
      <c r="P907" s="5"/>
      <c r="Q907" s="5"/>
    </row>
    <row r="908" spans="1:17" ht="15.95" customHeight="1" x14ac:dyDescent="0.2">
      <c r="A908" s="38"/>
      <c r="B908" s="33"/>
      <c r="C908" s="34"/>
      <c r="D908" s="34"/>
      <c r="E908" s="34"/>
      <c r="F908" s="34"/>
      <c r="G908" s="34"/>
      <c r="H908" s="34"/>
      <c r="I908" s="33"/>
      <c r="J908" s="34"/>
      <c r="K908" s="70"/>
      <c r="L908" s="5"/>
      <c r="M908" s="5"/>
      <c r="N908" s="5"/>
      <c r="O908" s="5"/>
      <c r="P908" s="5"/>
      <c r="Q908" s="5"/>
    </row>
    <row r="909" spans="1:17" ht="15.95" customHeight="1" x14ac:dyDescent="0.2">
      <c r="A909" s="38"/>
      <c r="B909" s="33"/>
      <c r="C909" s="34"/>
      <c r="D909" s="34"/>
      <c r="E909" s="34"/>
      <c r="F909" s="34"/>
      <c r="G909" s="34"/>
      <c r="H909" s="34"/>
      <c r="I909" s="33"/>
      <c r="J909" s="34"/>
      <c r="K909" s="70"/>
      <c r="L909" s="5"/>
      <c r="M909" s="5"/>
      <c r="N909" s="5"/>
      <c r="O909" s="5"/>
      <c r="P909" s="5"/>
      <c r="Q909" s="5"/>
    </row>
    <row r="910" spans="1:17" ht="15.95" customHeight="1" x14ac:dyDescent="0.2">
      <c r="A910" s="38"/>
      <c r="B910" s="33"/>
      <c r="C910" s="34"/>
      <c r="D910" s="34"/>
      <c r="E910" s="34"/>
      <c r="F910" s="34"/>
      <c r="G910" s="34"/>
      <c r="H910" s="34"/>
      <c r="I910" s="33"/>
      <c r="J910" s="34"/>
      <c r="K910" s="70"/>
      <c r="L910" s="5"/>
      <c r="M910" s="5"/>
      <c r="N910" s="5"/>
      <c r="O910" s="5"/>
      <c r="P910" s="5"/>
      <c r="Q910" s="5"/>
    </row>
    <row r="911" spans="1:17" ht="15.95" customHeight="1" x14ac:dyDescent="0.2">
      <c r="A911" s="38"/>
      <c r="B911" s="33"/>
      <c r="C911" s="34"/>
      <c r="D911" s="34"/>
      <c r="E911" s="34"/>
      <c r="F911" s="34"/>
      <c r="G911" s="34"/>
      <c r="H911" s="34"/>
      <c r="I911" s="33"/>
      <c r="J911" s="34"/>
      <c r="K911" s="70"/>
      <c r="L911" s="5"/>
      <c r="M911" s="5"/>
      <c r="N911" s="5"/>
      <c r="O911" s="5"/>
      <c r="P911" s="5"/>
      <c r="Q911" s="5"/>
    </row>
    <row r="912" spans="1:17" ht="15.95" customHeight="1" x14ac:dyDescent="0.2">
      <c r="A912" s="38"/>
      <c r="B912" s="33"/>
      <c r="C912" s="34"/>
      <c r="D912" s="34"/>
      <c r="E912" s="34"/>
      <c r="F912" s="34"/>
      <c r="G912" s="34"/>
      <c r="H912" s="34"/>
      <c r="I912" s="33"/>
      <c r="J912" s="34"/>
      <c r="K912" s="70"/>
      <c r="L912" s="5"/>
      <c r="M912" s="5"/>
      <c r="N912" s="5"/>
      <c r="O912" s="5"/>
      <c r="P912" s="5"/>
      <c r="Q912" s="5"/>
    </row>
    <row r="913" spans="1:17" ht="15.95" customHeight="1" x14ac:dyDescent="0.2">
      <c r="A913" s="38"/>
      <c r="B913" s="33"/>
      <c r="C913" s="34"/>
      <c r="D913" s="34"/>
      <c r="E913" s="34"/>
      <c r="F913" s="34"/>
      <c r="G913" s="34"/>
      <c r="H913" s="34"/>
      <c r="I913" s="33"/>
      <c r="J913" s="34"/>
      <c r="K913" s="70"/>
      <c r="L913" s="5"/>
      <c r="M913" s="5"/>
      <c r="N913" s="5"/>
      <c r="O913" s="5"/>
      <c r="P913" s="5"/>
      <c r="Q913" s="5"/>
    </row>
    <row r="914" spans="1:17" ht="15.95" customHeight="1" x14ac:dyDescent="0.2">
      <c r="A914" s="38"/>
      <c r="B914" s="33"/>
      <c r="C914" s="34"/>
      <c r="D914" s="34"/>
      <c r="E914" s="34"/>
      <c r="F914" s="34"/>
      <c r="G914" s="34"/>
      <c r="H914" s="34"/>
      <c r="I914" s="33"/>
      <c r="J914" s="34"/>
      <c r="K914" s="70"/>
      <c r="L914" s="5"/>
      <c r="M914" s="5"/>
      <c r="N914" s="5"/>
      <c r="O914" s="5"/>
      <c r="P914" s="5"/>
      <c r="Q914" s="5"/>
    </row>
    <row r="915" spans="1:17" ht="15.95" customHeight="1" x14ac:dyDescent="0.2">
      <c r="A915" s="38"/>
      <c r="B915" s="33"/>
      <c r="C915" s="34"/>
      <c r="D915" s="34"/>
      <c r="E915" s="34"/>
      <c r="F915" s="34"/>
      <c r="G915" s="34"/>
      <c r="H915" s="34"/>
      <c r="I915" s="33"/>
      <c r="J915" s="34"/>
      <c r="K915" s="70"/>
      <c r="L915" s="5"/>
      <c r="M915" s="5"/>
      <c r="N915" s="5"/>
      <c r="O915" s="5"/>
      <c r="P915" s="5"/>
      <c r="Q915" s="5"/>
    </row>
    <row r="916" spans="1:17" ht="15.95" customHeight="1" x14ac:dyDescent="0.2">
      <c r="A916" s="38"/>
      <c r="B916" s="33"/>
      <c r="C916" s="34"/>
      <c r="D916" s="34"/>
      <c r="E916" s="34"/>
      <c r="F916" s="34"/>
      <c r="G916" s="34"/>
      <c r="H916" s="34"/>
      <c r="I916" s="33"/>
      <c r="J916" s="34"/>
      <c r="K916" s="70"/>
      <c r="L916" s="5"/>
      <c r="M916" s="5"/>
      <c r="N916" s="5"/>
      <c r="O916" s="5"/>
      <c r="P916" s="5"/>
      <c r="Q916" s="5"/>
    </row>
    <row r="917" spans="1:17" ht="15.95" customHeight="1" x14ac:dyDescent="0.2">
      <c r="A917" s="38"/>
      <c r="B917" s="33"/>
      <c r="C917" s="34"/>
      <c r="D917" s="34"/>
      <c r="E917" s="34"/>
      <c r="F917" s="34"/>
      <c r="G917" s="34"/>
      <c r="H917" s="34"/>
      <c r="I917" s="33"/>
      <c r="J917" s="34"/>
      <c r="K917" s="70"/>
      <c r="L917" s="5"/>
      <c r="M917" s="5"/>
      <c r="N917" s="5"/>
      <c r="O917" s="5"/>
      <c r="P917" s="5"/>
      <c r="Q917" s="5"/>
    </row>
    <row r="918" spans="1:17" ht="15.95" customHeight="1" x14ac:dyDescent="0.2">
      <c r="A918" s="38"/>
      <c r="B918" s="33"/>
      <c r="C918" s="34"/>
      <c r="D918" s="34"/>
      <c r="E918" s="34"/>
      <c r="F918" s="34"/>
      <c r="G918" s="34"/>
      <c r="H918" s="34"/>
      <c r="I918" s="33"/>
      <c r="J918" s="34"/>
      <c r="K918" s="70"/>
      <c r="L918" s="5"/>
      <c r="M918" s="5"/>
      <c r="N918" s="5"/>
      <c r="O918" s="5"/>
      <c r="P918" s="5"/>
      <c r="Q918" s="5"/>
    </row>
    <row r="919" spans="1:17" ht="15.95" customHeight="1" x14ac:dyDescent="0.2">
      <c r="A919" s="38"/>
      <c r="B919" s="33"/>
      <c r="C919" s="34"/>
      <c r="D919" s="34"/>
      <c r="E919" s="34"/>
      <c r="F919" s="34"/>
      <c r="G919" s="34"/>
      <c r="H919" s="34"/>
      <c r="I919" s="33"/>
      <c r="J919" s="34"/>
      <c r="K919" s="70"/>
      <c r="L919" s="5"/>
      <c r="M919" s="5"/>
      <c r="N919" s="5"/>
      <c r="O919" s="5"/>
      <c r="P919" s="5"/>
      <c r="Q919" s="5"/>
    </row>
    <row r="920" spans="1:17" ht="15.95" customHeight="1" x14ac:dyDescent="0.2">
      <c r="A920" s="38"/>
      <c r="B920" s="33"/>
      <c r="C920" s="34"/>
      <c r="D920" s="34"/>
      <c r="E920" s="34"/>
      <c r="F920" s="34"/>
      <c r="G920" s="34"/>
      <c r="H920" s="34"/>
      <c r="I920" s="33"/>
      <c r="J920" s="34"/>
      <c r="K920" s="70"/>
      <c r="L920" s="5"/>
      <c r="M920" s="5"/>
      <c r="N920" s="5"/>
      <c r="O920" s="5"/>
      <c r="P920" s="5"/>
      <c r="Q920" s="5"/>
    </row>
    <row r="921" spans="1:17" ht="15.95" customHeight="1" x14ac:dyDescent="0.2">
      <c r="A921" s="38"/>
      <c r="B921" s="33"/>
      <c r="C921" s="34"/>
      <c r="D921" s="34"/>
      <c r="E921" s="34"/>
      <c r="F921" s="34"/>
      <c r="G921" s="34"/>
      <c r="H921" s="34"/>
      <c r="I921" s="33"/>
      <c r="J921" s="34"/>
      <c r="K921" s="70"/>
      <c r="L921" s="5"/>
      <c r="M921" s="5"/>
      <c r="N921" s="5"/>
      <c r="O921" s="5"/>
      <c r="P921" s="5"/>
      <c r="Q921" s="5"/>
    </row>
    <row r="922" spans="1:17" ht="15.95" customHeight="1" x14ac:dyDescent="0.2">
      <c r="A922" s="38"/>
      <c r="B922" s="33"/>
      <c r="C922" s="34"/>
      <c r="D922" s="34"/>
      <c r="E922" s="34"/>
      <c r="F922" s="34"/>
      <c r="G922" s="34"/>
      <c r="H922" s="34"/>
      <c r="I922" s="33"/>
      <c r="J922" s="34"/>
      <c r="K922" s="70"/>
      <c r="L922" s="5"/>
      <c r="M922" s="5"/>
      <c r="N922" s="5"/>
      <c r="O922" s="5"/>
      <c r="P922" s="5"/>
      <c r="Q922" s="5"/>
    </row>
    <row r="923" spans="1:17" ht="15.95" customHeight="1" x14ac:dyDescent="0.2">
      <c r="A923" s="38"/>
      <c r="B923" s="33"/>
      <c r="C923" s="34"/>
      <c r="D923" s="34"/>
      <c r="E923" s="34"/>
      <c r="F923" s="34"/>
      <c r="G923" s="34"/>
      <c r="H923" s="34"/>
      <c r="I923" s="33"/>
      <c r="J923" s="34"/>
      <c r="K923" s="70"/>
      <c r="L923" s="5"/>
      <c r="M923" s="5"/>
      <c r="N923" s="5"/>
      <c r="O923" s="5"/>
      <c r="P923" s="5"/>
      <c r="Q923" s="5"/>
    </row>
    <row r="924" spans="1:17" ht="15.95" customHeight="1" x14ac:dyDescent="0.2">
      <c r="A924" s="38"/>
      <c r="B924" s="33"/>
      <c r="C924" s="34"/>
      <c r="D924" s="34"/>
      <c r="E924" s="34"/>
      <c r="F924" s="34"/>
      <c r="G924" s="34"/>
      <c r="H924" s="34"/>
      <c r="I924" s="33"/>
      <c r="J924" s="34"/>
      <c r="K924" s="70"/>
      <c r="L924" s="5"/>
      <c r="M924" s="5"/>
      <c r="N924" s="5"/>
      <c r="O924" s="5"/>
      <c r="P924" s="5"/>
      <c r="Q924" s="5"/>
    </row>
    <row r="925" spans="1:17" ht="15.95" customHeight="1" x14ac:dyDescent="0.2">
      <c r="A925" s="38"/>
      <c r="B925" s="33"/>
      <c r="C925" s="34"/>
      <c r="D925" s="34"/>
      <c r="E925" s="34"/>
      <c r="F925" s="34"/>
      <c r="G925" s="34"/>
      <c r="H925" s="34"/>
      <c r="I925" s="33"/>
      <c r="J925" s="34"/>
      <c r="K925" s="70"/>
      <c r="L925" s="5"/>
      <c r="M925" s="5"/>
      <c r="N925" s="5"/>
      <c r="O925" s="5"/>
      <c r="P925" s="5"/>
      <c r="Q925" s="5"/>
    </row>
    <row r="926" spans="1:17" ht="15.95" customHeight="1" x14ac:dyDescent="0.2">
      <c r="A926" s="38"/>
      <c r="B926" s="33"/>
      <c r="C926" s="34"/>
      <c r="D926" s="34"/>
      <c r="E926" s="34"/>
      <c r="F926" s="34"/>
      <c r="G926" s="34"/>
      <c r="H926" s="34"/>
      <c r="I926" s="33"/>
      <c r="J926" s="34"/>
      <c r="K926" s="70"/>
      <c r="L926" s="5"/>
      <c r="M926" s="5"/>
      <c r="N926" s="5"/>
      <c r="O926" s="5"/>
      <c r="P926" s="5"/>
      <c r="Q926" s="5"/>
    </row>
    <row r="927" spans="1:17" ht="15.95" customHeight="1" x14ac:dyDescent="0.2">
      <c r="A927" s="38"/>
      <c r="B927" s="33"/>
      <c r="C927" s="34"/>
      <c r="D927" s="34"/>
      <c r="E927" s="34"/>
      <c r="F927" s="34"/>
      <c r="G927" s="34"/>
      <c r="H927" s="34"/>
      <c r="I927" s="33"/>
      <c r="J927" s="34"/>
      <c r="K927" s="70"/>
      <c r="L927" s="5"/>
      <c r="M927" s="5"/>
      <c r="N927" s="5"/>
      <c r="O927" s="5"/>
      <c r="P927" s="5"/>
      <c r="Q927" s="5"/>
    </row>
    <row r="928" spans="1:17" ht="15.95" customHeight="1" x14ac:dyDescent="0.2">
      <c r="A928" s="38"/>
      <c r="B928" s="33"/>
      <c r="C928" s="34"/>
      <c r="D928" s="34"/>
      <c r="E928" s="34"/>
      <c r="F928" s="34"/>
      <c r="G928" s="34"/>
      <c r="H928" s="34"/>
      <c r="I928" s="33"/>
      <c r="J928" s="34"/>
      <c r="K928" s="70"/>
      <c r="L928" s="5"/>
      <c r="M928" s="5"/>
      <c r="N928" s="5"/>
      <c r="O928" s="5"/>
      <c r="P928" s="5"/>
      <c r="Q928" s="5"/>
    </row>
    <row r="929" spans="1:17" ht="15.95" customHeight="1" x14ac:dyDescent="0.2">
      <c r="A929" s="38"/>
      <c r="B929" s="33"/>
      <c r="C929" s="34"/>
      <c r="D929" s="34"/>
      <c r="E929" s="34"/>
      <c r="F929" s="34"/>
      <c r="G929" s="34"/>
      <c r="H929" s="34"/>
      <c r="I929" s="33"/>
      <c r="J929" s="34"/>
      <c r="K929" s="70"/>
      <c r="L929" s="5"/>
      <c r="M929" s="5"/>
      <c r="N929" s="5"/>
      <c r="O929" s="5"/>
      <c r="P929" s="5"/>
      <c r="Q929" s="5"/>
    </row>
    <row r="930" spans="1:17" ht="15.95" customHeight="1" x14ac:dyDescent="0.2">
      <c r="A930" s="38"/>
      <c r="B930" s="33"/>
      <c r="C930" s="34"/>
      <c r="D930" s="34"/>
      <c r="E930" s="34"/>
      <c r="F930" s="34"/>
      <c r="G930" s="34"/>
      <c r="H930" s="34"/>
      <c r="I930" s="33"/>
      <c r="J930" s="34"/>
      <c r="K930" s="70"/>
      <c r="L930" s="5"/>
      <c r="M930" s="5"/>
      <c r="N930" s="5"/>
      <c r="O930" s="5"/>
      <c r="P930" s="5"/>
      <c r="Q930" s="5"/>
    </row>
    <row r="931" spans="1:17" ht="15.95" customHeight="1" x14ac:dyDescent="0.2">
      <c r="A931" s="38"/>
      <c r="B931" s="33"/>
      <c r="C931" s="34"/>
      <c r="D931" s="34"/>
      <c r="E931" s="34"/>
      <c r="F931" s="34"/>
      <c r="G931" s="34"/>
      <c r="H931" s="34"/>
      <c r="I931" s="33"/>
      <c r="J931" s="34"/>
      <c r="K931" s="70"/>
      <c r="L931" s="5"/>
      <c r="M931" s="5"/>
      <c r="N931" s="5"/>
      <c r="O931" s="5"/>
      <c r="P931" s="5"/>
      <c r="Q931" s="5"/>
    </row>
    <row r="932" spans="1:17" ht="15.95" customHeight="1" x14ac:dyDescent="0.2">
      <c r="A932" s="38"/>
      <c r="B932" s="33"/>
      <c r="C932" s="34"/>
      <c r="D932" s="34"/>
      <c r="E932" s="34"/>
      <c r="F932" s="34"/>
      <c r="G932" s="34"/>
      <c r="H932" s="34"/>
      <c r="I932" s="33"/>
      <c r="J932" s="34"/>
      <c r="K932" s="70"/>
      <c r="L932" s="5"/>
      <c r="M932" s="5"/>
      <c r="N932" s="5"/>
      <c r="O932" s="5"/>
      <c r="P932" s="5"/>
      <c r="Q932" s="5"/>
    </row>
    <row r="933" spans="1:17" ht="15.95" customHeight="1" x14ac:dyDescent="0.2">
      <c r="A933" s="38"/>
      <c r="B933" s="33"/>
      <c r="C933" s="34"/>
      <c r="D933" s="34"/>
      <c r="E933" s="34"/>
      <c r="F933" s="34"/>
      <c r="G933" s="34"/>
      <c r="H933" s="34"/>
      <c r="I933" s="33"/>
      <c r="J933" s="34"/>
      <c r="K933" s="70"/>
      <c r="L933" s="5"/>
      <c r="M933" s="5"/>
      <c r="N933" s="5"/>
      <c r="O933" s="5"/>
      <c r="P933" s="5"/>
      <c r="Q933" s="5"/>
    </row>
    <row r="934" spans="1:17" ht="15.95" customHeight="1" x14ac:dyDescent="0.2">
      <c r="A934" s="38"/>
      <c r="B934" s="33"/>
      <c r="C934" s="34"/>
      <c r="D934" s="34"/>
      <c r="E934" s="34"/>
      <c r="F934" s="34"/>
      <c r="G934" s="34"/>
      <c r="H934" s="34"/>
      <c r="I934" s="33"/>
      <c r="J934" s="34"/>
      <c r="K934" s="70"/>
      <c r="L934" s="5"/>
      <c r="M934" s="5"/>
      <c r="N934" s="5"/>
      <c r="O934" s="5"/>
      <c r="P934" s="5"/>
      <c r="Q934" s="5"/>
    </row>
    <row r="935" spans="1:17" ht="15.95" customHeight="1" x14ac:dyDescent="0.2">
      <c r="A935" s="38"/>
      <c r="B935" s="33"/>
      <c r="C935" s="34"/>
      <c r="D935" s="34"/>
      <c r="E935" s="34"/>
      <c r="F935" s="34"/>
      <c r="G935" s="34"/>
      <c r="H935" s="34"/>
      <c r="I935" s="33"/>
      <c r="J935" s="34"/>
      <c r="K935" s="70"/>
      <c r="L935" s="5"/>
      <c r="M935" s="5"/>
      <c r="N935" s="5"/>
      <c r="O935" s="5"/>
      <c r="P935" s="5"/>
      <c r="Q935" s="5"/>
    </row>
    <row r="936" spans="1:17" ht="15.95" customHeight="1" x14ac:dyDescent="0.2">
      <c r="A936" s="38"/>
      <c r="B936" s="33"/>
      <c r="C936" s="34"/>
      <c r="D936" s="34"/>
      <c r="E936" s="34"/>
      <c r="F936" s="34"/>
      <c r="G936" s="34"/>
      <c r="H936" s="34"/>
      <c r="I936" s="33"/>
      <c r="J936" s="34"/>
      <c r="K936" s="70"/>
      <c r="L936" s="5"/>
      <c r="M936" s="5"/>
      <c r="N936" s="5"/>
      <c r="O936" s="5"/>
      <c r="P936" s="5"/>
      <c r="Q936" s="5"/>
    </row>
    <row r="937" spans="1:17" ht="15.95" customHeight="1" x14ac:dyDescent="0.2">
      <c r="A937" s="38"/>
      <c r="B937" s="33"/>
      <c r="C937" s="34"/>
      <c r="D937" s="34"/>
      <c r="E937" s="34"/>
      <c r="F937" s="34"/>
      <c r="G937" s="34"/>
      <c r="H937" s="34"/>
      <c r="I937" s="33"/>
      <c r="J937" s="34"/>
      <c r="K937" s="70"/>
      <c r="L937" s="5"/>
      <c r="M937" s="5"/>
      <c r="N937" s="5"/>
      <c r="O937" s="5"/>
      <c r="P937" s="5"/>
      <c r="Q937" s="5"/>
    </row>
    <row r="938" spans="1:17" ht="15.95" customHeight="1" x14ac:dyDescent="0.2">
      <c r="A938" s="38"/>
      <c r="B938" s="33"/>
      <c r="C938" s="34"/>
      <c r="D938" s="34"/>
      <c r="E938" s="34"/>
      <c r="F938" s="34"/>
      <c r="G938" s="34"/>
      <c r="H938" s="34"/>
      <c r="I938" s="33"/>
      <c r="J938" s="34"/>
      <c r="K938" s="70"/>
      <c r="L938" s="5"/>
      <c r="M938" s="5"/>
      <c r="N938" s="5"/>
      <c r="O938" s="5"/>
      <c r="P938" s="5"/>
      <c r="Q938" s="5"/>
    </row>
    <row r="939" spans="1:17" ht="15.95" customHeight="1" x14ac:dyDescent="0.2">
      <c r="A939" s="38"/>
      <c r="B939" s="33"/>
      <c r="C939" s="34"/>
      <c r="D939" s="34"/>
      <c r="E939" s="34"/>
      <c r="F939" s="34"/>
      <c r="G939" s="34"/>
      <c r="H939" s="34"/>
      <c r="I939" s="33"/>
      <c r="J939" s="34"/>
      <c r="K939" s="70"/>
      <c r="L939" s="5"/>
      <c r="M939" s="5"/>
      <c r="N939" s="5"/>
      <c r="O939" s="5"/>
      <c r="P939" s="5"/>
      <c r="Q939" s="5"/>
    </row>
    <row r="940" spans="1:17" ht="15.95" customHeight="1" x14ac:dyDescent="0.2">
      <c r="A940" s="38"/>
      <c r="B940" s="33"/>
      <c r="C940" s="34"/>
      <c r="D940" s="34"/>
      <c r="E940" s="34"/>
      <c r="F940" s="34"/>
      <c r="G940" s="34"/>
      <c r="H940" s="34"/>
      <c r="I940" s="33"/>
      <c r="J940" s="34"/>
      <c r="K940" s="70"/>
      <c r="L940" s="5"/>
      <c r="M940" s="5"/>
      <c r="N940" s="5"/>
      <c r="O940" s="5"/>
      <c r="P940" s="5"/>
      <c r="Q940" s="5"/>
    </row>
    <row r="941" spans="1:17" ht="15.95" customHeight="1" x14ac:dyDescent="0.2">
      <c r="A941" s="38"/>
      <c r="B941" s="33"/>
      <c r="C941" s="34"/>
      <c r="D941" s="34"/>
      <c r="E941" s="34"/>
      <c r="F941" s="34"/>
      <c r="G941" s="34"/>
      <c r="H941" s="34"/>
      <c r="I941" s="33"/>
      <c r="J941" s="34"/>
      <c r="K941" s="70"/>
      <c r="L941" s="5"/>
      <c r="M941" s="5"/>
      <c r="N941" s="5"/>
      <c r="O941" s="5"/>
      <c r="P941" s="5"/>
      <c r="Q941" s="5"/>
    </row>
    <row r="942" spans="1:17" ht="15.95" customHeight="1" x14ac:dyDescent="0.2">
      <c r="A942" s="38"/>
      <c r="B942" s="33"/>
      <c r="C942" s="34"/>
      <c r="D942" s="34"/>
      <c r="E942" s="34"/>
      <c r="F942" s="34"/>
      <c r="G942" s="34"/>
      <c r="H942" s="34"/>
      <c r="I942" s="33"/>
      <c r="J942" s="34"/>
      <c r="K942" s="70"/>
      <c r="L942" s="5"/>
      <c r="M942" s="5"/>
      <c r="N942" s="5"/>
      <c r="O942" s="5"/>
      <c r="P942" s="5"/>
      <c r="Q942" s="5"/>
    </row>
    <row r="943" spans="1:17" ht="15.95" customHeight="1" x14ac:dyDescent="0.2">
      <c r="A943" s="38"/>
      <c r="B943" s="33"/>
      <c r="C943" s="34"/>
      <c r="D943" s="34"/>
      <c r="E943" s="34"/>
      <c r="F943" s="34"/>
      <c r="G943" s="34"/>
      <c r="H943" s="34"/>
      <c r="I943" s="33"/>
      <c r="J943" s="34"/>
      <c r="K943" s="70"/>
      <c r="L943" s="5"/>
      <c r="M943" s="5"/>
      <c r="N943" s="5"/>
      <c r="O943" s="5"/>
      <c r="P943" s="5"/>
      <c r="Q943" s="5"/>
    </row>
    <row r="944" spans="1:17" ht="15.95" customHeight="1" x14ac:dyDescent="0.2">
      <c r="A944" s="38"/>
      <c r="B944" s="33"/>
      <c r="C944" s="34"/>
      <c r="D944" s="34"/>
      <c r="E944" s="34"/>
      <c r="F944" s="34"/>
      <c r="G944" s="34"/>
      <c r="H944" s="34"/>
      <c r="I944" s="33"/>
      <c r="J944" s="34"/>
      <c r="K944" s="70"/>
      <c r="L944" s="5"/>
      <c r="M944" s="5"/>
      <c r="N944" s="5"/>
      <c r="O944" s="5"/>
      <c r="P944" s="5"/>
      <c r="Q944" s="5"/>
    </row>
    <row r="945" spans="1:17" ht="15.95" customHeight="1" x14ac:dyDescent="0.2">
      <c r="A945" s="38"/>
      <c r="B945" s="33"/>
      <c r="C945" s="34"/>
      <c r="D945" s="34"/>
      <c r="E945" s="34"/>
      <c r="F945" s="34"/>
      <c r="G945" s="34"/>
      <c r="H945" s="34"/>
      <c r="I945" s="33"/>
      <c r="J945" s="34"/>
      <c r="K945" s="70"/>
      <c r="L945" s="5"/>
      <c r="M945" s="5"/>
      <c r="N945" s="5"/>
      <c r="O945" s="5"/>
      <c r="P945" s="5"/>
      <c r="Q945" s="5"/>
    </row>
    <row r="946" spans="1:17" ht="15.95" customHeight="1" x14ac:dyDescent="0.2">
      <c r="A946" s="38"/>
      <c r="B946" s="33"/>
      <c r="C946" s="34"/>
      <c r="D946" s="34"/>
      <c r="E946" s="34"/>
      <c r="F946" s="34"/>
      <c r="G946" s="34"/>
      <c r="H946" s="34"/>
      <c r="I946" s="33"/>
      <c r="J946" s="34"/>
      <c r="K946" s="70"/>
      <c r="L946" s="5"/>
      <c r="M946" s="5"/>
      <c r="N946" s="5"/>
      <c r="O946" s="5"/>
      <c r="P946" s="5"/>
      <c r="Q946" s="5"/>
    </row>
    <row r="947" spans="1:17" ht="15.95" customHeight="1" x14ac:dyDescent="0.2">
      <c r="A947" s="38"/>
      <c r="B947" s="33"/>
      <c r="C947" s="34"/>
      <c r="D947" s="34"/>
      <c r="E947" s="34"/>
      <c r="F947" s="34"/>
      <c r="G947" s="34"/>
      <c r="H947" s="34"/>
      <c r="I947" s="33"/>
      <c r="J947" s="34"/>
      <c r="K947" s="70"/>
      <c r="L947" s="5"/>
      <c r="M947" s="5"/>
      <c r="N947" s="5"/>
      <c r="O947" s="5"/>
      <c r="P947" s="5"/>
      <c r="Q947" s="5"/>
    </row>
    <row r="948" spans="1:17" ht="15.95" customHeight="1" x14ac:dyDescent="0.2">
      <c r="A948" s="38"/>
      <c r="B948" s="33"/>
      <c r="C948" s="34"/>
      <c r="D948" s="34"/>
      <c r="E948" s="34"/>
      <c r="F948" s="34"/>
      <c r="G948" s="34"/>
      <c r="H948" s="34"/>
      <c r="I948" s="33"/>
      <c r="J948" s="34"/>
      <c r="K948" s="70"/>
      <c r="L948" s="5"/>
      <c r="M948" s="5"/>
      <c r="N948" s="5"/>
      <c r="O948" s="5"/>
      <c r="P948" s="5"/>
      <c r="Q948" s="5"/>
    </row>
    <row r="949" spans="1:17" ht="15.95" customHeight="1" x14ac:dyDescent="0.2">
      <c r="A949" s="38"/>
      <c r="B949" s="33"/>
      <c r="C949" s="34"/>
      <c r="D949" s="34"/>
      <c r="E949" s="34"/>
      <c r="F949" s="34"/>
      <c r="G949" s="34"/>
      <c r="H949" s="34"/>
      <c r="I949" s="33"/>
      <c r="J949" s="34"/>
      <c r="K949" s="70"/>
      <c r="L949" s="5"/>
      <c r="M949" s="5"/>
      <c r="N949" s="5"/>
      <c r="O949" s="5"/>
      <c r="P949" s="5"/>
      <c r="Q949" s="5"/>
    </row>
    <row r="950" spans="1:17" ht="15.95" customHeight="1" x14ac:dyDescent="0.2">
      <c r="A950" s="38"/>
      <c r="B950" s="33"/>
      <c r="C950" s="34"/>
      <c r="D950" s="34"/>
      <c r="E950" s="34"/>
      <c r="F950" s="34"/>
      <c r="G950" s="34"/>
      <c r="H950" s="34"/>
      <c r="I950" s="33"/>
      <c r="J950" s="34"/>
      <c r="K950" s="70"/>
      <c r="L950" s="5"/>
      <c r="M950" s="5"/>
      <c r="N950" s="5"/>
      <c r="O950" s="5"/>
      <c r="P950" s="5"/>
      <c r="Q950" s="5"/>
    </row>
    <row r="951" spans="1:17" ht="15.95" customHeight="1" x14ac:dyDescent="0.2">
      <c r="A951" s="38"/>
      <c r="B951" s="33"/>
      <c r="C951" s="34"/>
      <c r="D951" s="34"/>
      <c r="E951" s="34"/>
      <c r="F951" s="34"/>
      <c r="G951" s="34"/>
      <c r="H951" s="34"/>
      <c r="I951" s="33"/>
      <c r="J951" s="34"/>
      <c r="K951" s="70"/>
      <c r="L951" s="5"/>
      <c r="M951" s="5"/>
      <c r="N951" s="5"/>
      <c r="O951" s="5"/>
      <c r="P951" s="5"/>
      <c r="Q951" s="5"/>
    </row>
    <row r="952" spans="1:17" ht="15.95" customHeight="1" x14ac:dyDescent="0.2">
      <c r="A952" s="38"/>
      <c r="B952" s="33"/>
      <c r="C952" s="34"/>
      <c r="D952" s="34"/>
      <c r="E952" s="34"/>
      <c r="F952" s="34"/>
      <c r="G952" s="34"/>
      <c r="H952" s="34"/>
      <c r="I952" s="33"/>
      <c r="J952" s="34"/>
      <c r="K952" s="70"/>
      <c r="L952" s="5"/>
      <c r="M952" s="5"/>
      <c r="N952" s="5"/>
      <c r="O952" s="5"/>
      <c r="P952" s="5"/>
      <c r="Q952" s="5"/>
    </row>
    <row r="953" spans="1:17" ht="15.95" customHeight="1" x14ac:dyDescent="0.2">
      <c r="A953" s="38"/>
      <c r="B953" s="33"/>
      <c r="C953" s="34"/>
      <c r="D953" s="34"/>
      <c r="E953" s="34"/>
      <c r="F953" s="34"/>
      <c r="G953" s="34"/>
      <c r="H953" s="34"/>
      <c r="I953" s="33"/>
      <c r="J953" s="34"/>
      <c r="K953" s="70"/>
      <c r="L953" s="5"/>
      <c r="M953" s="5"/>
      <c r="N953" s="5"/>
      <c r="O953" s="5"/>
      <c r="P953" s="5"/>
      <c r="Q953" s="5"/>
    </row>
    <row r="954" spans="1:17" ht="15.95" customHeight="1" x14ac:dyDescent="0.2">
      <c r="A954" s="38"/>
      <c r="B954" s="33"/>
      <c r="C954" s="34"/>
      <c r="D954" s="34"/>
      <c r="E954" s="34"/>
      <c r="F954" s="34"/>
      <c r="G954" s="34"/>
      <c r="H954" s="34"/>
      <c r="I954" s="33"/>
      <c r="J954" s="34"/>
      <c r="K954" s="70"/>
      <c r="L954" s="5"/>
      <c r="M954" s="5"/>
      <c r="N954" s="5"/>
      <c r="O954" s="5"/>
      <c r="P954" s="5"/>
      <c r="Q954" s="5"/>
    </row>
    <row r="955" spans="1:17" ht="15.95" customHeight="1" x14ac:dyDescent="0.2">
      <c r="A955" s="38"/>
      <c r="B955" s="33"/>
      <c r="C955" s="34"/>
      <c r="D955" s="34"/>
      <c r="E955" s="34"/>
      <c r="F955" s="34"/>
      <c r="G955" s="34"/>
      <c r="H955" s="34"/>
      <c r="I955" s="33"/>
      <c r="J955" s="34"/>
      <c r="K955" s="70"/>
      <c r="L955" s="5"/>
      <c r="M955" s="5"/>
      <c r="N955" s="5"/>
      <c r="O955" s="5"/>
      <c r="P955" s="5"/>
      <c r="Q955" s="5"/>
    </row>
    <row r="956" spans="1:17" ht="15.95" customHeight="1" x14ac:dyDescent="0.2">
      <c r="A956" s="38"/>
      <c r="B956" s="33"/>
      <c r="C956" s="34"/>
      <c r="D956" s="34"/>
      <c r="E956" s="34"/>
      <c r="F956" s="34"/>
      <c r="G956" s="34"/>
      <c r="H956" s="34"/>
      <c r="I956" s="33"/>
      <c r="J956" s="34"/>
      <c r="K956" s="70"/>
      <c r="L956" s="5"/>
      <c r="M956" s="5"/>
      <c r="N956" s="5"/>
      <c r="O956" s="5"/>
      <c r="P956" s="5"/>
      <c r="Q956" s="5"/>
    </row>
    <row r="957" spans="1:17" ht="15.95" customHeight="1" x14ac:dyDescent="0.2">
      <c r="A957" s="38"/>
      <c r="B957" s="33"/>
      <c r="C957" s="34"/>
      <c r="D957" s="34"/>
      <c r="E957" s="34"/>
      <c r="F957" s="34"/>
      <c r="G957" s="34"/>
      <c r="H957" s="34"/>
      <c r="I957" s="33"/>
      <c r="J957" s="34"/>
      <c r="K957" s="70"/>
      <c r="L957" s="5"/>
      <c r="M957" s="5"/>
      <c r="N957" s="5"/>
      <c r="O957" s="5"/>
      <c r="P957" s="5"/>
      <c r="Q957" s="5"/>
    </row>
    <row r="958" spans="1:17" ht="15.95" customHeight="1" x14ac:dyDescent="0.2">
      <c r="A958" s="38"/>
      <c r="B958" s="33"/>
      <c r="C958" s="34"/>
      <c r="D958" s="34"/>
      <c r="E958" s="34"/>
      <c r="F958" s="34"/>
      <c r="G958" s="34"/>
      <c r="H958" s="34"/>
      <c r="I958" s="33"/>
      <c r="J958" s="34"/>
      <c r="K958" s="70"/>
      <c r="L958" s="5"/>
      <c r="M958" s="5"/>
      <c r="N958" s="5"/>
      <c r="O958" s="5"/>
      <c r="P958" s="5"/>
      <c r="Q958" s="5"/>
    </row>
    <row r="959" spans="1:17" ht="15.95" customHeight="1" x14ac:dyDescent="0.2">
      <c r="A959" s="38"/>
      <c r="B959" s="33"/>
      <c r="C959" s="34"/>
      <c r="D959" s="34"/>
      <c r="E959" s="34"/>
      <c r="F959" s="34"/>
      <c r="G959" s="34"/>
      <c r="H959" s="34"/>
      <c r="I959" s="33"/>
      <c r="J959" s="34"/>
      <c r="K959" s="70"/>
      <c r="L959" s="5"/>
      <c r="M959" s="5"/>
      <c r="N959" s="5"/>
      <c r="O959" s="5"/>
      <c r="P959" s="5"/>
      <c r="Q959" s="5"/>
    </row>
    <row r="960" spans="1:17" ht="15.95" customHeight="1" x14ac:dyDescent="0.2">
      <c r="A960" s="38"/>
      <c r="B960" s="33"/>
      <c r="C960" s="34"/>
      <c r="D960" s="34"/>
      <c r="E960" s="34"/>
      <c r="F960" s="34"/>
      <c r="G960" s="34"/>
      <c r="H960" s="34"/>
      <c r="I960" s="33"/>
      <c r="J960" s="34"/>
      <c r="K960" s="70"/>
      <c r="L960" s="5"/>
      <c r="M960" s="5"/>
      <c r="N960" s="5"/>
      <c r="O960" s="5"/>
      <c r="P960" s="5"/>
      <c r="Q960" s="5"/>
    </row>
    <row r="961" spans="1:17" ht="15.95" customHeight="1" x14ac:dyDescent="0.2">
      <c r="A961" s="38"/>
      <c r="B961" s="33"/>
      <c r="C961" s="34"/>
      <c r="D961" s="34"/>
      <c r="E961" s="34"/>
      <c r="F961" s="34"/>
      <c r="G961" s="34"/>
      <c r="H961" s="34"/>
      <c r="I961" s="33"/>
      <c r="J961" s="34"/>
      <c r="K961" s="70"/>
      <c r="L961" s="5"/>
      <c r="M961" s="5"/>
      <c r="N961" s="5"/>
      <c r="O961" s="5"/>
      <c r="P961" s="5"/>
      <c r="Q961" s="5"/>
    </row>
    <row r="962" spans="1:17" ht="15.95" customHeight="1" x14ac:dyDescent="0.2">
      <c r="A962" s="38"/>
      <c r="B962" s="33"/>
      <c r="C962" s="34"/>
      <c r="D962" s="34"/>
      <c r="E962" s="34"/>
      <c r="F962" s="34"/>
      <c r="G962" s="34"/>
      <c r="H962" s="34"/>
      <c r="I962" s="33"/>
      <c r="J962" s="34"/>
      <c r="K962" s="70"/>
      <c r="L962" s="5"/>
      <c r="M962" s="5"/>
      <c r="N962" s="5"/>
      <c r="O962" s="5"/>
      <c r="P962" s="5"/>
      <c r="Q962" s="5"/>
    </row>
    <row r="963" spans="1:17" ht="15.95" customHeight="1" x14ac:dyDescent="0.2">
      <c r="A963" s="38"/>
      <c r="B963" s="33"/>
      <c r="C963" s="34"/>
      <c r="D963" s="34"/>
      <c r="E963" s="34"/>
      <c r="F963" s="34"/>
      <c r="G963" s="34"/>
      <c r="H963" s="34"/>
      <c r="I963" s="33"/>
      <c r="J963" s="34"/>
      <c r="K963" s="70"/>
      <c r="L963" s="5"/>
      <c r="M963" s="5"/>
      <c r="N963" s="5"/>
      <c r="O963" s="5"/>
      <c r="P963" s="5"/>
      <c r="Q963" s="5"/>
    </row>
    <row r="964" spans="1:17" ht="15.95" customHeight="1" x14ac:dyDescent="0.2">
      <c r="A964" s="38"/>
      <c r="B964" s="33"/>
      <c r="C964" s="34"/>
      <c r="D964" s="34"/>
      <c r="E964" s="34"/>
      <c r="F964" s="34"/>
      <c r="G964" s="34"/>
      <c r="H964" s="34"/>
      <c r="I964" s="33"/>
      <c r="J964" s="34"/>
      <c r="K964" s="70"/>
      <c r="L964" s="5"/>
      <c r="M964" s="5"/>
      <c r="N964" s="5"/>
      <c r="O964" s="5"/>
      <c r="P964" s="5"/>
      <c r="Q964" s="5"/>
    </row>
    <row r="965" spans="1:17" ht="15.95" customHeight="1" x14ac:dyDescent="0.2">
      <c r="A965" s="38"/>
      <c r="B965" s="33"/>
      <c r="C965" s="34"/>
      <c r="D965" s="34"/>
      <c r="E965" s="34"/>
      <c r="F965" s="34"/>
      <c r="G965" s="34"/>
      <c r="H965" s="34"/>
      <c r="I965" s="33"/>
      <c r="J965" s="34"/>
      <c r="K965" s="70"/>
      <c r="L965" s="5"/>
      <c r="M965" s="5"/>
      <c r="N965" s="5"/>
      <c r="O965" s="5"/>
      <c r="P965" s="5"/>
      <c r="Q965" s="5"/>
    </row>
    <row r="966" spans="1:17" ht="15.95" customHeight="1" x14ac:dyDescent="0.2">
      <c r="A966" s="38"/>
      <c r="B966" s="33"/>
      <c r="C966" s="34"/>
      <c r="D966" s="34"/>
      <c r="E966" s="34"/>
      <c r="F966" s="34"/>
      <c r="G966" s="34"/>
      <c r="H966" s="34"/>
      <c r="I966" s="33"/>
      <c r="J966" s="34"/>
      <c r="K966" s="70"/>
      <c r="L966" s="5"/>
      <c r="M966" s="5"/>
      <c r="N966" s="5"/>
      <c r="O966" s="5"/>
      <c r="P966" s="5"/>
      <c r="Q966" s="5"/>
    </row>
    <row r="967" spans="1:17" ht="15.95" customHeight="1" x14ac:dyDescent="0.2">
      <c r="A967" s="38"/>
      <c r="B967" s="33"/>
      <c r="C967" s="34"/>
      <c r="D967" s="34"/>
      <c r="E967" s="34"/>
      <c r="F967" s="34"/>
      <c r="G967" s="34"/>
      <c r="H967" s="34"/>
      <c r="I967" s="33"/>
      <c r="J967" s="34"/>
      <c r="K967" s="70"/>
      <c r="L967" s="5"/>
      <c r="M967" s="5"/>
      <c r="N967" s="5"/>
      <c r="O967" s="5"/>
      <c r="P967" s="5"/>
      <c r="Q967" s="5"/>
    </row>
    <row r="968" spans="1:17" ht="15.95" customHeight="1" x14ac:dyDescent="0.2">
      <c r="A968" s="38"/>
      <c r="B968" s="33"/>
      <c r="C968" s="34"/>
      <c r="D968" s="34"/>
      <c r="E968" s="34"/>
      <c r="F968" s="34"/>
      <c r="G968" s="34"/>
      <c r="H968" s="34"/>
      <c r="I968" s="33"/>
      <c r="J968" s="34"/>
      <c r="K968" s="70"/>
      <c r="L968" s="5"/>
      <c r="M968" s="5"/>
      <c r="N968" s="5"/>
      <c r="O968" s="5"/>
      <c r="P968" s="5"/>
      <c r="Q968" s="5"/>
    </row>
    <row r="969" spans="1:17" ht="15.95" customHeight="1" x14ac:dyDescent="0.2">
      <c r="A969" s="38"/>
      <c r="B969" s="33"/>
      <c r="C969" s="34"/>
      <c r="D969" s="34"/>
      <c r="E969" s="34"/>
      <c r="F969" s="34"/>
      <c r="G969" s="34"/>
      <c r="H969" s="34"/>
      <c r="I969" s="33"/>
      <c r="J969" s="34"/>
      <c r="K969" s="70"/>
      <c r="L969" s="5"/>
      <c r="M969" s="5"/>
      <c r="N969" s="5"/>
      <c r="O969" s="5"/>
      <c r="P969" s="5"/>
      <c r="Q969" s="5"/>
    </row>
    <row r="970" spans="1:17" ht="15.95" customHeight="1" x14ac:dyDescent="0.2">
      <c r="A970" s="38"/>
      <c r="B970" s="33"/>
      <c r="C970" s="34"/>
      <c r="D970" s="34"/>
      <c r="E970" s="34"/>
      <c r="F970" s="34"/>
      <c r="G970" s="34"/>
      <c r="H970" s="34"/>
      <c r="I970" s="33"/>
      <c r="J970" s="34"/>
      <c r="K970" s="70"/>
      <c r="L970" s="5"/>
      <c r="M970" s="5"/>
      <c r="N970" s="5"/>
      <c r="O970" s="5"/>
      <c r="P970" s="5"/>
      <c r="Q970" s="5"/>
    </row>
    <row r="971" spans="1:17" ht="15.95" customHeight="1" x14ac:dyDescent="0.2">
      <c r="A971" s="38"/>
      <c r="B971" s="33"/>
      <c r="C971" s="34"/>
      <c r="D971" s="34"/>
      <c r="E971" s="34"/>
      <c r="F971" s="34"/>
      <c r="G971" s="34"/>
      <c r="H971" s="34"/>
      <c r="I971" s="33"/>
      <c r="J971" s="34"/>
      <c r="K971" s="70"/>
      <c r="L971" s="5"/>
      <c r="M971" s="5"/>
      <c r="N971" s="5"/>
      <c r="O971" s="5"/>
      <c r="P971" s="5"/>
      <c r="Q971" s="5"/>
    </row>
    <row r="972" spans="1:17" ht="15.95" customHeight="1" x14ac:dyDescent="0.2">
      <c r="A972" s="38"/>
      <c r="B972" s="33"/>
      <c r="C972" s="34"/>
      <c r="D972" s="34"/>
      <c r="E972" s="34"/>
      <c r="F972" s="34"/>
      <c r="G972" s="34"/>
      <c r="H972" s="34"/>
      <c r="I972" s="33"/>
      <c r="J972" s="34"/>
      <c r="K972" s="70"/>
      <c r="L972" s="5"/>
      <c r="M972" s="5"/>
      <c r="N972" s="5"/>
      <c r="O972" s="5"/>
      <c r="P972" s="5"/>
      <c r="Q972" s="5"/>
    </row>
    <row r="973" spans="1:17" ht="15.95" customHeight="1" x14ac:dyDescent="0.2">
      <c r="A973" s="38"/>
      <c r="B973" s="33"/>
      <c r="C973" s="34"/>
      <c r="D973" s="34"/>
      <c r="E973" s="34"/>
      <c r="F973" s="34"/>
      <c r="G973" s="34"/>
      <c r="H973" s="34"/>
      <c r="I973" s="33"/>
      <c r="J973" s="34"/>
      <c r="K973" s="70"/>
      <c r="L973" s="5"/>
      <c r="M973" s="5"/>
      <c r="N973" s="5"/>
      <c r="O973" s="5"/>
      <c r="P973" s="5"/>
      <c r="Q973" s="5"/>
    </row>
    <row r="974" spans="1:17" ht="15.95" customHeight="1" x14ac:dyDescent="0.2">
      <c r="A974" s="38"/>
      <c r="B974" s="33"/>
      <c r="C974" s="34"/>
      <c r="D974" s="34"/>
      <c r="E974" s="34"/>
      <c r="F974" s="34"/>
      <c r="G974" s="34"/>
      <c r="H974" s="34"/>
      <c r="I974" s="33"/>
      <c r="J974" s="34"/>
      <c r="K974" s="70"/>
      <c r="L974" s="5"/>
      <c r="M974" s="5"/>
      <c r="N974" s="5"/>
      <c r="O974" s="5"/>
      <c r="P974" s="5"/>
      <c r="Q974" s="5"/>
    </row>
    <row r="975" spans="1:17" ht="15.95" customHeight="1" x14ac:dyDescent="0.2">
      <c r="A975" s="38"/>
      <c r="B975" s="33"/>
      <c r="C975" s="34"/>
      <c r="D975" s="34"/>
      <c r="E975" s="34"/>
      <c r="F975" s="34"/>
      <c r="G975" s="34"/>
      <c r="H975" s="34"/>
      <c r="I975" s="33"/>
      <c r="J975" s="34"/>
      <c r="K975" s="70"/>
      <c r="L975" s="5"/>
      <c r="M975" s="5"/>
      <c r="N975" s="5"/>
      <c r="O975" s="5"/>
      <c r="P975" s="5"/>
      <c r="Q975" s="5"/>
    </row>
    <row r="976" spans="1:17" ht="15.95" customHeight="1" x14ac:dyDescent="0.2">
      <c r="A976" s="38"/>
      <c r="B976" s="33"/>
      <c r="C976" s="34"/>
      <c r="D976" s="34"/>
      <c r="E976" s="34"/>
      <c r="F976" s="34"/>
      <c r="G976" s="34"/>
      <c r="H976" s="34"/>
      <c r="I976" s="33"/>
      <c r="J976" s="34"/>
      <c r="K976" s="70"/>
      <c r="L976" s="5"/>
      <c r="M976" s="5"/>
      <c r="N976" s="5"/>
      <c r="O976" s="5"/>
      <c r="P976" s="5"/>
      <c r="Q976" s="5"/>
    </row>
    <row r="977" spans="1:17" ht="15.95" customHeight="1" x14ac:dyDescent="0.2">
      <c r="A977" s="38"/>
      <c r="B977" s="33"/>
      <c r="C977" s="34"/>
      <c r="D977" s="34"/>
      <c r="E977" s="34"/>
      <c r="F977" s="34"/>
      <c r="G977" s="34"/>
      <c r="H977" s="34"/>
      <c r="I977" s="33"/>
      <c r="J977" s="34"/>
      <c r="K977" s="70"/>
      <c r="L977" s="5"/>
      <c r="M977" s="5"/>
      <c r="N977" s="5"/>
      <c r="O977" s="5"/>
      <c r="P977" s="5"/>
      <c r="Q977" s="5"/>
    </row>
    <row r="978" spans="1:17" ht="15.95" customHeight="1" x14ac:dyDescent="0.2">
      <c r="A978" s="38"/>
      <c r="B978" s="33"/>
      <c r="C978" s="34"/>
      <c r="D978" s="34"/>
      <c r="E978" s="34"/>
      <c r="F978" s="34"/>
      <c r="G978" s="34"/>
      <c r="H978" s="34"/>
      <c r="I978" s="33"/>
      <c r="J978" s="34"/>
      <c r="K978" s="70"/>
      <c r="L978" s="5"/>
      <c r="M978" s="5"/>
      <c r="N978" s="5"/>
      <c r="O978" s="5"/>
      <c r="P978" s="5"/>
      <c r="Q978" s="5"/>
    </row>
    <row r="979" spans="1:17" ht="15.95" customHeight="1" x14ac:dyDescent="0.2">
      <c r="A979" s="38"/>
      <c r="B979" s="33"/>
      <c r="C979" s="34"/>
      <c r="D979" s="34"/>
      <c r="E979" s="34"/>
      <c r="F979" s="34"/>
      <c r="G979" s="34"/>
      <c r="H979" s="34"/>
      <c r="I979" s="33"/>
      <c r="J979" s="34"/>
      <c r="K979" s="70"/>
      <c r="L979" s="5"/>
      <c r="M979" s="5"/>
      <c r="N979" s="5"/>
      <c r="O979" s="5"/>
      <c r="P979" s="5"/>
      <c r="Q979" s="5"/>
    </row>
    <row r="980" spans="1:17" ht="15.95" customHeight="1" x14ac:dyDescent="0.2">
      <c r="A980" s="38"/>
      <c r="B980" s="33"/>
      <c r="C980" s="34"/>
      <c r="D980" s="34"/>
      <c r="E980" s="34"/>
      <c r="F980" s="34"/>
      <c r="G980" s="34"/>
      <c r="H980" s="34"/>
      <c r="I980" s="33"/>
      <c r="J980" s="34"/>
      <c r="K980" s="70"/>
      <c r="L980" s="5"/>
      <c r="M980" s="5"/>
      <c r="N980" s="5"/>
      <c r="O980" s="5"/>
      <c r="P980" s="5"/>
      <c r="Q980" s="5"/>
    </row>
    <row r="981" spans="1:17" ht="15.95" customHeight="1" x14ac:dyDescent="0.2">
      <c r="A981" s="38"/>
      <c r="B981" s="33"/>
      <c r="C981" s="34"/>
      <c r="D981" s="34"/>
      <c r="E981" s="34"/>
      <c r="F981" s="34"/>
      <c r="G981" s="34"/>
      <c r="H981" s="34"/>
      <c r="I981" s="33"/>
      <c r="J981" s="34"/>
      <c r="K981" s="70"/>
      <c r="L981" s="5"/>
      <c r="M981" s="5"/>
      <c r="N981" s="5"/>
      <c r="O981" s="5"/>
      <c r="P981" s="5"/>
      <c r="Q981" s="5"/>
    </row>
    <row r="982" spans="1:17" ht="15.95" customHeight="1" x14ac:dyDescent="0.2">
      <c r="A982" s="38"/>
      <c r="B982" s="33"/>
      <c r="C982" s="34"/>
      <c r="D982" s="34"/>
      <c r="E982" s="34"/>
      <c r="F982" s="34"/>
      <c r="G982" s="34"/>
      <c r="H982" s="34"/>
      <c r="I982" s="33"/>
      <c r="J982" s="34"/>
      <c r="K982" s="70"/>
      <c r="L982" s="5"/>
      <c r="M982" s="5"/>
      <c r="N982" s="5"/>
      <c r="O982" s="5"/>
      <c r="P982" s="5"/>
      <c r="Q982" s="5"/>
    </row>
    <row r="983" spans="1:17" ht="15.95" customHeight="1" x14ac:dyDescent="0.2">
      <c r="A983" s="38"/>
      <c r="B983" s="33"/>
      <c r="C983" s="34"/>
      <c r="D983" s="34"/>
      <c r="E983" s="34"/>
      <c r="F983" s="34"/>
      <c r="G983" s="34"/>
      <c r="H983" s="34"/>
      <c r="I983" s="33"/>
      <c r="J983" s="34"/>
      <c r="K983" s="70"/>
      <c r="L983" s="5"/>
      <c r="M983" s="5"/>
      <c r="N983" s="5"/>
      <c r="O983" s="5"/>
      <c r="P983" s="5"/>
      <c r="Q983" s="5"/>
    </row>
    <row r="984" spans="1:17" ht="15.95" customHeight="1" x14ac:dyDescent="0.2">
      <c r="A984" s="38"/>
      <c r="B984" s="33"/>
      <c r="C984" s="34"/>
      <c r="D984" s="34"/>
      <c r="E984" s="34"/>
      <c r="F984" s="34"/>
      <c r="G984" s="34"/>
      <c r="H984" s="34"/>
      <c r="I984" s="33"/>
      <c r="J984" s="34"/>
      <c r="K984" s="70"/>
      <c r="L984" s="5"/>
      <c r="M984" s="5"/>
      <c r="N984" s="5"/>
      <c r="O984" s="5"/>
      <c r="P984" s="5"/>
      <c r="Q984" s="5"/>
    </row>
    <row r="985" spans="1:17" ht="15.95" customHeight="1" x14ac:dyDescent="0.2">
      <c r="A985" s="38"/>
      <c r="B985" s="33"/>
      <c r="C985" s="34"/>
      <c r="D985" s="34"/>
      <c r="E985" s="34"/>
      <c r="F985" s="34"/>
      <c r="G985" s="34"/>
      <c r="H985" s="34"/>
      <c r="I985" s="33"/>
      <c r="J985" s="34"/>
      <c r="K985" s="70"/>
      <c r="L985" s="5"/>
      <c r="M985" s="5"/>
      <c r="N985" s="5"/>
      <c r="O985" s="5"/>
      <c r="P985" s="5"/>
      <c r="Q985" s="5"/>
    </row>
    <row r="986" spans="1:17" ht="15.95" customHeight="1" x14ac:dyDescent="0.2">
      <c r="A986" s="38"/>
      <c r="B986" s="33"/>
      <c r="C986" s="34"/>
      <c r="D986" s="34"/>
      <c r="E986" s="34"/>
      <c r="F986" s="34"/>
      <c r="G986" s="34"/>
      <c r="H986" s="34"/>
      <c r="I986" s="33"/>
      <c r="J986" s="34"/>
      <c r="K986" s="70"/>
      <c r="L986" s="5"/>
      <c r="M986" s="5"/>
      <c r="N986" s="5"/>
      <c r="O986" s="5"/>
      <c r="P986" s="5"/>
      <c r="Q986" s="5"/>
    </row>
    <row r="987" spans="1:17" ht="15.95" customHeight="1" x14ac:dyDescent="0.2">
      <c r="A987" s="38"/>
      <c r="B987" s="33"/>
      <c r="C987" s="34"/>
      <c r="D987" s="34"/>
      <c r="E987" s="34"/>
      <c r="F987" s="34"/>
      <c r="G987" s="34"/>
      <c r="H987" s="34"/>
      <c r="I987" s="33"/>
      <c r="J987" s="34"/>
      <c r="K987" s="70"/>
      <c r="L987" s="5"/>
      <c r="M987" s="5"/>
      <c r="N987" s="5"/>
      <c r="O987" s="5"/>
      <c r="P987" s="5"/>
      <c r="Q987" s="5"/>
    </row>
    <row r="988" spans="1:17" ht="15.95" customHeight="1" x14ac:dyDescent="0.2">
      <c r="A988" s="38"/>
      <c r="B988" s="33"/>
      <c r="C988" s="34"/>
      <c r="D988" s="34"/>
      <c r="E988" s="34"/>
      <c r="F988" s="34"/>
      <c r="G988" s="34"/>
      <c r="H988" s="34"/>
      <c r="I988" s="33"/>
      <c r="J988" s="34"/>
      <c r="K988" s="70"/>
      <c r="L988" s="5"/>
      <c r="M988" s="5"/>
      <c r="N988" s="5"/>
      <c r="O988" s="5"/>
      <c r="P988" s="5"/>
      <c r="Q988" s="5"/>
    </row>
    <row r="989" spans="1:17" ht="15.95" customHeight="1" x14ac:dyDescent="0.2">
      <c r="A989" s="38"/>
      <c r="B989" s="33"/>
      <c r="C989" s="34"/>
      <c r="D989" s="34"/>
      <c r="E989" s="34"/>
      <c r="F989" s="34"/>
      <c r="G989" s="34"/>
      <c r="H989" s="34"/>
      <c r="I989" s="33"/>
      <c r="J989" s="34"/>
      <c r="K989" s="70"/>
      <c r="L989" s="5"/>
      <c r="M989" s="5"/>
      <c r="N989" s="5"/>
      <c r="O989" s="5"/>
      <c r="P989" s="5"/>
      <c r="Q989" s="5"/>
    </row>
    <row r="990" spans="1:17" ht="15.95" customHeight="1" x14ac:dyDescent="0.2">
      <c r="A990" s="38"/>
      <c r="B990" s="33"/>
      <c r="C990" s="34"/>
      <c r="D990" s="34"/>
      <c r="E990" s="34"/>
      <c r="F990" s="34"/>
      <c r="G990" s="34"/>
      <c r="H990" s="34"/>
      <c r="I990" s="33"/>
      <c r="J990" s="34"/>
      <c r="K990" s="70"/>
      <c r="L990" s="5"/>
      <c r="M990" s="5"/>
      <c r="N990" s="5"/>
      <c r="O990" s="5"/>
      <c r="P990" s="5"/>
      <c r="Q990" s="5"/>
    </row>
    <row r="991" spans="1:17" ht="15.95" customHeight="1" x14ac:dyDescent="0.2">
      <c r="A991" s="38"/>
      <c r="B991" s="33"/>
      <c r="C991" s="34"/>
      <c r="D991" s="34"/>
      <c r="E991" s="34"/>
      <c r="F991" s="34"/>
      <c r="G991" s="34"/>
      <c r="H991" s="34"/>
      <c r="I991" s="33"/>
      <c r="J991" s="34"/>
      <c r="K991" s="70"/>
      <c r="L991" s="5"/>
      <c r="M991" s="5"/>
      <c r="N991" s="5"/>
      <c r="O991" s="5"/>
      <c r="P991" s="5"/>
      <c r="Q991" s="5"/>
    </row>
    <row r="992" spans="1:17" ht="15.95" customHeight="1" x14ac:dyDescent="0.2">
      <c r="A992" s="38"/>
      <c r="B992" s="33"/>
      <c r="C992" s="34"/>
      <c r="D992" s="34"/>
      <c r="E992" s="34"/>
      <c r="F992" s="34"/>
      <c r="G992" s="34"/>
      <c r="H992" s="34"/>
      <c r="I992" s="33"/>
      <c r="J992" s="34"/>
      <c r="K992" s="70"/>
      <c r="L992" s="5"/>
      <c r="M992" s="5"/>
      <c r="N992" s="5"/>
      <c r="O992" s="5"/>
      <c r="P992" s="5"/>
      <c r="Q992" s="5"/>
    </row>
    <row r="993" spans="1:17" ht="15.95" customHeight="1" x14ac:dyDescent="0.2">
      <c r="A993" s="38"/>
      <c r="B993" s="33"/>
      <c r="C993" s="34"/>
      <c r="D993" s="34"/>
      <c r="E993" s="34"/>
      <c r="F993" s="34"/>
      <c r="G993" s="34"/>
      <c r="H993" s="34"/>
      <c r="I993" s="33"/>
      <c r="J993" s="34"/>
      <c r="K993" s="70"/>
      <c r="L993" s="5"/>
      <c r="M993" s="5"/>
      <c r="N993" s="5"/>
      <c r="O993" s="5"/>
      <c r="P993" s="5"/>
      <c r="Q993" s="5"/>
    </row>
    <row r="994" spans="1:17" ht="15.95" customHeight="1" x14ac:dyDescent="0.2">
      <c r="A994" s="38"/>
      <c r="B994" s="33"/>
      <c r="C994" s="34"/>
      <c r="D994" s="34"/>
      <c r="E994" s="34"/>
      <c r="F994" s="34"/>
      <c r="G994" s="34"/>
      <c r="H994" s="34"/>
      <c r="I994" s="33"/>
      <c r="J994" s="34"/>
      <c r="K994" s="70"/>
      <c r="L994" s="5"/>
      <c r="M994" s="5"/>
      <c r="N994" s="5"/>
      <c r="O994" s="5"/>
      <c r="P994" s="5"/>
      <c r="Q994" s="5"/>
    </row>
    <row r="995" spans="1:17" ht="15.95" customHeight="1" x14ac:dyDescent="0.2">
      <c r="A995" s="38"/>
      <c r="B995" s="33"/>
      <c r="C995" s="34"/>
      <c r="D995" s="34"/>
      <c r="E995" s="34"/>
      <c r="F995" s="34"/>
      <c r="G995" s="34"/>
      <c r="H995" s="34"/>
      <c r="I995" s="33"/>
      <c r="J995" s="34"/>
      <c r="K995" s="70"/>
      <c r="L995" s="5"/>
      <c r="M995" s="5"/>
      <c r="N995" s="5"/>
      <c r="O995" s="5"/>
      <c r="P995" s="5"/>
      <c r="Q995" s="5"/>
    </row>
    <row r="996" spans="1:17" ht="15.95" customHeight="1" x14ac:dyDescent="0.2">
      <c r="A996" s="38"/>
      <c r="B996" s="33"/>
      <c r="C996" s="34"/>
      <c r="D996" s="34"/>
      <c r="E996" s="34"/>
      <c r="F996" s="34"/>
      <c r="G996" s="34"/>
      <c r="H996" s="34"/>
      <c r="I996" s="33"/>
      <c r="J996" s="34"/>
      <c r="K996" s="70"/>
      <c r="L996" s="5"/>
      <c r="M996" s="5"/>
      <c r="N996" s="5"/>
      <c r="O996" s="5"/>
      <c r="P996" s="5"/>
      <c r="Q996" s="5"/>
    </row>
    <row r="997" spans="1:17" ht="15.95" customHeight="1" x14ac:dyDescent="0.2">
      <c r="A997" s="38"/>
      <c r="B997" s="33"/>
      <c r="C997" s="34"/>
      <c r="D997" s="34"/>
      <c r="E997" s="34"/>
      <c r="F997" s="34"/>
      <c r="G997" s="34"/>
      <c r="H997" s="34"/>
      <c r="I997" s="33"/>
      <c r="J997" s="34"/>
      <c r="K997" s="70"/>
      <c r="L997" s="5"/>
      <c r="M997" s="5"/>
      <c r="N997" s="5"/>
      <c r="O997" s="5"/>
      <c r="P997" s="5"/>
      <c r="Q997" s="5"/>
    </row>
    <row r="998" spans="1:17" ht="15.95" customHeight="1" x14ac:dyDescent="0.2">
      <c r="A998" s="38"/>
      <c r="B998" s="33"/>
      <c r="C998" s="34"/>
      <c r="D998" s="34"/>
      <c r="E998" s="34"/>
      <c r="F998" s="34"/>
      <c r="G998" s="34"/>
      <c r="H998" s="34"/>
      <c r="I998" s="33"/>
      <c r="J998" s="34"/>
      <c r="K998" s="70"/>
      <c r="L998" s="5"/>
      <c r="M998" s="5"/>
      <c r="N998" s="5"/>
      <c r="O998" s="5"/>
      <c r="P998" s="5"/>
      <c r="Q998" s="5"/>
    </row>
    <row r="999" spans="1:17" ht="15.95" customHeight="1" x14ac:dyDescent="0.2">
      <c r="A999" s="38"/>
      <c r="B999" s="33"/>
      <c r="C999" s="34"/>
      <c r="D999" s="34"/>
      <c r="E999" s="34"/>
      <c r="F999" s="34"/>
      <c r="G999" s="34"/>
      <c r="H999" s="34"/>
      <c r="I999" s="33"/>
      <c r="J999" s="34"/>
      <c r="K999" s="70"/>
      <c r="L999" s="5"/>
      <c r="M999" s="5"/>
      <c r="N999" s="5"/>
      <c r="O999" s="5"/>
      <c r="P999" s="5"/>
      <c r="Q999" s="5"/>
    </row>
    <row r="1000" spans="1:17" ht="15.95" customHeight="1" x14ac:dyDescent="0.2">
      <c r="A1000" s="38"/>
      <c r="B1000" s="33"/>
      <c r="C1000" s="34"/>
      <c r="D1000" s="34"/>
      <c r="E1000" s="34"/>
      <c r="F1000" s="34"/>
      <c r="G1000" s="34"/>
      <c r="H1000" s="34"/>
      <c r="I1000" s="33"/>
      <c r="J1000" s="34"/>
      <c r="K1000" s="70"/>
      <c r="L1000" s="5"/>
      <c r="M1000" s="5"/>
      <c r="N1000" s="5"/>
      <c r="O1000" s="5"/>
      <c r="P1000" s="5"/>
      <c r="Q1000" s="5"/>
    </row>
    <row r="1001" spans="1:17" ht="15.95" customHeight="1" x14ac:dyDescent="0.2">
      <c r="A1001" s="39"/>
      <c r="B1001" s="36"/>
      <c r="C1001" s="37"/>
      <c r="D1001" s="37"/>
      <c r="E1001" s="37"/>
      <c r="F1001" s="37"/>
      <c r="G1001" s="37"/>
      <c r="H1001" s="37"/>
      <c r="I1001" s="35"/>
      <c r="J1001" s="37"/>
    </row>
    <row r="1002" spans="1:17" ht="15.95" customHeight="1" x14ac:dyDescent="0.2">
      <c r="A1002" s="39"/>
      <c r="B1002" s="36"/>
      <c r="C1002" s="37"/>
      <c r="D1002" s="37"/>
      <c r="E1002" s="37"/>
      <c r="F1002" s="37"/>
      <c r="G1002" s="37"/>
      <c r="H1002" s="37"/>
      <c r="I1002" s="35"/>
      <c r="J1002" s="37"/>
    </row>
    <row r="1003" spans="1:17" ht="15.95" customHeight="1" x14ac:dyDescent="0.2">
      <c r="A1003" s="39"/>
      <c r="B1003" s="36"/>
      <c r="C1003" s="37"/>
      <c r="D1003" s="37"/>
      <c r="E1003" s="37"/>
      <c r="F1003" s="37"/>
      <c r="G1003" s="37"/>
      <c r="H1003" s="37"/>
      <c r="I1003" s="35"/>
      <c r="J1003" s="37"/>
    </row>
    <row r="1004" spans="1:17" ht="15.95" customHeight="1" x14ac:dyDescent="0.2">
      <c r="A1004" s="39"/>
      <c r="B1004" s="36"/>
      <c r="C1004" s="37"/>
      <c r="D1004" s="37"/>
      <c r="E1004" s="37"/>
      <c r="F1004" s="37"/>
      <c r="G1004" s="37"/>
      <c r="H1004" s="37"/>
      <c r="I1004" s="35"/>
      <c r="J1004" s="37"/>
    </row>
    <row r="1005" spans="1:17" ht="15.95" customHeight="1" x14ac:dyDescent="0.2">
      <c r="A1005" s="39"/>
      <c r="B1005" s="36"/>
      <c r="C1005" s="37"/>
      <c r="D1005" s="37"/>
      <c r="E1005" s="37"/>
      <c r="F1005" s="37"/>
      <c r="G1005" s="37"/>
      <c r="H1005" s="37"/>
      <c r="I1005" s="35"/>
      <c r="J1005" s="37"/>
    </row>
    <row r="1006" spans="1:17" ht="15.95" customHeight="1" x14ac:dyDescent="0.2">
      <c r="A1006" s="39"/>
      <c r="B1006" s="36"/>
      <c r="C1006" s="37"/>
      <c r="D1006" s="37"/>
      <c r="E1006" s="37"/>
      <c r="F1006" s="37"/>
      <c r="G1006" s="37"/>
      <c r="H1006" s="37"/>
      <c r="I1006" s="35"/>
      <c r="J1006" s="37"/>
    </row>
    <row r="1007" spans="1:17" ht="15.95" customHeight="1" x14ac:dyDescent="0.2">
      <c r="A1007" s="39"/>
      <c r="B1007" s="36"/>
      <c r="C1007" s="37"/>
      <c r="D1007" s="37"/>
      <c r="E1007" s="37"/>
      <c r="F1007" s="37"/>
      <c r="G1007" s="37"/>
      <c r="H1007" s="37"/>
      <c r="I1007" s="35"/>
      <c r="J1007" s="37"/>
    </row>
    <row r="1008" spans="1:17" ht="15.95" customHeight="1" x14ac:dyDescent="0.2">
      <c r="A1008" s="39"/>
      <c r="B1008" s="36"/>
      <c r="C1008" s="37"/>
      <c r="D1008" s="37"/>
      <c r="E1008" s="37"/>
      <c r="F1008" s="37"/>
      <c r="G1008" s="37"/>
      <c r="H1008" s="37"/>
      <c r="I1008" s="35"/>
      <c r="J1008" s="37"/>
    </row>
    <row r="1009" spans="1:10" ht="15.95" customHeight="1" x14ac:dyDescent="0.2">
      <c r="A1009" s="39"/>
      <c r="B1009" s="36"/>
      <c r="C1009" s="37"/>
      <c r="D1009" s="37"/>
      <c r="E1009" s="37"/>
      <c r="F1009" s="37"/>
      <c r="G1009" s="37"/>
      <c r="H1009" s="37"/>
      <c r="I1009" s="35"/>
      <c r="J1009" s="37"/>
    </row>
    <row r="1010" spans="1:10" ht="15.95" customHeight="1" x14ac:dyDescent="0.2">
      <c r="A1010" s="39"/>
      <c r="B1010" s="36"/>
      <c r="C1010" s="37"/>
      <c r="D1010" s="37"/>
      <c r="E1010" s="37"/>
      <c r="F1010" s="37"/>
      <c r="G1010" s="37"/>
      <c r="H1010" s="37"/>
      <c r="I1010" s="35"/>
      <c r="J1010" s="37"/>
    </row>
    <row r="1011" spans="1:10" ht="15.95" customHeight="1" x14ac:dyDescent="0.2">
      <c r="A1011" s="39"/>
      <c r="B1011" s="36"/>
      <c r="C1011" s="37"/>
      <c r="D1011" s="37"/>
      <c r="E1011" s="37"/>
      <c r="F1011" s="37"/>
      <c r="G1011" s="37"/>
      <c r="H1011" s="37"/>
      <c r="I1011" s="35"/>
      <c r="J1011" s="37"/>
    </row>
    <row r="1012" spans="1:10" ht="15.95" customHeight="1" x14ac:dyDescent="0.2">
      <c r="A1012" s="39"/>
      <c r="B1012" s="36"/>
      <c r="C1012" s="37"/>
      <c r="D1012" s="37"/>
      <c r="E1012" s="37"/>
      <c r="F1012" s="37"/>
      <c r="G1012" s="37"/>
      <c r="H1012" s="37"/>
      <c r="I1012" s="35"/>
      <c r="J1012" s="37"/>
    </row>
    <row r="1013" spans="1:10" ht="15.95" customHeight="1" x14ac:dyDescent="0.2">
      <c r="A1013" s="39"/>
      <c r="B1013" s="36"/>
      <c r="C1013" s="37"/>
      <c r="D1013" s="37"/>
      <c r="E1013" s="37"/>
      <c r="F1013" s="37"/>
      <c r="G1013" s="37"/>
      <c r="H1013" s="37"/>
      <c r="I1013" s="35"/>
      <c r="J1013" s="37"/>
    </row>
    <row r="1014" spans="1:10" ht="15.95" customHeight="1" x14ac:dyDescent="0.2">
      <c r="A1014" s="39"/>
      <c r="B1014" s="36"/>
      <c r="C1014" s="37"/>
      <c r="D1014" s="37"/>
      <c r="E1014" s="37"/>
      <c r="F1014" s="37"/>
      <c r="G1014" s="37"/>
      <c r="H1014" s="37"/>
      <c r="I1014" s="35"/>
      <c r="J1014" s="37"/>
    </row>
    <row r="1015" spans="1:10" ht="15.95" customHeight="1" x14ac:dyDescent="0.2">
      <c r="A1015" s="39"/>
      <c r="B1015" s="36"/>
      <c r="C1015" s="37"/>
      <c r="D1015" s="37"/>
      <c r="E1015" s="37"/>
      <c r="F1015" s="37"/>
      <c r="G1015" s="37"/>
      <c r="H1015" s="37"/>
      <c r="I1015" s="35"/>
      <c r="J1015" s="37"/>
    </row>
    <row r="1016" spans="1:10" ht="15.95" customHeight="1" x14ac:dyDescent="0.2">
      <c r="A1016" s="39"/>
      <c r="B1016" s="36"/>
      <c r="C1016" s="37"/>
      <c r="D1016" s="37"/>
      <c r="E1016" s="37"/>
      <c r="F1016" s="37"/>
      <c r="G1016" s="37"/>
      <c r="H1016" s="37"/>
      <c r="I1016" s="35"/>
      <c r="J1016" s="37"/>
    </row>
    <row r="1017" spans="1:10" ht="15.95" customHeight="1" x14ac:dyDescent="0.2">
      <c r="A1017" s="39"/>
      <c r="B1017" s="36"/>
      <c r="C1017" s="37"/>
      <c r="D1017" s="37"/>
      <c r="E1017" s="37"/>
      <c r="F1017" s="37"/>
      <c r="G1017" s="37"/>
      <c r="H1017" s="37"/>
      <c r="I1017" s="35"/>
      <c r="J1017" s="37"/>
    </row>
    <row r="1018" spans="1:10" ht="15.95" customHeight="1" x14ac:dyDescent="0.2">
      <c r="A1018" s="39"/>
      <c r="B1018" s="36"/>
      <c r="C1018" s="37"/>
      <c r="D1018" s="37"/>
      <c r="E1018" s="37"/>
      <c r="F1018" s="37"/>
      <c r="G1018" s="37"/>
      <c r="H1018" s="37"/>
      <c r="I1018" s="35"/>
      <c r="J1018" s="37"/>
    </row>
    <row r="1019" spans="1:10" ht="15.95" customHeight="1" x14ac:dyDescent="0.2">
      <c r="A1019" s="39"/>
      <c r="B1019" s="36"/>
      <c r="C1019" s="37"/>
      <c r="D1019" s="37"/>
      <c r="E1019" s="37"/>
      <c r="F1019" s="37"/>
      <c r="G1019" s="37"/>
      <c r="H1019" s="37"/>
      <c r="I1019" s="35"/>
      <c r="J1019" s="37"/>
    </row>
    <row r="1020" spans="1:10" ht="15.95" customHeight="1" x14ac:dyDescent="0.2">
      <c r="A1020" s="39"/>
      <c r="B1020" s="36"/>
      <c r="C1020" s="37"/>
      <c r="D1020" s="37"/>
      <c r="E1020" s="37"/>
      <c r="F1020" s="37"/>
      <c r="G1020" s="37"/>
      <c r="H1020" s="37"/>
      <c r="I1020" s="35"/>
      <c r="J1020" s="37"/>
    </row>
    <row r="1021" spans="1:10" ht="15.95" customHeight="1" x14ac:dyDescent="0.2">
      <c r="A1021" s="39"/>
      <c r="B1021" s="36"/>
      <c r="C1021" s="37"/>
      <c r="D1021" s="37"/>
      <c r="E1021" s="37"/>
      <c r="F1021" s="37"/>
      <c r="G1021" s="37"/>
      <c r="H1021" s="37"/>
      <c r="I1021" s="35"/>
      <c r="J1021" s="37"/>
    </row>
    <row r="1022" spans="1:10" ht="15.95" customHeight="1" x14ac:dyDescent="0.2">
      <c r="A1022" s="39"/>
      <c r="B1022" s="36"/>
      <c r="C1022" s="37"/>
      <c r="D1022" s="37"/>
      <c r="E1022" s="37"/>
      <c r="F1022" s="37"/>
      <c r="G1022" s="37"/>
      <c r="H1022" s="37"/>
      <c r="I1022" s="35"/>
      <c r="J1022" s="37"/>
    </row>
    <row r="1023" spans="1:10" ht="15.95" customHeight="1" x14ac:dyDescent="0.2">
      <c r="A1023" s="39"/>
      <c r="B1023" s="36"/>
      <c r="C1023" s="37"/>
      <c r="D1023" s="37"/>
      <c r="E1023" s="37"/>
      <c r="F1023" s="37"/>
      <c r="G1023" s="37"/>
      <c r="H1023" s="37"/>
      <c r="I1023" s="35"/>
      <c r="J1023" s="37"/>
    </row>
    <row r="1024" spans="1:10" ht="15.95" customHeight="1" x14ac:dyDescent="0.2">
      <c r="A1024" s="39"/>
      <c r="B1024" s="36"/>
      <c r="C1024" s="37"/>
      <c r="D1024" s="37"/>
      <c r="E1024" s="37"/>
      <c r="F1024" s="37"/>
      <c r="G1024" s="37"/>
      <c r="H1024" s="37"/>
      <c r="I1024" s="35"/>
      <c r="J1024" s="37"/>
    </row>
    <row r="1025" spans="1:10" ht="15.95" customHeight="1" x14ac:dyDescent="0.2">
      <c r="A1025" s="39"/>
      <c r="B1025" s="36"/>
      <c r="C1025" s="37"/>
      <c r="D1025" s="37"/>
      <c r="E1025" s="37"/>
      <c r="F1025" s="37"/>
      <c r="G1025" s="37"/>
      <c r="H1025" s="37"/>
      <c r="I1025" s="35"/>
      <c r="J1025" s="37"/>
    </row>
    <row r="1026" spans="1:10" ht="15.95" customHeight="1" x14ac:dyDescent="0.2">
      <c r="A1026" s="39"/>
      <c r="B1026" s="36"/>
      <c r="C1026" s="37"/>
      <c r="D1026" s="37"/>
      <c r="E1026" s="37"/>
      <c r="F1026" s="37"/>
      <c r="G1026" s="37"/>
      <c r="H1026" s="37"/>
      <c r="I1026" s="35"/>
      <c r="J1026" s="37"/>
    </row>
    <row r="1027" spans="1:10" ht="15.95" customHeight="1" x14ac:dyDescent="0.2">
      <c r="A1027" s="39"/>
      <c r="B1027" s="36"/>
      <c r="C1027" s="37"/>
      <c r="D1027" s="37"/>
      <c r="E1027" s="37"/>
      <c r="F1027" s="37"/>
      <c r="G1027" s="37"/>
      <c r="H1027" s="37"/>
      <c r="I1027" s="35"/>
      <c r="J1027" s="37"/>
    </row>
    <row r="1028" spans="1:10" ht="15.95" customHeight="1" x14ac:dyDescent="0.2">
      <c r="A1028" s="39"/>
      <c r="B1028" s="36"/>
      <c r="C1028" s="37"/>
      <c r="D1028" s="37"/>
      <c r="E1028" s="37"/>
      <c r="F1028" s="37"/>
      <c r="G1028" s="37"/>
      <c r="H1028" s="37"/>
      <c r="I1028" s="35"/>
      <c r="J1028" s="37"/>
    </row>
    <row r="1029" spans="1:10" ht="15.95" customHeight="1" x14ac:dyDescent="0.2">
      <c r="A1029" s="39"/>
      <c r="B1029" s="36"/>
      <c r="C1029" s="37"/>
      <c r="D1029" s="37"/>
      <c r="E1029" s="37"/>
      <c r="F1029" s="37"/>
      <c r="G1029" s="37"/>
      <c r="H1029" s="37"/>
      <c r="I1029" s="35"/>
      <c r="J1029" s="37"/>
    </row>
    <row r="1030" spans="1:10" ht="15.95" customHeight="1" x14ac:dyDescent="0.2">
      <c r="A1030" s="39"/>
      <c r="B1030" s="36"/>
      <c r="C1030" s="37"/>
      <c r="D1030" s="37"/>
      <c r="E1030" s="37"/>
      <c r="F1030" s="37"/>
      <c r="G1030" s="37"/>
      <c r="H1030" s="37"/>
      <c r="I1030" s="35"/>
      <c r="J1030" s="37"/>
    </row>
    <row r="1031" spans="1:10" ht="15.95" customHeight="1" x14ac:dyDescent="0.2">
      <c r="A1031" s="39"/>
      <c r="B1031" s="36"/>
      <c r="C1031" s="37"/>
      <c r="D1031" s="37"/>
      <c r="E1031" s="37"/>
      <c r="F1031" s="37"/>
      <c r="G1031" s="37"/>
      <c r="H1031" s="37"/>
      <c r="I1031" s="35"/>
      <c r="J1031" s="37"/>
    </row>
    <row r="1032" spans="1:10" ht="15.95" customHeight="1" x14ac:dyDescent="0.2">
      <c r="A1032" s="39"/>
      <c r="B1032" s="36"/>
      <c r="C1032" s="37"/>
      <c r="D1032" s="37"/>
      <c r="E1032" s="37"/>
      <c r="F1032" s="37"/>
      <c r="G1032" s="37"/>
      <c r="H1032" s="37"/>
      <c r="I1032" s="35"/>
      <c r="J1032" s="37"/>
    </row>
    <row r="1033" spans="1:10" ht="15.95" customHeight="1" x14ac:dyDescent="0.2">
      <c r="A1033" s="39"/>
      <c r="B1033" s="36"/>
      <c r="C1033" s="37"/>
      <c r="D1033" s="37"/>
      <c r="E1033" s="37"/>
      <c r="F1033" s="37"/>
      <c r="G1033" s="37"/>
      <c r="H1033" s="37"/>
      <c r="I1033" s="35"/>
      <c r="J1033" s="37"/>
    </row>
    <row r="1034" spans="1:10" ht="15.95" customHeight="1" x14ac:dyDescent="0.2">
      <c r="A1034" s="39"/>
      <c r="B1034" s="36"/>
      <c r="C1034" s="37"/>
      <c r="D1034" s="37"/>
      <c r="E1034" s="37"/>
      <c r="F1034" s="37"/>
      <c r="G1034" s="37"/>
      <c r="H1034" s="37"/>
      <c r="I1034" s="35"/>
      <c r="J1034" s="37"/>
    </row>
    <row r="1035" spans="1:10" ht="15.95" customHeight="1" x14ac:dyDescent="0.2">
      <c r="A1035" s="39"/>
      <c r="B1035" s="36"/>
      <c r="C1035" s="37"/>
      <c r="D1035" s="37"/>
      <c r="E1035" s="37"/>
      <c r="F1035" s="37"/>
      <c r="G1035" s="37"/>
      <c r="H1035" s="37"/>
      <c r="I1035" s="35"/>
      <c r="J1035" s="37"/>
    </row>
    <row r="1036" spans="1:10" ht="15.95" customHeight="1" x14ac:dyDescent="0.2">
      <c r="A1036" s="39"/>
      <c r="B1036" s="36"/>
      <c r="C1036" s="37"/>
      <c r="D1036" s="37"/>
      <c r="E1036" s="37"/>
      <c r="F1036" s="37"/>
      <c r="G1036" s="37"/>
      <c r="H1036" s="37"/>
      <c r="I1036" s="35"/>
      <c r="J1036" s="37"/>
    </row>
    <row r="1037" spans="1:10" ht="15.95" customHeight="1" x14ac:dyDescent="0.2">
      <c r="A1037" s="39"/>
      <c r="B1037" s="36"/>
      <c r="C1037" s="37"/>
      <c r="D1037" s="37"/>
      <c r="E1037" s="37"/>
      <c r="F1037" s="37"/>
      <c r="G1037" s="37"/>
      <c r="H1037" s="37"/>
      <c r="I1037" s="35"/>
      <c r="J1037" s="37"/>
    </row>
    <row r="1038" spans="1:10" ht="15.95" customHeight="1" x14ac:dyDescent="0.2">
      <c r="A1038" s="39"/>
      <c r="B1038" s="36"/>
      <c r="C1038" s="37"/>
      <c r="D1038" s="37"/>
      <c r="E1038" s="37"/>
      <c r="F1038" s="37"/>
      <c r="G1038" s="37"/>
      <c r="H1038" s="37"/>
      <c r="I1038" s="35"/>
      <c r="J1038" s="37"/>
    </row>
    <row r="1039" spans="1:10" ht="15.95" customHeight="1" x14ac:dyDescent="0.2">
      <c r="A1039" s="39"/>
      <c r="B1039" s="36"/>
      <c r="C1039" s="37"/>
      <c r="D1039" s="37"/>
      <c r="E1039" s="37"/>
      <c r="F1039" s="37"/>
      <c r="G1039" s="37"/>
      <c r="H1039" s="37"/>
      <c r="I1039" s="35"/>
      <c r="J1039" s="37"/>
    </row>
    <row r="1040" spans="1:10" ht="15.95" customHeight="1" x14ac:dyDescent="0.2">
      <c r="A1040" s="39"/>
      <c r="B1040" s="36"/>
      <c r="C1040" s="37"/>
      <c r="D1040" s="37"/>
      <c r="E1040" s="37"/>
      <c r="F1040" s="37"/>
      <c r="G1040" s="37"/>
      <c r="H1040" s="37"/>
      <c r="I1040" s="35"/>
      <c r="J1040" s="37"/>
    </row>
    <row r="1041" spans="1:10" ht="15.95" customHeight="1" x14ac:dyDescent="0.2">
      <c r="A1041" s="39"/>
      <c r="B1041" s="36"/>
      <c r="C1041" s="37"/>
      <c r="D1041" s="37"/>
      <c r="E1041" s="37"/>
      <c r="F1041" s="37"/>
      <c r="G1041" s="37"/>
      <c r="H1041" s="37"/>
      <c r="I1041" s="35"/>
      <c r="J1041" s="37"/>
    </row>
    <row r="1042" spans="1:10" ht="15.95" customHeight="1" x14ac:dyDescent="0.2">
      <c r="A1042" s="39"/>
      <c r="B1042" s="36"/>
      <c r="C1042" s="37"/>
      <c r="D1042" s="37"/>
      <c r="E1042" s="37"/>
      <c r="F1042" s="37"/>
      <c r="G1042" s="37"/>
      <c r="H1042" s="37"/>
      <c r="I1042" s="35"/>
      <c r="J1042" s="37"/>
    </row>
    <row r="1043" spans="1:10" ht="15.95" customHeight="1" x14ac:dyDescent="0.2">
      <c r="A1043" s="39"/>
      <c r="B1043" s="36"/>
      <c r="C1043" s="37"/>
      <c r="D1043" s="37"/>
      <c r="E1043" s="37"/>
      <c r="F1043" s="37"/>
      <c r="G1043" s="37"/>
      <c r="H1043" s="37"/>
      <c r="I1043" s="35"/>
      <c r="J1043" s="37"/>
    </row>
    <row r="1044" spans="1:10" ht="15.95" customHeight="1" x14ac:dyDescent="0.2">
      <c r="A1044" s="39"/>
      <c r="B1044" s="36"/>
      <c r="C1044" s="37"/>
      <c r="D1044" s="37"/>
      <c r="E1044" s="37"/>
      <c r="F1044" s="37"/>
      <c r="G1044" s="37"/>
      <c r="H1044" s="37"/>
      <c r="I1044" s="35"/>
      <c r="J1044" s="37"/>
    </row>
    <row r="1045" spans="1:10" ht="15.95" customHeight="1" x14ac:dyDescent="0.2">
      <c r="A1045" s="39"/>
      <c r="B1045" s="36"/>
      <c r="C1045" s="37"/>
      <c r="D1045" s="37"/>
      <c r="E1045" s="37"/>
      <c r="F1045" s="37"/>
      <c r="G1045" s="37"/>
      <c r="H1045" s="37"/>
      <c r="I1045" s="35"/>
      <c r="J1045" s="37"/>
    </row>
    <row r="1046" spans="1:10" ht="15.95" customHeight="1" x14ac:dyDescent="0.2">
      <c r="A1046" s="39"/>
      <c r="B1046" s="36"/>
      <c r="C1046" s="37"/>
      <c r="D1046" s="37"/>
      <c r="E1046" s="37"/>
      <c r="F1046" s="37"/>
      <c r="G1046" s="37"/>
      <c r="H1046" s="37"/>
      <c r="I1046" s="35"/>
      <c r="J1046" s="37"/>
    </row>
    <row r="1047" spans="1:10" ht="15.95" customHeight="1" x14ac:dyDescent="0.2">
      <c r="A1047" s="39"/>
      <c r="B1047" s="36"/>
      <c r="C1047" s="37"/>
      <c r="D1047" s="37"/>
      <c r="E1047" s="37"/>
      <c r="F1047" s="37"/>
      <c r="G1047" s="37"/>
      <c r="H1047" s="37"/>
      <c r="I1047" s="35"/>
      <c r="J1047" s="37"/>
    </row>
    <row r="1048" spans="1:10" ht="15.95" customHeight="1" x14ac:dyDescent="0.2">
      <c r="A1048" s="39"/>
      <c r="B1048" s="36"/>
      <c r="C1048" s="37"/>
      <c r="D1048" s="37"/>
      <c r="E1048" s="37"/>
      <c r="F1048" s="37"/>
      <c r="G1048" s="37"/>
      <c r="H1048" s="37"/>
      <c r="I1048" s="35"/>
      <c r="J1048" s="37"/>
    </row>
    <row r="1049" spans="1:10" ht="15.95" customHeight="1" x14ac:dyDescent="0.2">
      <c r="A1049" s="39"/>
      <c r="B1049" s="36"/>
      <c r="C1049" s="37"/>
      <c r="D1049" s="37"/>
      <c r="E1049" s="37"/>
      <c r="F1049" s="37"/>
      <c r="G1049" s="37"/>
      <c r="H1049" s="37"/>
      <c r="I1049" s="35"/>
      <c r="J1049" s="37"/>
    </row>
    <row r="1050" spans="1:10" ht="15.95" customHeight="1" x14ac:dyDescent="0.2">
      <c r="A1050" s="39"/>
      <c r="B1050" s="36"/>
      <c r="C1050" s="37"/>
      <c r="D1050" s="37"/>
      <c r="E1050" s="37"/>
      <c r="F1050" s="37"/>
      <c r="G1050" s="37"/>
      <c r="H1050" s="37"/>
      <c r="I1050" s="35"/>
      <c r="J1050" s="37"/>
    </row>
    <row r="1051" spans="1:10" ht="15.95" customHeight="1" x14ac:dyDescent="0.2">
      <c r="A1051" s="39"/>
      <c r="B1051" s="36"/>
      <c r="C1051" s="37"/>
      <c r="D1051" s="37"/>
      <c r="E1051" s="37"/>
      <c r="F1051" s="37"/>
      <c r="G1051" s="37"/>
      <c r="H1051" s="37"/>
      <c r="I1051" s="35"/>
      <c r="J1051" s="37"/>
    </row>
    <row r="1052" spans="1:10" ht="15.95" customHeight="1" x14ac:dyDescent="0.2">
      <c r="A1052" s="39"/>
      <c r="B1052" s="36"/>
      <c r="C1052" s="37"/>
      <c r="D1052" s="37"/>
      <c r="E1052" s="37"/>
      <c r="F1052" s="37"/>
      <c r="G1052" s="37"/>
      <c r="H1052" s="37"/>
      <c r="I1052" s="35"/>
      <c r="J1052" s="37"/>
    </row>
    <row r="1053" spans="1:10" ht="15.95" customHeight="1" x14ac:dyDescent="0.2">
      <c r="A1053" s="39"/>
      <c r="B1053" s="36"/>
      <c r="C1053" s="37"/>
      <c r="D1053" s="37"/>
      <c r="E1053" s="37"/>
      <c r="F1053" s="37"/>
      <c r="G1053" s="37"/>
      <c r="H1053" s="37"/>
      <c r="I1053" s="35"/>
      <c r="J1053" s="37"/>
    </row>
    <row r="1054" spans="1:10" ht="15.95" customHeight="1" x14ac:dyDescent="0.2">
      <c r="A1054" s="39"/>
      <c r="B1054" s="36"/>
      <c r="C1054" s="37"/>
      <c r="D1054" s="37"/>
      <c r="E1054" s="37"/>
      <c r="F1054" s="37"/>
      <c r="G1054" s="37"/>
      <c r="H1054" s="37"/>
      <c r="I1054" s="35"/>
      <c r="J1054" s="37"/>
    </row>
    <row r="1055" spans="1:10" ht="15.95" customHeight="1" x14ac:dyDescent="0.2">
      <c r="A1055" s="39"/>
      <c r="B1055" s="36"/>
      <c r="C1055" s="37"/>
      <c r="D1055" s="37"/>
      <c r="E1055" s="37"/>
      <c r="F1055" s="37"/>
      <c r="G1055" s="37"/>
      <c r="H1055" s="37"/>
      <c r="I1055" s="35"/>
      <c r="J1055" s="37"/>
    </row>
    <row r="1056" spans="1:10" ht="15.95" customHeight="1" x14ac:dyDescent="0.2">
      <c r="A1056" s="39"/>
      <c r="B1056" s="36"/>
      <c r="C1056" s="37"/>
      <c r="D1056" s="37"/>
      <c r="E1056" s="37"/>
      <c r="F1056" s="37"/>
      <c r="G1056" s="37"/>
      <c r="H1056" s="37"/>
      <c r="I1056" s="35"/>
      <c r="J1056" s="37"/>
    </row>
    <row r="1057" spans="1:10" ht="15.95" customHeight="1" x14ac:dyDescent="0.2">
      <c r="A1057" s="39"/>
      <c r="B1057" s="36"/>
      <c r="C1057" s="37"/>
      <c r="D1057" s="37"/>
      <c r="E1057" s="37"/>
      <c r="F1057" s="37"/>
      <c r="G1057" s="37"/>
      <c r="H1057" s="37"/>
      <c r="I1057" s="35"/>
      <c r="J1057" s="37"/>
    </row>
    <row r="1058" spans="1:10" ht="15.95" customHeight="1" x14ac:dyDescent="0.2">
      <c r="A1058" s="39"/>
      <c r="B1058" s="36"/>
      <c r="C1058" s="37"/>
      <c r="D1058" s="37"/>
      <c r="E1058" s="37"/>
      <c r="F1058" s="37"/>
      <c r="G1058" s="37"/>
      <c r="H1058" s="37"/>
      <c r="I1058" s="35"/>
      <c r="J1058" s="37"/>
    </row>
    <row r="1059" spans="1:10" ht="15.95" customHeight="1" x14ac:dyDescent="0.2">
      <c r="A1059" s="39"/>
      <c r="B1059" s="36"/>
      <c r="C1059" s="37"/>
      <c r="D1059" s="37"/>
      <c r="E1059" s="37"/>
      <c r="F1059" s="37"/>
      <c r="G1059" s="37"/>
      <c r="H1059" s="37"/>
      <c r="I1059" s="35"/>
      <c r="J1059" s="37"/>
    </row>
    <row r="1060" spans="1:10" ht="15.95" customHeight="1" x14ac:dyDescent="0.2">
      <c r="A1060" s="39"/>
      <c r="B1060" s="36"/>
      <c r="C1060" s="37"/>
      <c r="D1060" s="37"/>
      <c r="E1060" s="37"/>
      <c r="F1060" s="37"/>
      <c r="G1060" s="37"/>
      <c r="H1060" s="37"/>
      <c r="I1060" s="35"/>
      <c r="J1060" s="37"/>
    </row>
    <row r="1061" spans="1:10" ht="15.95" customHeight="1" x14ac:dyDescent="0.2">
      <c r="A1061" s="39"/>
      <c r="B1061" s="36"/>
      <c r="C1061" s="37"/>
      <c r="D1061" s="37"/>
      <c r="E1061" s="37"/>
      <c r="F1061" s="37"/>
      <c r="G1061" s="37"/>
      <c r="H1061" s="37"/>
      <c r="I1061" s="35"/>
      <c r="J1061" s="37"/>
    </row>
    <row r="1062" spans="1:10" ht="15.95" customHeight="1" x14ac:dyDescent="0.2">
      <c r="A1062" s="39"/>
      <c r="B1062" s="36"/>
      <c r="C1062" s="37"/>
      <c r="D1062" s="37"/>
      <c r="E1062" s="37"/>
      <c r="F1062" s="37"/>
      <c r="G1062" s="37"/>
      <c r="H1062" s="37"/>
      <c r="I1062" s="35"/>
      <c r="J1062" s="37"/>
    </row>
    <row r="1063" spans="1:10" ht="15.95" customHeight="1" x14ac:dyDescent="0.2">
      <c r="A1063" s="39"/>
      <c r="B1063" s="36"/>
      <c r="C1063" s="37"/>
      <c r="D1063" s="37"/>
      <c r="E1063" s="37"/>
      <c r="F1063" s="37"/>
      <c r="G1063" s="37"/>
      <c r="H1063" s="37"/>
      <c r="I1063" s="35"/>
      <c r="J1063" s="37"/>
    </row>
    <row r="1064" spans="1:10" ht="15.95" customHeight="1" x14ac:dyDescent="0.2">
      <c r="A1064" s="39"/>
      <c r="B1064" s="36"/>
      <c r="C1064" s="37"/>
      <c r="D1064" s="37"/>
      <c r="E1064" s="37"/>
      <c r="F1064" s="37"/>
      <c r="G1064" s="37"/>
      <c r="H1064" s="37"/>
      <c r="I1064" s="35"/>
      <c r="J1064" s="37"/>
    </row>
    <row r="1065" spans="1:10" ht="15.95" customHeight="1" x14ac:dyDescent="0.2">
      <c r="A1065" s="39"/>
      <c r="B1065" s="36"/>
      <c r="C1065" s="37"/>
      <c r="D1065" s="37"/>
      <c r="E1065" s="37"/>
      <c r="F1065" s="37"/>
      <c r="G1065" s="37"/>
      <c r="H1065" s="37"/>
      <c r="I1065" s="35"/>
      <c r="J1065" s="37"/>
    </row>
    <row r="1066" spans="1:10" ht="15.95" customHeight="1" x14ac:dyDescent="0.2">
      <c r="A1066" s="39"/>
      <c r="B1066" s="36"/>
      <c r="C1066" s="37"/>
      <c r="D1066" s="37"/>
      <c r="E1066" s="37"/>
      <c r="F1066" s="37"/>
      <c r="G1066" s="37"/>
      <c r="H1066" s="37"/>
      <c r="I1066" s="35"/>
      <c r="J1066" s="37"/>
    </row>
    <row r="1067" spans="1:10" ht="15.95" customHeight="1" x14ac:dyDescent="0.2">
      <c r="A1067" s="39"/>
      <c r="B1067" s="36"/>
      <c r="C1067" s="37"/>
      <c r="D1067" s="37"/>
      <c r="E1067" s="37"/>
      <c r="F1067" s="37"/>
      <c r="G1067" s="37"/>
      <c r="H1067" s="37"/>
      <c r="I1067" s="35"/>
      <c r="J1067" s="37"/>
    </row>
    <row r="1068" spans="1:10" ht="15.95" customHeight="1" x14ac:dyDescent="0.2">
      <c r="A1068" s="39"/>
      <c r="B1068" s="36"/>
      <c r="C1068" s="37"/>
      <c r="D1068" s="37"/>
      <c r="E1068" s="37"/>
      <c r="F1068" s="37"/>
      <c r="G1068" s="37"/>
      <c r="H1068" s="37"/>
      <c r="I1068" s="35"/>
      <c r="J1068" s="37"/>
    </row>
    <row r="1069" spans="1:10" ht="15.95" customHeight="1" x14ac:dyDescent="0.2">
      <c r="A1069" s="39"/>
      <c r="B1069" s="36"/>
      <c r="C1069" s="37"/>
      <c r="D1069" s="37"/>
      <c r="E1069" s="37"/>
      <c r="F1069" s="37"/>
      <c r="G1069" s="37"/>
      <c r="H1069" s="37"/>
      <c r="I1069" s="35"/>
      <c r="J1069" s="37"/>
    </row>
    <row r="1070" spans="1:10" ht="15.95" customHeight="1" x14ac:dyDescent="0.2">
      <c r="A1070" s="39"/>
      <c r="B1070" s="36"/>
      <c r="C1070" s="37"/>
      <c r="D1070" s="37"/>
      <c r="E1070" s="37"/>
      <c r="F1070" s="37"/>
      <c r="G1070" s="37"/>
      <c r="H1070" s="37"/>
      <c r="I1070" s="35"/>
      <c r="J1070" s="37"/>
    </row>
    <row r="1071" spans="1:10" ht="15.95" customHeight="1" x14ac:dyDescent="0.2">
      <c r="A1071" s="39"/>
      <c r="B1071" s="36"/>
      <c r="C1071" s="37"/>
      <c r="D1071" s="37"/>
      <c r="E1071" s="37"/>
      <c r="F1071" s="37"/>
      <c r="G1071" s="37"/>
      <c r="H1071" s="37"/>
      <c r="I1071" s="35"/>
      <c r="J1071" s="37"/>
    </row>
    <row r="1072" spans="1:10" ht="15.95" customHeight="1" x14ac:dyDescent="0.2">
      <c r="A1072" s="39"/>
      <c r="B1072" s="36"/>
      <c r="C1072" s="37"/>
      <c r="D1072" s="37"/>
      <c r="E1072" s="37"/>
      <c r="F1072" s="37"/>
      <c r="G1072" s="37"/>
      <c r="H1072" s="37"/>
      <c r="I1072" s="35"/>
      <c r="J1072" s="37"/>
    </row>
    <row r="1073" spans="1:10" ht="15.95" customHeight="1" x14ac:dyDescent="0.2">
      <c r="A1073" s="39"/>
      <c r="B1073" s="36"/>
      <c r="C1073" s="37"/>
      <c r="D1073" s="37"/>
      <c r="E1073" s="37"/>
      <c r="F1073" s="37"/>
      <c r="G1073" s="37"/>
      <c r="H1073" s="37"/>
      <c r="I1073" s="35"/>
      <c r="J1073" s="37"/>
    </row>
    <row r="1074" spans="1:10" ht="15.95" customHeight="1" x14ac:dyDescent="0.2">
      <c r="A1074" s="39"/>
      <c r="B1074" s="36"/>
      <c r="C1074" s="37"/>
      <c r="D1074" s="37"/>
      <c r="E1074" s="37"/>
      <c r="F1074" s="37"/>
      <c r="G1074" s="37"/>
      <c r="H1074" s="37"/>
      <c r="I1074" s="35"/>
      <c r="J1074" s="37"/>
    </row>
    <row r="1075" spans="1:10" ht="15.95" customHeight="1" x14ac:dyDescent="0.2">
      <c r="A1075" s="39"/>
      <c r="B1075" s="36"/>
      <c r="C1075" s="37"/>
      <c r="D1075" s="37"/>
      <c r="E1075" s="37"/>
      <c r="F1075" s="37"/>
      <c r="G1075" s="37"/>
      <c r="H1075" s="37"/>
      <c r="I1075" s="35"/>
      <c r="J1075" s="37"/>
    </row>
    <row r="1076" spans="1:10" ht="15.95" customHeight="1" x14ac:dyDescent="0.2">
      <c r="A1076" s="39"/>
      <c r="B1076" s="36"/>
      <c r="C1076" s="37"/>
      <c r="D1076" s="37"/>
      <c r="E1076" s="37"/>
      <c r="F1076" s="37"/>
      <c r="G1076" s="37"/>
      <c r="H1076" s="37"/>
      <c r="I1076" s="35"/>
      <c r="J1076" s="37"/>
    </row>
    <row r="1077" spans="1:10" ht="15.95" customHeight="1" x14ac:dyDescent="0.2">
      <c r="A1077" s="39"/>
      <c r="B1077" s="36"/>
      <c r="C1077" s="37"/>
      <c r="D1077" s="37"/>
      <c r="E1077" s="37"/>
      <c r="F1077" s="37"/>
      <c r="G1077" s="37"/>
      <c r="H1077" s="37"/>
      <c r="I1077" s="35"/>
      <c r="J1077" s="37"/>
    </row>
    <row r="1078" spans="1:10" ht="15.95" customHeight="1" x14ac:dyDescent="0.2">
      <c r="A1078" s="39"/>
      <c r="B1078" s="36"/>
      <c r="C1078" s="37"/>
      <c r="D1078" s="37"/>
      <c r="E1078" s="37"/>
      <c r="F1078" s="37"/>
      <c r="G1078" s="37"/>
      <c r="H1078" s="37"/>
      <c r="I1078" s="35"/>
      <c r="J1078" s="37"/>
    </row>
    <row r="1079" spans="1:10" ht="15.95" customHeight="1" x14ac:dyDescent="0.2">
      <c r="A1079" s="39"/>
      <c r="B1079" s="36"/>
      <c r="C1079" s="37"/>
      <c r="D1079" s="37"/>
      <c r="E1079" s="37"/>
      <c r="F1079" s="37"/>
      <c r="G1079" s="37"/>
      <c r="H1079" s="37"/>
      <c r="I1079" s="35"/>
      <c r="J1079" s="37"/>
    </row>
    <row r="1080" spans="1:10" ht="15.95" customHeight="1" x14ac:dyDescent="0.2">
      <c r="A1080" s="39"/>
      <c r="B1080" s="36"/>
      <c r="C1080" s="37"/>
      <c r="D1080" s="37"/>
      <c r="E1080" s="37"/>
      <c r="F1080" s="37"/>
      <c r="G1080" s="37"/>
      <c r="H1080" s="37"/>
      <c r="I1080" s="35"/>
      <c r="J1080" s="37"/>
    </row>
    <row r="1081" spans="1:10" ht="15.95" customHeight="1" x14ac:dyDescent="0.2">
      <c r="A1081" s="39"/>
      <c r="B1081" s="36"/>
      <c r="C1081" s="37"/>
      <c r="D1081" s="37"/>
      <c r="E1081" s="37"/>
      <c r="F1081" s="37"/>
      <c r="G1081" s="37"/>
      <c r="H1081" s="37"/>
      <c r="I1081" s="35"/>
      <c r="J1081" s="37"/>
    </row>
    <row r="1082" spans="1:10" ht="15.95" customHeight="1" x14ac:dyDescent="0.2">
      <c r="A1082" s="39"/>
      <c r="B1082" s="36"/>
      <c r="C1082" s="37"/>
      <c r="D1082" s="37"/>
      <c r="E1082" s="37"/>
      <c r="F1082" s="37"/>
      <c r="G1082" s="37"/>
      <c r="H1082" s="37"/>
      <c r="I1082" s="35"/>
      <c r="J1082" s="37"/>
    </row>
    <row r="1083" spans="1:10" ht="15.95" customHeight="1" x14ac:dyDescent="0.2">
      <c r="A1083" s="39"/>
      <c r="B1083" s="36"/>
      <c r="C1083" s="37"/>
      <c r="D1083" s="37"/>
      <c r="E1083" s="37"/>
      <c r="F1083" s="37"/>
      <c r="G1083" s="37"/>
      <c r="H1083" s="37"/>
      <c r="I1083" s="35"/>
      <c r="J1083" s="37"/>
    </row>
    <row r="1084" spans="1:10" ht="15.95" customHeight="1" x14ac:dyDescent="0.2">
      <c r="A1084" s="39"/>
      <c r="B1084" s="36"/>
      <c r="C1084" s="37"/>
      <c r="D1084" s="37"/>
      <c r="E1084" s="37"/>
      <c r="F1084" s="37"/>
      <c r="G1084" s="37"/>
      <c r="H1084" s="37"/>
      <c r="I1084" s="35"/>
      <c r="J1084" s="37"/>
    </row>
    <row r="1085" spans="1:10" ht="15.95" customHeight="1" x14ac:dyDescent="0.2">
      <c r="A1085" s="39"/>
      <c r="B1085" s="36"/>
      <c r="C1085" s="37"/>
      <c r="D1085" s="37"/>
      <c r="E1085" s="37"/>
      <c r="F1085" s="37"/>
      <c r="G1085" s="37"/>
      <c r="H1085" s="37"/>
      <c r="I1085" s="35"/>
      <c r="J1085" s="37"/>
    </row>
    <row r="1086" spans="1:10" ht="15.95" customHeight="1" x14ac:dyDescent="0.2">
      <c r="A1086" s="39"/>
      <c r="B1086" s="36"/>
      <c r="C1086" s="37"/>
      <c r="D1086" s="37"/>
      <c r="E1086" s="37"/>
      <c r="F1086" s="37"/>
      <c r="G1086" s="37"/>
      <c r="H1086" s="37"/>
      <c r="I1086" s="35"/>
      <c r="J1086" s="37"/>
    </row>
    <row r="1087" spans="1:10" ht="15.95" customHeight="1" x14ac:dyDescent="0.2">
      <c r="A1087" s="39"/>
      <c r="B1087" s="36"/>
      <c r="C1087" s="37"/>
      <c r="D1087" s="37"/>
      <c r="E1087" s="37"/>
      <c r="F1087" s="37"/>
      <c r="G1087" s="37"/>
      <c r="H1087" s="37"/>
      <c r="I1087" s="35"/>
      <c r="J1087" s="37"/>
    </row>
    <row r="1088" spans="1:10" ht="15.95" customHeight="1" x14ac:dyDescent="0.2">
      <c r="A1088" s="39"/>
      <c r="B1088" s="36"/>
      <c r="C1088" s="37"/>
      <c r="D1088" s="37"/>
      <c r="E1088" s="37"/>
      <c r="F1088" s="37"/>
      <c r="G1088" s="37"/>
      <c r="H1088" s="37"/>
      <c r="I1088" s="35"/>
      <c r="J1088" s="37"/>
    </row>
    <row r="1089" spans="1:10" ht="15.95" customHeight="1" x14ac:dyDescent="0.2">
      <c r="A1089" s="39"/>
      <c r="B1089" s="36"/>
      <c r="C1089" s="37"/>
      <c r="D1089" s="37"/>
      <c r="E1089" s="37"/>
      <c r="F1089" s="37"/>
      <c r="G1089" s="37"/>
      <c r="H1089" s="37"/>
      <c r="I1089" s="35"/>
      <c r="J1089" s="37"/>
    </row>
    <row r="1090" spans="1:10" ht="15.95" customHeight="1" x14ac:dyDescent="0.2">
      <c r="A1090" s="39"/>
      <c r="B1090" s="36"/>
      <c r="C1090" s="37"/>
      <c r="D1090" s="37"/>
      <c r="E1090" s="37"/>
      <c r="F1090" s="37"/>
      <c r="G1090" s="37"/>
      <c r="H1090" s="37"/>
      <c r="I1090" s="35"/>
      <c r="J1090" s="37"/>
    </row>
    <row r="1091" spans="1:10" ht="15.95" customHeight="1" x14ac:dyDescent="0.2">
      <c r="A1091" s="39"/>
      <c r="B1091" s="36"/>
      <c r="C1091" s="37"/>
      <c r="D1091" s="37"/>
      <c r="E1091" s="37"/>
      <c r="F1091" s="37"/>
      <c r="G1091" s="37"/>
      <c r="H1091" s="37"/>
      <c r="I1091" s="35"/>
      <c r="J1091" s="37"/>
    </row>
    <row r="1092" spans="1:10" ht="15.95" customHeight="1" x14ac:dyDescent="0.2">
      <c r="A1092" s="39"/>
      <c r="B1092" s="36"/>
      <c r="C1092" s="37"/>
      <c r="D1092" s="37"/>
      <c r="E1092" s="37"/>
      <c r="F1092" s="37"/>
      <c r="G1092" s="37"/>
      <c r="H1092" s="37"/>
      <c r="I1092" s="35"/>
      <c r="J1092" s="37"/>
    </row>
    <row r="1093" spans="1:10" ht="15.95" customHeight="1" x14ac:dyDescent="0.2">
      <c r="A1093" s="39"/>
      <c r="B1093" s="36"/>
      <c r="C1093" s="37"/>
      <c r="D1093" s="37"/>
      <c r="E1093" s="37"/>
      <c r="F1093" s="37"/>
      <c r="G1093" s="37"/>
      <c r="H1093" s="37"/>
      <c r="I1093" s="35"/>
      <c r="J1093" s="37"/>
    </row>
    <row r="1094" spans="1:10" ht="15.95" customHeight="1" x14ac:dyDescent="0.2">
      <c r="A1094" s="39"/>
      <c r="B1094" s="36"/>
      <c r="C1094" s="37"/>
      <c r="D1094" s="37"/>
      <c r="E1094" s="37"/>
      <c r="F1094" s="37"/>
      <c r="G1094" s="37"/>
      <c r="H1094" s="37"/>
      <c r="I1094" s="35"/>
      <c r="J1094" s="37"/>
    </row>
    <row r="1095" spans="1:10" ht="15.95" customHeight="1" x14ac:dyDescent="0.2">
      <c r="A1095" s="39"/>
      <c r="B1095" s="36"/>
      <c r="C1095" s="37"/>
      <c r="D1095" s="37"/>
      <c r="E1095" s="37"/>
      <c r="F1095" s="37"/>
      <c r="G1095" s="37"/>
      <c r="H1095" s="37"/>
      <c r="I1095" s="35"/>
      <c r="J1095" s="37"/>
    </row>
    <row r="1096" spans="1:10" ht="15.95" customHeight="1" x14ac:dyDescent="0.2">
      <c r="A1096" s="39"/>
      <c r="B1096" s="36"/>
      <c r="C1096" s="37"/>
      <c r="D1096" s="37"/>
      <c r="E1096" s="37"/>
      <c r="F1096" s="37"/>
      <c r="G1096" s="37"/>
      <c r="H1096" s="37"/>
      <c r="I1096" s="35"/>
      <c r="J1096" s="37"/>
    </row>
    <row r="1097" spans="1:10" ht="15.95" customHeight="1" x14ac:dyDescent="0.2">
      <c r="A1097" s="39"/>
      <c r="B1097" s="36"/>
      <c r="C1097" s="37"/>
      <c r="D1097" s="37"/>
      <c r="E1097" s="37"/>
      <c r="F1097" s="37"/>
      <c r="G1097" s="37"/>
      <c r="H1097" s="37"/>
      <c r="I1097" s="35"/>
      <c r="J1097" s="37"/>
    </row>
    <row r="1098" spans="1:10" ht="15.95" customHeight="1" x14ac:dyDescent="0.2">
      <c r="A1098" s="39"/>
      <c r="B1098" s="36"/>
      <c r="C1098" s="37"/>
      <c r="D1098" s="37"/>
      <c r="E1098" s="37"/>
      <c r="F1098" s="37"/>
      <c r="G1098" s="37"/>
      <c r="H1098" s="37"/>
      <c r="I1098" s="35"/>
      <c r="J1098" s="37"/>
    </row>
    <row r="1099" spans="1:10" ht="15.95" customHeight="1" x14ac:dyDescent="0.2">
      <c r="A1099" s="39"/>
      <c r="B1099" s="36"/>
      <c r="C1099" s="37"/>
      <c r="D1099" s="37"/>
      <c r="E1099" s="37"/>
      <c r="F1099" s="37"/>
      <c r="G1099" s="37"/>
      <c r="H1099" s="37"/>
      <c r="I1099" s="35"/>
      <c r="J1099" s="37"/>
    </row>
    <row r="1100" spans="1:10" ht="15.95" customHeight="1" x14ac:dyDescent="0.2">
      <c r="A1100" s="39"/>
      <c r="B1100" s="36"/>
      <c r="C1100" s="37"/>
      <c r="D1100" s="37"/>
      <c r="E1100" s="37"/>
      <c r="F1100" s="37"/>
      <c r="G1100" s="37"/>
      <c r="H1100" s="37"/>
      <c r="I1100" s="35"/>
      <c r="J1100" s="37"/>
    </row>
    <row r="1101" spans="1:10" ht="15.95" customHeight="1" x14ac:dyDescent="0.2">
      <c r="A1101" s="39"/>
      <c r="B1101" s="36"/>
      <c r="C1101" s="37"/>
      <c r="D1101" s="37"/>
      <c r="E1101" s="37"/>
      <c r="F1101" s="37"/>
      <c r="G1101" s="37"/>
      <c r="H1101" s="37"/>
      <c r="I1101" s="35"/>
      <c r="J1101" s="37"/>
    </row>
    <row r="1102" spans="1:10" ht="15.95" customHeight="1" x14ac:dyDescent="0.2">
      <c r="A1102" s="39"/>
      <c r="B1102" s="36"/>
      <c r="C1102" s="37"/>
      <c r="D1102" s="37"/>
      <c r="E1102" s="37"/>
      <c r="F1102" s="37"/>
      <c r="G1102" s="37"/>
      <c r="H1102" s="37"/>
      <c r="I1102" s="35"/>
      <c r="J1102" s="37"/>
    </row>
    <row r="1103" spans="1:10" ht="15.95" customHeight="1" x14ac:dyDescent="0.2">
      <c r="A1103" s="39"/>
      <c r="B1103" s="36"/>
      <c r="C1103" s="37"/>
      <c r="D1103" s="37"/>
      <c r="E1103" s="37"/>
      <c r="F1103" s="37"/>
      <c r="G1103" s="37"/>
      <c r="H1103" s="37"/>
      <c r="I1103" s="35"/>
      <c r="J1103" s="37"/>
    </row>
    <row r="1104" spans="1:10" ht="15.95" customHeight="1" x14ac:dyDescent="0.2">
      <c r="A1104" s="39"/>
      <c r="B1104" s="36"/>
      <c r="C1104" s="37"/>
      <c r="D1104" s="37"/>
      <c r="E1104" s="37"/>
      <c r="F1104" s="37"/>
      <c r="G1104" s="37"/>
      <c r="H1104" s="37"/>
      <c r="I1104" s="35"/>
      <c r="J1104" s="37"/>
    </row>
    <row r="1105" spans="1:10" ht="15.95" customHeight="1" x14ac:dyDescent="0.2">
      <c r="A1105" s="39"/>
      <c r="B1105" s="36"/>
      <c r="C1105" s="37"/>
      <c r="D1105" s="37"/>
      <c r="E1105" s="37"/>
      <c r="F1105" s="37"/>
      <c r="G1105" s="37"/>
      <c r="H1105" s="37"/>
      <c r="I1105" s="35"/>
      <c r="J1105" s="37"/>
    </row>
    <row r="1106" spans="1:10" ht="15.95" customHeight="1" x14ac:dyDescent="0.2">
      <c r="A1106" s="39"/>
      <c r="B1106" s="36"/>
      <c r="C1106" s="37"/>
      <c r="D1106" s="37"/>
      <c r="E1106" s="37"/>
      <c r="F1106" s="37"/>
      <c r="G1106" s="37"/>
      <c r="H1106" s="37"/>
      <c r="I1106" s="35"/>
      <c r="J1106" s="37"/>
    </row>
    <row r="1107" spans="1:10" ht="15.95" customHeight="1" x14ac:dyDescent="0.2">
      <c r="A1107" s="39"/>
      <c r="B1107" s="36"/>
      <c r="C1107" s="37"/>
      <c r="D1107" s="37"/>
      <c r="E1107" s="37"/>
      <c r="F1107" s="37"/>
      <c r="G1107" s="37"/>
      <c r="H1107" s="37"/>
      <c r="I1107" s="35"/>
      <c r="J1107" s="37"/>
    </row>
    <row r="1108" spans="1:10" ht="15.95" customHeight="1" x14ac:dyDescent="0.2">
      <c r="A1108" s="39"/>
      <c r="B1108" s="36"/>
      <c r="C1108" s="37"/>
      <c r="D1108" s="37"/>
      <c r="E1108" s="37"/>
      <c r="F1108" s="37"/>
      <c r="G1108" s="37"/>
      <c r="H1108" s="37"/>
      <c r="I1108" s="35"/>
      <c r="J1108" s="37"/>
    </row>
    <row r="1109" spans="1:10" ht="15.95" customHeight="1" x14ac:dyDescent="0.2">
      <c r="A1109" s="39"/>
      <c r="B1109" s="36"/>
      <c r="C1109" s="37"/>
      <c r="D1109" s="37"/>
      <c r="E1109" s="37"/>
      <c r="F1109" s="37"/>
      <c r="G1109" s="37"/>
      <c r="H1109" s="37"/>
      <c r="I1109" s="35"/>
      <c r="J1109" s="37"/>
    </row>
    <row r="1110" spans="1:10" ht="15.95" customHeight="1" x14ac:dyDescent="0.2">
      <c r="A1110" s="39"/>
      <c r="B1110" s="36"/>
      <c r="C1110" s="37"/>
      <c r="D1110" s="37"/>
      <c r="E1110" s="37"/>
      <c r="F1110" s="37"/>
      <c r="G1110" s="37"/>
      <c r="H1110" s="37"/>
      <c r="I1110" s="35"/>
      <c r="J1110" s="37"/>
    </row>
    <row r="1111" spans="1:10" ht="15.95" customHeight="1" x14ac:dyDescent="0.2">
      <c r="A1111" s="39"/>
      <c r="B1111" s="36"/>
      <c r="C1111" s="37"/>
      <c r="D1111" s="37"/>
      <c r="E1111" s="37"/>
      <c r="F1111" s="37"/>
      <c r="G1111" s="37"/>
      <c r="H1111" s="37"/>
      <c r="I1111" s="35"/>
      <c r="J1111" s="37"/>
    </row>
    <row r="1112" spans="1:10" ht="15.95" customHeight="1" x14ac:dyDescent="0.2">
      <c r="A1112" s="39"/>
      <c r="B1112" s="36"/>
      <c r="C1112" s="37"/>
      <c r="D1112" s="37"/>
      <c r="E1112" s="37"/>
      <c r="F1112" s="37"/>
      <c r="G1112" s="37"/>
      <c r="H1112" s="37"/>
      <c r="I1112" s="35"/>
      <c r="J1112" s="37"/>
    </row>
    <row r="1113" spans="1:10" ht="15.95" customHeight="1" x14ac:dyDescent="0.2">
      <c r="A1113" s="39"/>
      <c r="B1113" s="36"/>
      <c r="C1113" s="37"/>
      <c r="D1113" s="37"/>
      <c r="E1113" s="37"/>
      <c r="F1113" s="37"/>
      <c r="G1113" s="37"/>
      <c r="H1113" s="37"/>
      <c r="I1113" s="35"/>
      <c r="J1113" s="37"/>
    </row>
    <row r="1114" spans="1:10" ht="15.95" customHeight="1" x14ac:dyDescent="0.2">
      <c r="A1114" s="39"/>
      <c r="B1114" s="36"/>
      <c r="C1114" s="37"/>
      <c r="D1114" s="37"/>
      <c r="E1114" s="37"/>
      <c r="F1114" s="37"/>
      <c r="G1114" s="37"/>
      <c r="H1114" s="37"/>
      <c r="I1114" s="35"/>
      <c r="J1114" s="37"/>
    </row>
    <row r="1115" spans="1:10" ht="15.95" customHeight="1" x14ac:dyDescent="0.2">
      <c r="A1115" s="39"/>
      <c r="B1115" s="36"/>
      <c r="C1115" s="37"/>
      <c r="D1115" s="37"/>
      <c r="E1115" s="37"/>
      <c r="F1115" s="37"/>
      <c r="G1115" s="37"/>
      <c r="H1115" s="37"/>
      <c r="I1115" s="35"/>
      <c r="J1115" s="37"/>
    </row>
    <row r="1116" spans="1:10" ht="15.95" customHeight="1" x14ac:dyDescent="0.2">
      <c r="A1116" s="39"/>
      <c r="B1116" s="36"/>
      <c r="C1116" s="37"/>
      <c r="D1116" s="37"/>
      <c r="E1116" s="37"/>
      <c r="F1116" s="37"/>
      <c r="G1116" s="37"/>
      <c r="H1116" s="37"/>
      <c r="I1116" s="35"/>
      <c r="J1116" s="37"/>
    </row>
    <row r="1117" spans="1:10" ht="15.95" customHeight="1" x14ac:dyDescent="0.2">
      <c r="A1117" s="39"/>
      <c r="B1117" s="36"/>
      <c r="C1117" s="37"/>
      <c r="D1117" s="37"/>
      <c r="E1117" s="37"/>
      <c r="F1117" s="37"/>
      <c r="G1117" s="37"/>
      <c r="H1117" s="37"/>
      <c r="I1117" s="35"/>
      <c r="J1117" s="37"/>
    </row>
    <row r="1118" spans="1:10" ht="15.95" customHeight="1" x14ac:dyDescent="0.2">
      <c r="A1118" s="39"/>
      <c r="B1118" s="36"/>
      <c r="C1118" s="37"/>
      <c r="D1118" s="37"/>
      <c r="E1118" s="37"/>
      <c r="F1118" s="37"/>
      <c r="G1118" s="37"/>
      <c r="H1118" s="37"/>
      <c r="I1118" s="35"/>
      <c r="J1118" s="37"/>
    </row>
    <row r="1119" spans="1:10" ht="15.95" customHeight="1" x14ac:dyDescent="0.2">
      <c r="A1119" s="39"/>
      <c r="B1119" s="36"/>
      <c r="C1119" s="37"/>
      <c r="D1119" s="37"/>
      <c r="E1119" s="37"/>
      <c r="F1119" s="37"/>
      <c r="G1119" s="37"/>
      <c r="H1119" s="37"/>
      <c r="I1119" s="35"/>
      <c r="J1119" s="37"/>
    </row>
    <row r="1120" spans="1:10" ht="15.95" customHeight="1" x14ac:dyDescent="0.2">
      <c r="A1120" s="39"/>
      <c r="B1120" s="36"/>
      <c r="C1120" s="37"/>
      <c r="D1120" s="37"/>
      <c r="E1120" s="37"/>
      <c r="F1120" s="37"/>
      <c r="G1120" s="37"/>
      <c r="H1120" s="37"/>
      <c r="I1120" s="35"/>
      <c r="J1120" s="37"/>
    </row>
    <row r="1121" spans="1:10" ht="15.95" customHeight="1" x14ac:dyDescent="0.2">
      <c r="A1121" s="39"/>
      <c r="B1121" s="36"/>
      <c r="C1121" s="37"/>
      <c r="D1121" s="37"/>
      <c r="E1121" s="37"/>
      <c r="F1121" s="37"/>
      <c r="G1121" s="37"/>
      <c r="H1121" s="37"/>
      <c r="I1121" s="35"/>
      <c r="J1121" s="37"/>
    </row>
    <row r="1122" spans="1:10" ht="15.95" customHeight="1" x14ac:dyDescent="0.2">
      <c r="A1122" s="39"/>
      <c r="B1122" s="36"/>
      <c r="C1122" s="37"/>
      <c r="D1122" s="37"/>
      <c r="E1122" s="37"/>
      <c r="F1122" s="37"/>
      <c r="G1122" s="37"/>
      <c r="H1122" s="37"/>
      <c r="I1122" s="35"/>
      <c r="J1122" s="37"/>
    </row>
    <row r="1123" spans="1:10" ht="15.95" customHeight="1" x14ac:dyDescent="0.2">
      <c r="A1123" s="39"/>
      <c r="B1123" s="36"/>
      <c r="C1123" s="37"/>
      <c r="D1123" s="37"/>
      <c r="E1123" s="37"/>
      <c r="F1123" s="37"/>
      <c r="G1123" s="37"/>
      <c r="H1123" s="37"/>
      <c r="I1123" s="35"/>
      <c r="J1123" s="37"/>
    </row>
    <row r="1124" spans="1:10" ht="15.95" customHeight="1" x14ac:dyDescent="0.2">
      <c r="A1124" s="39"/>
      <c r="B1124" s="36"/>
      <c r="C1124" s="37"/>
      <c r="D1124" s="37"/>
      <c r="E1124" s="37"/>
      <c r="F1124" s="37"/>
      <c r="G1124" s="37"/>
      <c r="H1124" s="37"/>
      <c r="I1124" s="35"/>
      <c r="J1124" s="37"/>
    </row>
    <row r="1125" spans="1:10" ht="15.95" customHeight="1" x14ac:dyDescent="0.2">
      <c r="A1125" s="39"/>
      <c r="B1125" s="36"/>
      <c r="C1125" s="37"/>
      <c r="D1125" s="37"/>
      <c r="E1125" s="37"/>
      <c r="F1125" s="37"/>
      <c r="G1125" s="37"/>
      <c r="H1125" s="37"/>
      <c r="I1125" s="35"/>
      <c r="J1125" s="37"/>
    </row>
    <row r="1126" spans="1:10" ht="15.95" customHeight="1" x14ac:dyDescent="0.2">
      <c r="A1126" s="39"/>
      <c r="B1126" s="36"/>
      <c r="C1126" s="37"/>
      <c r="D1126" s="37"/>
      <c r="E1126" s="37"/>
      <c r="F1126" s="37"/>
      <c r="G1126" s="37"/>
      <c r="H1126" s="37"/>
      <c r="I1126" s="35"/>
      <c r="J1126" s="37"/>
    </row>
    <row r="1127" spans="1:10" ht="15.95" customHeight="1" x14ac:dyDescent="0.2">
      <c r="A1127" s="39"/>
      <c r="B1127" s="36"/>
      <c r="C1127" s="37"/>
      <c r="D1127" s="37"/>
      <c r="E1127" s="37"/>
      <c r="F1127" s="37"/>
      <c r="G1127" s="37"/>
      <c r="H1127" s="37"/>
      <c r="I1127" s="35"/>
      <c r="J1127" s="37"/>
    </row>
    <row r="1128" spans="1:10" ht="15.95" customHeight="1" x14ac:dyDescent="0.2">
      <c r="A1128" s="39"/>
      <c r="B1128" s="36"/>
      <c r="C1128" s="37"/>
      <c r="D1128" s="37"/>
      <c r="E1128" s="37"/>
      <c r="F1128" s="37"/>
      <c r="G1128" s="37"/>
      <c r="H1128" s="37"/>
      <c r="I1128" s="35"/>
      <c r="J1128" s="37"/>
    </row>
    <row r="1129" spans="1:10" ht="15.95" customHeight="1" x14ac:dyDescent="0.2">
      <c r="A1129" s="39"/>
      <c r="B1129" s="36"/>
      <c r="C1129" s="37"/>
      <c r="D1129" s="37"/>
      <c r="E1129" s="37"/>
      <c r="F1129" s="37"/>
      <c r="G1129" s="37"/>
      <c r="H1129" s="37"/>
      <c r="I1129" s="35"/>
      <c r="J1129" s="37"/>
    </row>
    <row r="1130" spans="1:10" ht="15.95" customHeight="1" x14ac:dyDescent="0.2">
      <c r="A1130" s="39"/>
      <c r="B1130" s="36"/>
      <c r="C1130" s="37"/>
      <c r="D1130" s="37"/>
      <c r="E1130" s="37"/>
      <c r="F1130" s="37"/>
      <c r="G1130" s="37"/>
      <c r="H1130" s="37"/>
      <c r="I1130" s="35"/>
      <c r="J1130" s="37"/>
    </row>
    <row r="1131" spans="1:10" ht="15.95" customHeight="1" x14ac:dyDescent="0.2">
      <c r="A1131" s="39"/>
      <c r="B1131" s="36"/>
      <c r="C1131" s="37"/>
      <c r="D1131" s="37"/>
      <c r="E1131" s="37"/>
      <c r="F1131" s="37"/>
      <c r="G1131" s="37"/>
      <c r="H1131" s="37"/>
      <c r="I1131" s="35"/>
      <c r="J1131" s="37"/>
    </row>
    <row r="1132" spans="1:10" ht="15.95" customHeight="1" x14ac:dyDescent="0.2">
      <c r="A1132" s="39"/>
      <c r="B1132" s="36"/>
      <c r="C1132" s="37"/>
      <c r="D1132" s="37"/>
      <c r="E1132" s="37"/>
      <c r="F1132" s="37"/>
      <c r="G1132" s="37"/>
      <c r="H1132" s="37"/>
      <c r="I1132" s="35"/>
      <c r="J1132" s="37"/>
    </row>
    <row r="1133" spans="1:10" ht="15.95" customHeight="1" x14ac:dyDescent="0.2">
      <c r="A1133" s="39"/>
      <c r="B1133" s="36"/>
      <c r="C1133" s="37"/>
      <c r="D1133" s="37"/>
      <c r="E1133" s="37"/>
      <c r="F1133" s="37"/>
      <c r="G1133" s="37"/>
      <c r="H1133" s="37"/>
      <c r="I1133" s="35"/>
      <c r="J1133" s="37"/>
    </row>
    <row r="1134" spans="1:10" ht="15.95" customHeight="1" x14ac:dyDescent="0.2">
      <c r="A1134" s="39"/>
      <c r="B1134" s="36"/>
      <c r="C1134" s="37"/>
      <c r="D1134" s="37"/>
      <c r="E1134" s="37"/>
      <c r="F1134" s="37"/>
      <c r="G1134" s="37"/>
      <c r="H1134" s="37"/>
      <c r="I1134" s="35"/>
      <c r="J1134" s="37"/>
    </row>
    <row r="1135" spans="1:10" ht="15.95" customHeight="1" x14ac:dyDescent="0.2">
      <c r="A1135" s="39"/>
      <c r="B1135" s="36"/>
      <c r="C1135" s="37"/>
      <c r="D1135" s="37"/>
      <c r="E1135" s="37"/>
      <c r="F1135" s="37"/>
      <c r="G1135" s="37"/>
      <c r="H1135" s="37"/>
      <c r="I1135" s="35"/>
      <c r="J1135" s="37"/>
    </row>
    <row r="1136" spans="1:10" ht="15.95" customHeight="1" x14ac:dyDescent="0.2">
      <c r="A1136" s="39"/>
      <c r="B1136" s="36"/>
      <c r="C1136" s="37"/>
      <c r="D1136" s="37"/>
      <c r="E1136" s="37"/>
      <c r="F1136" s="37"/>
      <c r="G1136" s="37"/>
      <c r="H1136" s="37"/>
      <c r="I1136" s="35"/>
      <c r="J1136" s="37"/>
    </row>
    <row r="1137" spans="1:10" ht="15.95" customHeight="1" x14ac:dyDescent="0.2">
      <c r="A1137" s="39"/>
      <c r="B1137" s="36"/>
      <c r="C1137" s="37"/>
      <c r="D1137" s="37"/>
      <c r="E1137" s="37"/>
      <c r="F1137" s="37"/>
      <c r="G1137" s="37"/>
      <c r="H1137" s="37"/>
      <c r="I1137" s="35"/>
      <c r="J1137" s="37"/>
    </row>
    <row r="1138" spans="1:10" ht="15.95" customHeight="1" x14ac:dyDescent="0.2">
      <c r="A1138" s="39"/>
      <c r="B1138" s="36"/>
      <c r="C1138" s="37"/>
      <c r="D1138" s="37"/>
      <c r="E1138" s="37"/>
      <c r="F1138" s="37"/>
      <c r="G1138" s="37"/>
      <c r="H1138" s="37"/>
      <c r="I1138" s="35"/>
      <c r="J1138" s="37"/>
    </row>
    <row r="1139" spans="1:10" ht="15.95" customHeight="1" x14ac:dyDescent="0.2">
      <c r="A1139" s="39"/>
      <c r="B1139" s="36"/>
      <c r="C1139" s="37"/>
      <c r="D1139" s="37"/>
      <c r="E1139" s="37"/>
      <c r="F1139" s="37"/>
      <c r="G1139" s="37"/>
      <c r="H1139" s="37"/>
      <c r="I1139" s="35"/>
      <c r="J1139" s="37"/>
    </row>
    <row r="1140" spans="1:10" ht="15.95" customHeight="1" x14ac:dyDescent="0.2">
      <c r="A1140" s="39"/>
      <c r="B1140" s="36"/>
      <c r="C1140" s="37"/>
      <c r="D1140" s="37"/>
      <c r="E1140" s="37"/>
      <c r="F1140" s="37"/>
      <c r="G1140" s="37"/>
      <c r="H1140" s="37"/>
      <c r="I1140" s="35"/>
      <c r="J1140" s="37"/>
    </row>
    <row r="1141" spans="1:10" ht="15.95" customHeight="1" x14ac:dyDescent="0.2">
      <c r="A1141" s="39"/>
      <c r="B1141" s="36"/>
      <c r="C1141" s="37"/>
      <c r="D1141" s="37"/>
      <c r="E1141" s="37"/>
      <c r="F1141" s="37"/>
      <c r="G1141" s="37"/>
      <c r="H1141" s="37"/>
      <c r="I1141" s="35"/>
      <c r="J1141" s="37"/>
    </row>
    <row r="1142" spans="1:10" ht="15.95" customHeight="1" x14ac:dyDescent="0.2">
      <c r="A1142" s="39"/>
      <c r="B1142" s="36"/>
      <c r="C1142" s="37"/>
      <c r="D1142" s="37"/>
      <c r="E1142" s="37"/>
      <c r="F1142" s="37"/>
      <c r="G1142" s="37"/>
      <c r="H1142" s="37"/>
      <c r="I1142" s="35"/>
      <c r="J1142" s="37"/>
    </row>
    <row r="1143" spans="1:10" ht="15.95" customHeight="1" x14ac:dyDescent="0.2">
      <c r="A1143" s="39"/>
      <c r="B1143" s="36"/>
      <c r="C1143" s="37"/>
      <c r="D1143" s="37"/>
      <c r="E1143" s="37"/>
      <c r="F1143" s="37"/>
      <c r="G1143" s="37"/>
      <c r="H1143" s="37"/>
      <c r="I1143" s="35"/>
      <c r="J1143" s="37"/>
    </row>
    <row r="1144" spans="1:10" ht="15.95" customHeight="1" x14ac:dyDescent="0.2">
      <c r="A1144" s="39"/>
      <c r="B1144" s="36"/>
      <c r="C1144" s="37"/>
      <c r="D1144" s="37"/>
      <c r="E1144" s="37"/>
      <c r="F1144" s="37"/>
      <c r="G1144" s="37"/>
      <c r="H1144" s="37"/>
      <c r="I1144" s="35"/>
      <c r="J1144" s="37"/>
    </row>
    <row r="1145" spans="1:10" ht="15.95" customHeight="1" x14ac:dyDescent="0.2">
      <c r="A1145" s="39"/>
      <c r="B1145" s="36"/>
      <c r="C1145" s="37"/>
      <c r="D1145" s="37"/>
      <c r="E1145" s="37"/>
      <c r="F1145" s="37"/>
      <c r="G1145" s="37"/>
      <c r="H1145" s="37"/>
      <c r="I1145" s="35"/>
      <c r="J1145" s="37"/>
    </row>
    <row r="1146" spans="1:10" ht="15.95" customHeight="1" x14ac:dyDescent="0.2">
      <c r="A1146" s="39"/>
      <c r="B1146" s="36"/>
      <c r="C1146" s="37"/>
      <c r="D1146" s="37"/>
      <c r="E1146" s="37"/>
      <c r="F1146" s="37"/>
      <c r="G1146" s="37"/>
      <c r="H1146" s="37"/>
      <c r="I1146" s="35"/>
      <c r="J1146" s="37"/>
    </row>
    <row r="1147" spans="1:10" ht="15.95" customHeight="1" x14ac:dyDescent="0.2">
      <c r="A1147" s="39"/>
      <c r="B1147" s="36"/>
      <c r="C1147" s="37"/>
      <c r="D1147" s="37"/>
      <c r="E1147" s="37"/>
      <c r="F1147" s="37"/>
      <c r="G1147" s="37"/>
      <c r="H1147" s="37"/>
      <c r="I1147" s="35"/>
      <c r="J1147" s="37"/>
    </row>
    <row r="1148" spans="1:10" ht="15.95" customHeight="1" x14ac:dyDescent="0.2">
      <c r="A1148" s="39"/>
      <c r="B1148" s="36"/>
      <c r="C1148" s="37"/>
      <c r="D1148" s="37"/>
      <c r="E1148" s="37"/>
      <c r="F1148" s="37"/>
      <c r="G1148" s="37"/>
      <c r="H1148" s="37"/>
      <c r="I1148" s="35"/>
      <c r="J1148" s="37"/>
    </row>
    <row r="1149" spans="1:10" ht="15.95" customHeight="1" x14ac:dyDescent="0.2">
      <c r="A1149" s="39"/>
      <c r="B1149" s="36"/>
      <c r="C1149" s="37"/>
      <c r="D1149" s="37"/>
      <c r="E1149" s="37"/>
      <c r="F1149" s="37"/>
      <c r="G1149" s="37"/>
      <c r="H1149" s="37"/>
      <c r="I1149" s="35"/>
      <c r="J1149" s="37"/>
    </row>
    <row r="1150" spans="1:10" ht="15.95" customHeight="1" x14ac:dyDescent="0.2">
      <c r="A1150" s="39"/>
      <c r="B1150" s="36"/>
      <c r="C1150" s="37"/>
      <c r="D1150" s="37"/>
      <c r="E1150" s="37"/>
      <c r="F1150" s="37"/>
      <c r="G1150" s="37"/>
      <c r="H1150" s="37"/>
      <c r="I1150" s="35"/>
      <c r="J1150" s="37"/>
    </row>
    <row r="1151" spans="1:10" ht="15.95" customHeight="1" x14ac:dyDescent="0.2">
      <c r="A1151" s="39"/>
      <c r="B1151" s="36"/>
      <c r="C1151" s="37"/>
      <c r="D1151" s="37"/>
      <c r="E1151" s="37"/>
      <c r="F1151" s="37"/>
      <c r="G1151" s="37"/>
      <c r="H1151" s="37"/>
      <c r="I1151" s="35"/>
      <c r="J1151" s="37"/>
    </row>
    <row r="1152" spans="1:10" ht="15.95" customHeight="1" x14ac:dyDescent="0.2">
      <c r="A1152" s="39"/>
      <c r="B1152" s="36"/>
      <c r="C1152" s="37"/>
      <c r="D1152" s="37"/>
      <c r="E1152" s="37"/>
      <c r="F1152" s="37"/>
      <c r="G1152" s="37"/>
      <c r="H1152" s="37"/>
      <c r="I1152" s="35"/>
      <c r="J1152" s="37"/>
    </row>
    <row r="1153" spans="1:10" ht="15.95" customHeight="1" x14ac:dyDescent="0.2">
      <c r="A1153" s="39"/>
      <c r="B1153" s="36"/>
      <c r="C1153" s="37"/>
      <c r="D1153" s="37"/>
      <c r="E1153" s="37"/>
      <c r="F1153" s="37"/>
      <c r="G1153" s="37"/>
      <c r="H1153" s="37"/>
      <c r="I1153" s="35"/>
      <c r="J1153" s="37"/>
    </row>
    <row r="1154" spans="1:10" ht="15.95" customHeight="1" x14ac:dyDescent="0.2">
      <c r="A1154" s="39"/>
      <c r="B1154" s="36"/>
      <c r="C1154" s="37"/>
      <c r="D1154" s="37"/>
      <c r="E1154" s="37"/>
      <c r="F1154" s="37"/>
      <c r="G1154" s="37"/>
      <c r="H1154" s="37"/>
      <c r="I1154" s="35"/>
      <c r="J1154" s="37"/>
    </row>
    <row r="1155" spans="1:10" ht="15.95" customHeight="1" x14ac:dyDescent="0.2">
      <c r="A1155" s="39"/>
      <c r="B1155" s="36"/>
      <c r="C1155" s="37"/>
      <c r="D1155" s="37"/>
      <c r="E1155" s="37"/>
      <c r="F1155" s="37"/>
      <c r="G1155" s="37"/>
      <c r="H1155" s="37"/>
      <c r="I1155" s="35"/>
      <c r="J1155" s="37"/>
    </row>
    <row r="1156" spans="1:10" ht="15.95" customHeight="1" x14ac:dyDescent="0.2">
      <c r="A1156" s="39"/>
      <c r="B1156" s="36"/>
      <c r="C1156" s="37"/>
      <c r="D1156" s="37"/>
      <c r="E1156" s="37"/>
      <c r="F1156" s="37"/>
      <c r="G1156" s="37"/>
      <c r="H1156" s="37"/>
      <c r="I1156" s="35"/>
      <c r="J1156" s="37"/>
    </row>
    <row r="1157" spans="1:10" ht="15.95" customHeight="1" x14ac:dyDescent="0.2">
      <c r="A1157" s="39"/>
      <c r="B1157" s="36"/>
      <c r="C1157" s="37"/>
      <c r="D1157" s="37"/>
      <c r="E1157" s="37"/>
      <c r="F1157" s="37"/>
      <c r="G1157" s="37"/>
      <c r="H1157" s="37"/>
      <c r="I1157" s="35"/>
      <c r="J1157" s="37"/>
    </row>
    <row r="1158" spans="1:10" ht="15.95" customHeight="1" x14ac:dyDescent="0.2">
      <c r="A1158" s="39"/>
      <c r="B1158" s="36"/>
      <c r="C1158" s="37"/>
      <c r="D1158" s="37"/>
      <c r="E1158" s="37"/>
      <c r="F1158" s="37"/>
      <c r="G1158" s="37"/>
      <c r="H1158" s="37"/>
      <c r="I1158" s="35"/>
      <c r="J1158" s="37"/>
    </row>
    <row r="1159" spans="1:10" ht="15.95" customHeight="1" x14ac:dyDescent="0.2">
      <c r="A1159" s="39"/>
      <c r="B1159" s="36"/>
      <c r="C1159" s="37"/>
      <c r="D1159" s="37"/>
      <c r="E1159" s="37"/>
      <c r="F1159" s="37"/>
      <c r="G1159" s="37"/>
      <c r="H1159" s="37"/>
      <c r="I1159" s="35"/>
      <c r="J1159" s="37"/>
    </row>
    <row r="1160" spans="1:10" ht="15.95" customHeight="1" x14ac:dyDescent="0.2">
      <c r="A1160" s="39"/>
      <c r="B1160" s="36"/>
      <c r="C1160" s="37"/>
      <c r="D1160" s="37"/>
      <c r="E1160" s="37"/>
      <c r="F1160" s="37"/>
      <c r="G1160" s="37"/>
      <c r="H1160" s="37"/>
      <c r="I1160" s="35"/>
      <c r="J1160" s="37"/>
    </row>
    <row r="1161" spans="1:10" ht="15.95" customHeight="1" x14ac:dyDescent="0.2">
      <c r="A1161" s="39"/>
      <c r="B1161" s="36"/>
      <c r="C1161" s="37"/>
      <c r="D1161" s="37"/>
      <c r="E1161" s="37"/>
      <c r="F1161" s="37"/>
      <c r="G1161" s="37"/>
      <c r="H1161" s="37"/>
      <c r="I1161" s="35"/>
      <c r="J1161" s="37"/>
    </row>
    <row r="1162" spans="1:10" ht="15.95" customHeight="1" x14ac:dyDescent="0.2">
      <c r="A1162" s="39"/>
      <c r="B1162" s="36"/>
      <c r="C1162" s="37"/>
      <c r="D1162" s="37"/>
      <c r="E1162" s="37"/>
      <c r="F1162" s="37"/>
      <c r="G1162" s="37"/>
      <c r="H1162" s="37"/>
      <c r="I1162" s="35"/>
      <c r="J1162" s="37"/>
    </row>
    <row r="1163" spans="1:10" ht="15.95" customHeight="1" x14ac:dyDescent="0.2">
      <c r="A1163" s="39"/>
      <c r="B1163" s="36"/>
      <c r="C1163" s="37"/>
      <c r="D1163" s="37"/>
      <c r="E1163" s="37"/>
      <c r="F1163" s="37"/>
      <c r="G1163" s="37"/>
      <c r="H1163" s="37"/>
      <c r="I1163" s="35"/>
      <c r="J1163" s="37"/>
    </row>
    <row r="1164" spans="1:10" ht="15.95" customHeight="1" x14ac:dyDescent="0.2">
      <c r="A1164" s="39"/>
      <c r="B1164" s="36"/>
      <c r="C1164" s="37"/>
      <c r="D1164" s="37"/>
      <c r="E1164" s="37"/>
      <c r="F1164" s="37"/>
      <c r="G1164" s="37"/>
      <c r="H1164" s="37"/>
      <c r="I1164" s="35"/>
      <c r="J1164" s="37"/>
    </row>
    <row r="1165" spans="1:10" ht="15.95" customHeight="1" x14ac:dyDescent="0.2">
      <c r="A1165" s="39"/>
      <c r="B1165" s="36"/>
      <c r="C1165" s="37"/>
      <c r="D1165" s="37"/>
      <c r="E1165" s="37"/>
      <c r="F1165" s="37"/>
      <c r="G1165" s="37"/>
      <c r="H1165" s="37"/>
      <c r="I1165" s="35"/>
      <c r="J1165" s="37"/>
    </row>
    <row r="1166" spans="1:10" ht="15.95" customHeight="1" x14ac:dyDescent="0.2">
      <c r="A1166" s="39"/>
      <c r="B1166" s="36"/>
      <c r="C1166" s="37"/>
      <c r="D1166" s="37"/>
      <c r="E1166" s="37"/>
      <c r="F1166" s="37"/>
      <c r="G1166" s="37"/>
      <c r="H1166" s="37"/>
      <c r="I1166" s="35"/>
      <c r="J1166" s="37"/>
    </row>
    <row r="1167" spans="1:10" ht="15.95" customHeight="1" x14ac:dyDescent="0.2">
      <c r="A1167" s="39"/>
      <c r="B1167" s="36"/>
      <c r="C1167" s="37"/>
      <c r="D1167" s="37"/>
      <c r="E1167" s="37"/>
      <c r="F1167" s="37"/>
      <c r="G1167" s="37"/>
      <c r="H1167" s="37"/>
      <c r="I1167" s="35"/>
      <c r="J1167" s="37"/>
    </row>
    <row r="1168" spans="1:10" ht="15.95" customHeight="1" x14ac:dyDescent="0.2">
      <c r="A1168" s="39"/>
      <c r="B1168" s="36"/>
      <c r="C1168" s="37"/>
      <c r="D1168" s="37"/>
      <c r="E1168" s="37"/>
      <c r="F1168" s="37"/>
      <c r="G1168" s="37"/>
      <c r="H1168" s="37"/>
      <c r="I1168" s="35"/>
      <c r="J1168" s="37"/>
    </row>
    <row r="1169" spans="1:10" ht="15.95" customHeight="1" x14ac:dyDescent="0.2">
      <c r="A1169" s="39"/>
      <c r="B1169" s="36"/>
      <c r="C1169" s="37"/>
      <c r="D1169" s="37"/>
      <c r="E1169" s="37"/>
      <c r="F1169" s="37"/>
      <c r="G1169" s="37"/>
      <c r="H1169" s="37"/>
      <c r="I1169" s="35"/>
      <c r="J1169" s="37"/>
    </row>
    <row r="1170" spans="1:10" ht="15.95" customHeight="1" x14ac:dyDescent="0.2">
      <c r="A1170" s="39"/>
      <c r="B1170" s="36"/>
      <c r="C1170" s="37"/>
      <c r="D1170" s="37"/>
      <c r="E1170" s="37"/>
      <c r="F1170" s="37"/>
      <c r="G1170" s="37"/>
      <c r="H1170" s="37"/>
      <c r="I1170" s="35"/>
      <c r="J1170" s="37"/>
    </row>
    <row r="1171" spans="1:10" ht="15.95" customHeight="1" x14ac:dyDescent="0.2">
      <c r="A1171" s="39"/>
      <c r="B1171" s="36"/>
      <c r="C1171" s="37"/>
      <c r="D1171" s="37"/>
      <c r="E1171" s="37"/>
      <c r="F1171" s="37"/>
      <c r="G1171" s="37"/>
      <c r="H1171" s="37"/>
      <c r="I1171" s="35"/>
      <c r="J1171" s="37"/>
    </row>
    <row r="1172" spans="1:10" ht="15.95" customHeight="1" x14ac:dyDescent="0.2">
      <c r="A1172" s="39"/>
      <c r="B1172" s="36"/>
      <c r="C1172" s="37"/>
      <c r="D1172" s="37"/>
      <c r="E1172" s="37"/>
      <c r="F1172" s="37"/>
      <c r="G1172" s="37"/>
      <c r="H1172" s="37"/>
      <c r="I1172" s="35"/>
      <c r="J1172" s="37"/>
    </row>
    <row r="1173" spans="1:10" ht="15.95" customHeight="1" x14ac:dyDescent="0.2">
      <c r="A1173" s="39"/>
      <c r="B1173" s="36"/>
      <c r="C1173" s="37"/>
      <c r="D1173" s="37"/>
      <c r="E1173" s="37"/>
      <c r="F1173" s="37"/>
      <c r="G1173" s="37"/>
      <c r="H1173" s="37"/>
      <c r="I1173" s="35"/>
      <c r="J1173" s="37"/>
    </row>
    <row r="1174" spans="1:10" ht="15.95" customHeight="1" x14ac:dyDescent="0.2">
      <c r="A1174" s="39"/>
      <c r="B1174" s="36"/>
      <c r="C1174" s="37"/>
      <c r="D1174" s="37"/>
      <c r="E1174" s="37"/>
      <c r="F1174" s="37"/>
      <c r="G1174" s="37"/>
      <c r="H1174" s="37"/>
      <c r="I1174" s="35"/>
      <c r="J1174" s="37"/>
    </row>
    <row r="1175" spans="1:10" ht="15.95" customHeight="1" x14ac:dyDescent="0.2">
      <c r="A1175" s="39"/>
      <c r="B1175" s="36"/>
      <c r="C1175" s="37"/>
      <c r="D1175" s="37"/>
      <c r="E1175" s="37"/>
      <c r="F1175" s="37"/>
      <c r="G1175" s="37"/>
      <c r="H1175" s="37"/>
      <c r="I1175" s="35"/>
      <c r="J1175" s="37"/>
    </row>
    <row r="1176" spans="1:10" ht="15.95" customHeight="1" x14ac:dyDescent="0.2">
      <c r="A1176" s="39"/>
      <c r="B1176" s="36"/>
      <c r="C1176" s="37"/>
      <c r="D1176" s="37"/>
      <c r="E1176" s="37"/>
      <c r="F1176" s="37"/>
      <c r="G1176" s="37"/>
      <c r="H1176" s="37"/>
      <c r="I1176" s="35"/>
      <c r="J1176" s="37"/>
    </row>
    <row r="1177" spans="1:10" ht="15.95" customHeight="1" x14ac:dyDescent="0.2">
      <c r="A1177" s="39"/>
      <c r="B1177" s="36"/>
      <c r="C1177" s="37"/>
      <c r="D1177" s="37"/>
      <c r="E1177" s="37"/>
      <c r="F1177" s="37"/>
      <c r="G1177" s="37"/>
      <c r="H1177" s="37"/>
      <c r="I1177" s="35"/>
      <c r="J1177" s="37"/>
    </row>
    <row r="1178" spans="1:10" ht="15.95" customHeight="1" x14ac:dyDescent="0.2">
      <c r="A1178" s="39"/>
      <c r="B1178" s="36"/>
      <c r="C1178" s="37"/>
      <c r="D1178" s="37"/>
      <c r="E1178" s="37"/>
      <c r="F1178" s="37"/>
      <c r="G1178" s="37"/>
      <c r="H1178" s="37"/>
      <c r="I1178" s="35"/>
      <c r="J1178" s="37"/>
    </row>
    <row r="1179" spans="1:10" ht="15.95" customHeight="1" x14ac:dyDescent="0.2">
      <c r="A1179" s="39"/>
      <c r="B1179" s="36"/>
      <c r="C1179" s="37"/>
      <c r="D1179" s="37"/>
      <c r="E1179" s="37"/>
      <c r="F1179" s="37"/>
      <c r="G1179" s="37"/>
      <c r="H1179" s="37"/>
      <c r="I1179" s="35"/>
      <c r="J1179" s="37"/>
    </row>
    <row r="1180" spans="1:10" ht="15.95" customHeight="1" x14ac:dyDescent="0.2">
      <c r="A1180" s="39"/>
      <c r="B1180" s="36"/>
      <c r="C1180" s="37"/>
      <c r="D1180" s="37"/>
      <c r="E1180" s="37"/>
      <c r="F1180" s="37"/>
      <c r="G1180" s="37"/>
      <c r="H1180" s="37"/>
      <c r="I1180" s="35"/>
      <c r="J1180" s="37"/>
    </row>
    <row r="1181" spans="1:10" ht="15.95" customHeight="1" x14ac:dyDescent="0.2">
      <c r="A1181" s="39"/>
      <c r="B1181" s="36"/>
      <c r="C1181" s="37"/>
      <c r="D1181" s="37"/>
      <c r="E1181" s="37"/>
      <c r="F1181" s="37"/>
      <c r="G1181" s="37"/>
      <c r="H1181" s="37"/>
      <c r="I1181" s="35"/>
      <c r="J1181" s="37"/>
    </row>
    <row r="1182" spans="1:10" ht="15.95" customHeight="1" x14ac:dyDescent="0.2">
      <c r="A1182" s="39"/>
      <c r="B1182" s="36"/>
      <c r="C1182" s="37"/>
      <c r="D1182" s="37"/>
      <c r="E1182" s="37"/>
      <c r="F1182" s="37"/>
      <c r="G1182" s="37"/>
      <c r="H1182" s="37"/>
      <c r="I1182" s="35"/>
      <c r="J1182" s="37"/>
    </row>
    <row r="1183" spans="1:10" ht="15.95" customHeight="1" x14ac:dyDescent="0.2">
      <c r="A1183" s="39"/>
      <c r="B1183" s="36"/>
      <c r="C1183" s="37"/>
      <c r="D1183" s="37"/>
      <c r="E1183" s="37"/>
      <c r="F1183" s="37"/>
      <c r="G1183" s="37"/>
      <c r="H1183" s="37"/>
      <c r="I1183" s="35"/>
      <c r="J1183" s="37"/>
    </row>
    <row r="1184" spans="1:10" ht="15.95" customHeight="1" x14ac:dyDescent="0.2">
      <c r="A1184" s="39"/>
      <c r="B1184" s="36"/>
      <c r="C1184" s="37"/>
      <c r="D1184" s="37"/>
      <c r="E1184" s="37"/>
      <c r="F1184" s="37"/>
      <c r="G1184" s="37"/>
      <c r="H1184" s="37"/>
      <c r="I1184" s="35"/>
      <c r="J1184" s="37"/>
    </row>
    <row r="1185" spans="1:10" ht="15.95" customHeight="1" x14ac:dyDescent="0.2">
      <c r="A1185" s="39"/>
      <c r="B1185" s="36"/>
      <c r="C1185" s="37"/>
      <c r="D1185" s="37"/>
      <c r="E1185" s="37"/>
      <c r="F1185" s="37"/>
      <c r="G1185" s="37"/>
      <c r="H1185" s="37"/>
      <c r="I1185" s="35"/>
      <c r="J1185" s="37"/>
    </row>
    <row r="1186" spans="1:10" ht="15.95" customHeight="1" x14ac:dyDescent="0.2">
      <c r="A1186" s="39"/>
      <c r="B1186" s="36"/>
      <c r="C1186" s="37"/>
      <c r="D1186" s="37"/>
      <c r="E1186" s="37"/>
      <c r="F1186" s="37"/>
      <c r="G1186" s="37"/>
      <c r="H1186" s="37"/>
      <c r="I1186" s="35"/>
      <c r="J1186" s="37"/>
    </row>
    <row r="1187" spans="1:10" ht="15.95" customHeight="1" x14ac:dyDescent="0.2">
      <c r="A1187" s="39"/>
      <c r="B1187" s="36"/>
      <c r="C1187" s="37"/>
      <c r="D1187" s="37"/>
      <c r="E1187" s="37"/>
      <c r="F1187" s="37"/>
      <c r="G1187" s="37"/>
      <c r="H1187" s="37"/>
      <c r="I1187" s="35"/>
      <c r="J1187" s="37"/>
    </row>
    <row r="1188" spans="1:10" ht="15.95" customHeight="1" x14ac:dyDescent="0.2">
      <c r="A1188" s="39"/>
      <c r="B1188" s="36"/>
      <c r="C1188" s="37"/>
      <c r="D1188" s="37"/>
      <c r="E1188" s="37"/>
      <c r="F1188" s="37"/>
      <c r="G1188" s="37"/>
      <c r="H1188" s="37"/>
      <c r="I1188" s="35"/>
      <c r="J1188" s="37"/>
    </row>
    <row r="1189" spans="1:10" ht="15.95" customHeight="1" x14ac:dyDescent="0.2">
      <c r="A1189" s="39"/>
      <c r="B1189" s="36"/>
      <c r="C1189" s="37"/>
      <c r="D1189" s="37"/>
      <c r="E1189" s="37"/>
      <c r="F1189" s="37"/>
      <c r="G1189" s="37"/>
      <c r="H1189" s="37"/>
      <c r="I1189" s="35"/>
      <c r="J1189" s="37"/>
    </row>
    <row r="1190" spans="1:10" ht="15.95" customHeight="1" x14ac:dyDescent="0.2">
      <c r="A1190" s="39"/>
      <c r="B1190" s="36"/>
      <c r="C1190" s="37"/>
      <c r="D1190" s="37"/>
      <c r="E1190" s="37"/>
      <c r="F1190" s="37"/>
      <c r="G1190" s="37"/>
      <c r="H1190" s="37"/>
      <c r="I1190" s="35"/>
      <c r="J1190" s="37"/>
    </row>
    <row r="1191" spans="1:10" ht="15.95" customHeight="1" x14ac:dyDescent="0.2">
      <c r="A1191" s="39"/>
      <c r="B1191" s="36"/>
      <c r="C1191" s="37"/>
      <c r="D1191" s="37"/>
      <c r="E1191" s="37"/>
      <c r="F1191" s="37"/>
      <c r="G1191" s="37"/>
      <c r="H1191" s="37"/>
      <c r="I1191" s="35"/>
      <c r="J1191" s="37"/>
    </row>
    <row r="1192" spans="1:10" ht="15.95" customHeight="1" x14ac:dyDescent="0.2">
      <c r="A1192" s="39"/>
      <c r="B1192" s="36"/>
      <c r="C1192" s="37"/>
      <c r="D1192" s="37"/>
      <c r="E1192" s="37"/>
      <c r="F1192" s="37"/>
      <c r="G1192" s="37"/>
      <c r="H1192" s="37"/>
      <c r="I1192" s="35"/>
      <c r="J1192" s="37"/>
    </row>
    <row r="1193" spans="1:10" ht="15.95" customHeight="1" x14ac:dyDescent="0.2">
      <c r="A1193" s="39"/>
      <c r="B1193" s="36"/>
      <c r="C1193" s="37"/>
      <c r="D1193" s="37"/>
      <c r="E1193" s="37"/>
      <c r="F1193" s="37"/>
      <c r="G1193" s="37"/>
      <c r="H1193" s="37"/>
      <c r="I1193" s="35"/>
      <c r="J1193" s="37"/>
    </row>
    <row r="1194" spans="1:10" ht="15.95" customHeight="1" x14ac:dyDescent="0.2">
      <c r="A1194" s="39"/>
      <c r="B1194" s="36"/>
      <c r="C1194" s="37"/>
      <c r="D1194" s="37"/>
      <c r="E1194" s="37"/>
      <c r="F1194" s="37"/>
      <c r="G1194" s="37"/>
      <c r="H1194" s="37"/>
      <c r="I1194" s="35"/>
      <c r="J1194" s="37"/>
    </row>
    <row r="1195" spans="1:10" ht="15.95" customHeight="1" x14ac:dyDescent="0.2">
      <c r="A1195" s="39"/>
      <c r="B1195" s="36"/>
      <c r="C1195" s="37"/>
      <c r="D1195" s="37"/>
      <c r="E1195" s="37"/>
      <c r="F1195" s="37"/>
      <c r="G1195" s="37"/>
      <c r="H1195" s="37"/>
      <c r="I1195" s="35"/>
      <c r="J1195" s="37"/>
    </row>
    <row r="1196" spans="1:10" ht="15.95" customHeight="1" x14ac:dyDescent="0.2">
      <c r="A1196" s="39"/>
      <c r="B1196" s="36"/>
      <c r="C1196" s="37"/>
      <c r="D1196" s="37"/>
      <c r="E1196" s="37"/>
      <c r="F1196" s="37"/>
      <c r="G1196" s="37"/>
      <c r="H1196" s="37"/>
      <c r="I1196" s="35"/>
      <c r="J1196" s="37"/>
    </row>
    <row r="1197" spans="1:10" ht="15.95" customHeight="1" x14ac:dyDescent="0.2">
      <c r="A1197" s="39"/>
      <c r="B1197" s="36"/>
      <c r="C1197" s="37"/>
      <c r="D1197" s="37"/>
      <c r="E1197" s="37"/>
      <c r="F1197" s="37"/>
      <c r="G1197" s="37"/>
      <c r="H1197" s="37"/>
      <c r="I1197" s="35"/>
      <c r="J1197" s="37"/>
    </row>
    <row r="1198" spans="1:10" ht="15.95" customHeight="1" x14ac:dyDescent="0.2">
      <c r="A1198" s="39"/>
      <c r="B1198" s="36"/>
      <c r="C1198" s="37"/>
      <c r="D1198" s="37"/>
      <c r="E1198" s="37"/>
      <c r="F1198" s="37"/>
      <c r="G1198" s="37"/>
      <c r="H1198" s="37"/>
      <c r="I1198" s="35"/>
      <c r="J1198" s="37"/>
    </row>
    <row r="1199" spans="1:10" ht="15.95" customHeight="1" x14ac:dyDescent="0.2">
      <c r="A1199" s="39"/>
      <c r="B1199" s="36"/>
      <c r="C1199" s="37"/>
      <c r="D1199" s="37"/>
      <c r="E1199" s="37"/>
      <c r="F1199" s="37"/>
      <c r="G1199" s="37"/>
      <c r="H1199" s="37"/>
      <c r="I1199" s="35"/>
      <c r="J1199" s="37"/>
    </row>
    <row r="1200" spans="1:10" ht="15.95" customHeight="1" x14ac:dyDescent="0.2">
      <c r="A1200" s="39"/>
      <c r="B1200" s="36"/>
      <c r="C1200" s="37"/>
      <c r="D1200" s="37"/>
      <c r="E1200" s="37"/>
      <c r="F1200" s="37"/>
      <c r="G1200" s="37"/>
      <c r="H1200" s="37"/>
      <c r="I1200" s="35"/>
      <c r="J1200" s="37"/>
    </row>
    <row r="1201" spans="1:10" ht="15.95" customHeight="1" x14ac:dyDescent="0.2">
      <c r="A1201" s="39"/>
      <c r="B1201" s="36"/>
      <c r="C1201" s="37"/>
      <c r="D1201" s="37"/>
      <c r="E1201" s="37"/>
      <c r="F1201" s="37"/>
      <c r="G1201" s="37"/>
      <c r="H1201" s="37"/>
      <c r="I1201" s="35"/>
      <c r="J1201" s="37"/>
    </row>
    <row r="1202" spans="1:10" ht="15.95" customHeight="1" x14ac:dyDescent="0.2">
      <c r="A1202" s="39"/>
      <c r="B1202" s="36"/>
      <c r="C1202" s="37"/>
      <c r="D1202" s="37"/>
      <c r="E1202" s="37"/>
      <c r="F1202" s="37"/>
      <c r="G1202" s="37"/>
      <c r="H1202" s="37"/>
      <c r="I1202" s="35"/>
      <c r="J1202" s="37"/>
    </row>
    <row r="1203" spans="1:10" ht="15.95" customHeight="1" x14ac:dyDescent="0.2">
      <c r="A1203" s="39"/>
      <c r="B1203" s="36"/>
      <c r="C1203" s="37"/>
      <c r="D1203" s="37"/>
      <c r="E1203" s="37"/>
      <c r="F1203" s="37"/>
      <c r="G1203" s="37"/>
      <c r="H1203" s="37"/>
      <c r="I1203" s="35"/>
      <c r="J1203" s="37"/>
    </row>
    <row r="1204" spans="1:10" ht="15.95" customHeight="1" x14ac:dyDescent="0.2">
      <c r="A1204" s="39"/>
      <c r="B1204" s="36"/>
      <c r="C1204" s="37"/>
      <c r="D1204" s="37"/>
      <c r="E1204" s="37"/>
      <c r="F1204" s="37"/>
      <c r="G1204" s="37"/>
      <c r="H1204" s="37"/>
      <c r="I1204" s="35"/>
      <c r="J1204" s="37"/>
    </row>
    <row r="1205" spans="1:10" ht="15.95" customHeight="1" x14ac:dyDescent="0.2">
      <c r="A1205" s="39"/>
      <c r="B1205" s="36"/>
      <c r="C1205" s="37"/>
      <c r="D1205" s="37"/>
      <c r="E1205" s="37"/>
      <c r="F1205" s="37"/>
      <c r="G1205" s="37"/>
      <c r="H1205" s="37"/>
      <c r="I1205" s="35"/>
      <c r="J1205" s="37"/>
    </row>
    <row r="1206" spans="1:10" ht="15.95" customHeight="1" x14ac:dyDescent="0.2">
      <c r="A1206" s="39"/>
      <c r="B1206" s="36"/>
      <c r="C1206" s="37"/>
      <c r="D1206" s="37"/>
      <c r="E1206" s="37"/>
      <c r="F1206" s="37"/>
      <c r="G1206" s="37"/>
      <c r="H1206" s="37"/>
      <c r="I1206" s="35"/>
      <c r="J1206" s="37"/>
    </row>
    <row r="1207" spans="1:10" ht="15.95" customHeight="1" x14ac:dyDescent="0.2">
      <c r="A1207" s="39"/>
      <c r="B1207" s="36"/>
      <c r="C1207" s="37"/>
      <c r="D1207" s="37"/>
      <c r="E1207" s="37"/>
      <c r="F1207" s="37"/>
      <c r="G1207" s="37"/>
      <c r="H1207" s="37"/>
      <c r="I1207" s="35"/>
      <c r="J1207" s="37"/>
    </row>
    <row r="1208" spans="1:10" ht="15.95" customHeight="1" x14ac:dyDescent="0.2">
      <c r="A1208" s="39"/>
      <c r="B1208" s="36"/>
      <c r="C1208" s="37"/>
      <c r="D1208" s="37"/>
      <c r="E1208" s="37"/>
      <c r="F1208" s="37"/>
      <c r="G1208" s="37"/>
      <c r="H1208" s="37"/>
      <c r="I1208" s="35"/>
      <c r="J1208" s="37"/>
    </row>
    <row r="1209" spans="1:10" ht="15.95" customHeight="1" x14ac:dyDescent="0.2">
      <c r="A1209" s="39"/>
      <c r="B1209" s="36"/>
      <c r="C1209" s="37"/>
      <c r="D1209" s="37"/>
      <c r="E1209" s="37"/>
      <c r="F1209" s="37"/>
      <c r="G1209" s="37"/>
      <c r="H1209" s="37"/>
      <c r="I1209" s="35"/>
      <c r="J1209" s="37"/>
    </row>
    <row r="1210" spans="1:10" ht="15.95" customHeight="1" x14ac:dyDescent="0.2">
      <c r="A1210" s="39"/>
      <c r="B1210" s="36"/>
      <c r="C1210" s="37"/>
      <c r="D1210" s="37"/>
      <c r="E1210" s="37"/>
      <c r="F1210" s="37"/>
      <c r="G1210" s="37"/>
      <c r="H1210" s="37"/>
      <c r="I1210" s="35"/>
      <c r="J1210" s="37"/>
    </row>
    <row r="1211" spans="1:10" ht="15.95" customHeight="1" x14ac:dyDescent="0.2">
      <c r="A1211" s="39"/>
      <c r="B1211" s="36"/>
      <c r="C1211" s="37"/>
      <c r="D1211" s="37"/>
      <c r="E1211" s="37"/>
      <c r="F1211" s="37"/>
      <c r="G1211" s="37"/>
      <c r="H1211" s="37"/>
      <c r="I1211" s="35"/>
      <c r="J1211" s="37"/>
    </row>
    <row r="1212" spans="1:10" ht="15.95" customHeight="1" x14ac:dyDescent="0.2">
      <c r="A1212" s="39"/>
      <c r="B1212" s="36"/>
      <c r="C1212" s="37"/>
      <c r="D1212" s="37"/>
      <c r="E1212" s="37"/>
      <c r="F1212" s="37"/>
      <c r="G1212" s="37"/>
      <c r="H1212" s="37"/>
      <c r="I1212" s="35"/>
      <c r="J1212" s="37"/>
    </row>
    <row r="1213" spans="1:10" ht="15.95" customHeight="1" x14ac:dyDescent="0.2">
      <c r="A1213" s="39"/>
      <c r="B1213" s="36"/>
      <c r="C1213" s="37"/>
      <c r="D1213" s="37"/>
      <c r="E1213" s="37"/>
      <c r="F1213" s="37"/>
      <c r="G1213" s="37"/>
      <c r="H1213" s="37"/>
      <c r="I1213" s="35"/>
      <c r="J1213" s="37"/>
    </row>
    <row r="1214" spans="1:10" ht="15.95" customHeight="1" x14ac:dyDescent="0.2">
      <c r="A1214" s="39"/>
      <c r="B1214" s="36"/>
      <c r="C1214" s="37"/>
      <c r="D1214" s="37"/>
      <c r="E1214" s="37"/>
      <c r="F1214" s="37"/>
      <c r="G1214" s="37"/>
      <c r="H1214" s="37"/>
      <c r="I1214" s="35"/>
      <c r="J1214" s="37"/>
    </row>
    <row r="1215" spans="1:10" ht="15.95" customHeight="1" x14ac:dyDescent="0.2">
      <c r="A1215" s="39"/>
      <c r="B1215" s="36"/>
      <c r="C1215" s="37"/>
      <c r="D1215" s="37"/>
      <c r="E1215" s="37"/>
      <c r="F1215" s="37"/>
      <c r="G1215" s="37"/>
      <c r="H1215" s="37"/>
      <c r="I1215" s="35"/>
      <c r="J1215" s="37"/>
    </row>
    <row r="1216" spans="1:10" ht="15.95" customHeight="1" x14ac:dyDescent="0.2">
      <c r="A1216" s="39"/>
      <c r="B1216" s="36"/>
      <c r="C1216" s="37"/>
      <c r="D1216" s="37"/>
      <c r="E1216" s="37"/>
      <c r="F1216" s="37"/>
      <c r="G1216" s="37"/>
      <c r="H1216" s="37"/>
      <c r="I1216" s="35"/>
      <c r="J1216" s="37"/>
    </row>
    <row r="1217" spans="1:10" ht="15.95" customHeight="1" x14ac:dyDescent="0.2">
      <c r="A1217" s="39"/>
      <c r="B1217" s="36"/>
      <c r="C1217" s="37"/>
      <c r="D1217" s="37"/>
      <c r="E1217" s="37"/>
      <c r="F1217" s="37"/>
      <c r="G1217" s="37"/>
      <c r="H1217" s="37"/>
      <c r="I1217" s="35"/>
      <c r="J1217" s="37"/>
    </row>
    <row r="1218" spans="1:10" ht="15.95" customHeight="1" x14ac:dyDescent="0.2">
      <c r="A1218" s="39"/>
      <c r="B1218" s="36"/>
      <c r="C1218" s="37"/>
      <c r="D1218" s="37"/>
      <c r="E1218" s="37"/>
      <c r="F1218" s="37"/>
      <c r="G1218" s="37"/>
      <c r="H1218" s="37"/>
      <c r="I1218" s="35"/>
      <c r="J1218" s="37"/>
    </row>
    <row r="1219" spans="1:10" ht="15.95" customHeight="1" x14ac:dyDescent="0.2">
      <c r="A1219" s="39"/>
      <c r="B1219" s="36"/>
      <c r="C1219" s="37"/>
      <c r="D1219" s="37"/>
      <c r="E1219" s="37"/>
      <c r="F1219" s="37"/>
      <c r="G1219" s="37"/>
      <c r="H1219" s="37"/>
      <c r="I1219" s="35"/>
      <c r="J1219" s="37"/>
    </row>
    <row r="1220" spans="1:10" ht="15.95" customHeight="1" x14ac:dyDescent="0.2">
      <c r="A1220" s="39"/>
      <c r="B1220" s="36"/>
      <c r="C1220" s="37"/>
      <c r="D1220" s="37"/>
      <c r="E1220" s="37"/>
      <c r="F1220" s="37"/>
      <c r="G1220" s="37"/>
      <c r="H1220" s="37"/>
      <c r="I1220" s="35"/>
      <c r="J1220" s="37"/>
    </row>
    <row r="1221" spans="1:10" ht="15.95" customHeight="1" x14ac:dyDescent="0.2">
      <c r="A1221" s="39"/>
      <c r="B1221" s="36"/>
      <c r="C1221" s="37"/>
      <c r="D1221" s="37"/>
      <c r="E1221" s="37"/>
      <c r="F1221" s="37"/>
      <c r="G1221" s="37"/>
      <c r="H1221" s="37"/>
      <c r="I1221" s="35"/>
      <c r="J1221" s="37"/>
    </row>
    <row r="1222" spans="1:10" ht="15.95" customHeight="1" x14ac:dyDescent="0.2">
      <c r="A1222" s="39"/>
      <c r="B1222" s="36"/>
      <c r="C1222" s="37"/>
      <c r="D1222" s="37"/>
      <c r="E1222" s="37"/>
      <c r="F1222" s="37"/>
      <c r="G1222" s="37"/>
      <c r="H1222" s="37"/>
      <c r="I1222" s="35"/>
      <c r="J1222" s="37"/>
    </row>
    <row r="1223" spans="1:10" ht="15.95" customHeight="1" x14ac:dyDescent="0.2">
      <c r="A1223" s="39"/>
      <c r="B1223" s="36"/>
      <c r="C1223" s="37"/>
      <c r="D1223" s="37"/>
      <c r="E1223" s="37"/>
      <c r="F1223" s="37"/>
      <c r="G1223" s="37"/>
      <c r="H1223" s="37"/>
      <c r="I1223" s="35"/>
      <c r="J1223" s="37"/>
    </row>
    <row r="1224" spans="1:10" ht="15.95" customHeight="1" x14ac:dyDescent="0.2">
      <c r="A1224" s="39"/>
      <c r="B1224" s="36"/>
      <c r="C1224" s="37"/>
      <c r="D1224" s="37"/>
      <c r="E1224" s="37"/>
      <c r="F1224" s="37"/>
      <c r="G1224" s="37"/>
      <c r="H1224" s="37"/>
      <c r="I1224" s="35"/>
      <c r="J1224" s="37"/>
    </row>
    <row r="1225" spans="1:10" ht="15.95" customHeight="1" x14ac:dyDescent="0.2">
      <c r="A1225" s="39"/>
      <c r="B1225" s="36"/>
      <c r="C1225" s="37"/>
      <c r="D1225" s="37"/>
      <c r="E1225" s="37"/>
      <c r="F1225" s="37"/>
      <c r="G1225" s="37"/>
      <c r="H1225" s="37"/>
      <c r="I1225" s="35"/>
      <c r="J1225" s="37"/>
    </row>
    <row r="1226" spans="1:10" ht="15.95" customHeight="1" x14ac:dyDescent="0.2">
      <c r="A1226" s="39"/>
      <c r="B1226" s="36"/>
      <c r="C1226" s="37"/>
      <c r="D1226" s="37"/>
      <c r="E1226" s="37"/>
      <c r="F1226" s="37"/>
      <c r="G1226" s="37"/>
      <c r="H1226" s="37"/>
      <c r="I1226" s="35"/>
      <c r="J1226" s="37"/>
    </row>
    <row r="1227" spans="1:10" ht="15.95" customHeight="1" x14ac:dyDescent="0.2">
      <c r="A1227" s="39"/>
      <c r="B1227" s="36"/>
      <c r="C1227" s="37"/>
      <c r="D1227" s="37"/>
      <c r="E1227" s="37"/>
      <c r="F1227" s="37"/>
      <c r="G1227" s="37"/>
      <c r="H1227" s="37"/>
      <c r="I1227" s="35"/>
      <c r="J1227" s="37"/>
    </row>
    <row r="1228" spans="1:10" ht="15.95" customHeight="1" x14ac:dyDescent="0.2">
      <c r="A1228" s="39"/>
      <c r="B1228" s="36"/>
      <c r="C1228" s="37"/>
      <c r="D1228" s="37"/>
      <c r="E1228" s="37"/>
      <c r="F1228" s="37"/>
      <c r="G1228" s="37"/>
      <c r="H1228" s="37"/>
      <c r="I1228" s="35"/>
      <c r="J1228" s="37"/>
    </row>
    <row r="1229" spans="1:10" ht="15.95" customHeight="1" x14ac:dyDescent="0.2">
      <c r="A1229" s="39"/>
      <c r="B1229" s="36"/>
      <c r="C1229" s="37"/>
      <c r="D1229" s="37"/>
      <c r="E1229" s="37"/>
      <c r="F1229" s="37"/>
      <c r="G1229" s="37"/>
      <c r="H1229" s="37"/>
      <c r="I1229" s="35"/>
      <c r="J1229" s="37"/>
    </row>
    <row r="1230" spans="1:10" ht="15.95" customHeight="1" x14ac:dyDescent="0.2">
      <c r="A1230" s="39"/>
      <c r="B1230" s="36"/>
      <c r="C1230" s="37"/>
      <c r="D1230" s="37"/>
      <c r="E1230" s="37"/>
      <c r="F1230" s="37"/>
      <c r="G1230" s="37"/>
      <c r="H1230" s="37"/>
      <c r="I1230" s="35"/>
      <c r="J1230" s="37"/>
    </row>
    <row r="1231" spans="1:10" ht="15.95" customHeight="1" x14ac:dyDescent="0.2">
      <c r="A1231" s="39"/>
      <c r="B1231" s="36"/>
      <c r="C1231" s="37"/>
      <c r="D1231" s="37"/>
      <c r="E1231" s="37"/>
      <c r="F1231" s="37"/>
      <c r="G1231" s="37"/>
      <c r="H1231" s="37"/>
      <c r="I1231" s="35"/>
      <c r="J1231" s="37"/>
    </row>
    <row r="1232" spans="1:10" ht="15.95" customHeight="1" x14ac:dyDescent="0.2">
      <c r="A1232" s="39"/>
      <c r="B1232" s="36"/>
      <c r="C1232" s="37"/>
      <c r="D1232" s="37"/>
      <c r="E1232" s="37"/>
      <c r="F1232" s="37"/>
      <c r="G1232" s="37"/>
      <c r="H1232" s="37"/>
      <c r="I1232" s="35"/>
      <c r="J1232" s="37"/>
    </row>
    <row r="1233" spans="1:10" ht="15.95" customHeight="1" x14ac:dyDescent="0.2">
      <c r="A1233" s="39"/>
      <c r="B1233" s="36"/>
      <c r="C1233" s="37"/>
      <c r="D1233" s="37"/>
      <c r="E1233" s="37"/>
      <c r="F1233" s="37"/>
      <c r="G1233" s="37"/>
      <c r="H1233" s="37"/>
      <c r="I1233" s="35"/>
      <c r="J1233" s="37"/>
    </row>
    <row r="1234" spans="1:10" ht="15.95" customHeight="1" x14ac:dyDescent="0.2">
      <c r="A1234" s="39"/>
      <c r="B1234" s="36"/>
      <c r="C1234" s="37"/>
      <c r="D1234" s="37"/>
      <c r="E1234" s="37"/>
      <c r="F1234" s="37"/>
      <c r="G1234" s="37"/>
      <c r="H1234" s="37"/>
      <c r="I1234" s="35"/>
      <c r="J1234" s="37"/>
    </row>
    <row r="1235" spans="1:10" ht="15.95" customHeight="1" x14ac:dyDescent="0.2">
      <c r="A1235" s="39"/>
      <c r="B1235" s="36"/>
      <c r="C1235" s="37"/>
      <c r="D1235" s="37"/>
      <c r="E1235" s="37"/>
      <c r="F1235" s="37"/>
      <c r="G1235" s="37"/>
      <c r="H1235" s="37"/>
      <c r="I1235" s="35"/>
      <c r="J1235" s="37"/>
    </row>
    <row r="1236" spans="1:10" ht="15.95" customHeight="1" x14ac:dyDescent="0.2">
      <c r="A1236" s="39"/>
      <c r="B1236" s="36"/>
      <c r="C1236" s="37"/>
      <c r="D1236" s="37"/>
      <c r="E1236" s="37"/>
      <c r="F1236" s="37"/>
      <c r="G1236" s="37"/>
      <c r="H1236" s="37"/>
      <c r="I1236" s="35"/>
      <c r="J1236" s="37"/>
    </row>
    <row r="1237" spans="1:10" ht="15.95" customHeight="1" x14ac:dyDescent="0.2">
      <c r="A1237" s="39"/>
      <c r="B1237" s="36"/>
      <c r="C1237" s="37"/>
      <c r="D1237" s="37"/>
      <c r="E1237" s="37"/>
      <c r="F1237" s="37"/>
      <c r="G1237" s="37"/>
      <c r="H1237" s="37"/>
      <c r="I1237" s="35"/>
      <c r="J1237" s="37"/>
    </row>
    <row r="1238" spans="1:10" ht="15.95" customHeight="1" x14ac:dyDescent="0.2">
      <c r="A1238" s="39"/>
      <c r="B1238" s="36"/>
      <c r="C1238" s="37"/>
      <c r="D1238" s="37"/>
      <c r="E1238" s="37"/>
      <c r="F1238" s="37"/>
      <c r="G1238" s="37"/>
      <c r="H1238" s="37"/>
      <c r="I1238" s="35"/>
      <c r="J1238" s="37"/>
    </row>
    <row r="1239" spans="1:10" ht="15.95" customHeight="1" x14ac:dyDescent="0.2">
      <c r="A1239" s="39"/>
      <c r="B1239" s="36"/>
      <c r="C1239" s="37"/>
      <c r="D1239" s="37"/>
      <c r="E1239" s="37"/>
      <c r="F1239" s="37"/>
      <c r="G1239" s="37"/>
      <c r="H1239" s="37"/>
      <c r="I1239" s="35"/>
      <c r="J1239" s="37"/>
    </row>
    <row r="1240" spans="1:10" ht="15.95" customHeight="1" x14ac:dyDescent="0.2">
      <c r="A1240" s="39"/>
      <c r="B1240" s="36"/>
      <c r="C1240" s="37"/>
      <c r="D1240" s="37"/>
      <c r="E1240" s="37"/>
      <c r="F1240" s="37"/>
      <c r="G1240" s="37"/>
      <c r="H1240" s="37"/>
      <c r="I1240" s="35"/>
      <c r="J1240" s="37"/>
    </row>
    <row r="1241" spans="1:10" ht="15.95" customHeight="1" x14ac:dyDescent="0.2">
      <c r="A1241" s="39"/>
      <c r="B1241" s="36"/>
      <c r="C1241" s="37"/>
      <c r="D1241" s="37"/>
      <c r="E1241" s="37"/>
      <c r="F1241" s="37"/>
      <c r="G1241" s="37"/>
      <c r="H1241" s="37"/>
      <c r="I1241" s="35"/>
      <c r="J1241" s="37"/>
    </row>
    <row r="1242" spans="1:10" ht="15.95" customHeight="1" x14ac:dyDescent="0.2">
      <c r="A1242" s="39"/>
      <c r="B1242" s="36"/>
      <c r="C1242" s="37"/>
      <c r="D1242" s="37"/>
      <c r="E1242" s="37"/>
      <c r="F1242" s="37"/>
      <c r="G1242" s="37"/>
      <c r="H1242" s="37"/>
      <c r="I1242" s="35"/>
      <c r="J1242" s="37"/>
    </row>
    <row r="1243" spans="1:10" ht="15.95" customHeight="1" x14ac:dyDescent="0.2">
      <c r="A1243" s="39"/>
      <c r="B1243" s="36"/>
      <c r="C1243" s="37"/>
      <c r="D1243" s="37"/>
      <c r="E1243" s="37"/>
      <c r="F1243" s="37"/>
      <c r="G1243" s="37"/>
      <c r="H1243" s="37"/>
      <c r="I1243" s="35"/>
      <c r="J1243" s="37"/>
    </row>
    <row r="1244" spans="1:10" ht="15.95" customHeight="1" x14ac:dyDescent="0.2">
      <c r="A1244" s="39"/>
      <c r="B1244" s="36"/>
      <c r="C1244" s="37"/>
      <c r="D1244" s="37"/>
      <c r="E1244" s="37"/>
      <c r="F1244" s="37"/>
      <c r="G1244" s="37"/>
      <c r="H1244" s="37"/>
      <c r="I1244" s="35"/>
      <c r="J1244" s="37"/>
    </row>
    <row r="1245" spans="1:10" ht="15.95" customHeight="1" x14ac:dyDescent="0.2">
      <c r="A1245" s="39"/>
      <c r="B1245" s="36"/>
      <c r="C1245" s="37"/>
      <c r="D1245" s="37"/>
      <c r="E1245" s="37"/>
      <c r="F1245" s="37"/>
      <c r="G1245" s="37"/>
      <c r="H1245" s="37"/>
      <c r="I1245" s="35"/>
      <c r="J1245" s="37"/>
    </row>
    <row r="1246" spans="1:10" ht="15.95" customHeight="1" x14ac:dyDescent="0.2">
      <c r="A1246" s="39"/>
      <c r="B1246" s="36"/>
      <c r="C1246" s="37"/>
      <c r="D1246" s="37"/>
      <c r="E1246" s="37"/>
      <c r="F1246" s="37"/>
      <c r="G1246" s="37"/>
      <c r="H1246" s="37"/>
      <c r="I1246" s="35"/>
      <c r="J1246" s="37"/>
    </row>
    <row r="1247" spans="1:10" ht="15.95" customHeight="1" x14ac:dyDescent="0.2">
      <c r="A1247" s="39"/>
      <c r="B1247" s="36"/>
      <c r="C1247" s="37"/>
      <c r="D1247" s="37"/>
      <c r="E1247" s="37"/>
      <c r="F1247" s="37"/>
      <c r="G1247" s="37"/>
      <c r="H1247" s="37"/>
      <c r="I1247" s="35"/>
      <c r="J1247" s="37"/>
    </row>
    <row r="1248" spans="1:10" ht="15.95" customHeight="1" x14ac:dyDescent="0.2">
      <c r="A1248" s="39"/>
      <c r="B1248" s="36"/>
      <c r="C1248" s="37"/>
      <c r="D1248" s="37"/>
      <c r="E1248" s="37"/>
      <c r="F1248" s="37"/>
      <c r="G1248" s="37"/>
      <c r="H1248" s="37"/>
      <c r="I1248" s="35"/>
      <c r="J1248" s="37"/>
    </row>
    <row r="1249" spans="1:10" ht="15.95" customHeight="1" x14ac:dyDescent="0.2">
      <c r="A1249" s="39"/>
      <c r="B1249" s="36"/>
      <c r="C1249" s="37"/>
      <c r="D1249" s="37"/>
      <c r="E1249" s="37"/>
      <c r="F1249" s="37"/>
      <c r="G1249" s="37"/>
      <c r="H1249" s="37"/>
      <c r="I1249" s="35"/>
      <c r="J1249" s="37"/>
    </row>
    <row r="1250" spans="1:10" ht="15.95" customHeight="1" x14ac:dyDescent="0.2">
      <c r="A1250" s="39"/>
      <c r="B1250" s="36"/>
      <c r="C1250" s="37"/>
      <c r="D1250" s="37"/>
      <c r="E1250" s="37"/>
      <c r="F1250" s="37"/>
      <c r="G1250" s="37"/>
      <c r="H1250" s="37"/>
      <c r="I1250" s="35"/>
      <c r="J1250" s="37"/>
    </row>
    <row r="1251" spans="1:10" ht="15.95" customHeight="1" x14ac:dyDescent="0.2">
      <c r="A1251" s="39"/>
      <c r="B1251" s="36"/>
      <c r="C1251" s="37"/>
      <c r="D1251" s="37"/>
      <c r="E1251" s="37"/>
      <c r="F1251" s="37"/>
      <c r="G1251" s="37"/>
      <c r="H1251" s="37"/>
      <c r="I1251" s="35"/>
      <c r="J1251" s="37"/>
    </row>
    <row r="1252" spans="1:10" ht="15.95" customHeight="1" x14ac:dyDescent="0.2">
      <c r="A1252" s="39"/>
      <c r="B1252" s="36"/>
      <c r="C1252" s="37"/>
      <c r="D1252" s="37"/>
      <c r="E1252" s="37"/>
      <c r="F1252" s="37"/>
      <c r="G1252" s="37"/>
      <c r="H1252" s="37"/>
      <c r="I1252" s="35"/>
      <c r="J1252" s="37"/>
    </row>
    <row r="1253" spans="1:10" ht="15.95" customHeight="1" x14ac:dyDescent="0.2">
      <c r="A1253" s="39"/>
      <c r="B1253" s="36"/>
      <c r="C1253" s="37"/>
      <c r="D1253" s="37"/>
      <c r="E1253" s="37"/>
      <c r="F1253" s="37"/>
      <c r="G1253" s="37"/>
      <c r="H1253" s="37"/>
      <c r="I1253" s="35"/>
      <c r="J1253" s="37"/>
    </row>
    <row r="1254" spans="1:10" ht="15.95" customHeight="1" x14ac:dyDescent="0.2">
      <c r="A1254" s="39"/>
      <c r="B1254" s="36"/>
      <c r="C1254" s="37"/>
      <c r="D1254" s="37"/>
      <c r="E1254" s="37"/>
      <c r="F1254" s="37"/>
      <c r="G1254" s="37"/>
      <c r="H1254" s="37"/>
      <c r="I1254" s="35"/>
      <c r="J1254" s="37"/>
    </row>
    <row r="1255" spans="1:10" ht="15.95" customHeight="1" x14ac:dyDescent="0.2">
      <c r="A1255" s="39"/>
      <c r="B1255" s="36"/>
      <c r="C1255" s="37"/>
      <c r="D1255" s="37"/>
      <c r="E1255" s="37"/>
      <c r="F1255" s="37"/>
      <c r="G1255" s="37"/>
      <c r="H1255" s="37"/>
      <c r="I1255" s="35"/>
      <c r="J1255" s="37"/>
    </row>
    <row r="1256" spans="1:10" ht="15.95" customHeight="1" x14ac:dyDescent="0.2">
      <c r="A1256" s="39"/>
      <c r="B1256" s="36"/>
      <c r="C1256" s="37"/>
      <c r="D1256" s="37"/>
      <c r="E1256" s="37"/>
      <c r="F1256" s="37"/>
      <c r="G1256" s="37"/>
      <c r="H1256" s="37"/>
      <c r="I1256" s="35"/>
      <c r="J1256" s="37"/>
    </row>
    <row r="1257" spans="1:10" ht="15.95" customHeight="1" x14ac:dyDescent="0.2">
      <c r="A1257" s="39"/>
      <c r="B1257" s="36"/>
      <c r="C1257" s="37"/>
      <c r="D1257" s="37"/>
      <c r="E1257" s="37"/>
      <c r="F1257" s="37"/>
      <c r="G1257" s="37"/>
      <c r="H1257" s="37"/>
      <c r="I1257" s="35"/>
      <c r="J1257" s="37"/>
    </row>
    <row r="1258" spans="1:10" ht="15.95" customHeight="1" x14ac:dyDescent="0.2">
      <c r="A1258" s="39"/>
      <c r="B1258" s="36"/>
      <c r="C1258" s="37"/>
      <c r="D1258" s="37"/>
      <c r="E1258" s="37"/>
      <c r="F1258" s="37"/>
      <c r="G1258" s="37"/>
      <c r="H1258" s="37"/>
      <c r="I1258" s="35"/>
      <c r="J1258" s="37"/>
    </row>
    <row r="1259" spans="1:10" ht="15.95" customHeight="1" x14ac:dyDescent="0.2">
      <c r="A1259" s="39"/>
      <c r="B1259" s="36"/>
      <c r="C1259" s="37"/>
      <c r="D1259" s="37"/>
      <c r="E1259" s="37"/>
      <c r="F1259" s="37"/>
      <c r="G1259" s="37"/>
      <c r="H1259" s="37"/>
      <c r="I1259" s="35"/>
      <c r="J1259" s="37"/>
    </row>
    <row r="1260" spans="1:10" ht="15.95" customHeight="1" x14ac:dyDescent="0.2">
      <c r="A1260" s="39"/>
      <c r="B1260" s="36"/>
      <c r="C1260" s="37"/>
      <c r="D1260" s="37"/>
      <c r="E1260" s="37"/>
      <c r="F1260" s="37"/>
      <c r="G1260" s="37"/>
      <c r="H1260" s="37"/>
      <c r="I1260" s="35"/>
      <c r="J1260" s="37"/>
    </row>
    <row r="1261" spans="1:10" ht="15.95" customHeight="1" x14ac:dyDescent="0.2">
      <c r="A1261" s="39"/>
      <c r="B1261" s="36"/>
      <c r="C1261" s="37"/>
      <c r="D1261" s="37"/>
      <c r="E1261" s="37"/>
      <c r="F1261" s="37"/>
      <c r="G1261" s="37"/>
      <c r="H1261" s="37"/>
      <c r="I1261" s="35"/>
      <c r="J1261" s="37"/>
    </row>
    <row r="1262" spans="1:10" ht="15.95" customHeight="1" x14ac:dyDescent="0.2">
      <c r="A1262" s="39"/>
      <c r="B1262" s="36"/>
      <c r="C1262" s="37"/>
      <c r="D1262" s="37"/>
      <c r="E1262" s="37"/>
      <c r="F1262" s="37"/>
      <c r="G1262" s="37"/>
      <c r="H1262" s="37"/>
      <c r="I1262" s="35"/>
      <c r="J1262" s="37"/>
    </row>
    <row r="1263" spans="1:10" ht="15.95" customHeight="1" x14ac:dyDescent="0.2">
      <c r="A1263" s="39"/>
      <c r="B1263" s="36"/>
      <c r="C1263" s="37"/>
      <c r="D1263" s="37"/>
      <c r="E1263" s="37"/>
      <c r="F1263" s="37"/>
      <c r="G1263" s="37"/>
      <c r="H1263" s="37"/>
      <c r="I1263" s="35"/>
      <c r="J1263" s="37"/>
    </row>
    <row r="1264" spans="1:10" ht="15.95" customHeight="1" x14ac:dyDescent="0.2">
      <c r="A1264" s="39"/>
      <c r="B1264" s="36"/>
      <c r="C1264" s="37"/>
      <c r="D1264" s="37"/>
      <c r="E1264" s="37"/>
      <c r="F1264" s="37"/>
      <c r="G1264" s="37"/>
      <c r="H1264" s="37"/>
      <c r="I1264" s="35"/>
      <c r="J1264" s="37"/>
    </row>
    <row r="1265" spans="1:10" ht="15.95" customHeight="1" x14ac:dyDescent="0.2">
      <c r="A1265" s="39"/>
      <c r="B1265" s="36"/>
      <c r="C1265" s="37"/>
      <c r="D1265" s="37"/>
      <c r="E1265" s="37"/>
      <c r="F1265" s="37"/>
      <c r="G1265" s="37"/>
      <c r="H1265" s="37"/>
      <c r="I1265" s="35"/>
      <c r="J1265" s="37"/>
    </row>
    <row r="1266" spans="1:10" ht="15.95" customHeight="1" x14ac:dyDescent="0.2">
      <c r="A1266" s="39"/>
      <c r="B1266" s="36"/>
      <c r="C1266" s="37"/>
      <c r="D1266" s="37"/>
      <c r="E1266" s="37"/>
      <c r="F1266" s="37"/>
      <c r="G1266" s="37"/>
      <c r="H1266" s="37"/>
      <c r="I1266" s="35"/>
      <c r="J1266" s="37"/>
    </row>
    <row r="1267" spans="1:10" ht="15.95" customHeight="1" x14ac:dyDescent="0.2">
      <c r="A1267" s="39"/>
      <c r="B1267" s="36"/>
      <c r="C1267" s="37"/>
      <c r="D1267" s="37"/>
      <c r="E1267" s="37"/>
      <c r="F1267" s="37"/>
      <c r="G1267" s="37"/>
      <c r="H1267" s="37"/>
      <c r="I1267" s="35"/>
      <c r="J1267" s="37"/>
    </row>
    <row r="1268" spans="1:10" ht="15.95" customHeight="1" x14ac:dyDescent="0.2">
      <c r="A1268" s="39"/>
      <c r="B1268" s="36"/>
      <c r="C1268" s="37"/>
      <c r="D1268" s="37"/>
      <c r="E1268" s="37"/>
      <c r="F1268" s="37"/>
      <c r="G1268" s="37"/>
      <c r="H1268" s="37"/>
      <c r="I1268" s="35"/>
      <c r="J1268" s="37"/>
    </row>
    <row r="1269" spans="1:10" ht="15.95" customHeight="1" x14ac:dyDescent="0.2">
      <c r="A1269" s="39"/>
      <c r="B1269" s="36"/>
      <c r="C1269" s="37"/>
      <c r="D1269" s="37"/>
      <c r="E1269" s="37"/>
      <c r="F1269" s="37"/>
      <c r="G1269" s="37"/>
      <c r="H1269" s="37"/>
      <c r="I1269" s="35"/>
      <c r="J1269" s="37"/>
    </row>
    <row r="1270" spans="1:10" ht="15.95" customHeight="1" x14ac:dyDescent="0.2">
      <c r="A1270" s="39"/>
      <c r="B1270" s="36"/>
      <c r="C1270" s="37"/>
      <c r="D1270" s="37"/>
      <c r="E1270" s="37"/>
      <c r="F1270" s="37"/>
      <c r="G1270" s="37"/>
      <c r="H1270" s="37"/>
      <c r="I1270" s="35"/>
      <c r="J1270" s="37"/>
    </row>
    <row r="1271" spans="1:10" ht="15.95" customHeight="1" x14ac:dyDescent="0.2">
      <c r="A1271" s="39"/>
      <c r="B1271" s="36"/>
      <c r="C1271" s="37"/>
      <c r="D1271" s="37"/>
      <c r="E1271" s="37"/>
      <c r="F1271" s="37"/>
      <c r="G1271" s="37"/>
      <c r="H1271" s="37"/>
      <c r="I1271" s="35"/>
      <c r="J1271" s="37"/>
    </row>
    <row r="1272" spans="1:10" ht="15.95" customHeight="1" x14ac:dyDescent="0.2">
      <c r="A1272" s="39"/>
      <c r="B1272" s="36"/>
      <c r="C1272" s="37"/>
      <c r="D1272" s="37"/>
      <c r="E1272" s="37"/>
      <c r="F1272" s="37"/>
      <c r="G1272" s="37"/>
      <c r="H1272" s="37"/>
      <c r="I1272" s="35"/>
      <c r="J1272" s="37"/>
    </row>
    <row r="1273" spans="1:10" ht="15.95" customHeight="1" x14ac:dyDescent="0.2">
      <c r="A1273" s="39"/>
      <c r="B1273" s="36"/>
      <c r="C1273" s="37"/>
      <c r="D1273" s="37"/>
      <c r="E1273" s="37"/>
      <c r="F1273" s="37"/>
      <c r="G1273" s="37"/>
      <c r="H1273" s="37"/>
      <c r="I1273" s="35"/>
      <c r="J1273" s="37"/>
    </row>
    <row r="1274" spans="1:10" ht="15.95" customHeight="1" x14ac:dyDescent="0.2">
      <c r="A1274" s="39"/>
      <c r="B1274" s="36"/>
      <c r="C1274" s="37"/>
      <c r="D1274" s="37"/>
      <c r="E1274" s="37"/>
      <c r="F1274" s="37"/>
      <c r="G1274" s="37"/>
      <c r="H1274" s="37"/>
      <c r="I1274" s="35"/>
      <c r="J1274" s="37"/>
    </row>
    <row r="1275" spans="1:10" ht="15.95" customHeight="1" x14ac:dyDescent="0.2">
      <c r="A1275" s="39"/>
      <c r="B1275" s="36"/>
      <c r="C1275" s="37"/>
      <c r="D1275" s="37"/>
      <c r="E1275" s="37"/>
      <c r="F1275" s="37"/>
      <c r="G1275" s="37"/>
      <c r="H1275" s="37"/>
      <c r="I1275" s="35"/>
      <c r="J1275" s="37"/>
    </row>
    <row r="1276" spans="1:10" ht="15.95" customHeight="1" x14ac:dyDescent="0.2">
      <c r="A1276" s="39"/>
      <c r="B1276" s="36"/>
      <c r="C1276" s="37"/>
      <c r="D1276" s="37"/>
      <c r="E1276" s="37"/>
      <c r="F1276" s="37"/>
      <c r="G1276" s="37"/>
      <c r="H1276" s="37"/>
      <c r="I1276" s="35"/>
      <c r="J1276" s="37"/>
    </row>
    <row r="1277" spans="1:10" ht="15.95" customHeight="1" x14ac:dyDescent="0.2">
      <c r="A1277" s="39"/>
      <c r="B1277" s="36"/>
      <c r="C1277" s="37"/>
      <c r="D1277" s="37"/>
      <c r="E1277" s="37"/>
      <c r="F1277" s="37"/>
      <c r="G1277" s="37"/>
      <c r="H1277" s="37"/>
      <c r="I1277" s="35"/>
      <c r="J1277" s="37"/>
    </row>
    <row r="1278" spans="1:10" ht="15.95" customHeight="1" x14ac:dyDescent="0.2">
      <c r="A1278" s="39"/>
      <c r="B1278" s="36"/>
      <c r="C1278" s="37"/>
      <c r="D1278" s="37"/>
      <c r="E1278" s="37"/>
      <c r="F1278" s="37"/>
      <c r="G1278" s="37"/>
      <c r="H1278" s="37"/>
      <c r="I1278" s="35"/>
      <c r="J1278" s="37"/>
    </row>
    <row r="1279" spans="1:10" ht="15.95" customHeight="1" x14ac:dyDescent="0.2">
      <c r="A1279" s="39"/>
      <c r="B1279" s="36"/>
      <c r="C1279" s="37"/>
      <c r="D1279" s="37"/>
      <c r="E1279" s="37"/>
      <c r="F1279" s="37"/>
      <c r="G1279" s="37"/>
      <c r="H1279" s="37"/>
      <c r="I1279" s="35"/>
      <c r="J1279" s="37"/>
    </row>
    <row r="1280" spans="1:10" ht="15.95" customHeight="1" x14ac:dyDescent="0.2">
      <c r="A1280" s="39"/>
      <c r="B1280" s="36"/>
      <c r="C1280" s="37"/>
      <c r="D1280" s="37"/>
      <c r="E1280" s="37"/>
      <c r="F1280" s="37"/>
      <c r="G1280" s="37"/>
      <c r="H1280" s="37"/>
      <c r="I1280" s="35"/>
      <c r="J1280" s="37"/>
    </row>
    <row r="1281" spans="1:10" ht="15.95" customHeight="1" x14ac:dyDescent="0.2">
      <c r="A1281" s="39"/>
      <c r="B1281" s="36"/>
      <c r="C1281" s="37"/>
      <c r="D1281" s="37"/>
      <c r="E1281" s="37"/>
      <c r="F1281" s="37"/>
      <c r="G1281" s="37"/>
      <c r="H1281" s="37"/>
      <c r="I1281" s="35"/>
      <c r="J1281" s="37"/>
    </row>
    <row r="1282" spans="1:10" ht="15.95" customHeight="1" x14ac:dyDescent="0.2">
      <c r="A1282" s="39"/>
      <c r="B1282" s="36"/>
      <c r="C1282" s="37"/>
      <c r="D1282" s="37"/>
      <c r="E1282" s="37"/>
      <c r="F1282" s="37"/>
      <c r="G1282" s="37"/>
      <c r="H1282" s="37"/>
      <c r="I1282" s="35"/>
      <c r="J1282" s="37"/>
    </row>
    <row r="1283" spans="1:10" ht="15.95" customHeight="1" x14ac:dyDescent="0.2">
      <c r="A1283" s="39"/>
      <c r="B1283" s="36"/>
      <c r="C1283" s="37"/>
      <c r="D1283" s="37"/>
      <c r="E1283" s="37"/>
      <c r="F1283" s="37"/>
      <c r="G1283" s="37"/>
      <c r="H1283" s="37"/>
      <c r="I1283" s="35"/>
      <c r="J1283" s="37"/>
    </row>
    <row r="1284" spans="1:10" ht="15.95" customHeight="1" x14ac:dyDescent="0.2">
      <c r="A1284" s="39"/>
      <c r="B1284" s="36"/>
      <c r="C1284" s="37"/>
      <c r="D1284" s="37"/>
      <c r="E1284" s="37"/>
      <c r="F1284" s="37"/>
      <c r="G1284" s="37"/>
      <c r="H1284" s="37"/>
      <c r="I1284" s="35"/>
      <c r="J1284" s="37"/>
    </row>
    <row r="1285" spans="1:10" ht="15.95" customHeight="1" x14ac:dyDescent="0.2">
      <c r="A1285" s="39"/>
      <c r="B1285" s="36"/>
      <c r="C1285" s="37"/>
      <c r="D1285" s="37"/>
      <c r="E1285" s="37"/>
      <c r="F1285" s="37"/>
      <c r="G1285" s="37"/>
      <c r="H1285" s="37"/>
      <c r="I1285" s="35"/>
      <c r="J1285" s="37"/>
    </row>
    <row r="1286" spans="1:10" ht="15.95" customHeight="1" x14ac:dyDescent="0.2">
      <c r="A1286" s="39"/>
      <c r="B1286" s="36"/>
      <c r="C1286" s="37"/>
      <c r="D1286" s="37"/>
      <c r="E1286" s="37"/>
      <c r="F1286" s="37"/>
      <c r="G1286" s="37"/>
      <c r="H1286" s="37"/>
      <c r="I1286" s="35"/>
      <c r="J1286" s="37"/>
    </row>
    <row r="1287" spans="1:10" ht="15.95" customHeight="1" x14ac:dyDescent="0.2">
      <c r="A1287" s="39"/>
      <c r="B1287" s="36"/>
      <c r="C1287" s="37"/>
      <c r="D1287" s="37"/>
      <c r="E1287" s="37"/>
      <c r="F1287" s="37"/>
      <c r="G1287" s="37"/>
      <c r="H1287" s="37"/>
      <c r="I1287" s="35"/>
      <c r="J1287" s="37"/>
    </row>
    <row r="1288" spans="1:10" ht="15.95" customHeight="1" x14ac:dyDescent="0.2">
      <c r="A1288" s="39"/>
      <c r="B1288" s="36"/>
      <c r="C1288" s="37"/>
      <c r="D1288" s="37"/>
      <c r="E1288" s="37"/>
      <c r="F1288" s="37"/>
      <c r="G1288" s="37"/>
      <c r="H1288" s="37"/>
      <c r="I1288" s="35"/>
      <c r="J1288" s="37"/>
    </row>
    <row r="1289" spans="1:10" ht="15.95" customHeight="1" x14ac:dyDescent="0.2">
      <c r="A1289" s="39"/>
      <c r="B1289" s="36"/>
      <c r="C1289" s="37"/>
      <c r="D1289" s="37"/>
      <c r="E1289" s="37"/>
      <c r="F1289" s="37"/>
      <c r="G1289" s="37"/>
      <c r="H1289" s="37"/>
      <c r="I1289" s="35"/>
      <c r="J1289" s="37"/>
    </row>
    <row r="1290" spans="1:10" ht="15.95" customHeight="1" x14ac:dyDescent="0.2">
      <c r="A1290" s="39"/>
      <c r="B1290" s="36"/>
      <c r="C1290" s="37"/>
      <c r="D1290" s="37"/>
      <c r="E1290" s="37"/>
      <c r="F1290" s="37"/>
      <c r="G1290" s="37"/>
      <c r="H1290" s="37"/>
      <c r="I1290" s="35"/>
      <c r="J1290" s="37"/>
    </row>
    <row r="1291" spans="1:10" ht="15.95" customHeight="1" x14ac:dyDescent="0.2">
      <c r="A1291" s="39"/>
      <c r="B1291" s="36"/>
      <c r="C1291" s="37"/>
      <c r="D1291" s="37"/>
      <c r="E1291" s="37"/>
      <c r="F1291" s="37"/>
      <c r="G1291" s="37"/>
      <c r="H1291" s="37"/>
      <c r="I1291" s="35"/>
      <c r="J1291" s="37"/>
    </row>
    <row r="1292" spans="1:10" ht="15.95" customHeight="1" x14ac:dyDescent="0.2">
      <c r="A1292" s="39"/>
      <c r="B1292" s="36"/>
      <c r="C1292" s="37"/>
      <c r="D1292" s="37"/>
      <c r="E1292" s="37"/>
      <c r="F1292" s="37"/>
      <c r="G1292" s="37"/>
      <c r="H1292" s="37"/>
      <c r="I1292" s="35"/>
      <c r="J1292" s="37"/>
    </row>
    <row r="1293" spans="1:10" ht="15.95" customHeight="1" x14ac:dyDescent="0.2">
      <c r="A1293" s="39"/>
      <c r="B1293" s="36"/>
      <c r="C1293" s="37"/>
      <c r="D1293" s="37"/>
      <c r="E1293" s="37"/>
      <c r="F1293" s="37"/>
      <c r="G1293" s="37"/>
      <c r="H1293" s="37"/>
      <c r="I1293" s="35"/>
      <c r="J1293" s="37"/>
    </row>
    <row r="1294" spans="1:10" ht="15.95" customHeight="1" x14ac:dyDescent="0.2">
      <c r="A1294" s="39"/>
      <c r="B1294" s="36"/>
      <c r="C1294" s="37"/>
      <c r="D1294" s="37"/>
      <c r="E1294" s="37"/>
      <c r="F1294" s="37"/>
      <c r="G1294" s="37"/>
      <c r="H1294" s="37"/>
      <c r="I1294" s="35"/>
      <c r="J1294" s="37"/>
    </row>
    <row r="1295" spans="1:10" ht="15.95" customHeight="1" x14ac:dyDescent="0.2">
      <c r="A1295" s="39"/>
      <c r="B1295" s="36"/>
      <c r="C1295" s="37"/>
      <c r="D1295" s="37"/>
      <c r="E1295" s="37"/>
      <c r="F1295" s="37"/>
      <c r="G1295" s="37"/>
      <c r="H1295" s="37"/>
      <c r="I1295" s="35"/>
      <c r="J1295" s="37"/>
    </row>
    <row r="1296" spans="1:10" ht="15.95" customHeight="1" x14ac:dyDescent="0.2">
      <c r="A1296" s="39"/>
      <c r="B1296" s="36"/>
      <c r="C1296" s="37"/>
      <c r="D1296" s="37"/>
      <c r="E1296" s="37"/>
      <c r="F1296" s="37"/>
      <c r="G1296" s="37"/>
      <c r="H1296" s="37"/>
      <c r="I1296" s="35"/>
      <c r="J1296" s="37"/>
    </row>
    <row r="1297" spans="1:10" ht="15.95" customHeight="1" x14ac:dyDescent="0.2">
      <c r="A1297" s="39"/>
      <c r="B1297" s="36"/>
      <c r="C1297" s="37"/>
      <c r="D1297" s="37"/>
      <c r="E1297" s="37"/>
      <c r="F1297" s="37"/>
      <c r="G1297" s="37"/>
      <c r="H1297" s="37"/>
      <c r="I1297" s="35"/>
      <c r="J1297" s="37"/>
    </row>
    <row r="1298" spans="1:10" ht="15.95" customHeight="1" x14ac:dyDescent="0.2">
      <c r="A1298" s="39"/>
      <c r="B1298" s="36"/>
      <c r="C1298" s="37"/>
      <c r="D1298" s="37"/>
      <c r="E1298" s="37"/>
      <c r="F1298" s="37"/>
      <c r="G1298" s="37"/>
      <c r="H1298" s="37"/>
      <c r="I1298" s="35"/>
      <c r="J1298" s="37"/>
    </row>
    <row r="1299" spans="1:10" ht="15.95" customHeight="1" x14ac:dyDescent="0.2">
      <c r="A1299" s="39"/>
      <c r="B1299" s="36"/>
      <c r="C1299" s="37"/>
      <c r="D1299" s="37"/>
      <c r="E1299" s="37"/>
      <c r="F1299" s="37"/>
      <c r="G1299" s="37"/>
      <c r="H1299" s="37"/>
      <c r="I1299" s="35"/>
      <c r="J1299" s="37"/>
    </row>
    <row r="1300" spans="1:10" ht="15.95" customHeight="1" x14ac:dyDescent="0.2">
      <c r="A1300" s="39"/>
      <c r="B1300" s="36"/>
      <c r="C1300" s="37"/>
      <c r="D1300" s="37"/>
      <c r="E1300" s="37"/>
      <c r="F1300" s="37"/>
      <c r="G1300" s="37"/>
      <c r="H1300" s="37"/>
      <c r="I1300" s="35"/>
      <c r="J1300" s="37"/>
    </row>
    <row r="1301" spans="1:10" ht="15.95" customHeight="1" x14ac:dyDescent="0.2">
      <c r="A1301" s="39"/>
      <c r="B1301" s="36"/>
      <c r="C1301" s="37"/>
      <c r="D1301" s="37"/>
      <c r="E1301" s="37"/>
      <c r="F1301" s="37"/>
      <c r="G1301" s="37"/>
      <c r="H1301" s="37"/>
      <c r="I1301" s="35"/>
      <c r="J1301" s="37"/>
    </row>
    <row r="1302" spans="1:10" ht="15.95" customHeight="1" x14ac:dyDescent="0.2">
      <c r="A1302" s="39"/>
      <c r="B1302" s="36"/>
      <c r="C1302" s="37"/>
      <c r="D1302" s="37"/>
      <c r="E1302" s="37"/>
      <c r="F1302" s="37"/>
      <c r="G1302" s="37"/>
      <c r="H1302" s="37"/>
      <c r="I1302" s="35"/>
      <c r="J1302" s="37"/>
    </row>
    <row r="1303" spans="1:10" ht="15.95" customHeight="1" x14ac:dyDescent="0.2">
      <c r="A1303" s="39"/>
      <c r="B1303" s="36"/>
      <c r="C1303" s="37"/>
      <c r="D1303" s="37"/>
      <c r="E1303" s="37"/>
      <c r="F1303" s="37"/>
      <c r="G1303" s="37"/>
      <c r="H1303" s="37"/>
      <c r="I1303" s="35"/>
      <c r="J1303" s="37"/>
    </row>
    <row r="1304" spans="1:10" ht="15.95" customHeight="1" x14ac:dyDescent="0.2">
      <c r="A1304" s="39"/>
      <c r="B1304" s="36"/>
      <c r="C1304" s="37"/>
      <c r="D1304" s="37"/>
      <c r="E1304" s="37"/>
      <c r="F1304" s="37"/>
      <c r="G1304" s="37"/>
      <c r="H1304" s="37"/>
      <c r="I1304" s="35"/>
      <c r="J1304" s="37"/>
    </row>
    <row r="1305" spans="1:10" ht="15.95" customHeight="1" x14ac:dyDescent="0.2">
      <c r="A1305" s="39"/>
      <c r="B1305" s="36"/>
      <c r="C1305" s="37"/>
      <c r="D1305" s="37"/>
      <c r="E1305" s="37"/>
      <c r="F1305" s="37"/>
      <c r="G1305" s="37"/>
      <c r="H1305" s="37"/>
      <c r="I1305" s="35"/>
      <c r="J1305" s="37"/>
    </row>
    <row r="1306" spans="1:10" ht="15.95" customHeight="1" x14ac:dyDescent="0.2">
      <c r="A1306" s="39"/>
      <c r="B1306" s="36"/>
      <c r="C1306" s="37"/>
      <c r="D1306" s="37"/>
      <c r="E1306" s="37"/>
      <c r="F1306" s="37"/>
      <c r="G1306" s="37"/>
      <c r="H1306" s="37"/>
      <c r="I1306" s="35"/>
      <c r="J1306" s="37"/>
    </row>
    <row r="1307" spans="1:10" ht="15.95" customHeight="1" x14ac:dyDescent="0.2">
      <c r="A1307" s="39"/>
      <c r="B1307" s="36"/>
      <c r="C1307" s="37"/>
      <c r="D1307" s="37"/>
      <c r="E1307" s="37"/>
      <c r="F1307" s="37"/>
      <c r="G1307" s="37"/>
      <c r="H1307" s="37"/>
      <c r="I1307" s="35"/>
      <c r="J1307" s="37"/>
    </row>
    <row r="1308" spans="1:10" ht="15.95" customHeight="1" x14ac:dyDescent="0.2">
      <c r="A1308" s="39"/>
      <c r="B1308" s="36"/>
      <c r="C1308" s="37"/>
      <c r="D1308" s="37"/>
      <c r="E1308" s="37"/>
      <c r="F1308" s="37"/>
      <c r="G1308" s="37"/>
      <c r="H1308" s="37"/>
      <c r="I1308" s="35"/>
      <c r="J1308" s="37"/>
    </row>
    <row r="1309" spans="1:10" ht="15.95" customHeight="1" x14ac:dyDescent="0.2">
      <c r="A1309" s="39"/>
      <c r="B1309" s="36"/>
      <c r="C1309" s="37"/>
      <c r="D1309" s="37"/>
      <c r="E1309" s="37"/>
      <c r="F1309" s="37"/>
      <c r="G1309" s="37"/>
      <c r="H1309" s="37"/>
      <c r="I1309" s="35"/>
      <c r="J1309" s="37"/>
    </row>
    <row r="1310" spans="1:10" ht="15.95" customHeight="1" x14ac:dyDescent="0.2">
      <c r="A1310" s="39"/>
      <c r="B1310" s="36"/>
      <c r="C1310" s="37"/>
      <c r="D1310" s="37"/>
      <c r="E1310" s="37"/>
      <c r="F1310" s="37"/>
      <c r="G1310" s="37"/>
      <c r="H1310" s="37"/>
      <c r="I1310" s="35"/>
      <c r="J1310" s="37"/>
    </row>
    <row r="1311" spans="1:10" ht="15.95" customHeight="1" x14ac:dyDescent="0.2">
      <c r="A1311" s="39"/>
      <c r="B1311" s="36"/>
      <c r="C1311" s="37"/>
      <c r="D1311" s="37"/>
      <c r="E1311" s="37"/>
      <c r="F1311" s="37"/>
      <c r="G1311" s="37"/>
      <c r="H1311" s="37"/>
      <c r="I1311" s="35"/>
      <c r="J1311" s="37"/>
    </row>
    <row r="1312" spans="1:10" ht="15.95" customHeight="1" x14ac:dyDescent="0.2">
      <c r="A1312" s="39"/>
      <c r="B1312" s="36"/>
      <c r="C1312" s="37"/>
      <c r="D1312" s="37"/>
      <c r="E1312" s="37"/>
      <c r="F1312" s="37"/>
      <c r="G1312" s="37"/>
      <c r="H1312" s="37"/>
      <c r="I1312" s="35"/>
      <c r="J1312" s="37"/>
    </row>
    <row r="1313" spans="1:10" ht="15.95" customHeight="1" x14ac:dyDescent="0.2">
      <c r="A1313" s="39"/>
      <c r="B1313" s="36"/>
      <c r="C1313" s="37"/>
      <c r="D1313" s="37"/>
      <c r="E1313" s="37"/>
      <c r="F1313" s="37"/>
      <c r="G1313" s="37"/>
      <c r="H1313" s="37"/>
      <c r="I1313" s="35"/>
      <c r="J1313" s="37"/>
    </row>
    <row r="1314" spans="1:10" ht="15.95" customHeight="1" x14ac:dyDescent="0.2">
      <c r="A1314" s="39"/>
      <c r="B1314" s="36"/>
      <c r="C1314" s="37"/>
      <c r="D1314" s="37"/>
      <c r="E1314" s="37"/>
      <c r="F1314" s="37"/>
      <c r="G1314" s="37"/>
      <c r="H1314" s="37"/>
      <c r="I1314" s="35"/>
      <c r="J1314" s="37"/>
    </row>
    <row r="1315" spans="1:10" ht="15.95" customHeight="1" x14ac:dyDescent="0.2">
      <c r="A1315" s="39"/>
      <c r="B1315" s="36"/>
      <c r="C1315" s="37"/>
      <c r="D1315" s="37"/>
      <c r="E1315" s="37"/>
      <c r="F1315" s="37"/>
      <c r="G1315" s="37"/>
      <c r="H1315" s="37"/>
      <c r="I1315" s="35"/>
      <c r="J1315" s="37"/>
    </row>
    <row r="1316" spans="1:10" ht="15.95" customHeight="1" x14ac:dyDescent="0.2">
      <c r="A1316" s="39"/>
      <c r="B1316" s="36"/>
      <c r="C1316" s="37"/>
      <c r="D1316" s="37"/>
      <c r="E1316" s="37"/>
      <c r="F1316" s="37"/>
      <c r="G1316" s="37"/>
      <c r="H1316" s="37"/>
      <c r="I1316" s="35"/>
      <c r="J1316" s="37"/>
    </row>
    <row r="1317" spans="1:10" ht="15.95" customHeight="1" x14ac:dyDescent="0.2">
      <c r="A1317" s="39"/>
      <c r="B1317" s="36"/>
      <c r="C1317" s="37"/>
      <c r="D1317" s="37"/>
      <c r="E1317" s="37"/>
      <c r="F1317" s="37"/>
      <c r="G1317" s="37"/>
      <c r="H1317" s="37"/>
      <c r="I1317" s="35"/>
      <c r="J1317" s="37"/>
    </row>
    <row r="1318" spans="1:10" ht="15.95" customHeight="1" x14ac:dyDescent="0.2">
      <c r="A1318" s="39"/>
      <c r="B1318" s="36"/>
      <c r="C1318" s="37"/>
      <c r="D1318" s="37"/>
      <c r="E1318" s="37"/>
      <c r="F1318" s="37"/>
      <c r="G1318" s="37"/>
      <c r="H1318" s="37"/>
      <c r="I1318" s="35"/>
      <c r="J1318" s="37"/>
    </row>
    <row r="1319" spans="1:10" ht="15.95" customHeight="1" x14ac:dyDescent="0.2">
      <c r="A1319" s="39"/>
      <c r="B1319" s="36"/>
      <c r="C1319" s="37"/>
      <c r="D1319" s="37"/>
      <c r="E1319" s="37"/>
      <c r="F1319" s="37"/>
      <c r="G1319" s="37"/>
      <c r="H1319" s="37"/>
      <c r="I1319" s="35"/>
      <c r="J1319" s="37"/>
    </row>
    <row r="1320" spans="1:10" ht="15.95" customHeight="1" x14ac:dyDescent="0.2">
      <c r="A1320" s="39"/>
      <c r="B1320" s="36"/>
      <c r="C1320" s="37"/>
      <c r="D1320" s="37"/>
      <c r="E1320" s="37"/>
      <c r="F1320" s="37"/>
      <c r="G1320" s="37"/>
      <c r="H1320" s="37"/>
      <c r="I1320" s="35"/>
      <c r="J1320" s="37"/>
    </row>
    <row r="1321" spans="1:10" ht="15.95" customHeight="1" x14ac:dyDescent="0.2">
      <c r="A1321" s="39"/>
      <c r="B1321" s="36"/>
      <c r="C1321" s="37"/>
      <c r="D1321" s="37"/>
      <c r="E1321" s="37"/>
      <c r="F1321" s="37"/>
      <c r="G1321" s="37"/>
      <c r="H1321" s="37"/>
      <c r="I1321" s="35"/>
      <c r="J1321" s="37"/>
    </row>
    <row r="1322" spans="1:10" ht="15.95" customHeight="1" x14ac:dyDescent="0.2">
      <c r="A1322" s="39"/>
      <c r="B1322" s="36"/>
      <c r="C1322" s="37"/>
      <c r="D1322" s="37"/>
      <c r="E1322" s="37"/>
      <c r="F1322" s="37"/>
      <c r="G1322" s="37"/>
      <c r="H1322" s="37"/>
      <c r="I1322" s="35"/>
      <c r="J1322" s="37"/>
    </row>
    <row r="1323" spans="1:10" ht="15.95" customHeight="1" x14ac:dyDescent="0.2">
      <c r="A1323" s="39"/>
      <c r="B1323" s="36"/>
      <c r="C1323" s="37"/>
      <c r="D1323" s="37"/>
      <c r="E1323" s="37"/>
      <c r="F1323" s="37"/>
      <c r="G1323" s="37"/>
      <c r="H1323" s="37"/>
      <c r="I1323" s="35"/>
      <c r="J1323" s="37"/>
    </row>
    <row r="1324" spans="1:10" ht="15.95" customHeight="1" x14ac:dyDescent="0.2">
      <c r="A1324" s="39"/>
      <c r="B1324" s="36"/>
      <c r="C1324" s="37"/>
      <c r="D1324" s="37"/>
      <c r="E1324" s="37"/>
      <c r="F1324" s="37"/>
      <c r="G1324" s="37"/>
      <c r="H1324" s="37"/>
      <c r="I1324" s="35"/>
      <c r="J1324" s="37"/>
    </row>
    <row r="1325" spans="1:10" ht="15.95" customHeight="1" x14ac:dyDescent="0.2">
      <c r="A1325" s="39"/>
      <c r="B1325" s="36"/>
      <c r="C1325" s="37"/>
      <c r="D1325" s="37"/>
      <c r="E1325" s="37"/>
      <c r="F1325" s="37"/>
      <c r="G1325" s="37"/>
      <c r="H1325" s="37"/>
      <c r="I1325" s="35"/>
      <c r="J1325" s="37"/>
    </row>
    <row r="1326" spans="1:10" ht="15.95" customHeight="1" x14ac:dyDescent="0.2">
      <c r="A1326" s="39"/>
      <c r="B1326" s="36"/>
      <c r="C1326" s="37"/>
      <c r="D1326" s="37"/>
      <c r="E1326" s="37"/>
      <c r="F1326" s="37"/>
      <c r="G1326" s="37"/>
      <c r="H1326" s="37"/>
      <c r="I1326" s="35"/>
      <c r="J1326" s="37"/>
    </row>
    <row r="1327" spans="1:10" ht="15.95" customHeight="1" x14ac:dyDescent="0.2">
      <c r="A1327" s="39"/>
      <c r="B1327" s="36"/>
      <c r="C1327" s="37"/>
      <c r="D1327" s="37"/>
      <c r="E1327" s="37"/>
      <c r="F1327" s="37"/>
      <c r="G1327" s="37"/>
      <c r="H1327" s="37"/>
      <c r="I1327" s="35"/>
      <c r="J1327" s="37"/>
    </row>
    <row r="1328" spans="1:10" ht="15.95" customHeight="1" x14ac:dyDescent="0.2">
      <c r="A1328" s="39"/>
      <c r="B1328" s="36"/>
      <c r="C1328" s="37"/>
      <c r="D1328" s="37"/>
      <c r="E1328" s="37"/>
      <c r="F1328" s="37"/>
      <c r="G1328" s="37"/>
      <c r="H1328" s="37"/>
      <c r="I1328" s="35"/>
      <c r="J1328" s="37"/>
    </row>
    <row r="1329" spans="1:10" ht="15.95" customHeight="1" x14ac:dyDescent="0.2">
      <c r="A1329" s="39"/>
      <c r="B1329" s="36"/>
      <c r="C1329" s="37"/>
      <c r="D1329" s="37"/>
      <c r="E1329" s="37"/>
      <c r="F1329" s="37"/>
      <c r="G1329" s="37"/>
      <c r="H1329" s="37"/>
      <c r="I1329" s="35"/>
      <c r="J1329" s="37"/>
    </row>
    <row r="1330" spans="1:10" ht="15.95" customHeight="1" x14ac:dyDescent="0.2">
      <c r="A1330" s="39"/>
      <c r="B1330" s="36"/>
      <c r="C1330" s="37"/>
      <c r="D1330" s="37"/>
      <c r="E1330" s="37"/>
      <c r="F1330" s="37"/>
      <c r="G1330" s="37"/>
      <c r="H1330" s="37"/>
      <c r="I1330" s="35"/>
      <c r="J1330" s="37"/>
    </row>
    <row r="1331" spans="1:10" ht="15.95" customHeight="1" x14ac:dyDescent="0.2">
      <c r="A1331" s="39"/>
      <c r="B1331" s="36"/>
      <c r="C1331" s="37"/>
      <c r="D1331" s="37"/>
      <c r="E1331" s="37"/>
      <c r="F1331" s="37"/>
      <c r="G1331" s="37"/>
      <c r="H1331" s="37"/>
      <c r="I1331" s="35"/>
      <c r="J1331" s="37"/>
    </row>
    <row r="1332" spans="1:10" ht="15.95" customHeight="1" x14ac:dyDescent="0.2">
      <c r="A1332" s="39"/>
      <c r="B1332" s="36"/>
      <c r="C1332" s="37"/>
      <c r="D1332" s="37"/>
      <c r="E1332" s="37"/>
      <c r="F1332" s="37"/>
      <c r="G1332" s="37"/>
      <c r="H1332" s="37"/>
      <c r="I1332" s="35"/>
      <c r="J1332" s="37"/>
    </row>
    <row r="1333" spans="1:10" ht="15.95" customHeight="1" x14ac:dyDescent="0.2">
      <c r="A1333" s="39"/>
      <c r="B1333" s="36"/>
      <c r="C1333" s="37"/>
      <c r="D1333" s="37"/>
      <c r="E1333" s="37"/>
      <c r="F1333" s="37"/>
      <c r="G1333" s="37"/>
      <c r="H1333" s="37"/>
      <c r="I1333" s="35"/>
      <c r="J1333" s="37"/>
    </row>
    <row r="1334" spans="1:10" ht="15.95" customHeight="1" x14ac:dyDescent="0.2">
      <c r="A1334" s="39"/>
      <c r="B1334" s="36"/>
      <c r="C1334" s="37"/>
      <c r="D1334" s="37"/>
      <c r="E1334" s="37"/>
      <c r="F1334" s="37"/>
      <c r="G1334" s="37"/>
      <c r="H1334" s="37"/>
      <c r="I1334" s="35"/>
      <c r="J1334" s="37"/>
    </row>
    <row r="1335" spans="1:10" ht="15.95" customHeight="1" x14ac:dyDescent="0.2">
      <c r="A1335" s="39"/>
      <c r="B1335" s="36"/>
      <c r="C1335" s="37"/>
      <c r="D1335" s="37"/>
      <c r="E1335" s="37"/>
      <c r="F1335" s="37"/>
      <c r="G1335" s="37"/>
      <c r="H1335" s="37"/>
      <c r="I1335" s="35"/>
      <c r="J1335" s="37"/>
    </row>
    <row r="1336" spans="1:10" ht="15.95" customHeight="1" x14ac:dyDescent="0.2">
      <c r="A1336" s="39"/>
      <c r="B1336" s="36"/>
      <c r="C1336" s="37"/>
      <c r="D1336" s="37"/>
      <c r="E1336" s="37"/>
      <c r="F1336" s="37"/>
      <c r="G1336" s="37"/>
      <c r="H1336" s="37"/>
      <c r="I1336" s="35"/>
      <c r="J1336" s="37"/>
    </row>
    <row r="1337" spans="1:10" ht="15.95" customHeight="1" x14ac:dyDescent="0.2">
      <c r="A1337" s="39"/>
      <c r="B1337" s="36"/>
      <c r="C1337" s="37"/>
      <c r="D1337" s="37"/>
      <c r="E1337" s="37"/>
      <c r="F1337" s="37"/>
      <c r="G1337" s="37"/>
      <c r="H1337" s="37"/>
      <c r="I1337" s="35"/>
      <c r="J1337" s="37"/>
    </row>
    <row r="1338" spans="1:10" ht="15.95" customHeight="1" x14ac:dyDescent="0.2">
      <c r="A1338" s="39"/>
      <c r="B1338" s="36"/>
      <c r="C1338" s="37"/>
      <c r="D1338" s="37"/>
      <c r="E1338" s="37"/>
      <c r="F1338" s="37"/>
      <c r="G1338" s="37"/>
      <c r="H1338" s="37"/>
      <c r="I1338" s="35"/>
      <c r="J1338" s="37"/>
    </row>
    <row r="1339" spans="1:10" ht="15.95" customHeight="1" x14ac:dyDescent="0.2">
      <c r="A1339" s="39"/>
      <c r="B1339" s="36"/>
      <c r="C1339" s="37"/>
      <c r="D1339" s="37"/>
      <c r="E1339" s="37"/>
      <c r="F1339" s="37"/>
      <c r="G1339" s="37"/>
      <c r="H1339" s="37"/>
      <c r="I1339" s="35"/>
      <c r="J1339" s="37"/>
    </row>
    <row r="1340" spans="1:10" ht="15.95" customHeight="1" x14ac:dyDescent="0.2">
      <c r="A1340" s="39"/>
      <c r="B1340" s="36"/>
      <c r="C1340" s="37"/>
      <c r="D1340" s="37"/>
      <c r="E1340" s="37"/>
      <c r="F1340" s="37"/>
      <c r="G1340" s="37"/>
      <c r="H1340" s="37"/>
      <c r="I1340" s="35"/>
      <c r="J1340" s="37"/>
    </row>
    <row r="1341" spans="1:10" ht="15.95" customHeight="1" x14ac:dyDescent="0.2">
      <c r="A1341" s="39"/>
      <c r="B1341" s="36"/>
      <c r="C1341" s="37"/>
      <c r="D1341" s="37"/>
      <c r="E1341" s="37"/>
      <c r="F1341" s="37"/>
      <c r="G1341" s="37"/>
      <c r="H1341" s="37"/>
      <c r="I1341" s="35"/>
      <c r="J1341" s="37"/>
    </row>
    <row r="1342" spans="1:10" ht="15.95" customHeight="1" x14ac:dyDescent="0.2">
      <c r="A1342" s="39"/>
      <c r="B1342" s="36"/>
      <c r="C1342" s="37"/>
      <c r="D1342" s="37"/>
      <c r="E1342" s="37"/>
      <c r="F1342" s="37"/>
      <c r="G1342" s="37"/>
      <c r="H1342" s="37"/>
      <c r="I1342" s="35"/>
      <c r="J1342" s="37"/>
    </row>
    <row r="1343" spans="1:10" ht="15.95" customHeight="1" x14ac:dyDescent="0.2">
      <c r="A1343" s="39"/>
      <c r="B1343" s="36"/>
      <c r="C1343" s="37"/>
      <c r="D1343" s="37"/>
      <c r="E1343" s="37"/>
      <c r="F1343" s="37"/>
      <c r="G1343" s="37"/>
      <c r="H1343" s="37"/>
      <c r="I1343" s="35"/>
      <c r="J1343" s="37"/>
    </row>
    <row r="1344" spans="1:10" ht="15.95" customHeight="1" x14ac:dyDescent="0.2">
      <c r="A1344" s="39"/>
      <c r="B1344" s="36"/>
      <c r="C1344" s="37"/>
      <c r="D1344" s="37"/>
      <c r="E1344" s="37"/>
      <c r="F1344" s="37"/>
      <c r="G1344" s="37"/>
      <c r="H1344" s="37"/>
      <c r="I1344" s="35"/>
      <c r="J1344" s="37"/>
    </row>
    <row r="1345" spans="1:10" ht="15.95" customHeight="1" x14ac:dyDescent="0.2">
      <c r="A1345" s="39"/>
      <c r="B1345" s="36"/>
      <c r="C1345" s="37"/>
      <c r="D1345" s="37"/>
      <c r="E1345" s="37"/>
      <c r="F1345" s="37"/>
      <c r="G1345" s="37"/>
      <c r="H1345" s="37"/>
      <c r="I1345" s="35"/>
      <c r="J1345" s="37"/>
    </row>
    <row r="1346" spans="1:10" ht="15.95" customHeight="1" x14ac:dyDescent="0.2">
      <c r="A1346" s="39"/>
      <c r="B1346" s="36"/>
      <c r="C1346" s="37"/>
      <c r="D1346" s="37"/>
      <c r="E1346" s="37"/>
      <c r="F1346" s="37"/>
      <c r="G1346" s="37"/>
      <c r="H1346" s="37"/>
      <c r="I1346" s="35"/>
      <c r="J1346" s="37"/>
    </row>
    <row r="1347" spans="1:10" ht="15.95" customHeight="1" x14ac:dyDescent="0.2">
      <c r="A1347" s="39"/>
      <c r="B1347" s="36"/>
      <c r="C1347" s="37"/>
      <c r="D1347" s="37"/>
      <c r="E1347" s="37"/>
      <c r="F1347" s="37"/>
      <c r="G1347" s="37"/>
      <c r="H1347" s="37"/>
      <c r="I1347" s="35"/>
      <c r="J1347" s="37"/>
    </row>
    <row r="1348" spans="1:10" ht="15.95" customHeight="1" x14ac:dyDescent="0.2">
      <c r="A1348" s="39"/>
      <c r="B1348" s="36"/>
      <c r="C1348" s="37"/>
      <c r="D1348" s="37"/>
      <c r="E1348" s="37"/>
      <c r="F1348" s="37"/>
      <c r="G1348" s="37"/>
      <c r="H1348" s="37"/>
      <c r="I1348" s="35"/>
      <c r="J1348" s="37"/>
    </row>
    <row r="1349" spans="1:10" ht="15.95" customHeight="1" x14ac:dyDescent="0.2">
      <c r="A1349" s="39"/>
      <c r="B1349" s="36"/>
      <c r="C1349" s="37"/>
      <c r="D1349" s="37"/>
      <c r="E1349" s="37"/>
      <c r="F1349" s="37"/>
      <c r="G1349" s="37"/>
      <c r="H1349" s="37"/>
      <c r="I1349" s="35"/>
      <c r="J1349" s="37"/>
    </row>
    <row r="1350" spans="1:10" ht="15.95" customHeight="1" x14ac:dyDescent="0.2">
      <c r="A1350" s="39"/>
      <c r="B1350" s="36"/>
      <c r="C1350" s="37"/>
      <c r="D1350" s="37"/>
      <c r="E1350" s="37"/>
      <c r="F1350" s="37"/>
      <c r="G1350" s="37"/>
      <c r="H1350" s="37"/>
      <c r="I1350" s="35"/>
      <c r="J1350" s="37"/>
    </row>
    <row r="1351" spans="1:10" ht="15.95" customHeight="1" x14ac:dyDescent="0.2">
      <c r="A1351" s="39"/>
      <c r="B1351" s="36"/>
      <c r="C1351" s="37"/>
      <c r="D1351" s="37"/>
      <c r="E1351" s="37"/>
      <c r="F1351" s="37"/>
      <c r="G1351" s="37"/>
      <c r="H1351" s="37"/>
      <c r="I1351" s="35"/>
      <c r="J1351" s="37"/>
    </row>
    <row r="1352" spans="1:10" ht="15.95" customHeight="1" x14ac:dyDescent="0.2">
      <c r="A1352" s="39"/>
      <c r="B1352" s="36"/>
      <c r="C1352" s="37"/>
      <c r="D1352" s="37"/>
      <c r="E1352" s="37"/>
      <c r="F1352" s="37"/>
      <c r="G1352" s="37"/>
      <c r="H1352" s="37"/>
      <c r="I1352" s="35"/>
      <c r="J1352" s="37"/>
    </row>
    <row r="1353" spans="1:10" ht="15.95" customHeight="1" x14ac:dyDescent="0.2">
      <c r="A1353" s="39"/>
      <c r="B1353" s="36"/>
      <c r="C1353" s="37"/>
      <c r="D1353" s="37"/>
      <c r="E1353" s="37"/>
      <c r="F1353" s="37"/>
      <c r="G1353" s="37"/>
      <c r="H1353" s="37"/>
      <c r="I1353" s="35"/>
      <c r="J1353" s="37"/>
    </row>
    <row r="1354" spans="1:10" ht="15.95" customHeight="1" x14ac:dyDescent="0.2">
      <c r="A1354" s="39"/>
      <c r="B1354" s="36"/>
      <c r="C1354" s="37"/>
      <c r="D1354" s="37"/>
      <c r="E1354" s="37"/>
      <c r="F1354" s="37"/>
      <c r="G1354" s="37"/>
      <c r="H1354" s="37"/>
      <c r="I1354" s="35"/>
      <c r="J1354" s="37"/>
    </row>
    <row r="1355" spans="1:10" ht="15.95" customHeight="1" x14ac:dyDescent="0.2">
      <c r="A1355" s="39"/>
      <c r="B1355" s="36"/>
      <c r="C1355" s="37"/>
      <c r="D1355" s="37"/>
      <c r="E1355" s="37"/>
      <c r="F1355" s="37"/>
      <c r="G1355" s="37"/>
      <c r="H1355" s="37"/>
      <c r="I1355" s="35"/>
      <c r="J1355" s="37"/>
    </row>
    <row r="1356" spans="1:10" ht="15.95" customHeight="1" x14ac:dyDescent="0.2">
      <c r="A1356" s="39"/>
      <c r="B1356" s="36"/>
      <c r="C1356" s="37"/>
      <c r="D1356" s="37"/>
      <c r="E1356" s="37"/>
      <c r="F1356" s="37"/>
      <c r="G1356" s="37"/>
      <c r="H1356" s="37"/>
      <c r="I1356" s="35"/>
      <c r="J1356" s="37"/>
    </row>
    <row r="1357" spans="1:10" ht="15.95" customHeight="1" x14ac:dyDescent="0.2">
      <c r="A1357" s="39"/>
      <c r="B1357" s="36"/>
      <c r="C1357" s="37"/>
      <c r="D1357" s="37"/>
      <c r="E1357" s="37"/>
      <c r="F1357" s="37"/>
      <c r="G1357" s="37"/>
      <c r="H1357" s="37"/>
      <c r="I1357" s="35"/>
      <c r="J1357" s="37"/>
    </row>
    <row r="1358" spans="1:10" ht="15.95" customHeight="1" x14ac:dyDescent="0.2">
      <c r="A1358" s="39"/>
      <c r="B1358" s="36"/>
      <c r="C1358" s="37"/>
      <c r="D1358" s="37"/>
      <c r="E1358" s="37"/>
      <c r="F1358" s="37"/>
      <c r="G1358" s="37"/>
      <c r="H1358" s="37"/>
      <c r="I1358" s="35"/>
      <c r="J1358" s="37"/>
    </row>
    <row r="1359" spans="1:10" ht="15.95" customHeight="1" x14ac:dyDescent="0.2">
      <c r="A1359" s="39"/>
      <c r="B1359" s="36"/>
      <c r="C1359" s="37"/>
      <c r="D1359" s="37"/>
      <c r="E1359" s="37"/>
      <c r="F1359" s="37"/>
      <c r="G1359" s="37"/>
      <c r="H1359" s="37"/>
      <c r="I1359" s="35"/>
      <c r="J1359" s="37"/>
    </row>
    <row r="1360" spans="1:10" ht="15.95" customHeight="1" x14ac:dyDescent="0.2">
      <c r="A1360" s="39"/>
      <c r="B1360" s="36"/>
      <c r="C1360" s="37"/>
      <c r="D1360" s="37"/>
      <c r="E1360" s="37"/>
      <c r="F1360" s="37"/>
      <c r="G1360" s="37"/>
      <c r="H1360" s="37"/>
      <c r="I1360" s="35"/>
      <c r="J1360" s="37"/>
    </row>
    <row r="1361" spans="1:10" ht="15.95" customHeight="1" x14ac:dyDescent="0.2">
      <c r="A1361" s="39"/>
      <c r="B1361" s="36"/>
      <c r="C1361" s="37"/>
      <c r="D1361" s="37"/>
      <c r="E1361" s="37"/>
      <c r="F1361" s="37"/>
      <c r="G1361" s="37"/>
      <c r="H1361" s="37"/>
      <c r="I1361" s="35"/>
      <c r="J1361" s="37"/>
    </row>
    <row r="1362" spans="1:10" ht="15.95" customHeight="1" x14ac:dyDescent="0.2">
      <c r="A1362" s="39"/>
      <c r="B1362" s="36"/>
      <c r="C1362" s="37"/>
      <c r="D1362" s="37"/>
      <c r="E1362" s="37"/>
      <c r="F1362" s="37"/>
      <c r="G1362" s="37"/>
      <c r="H1362" s="37"/>
      <c r="I1362" s="35"/>
      <c r="J1362" s="37"/>
    </row>
    <row r="1363" spans="1:10" ht="15.95" customHeight="1" x14ac:dyDescent="0.2">
      <c r="A1363" s="39"/>
      <c r="B1363" s="36"/>
      <c r="C1363" s="37"/>
      <c r="D1363" s="37"/>
      <c r="E1363" s="37"/>
      <c r="F1363" s="37"/>
      <c r="G1363" s="37"/>
      <c r="H1363" s="37"/>
      <c r="I1363" s="35"/>
      <c r="J1363" s="37"/>
    </row>
    <row r="1364" spans="1:10" ht="15.95" customHeight="1" x14ac:dyDescent="0.2">
      <c r="A1364" s="39"/>
      <c r="B1364" s="36"/>
      <c r="C1364" s="37"/>
      <c r="D1364" s="37"/>
      <c r="E1364" s="37"/>
      <c r="F1364" s="37"/>
      <c r="G1364" s="37"/>
      <c r="H1364" s="37"/>
      <c r="I1364" s="35"/>
      <c r="J1364" s="37"/>
    </row>
    <row r="1365" spans="1:10" ht="15.95" customHeight="1" x14ac:dyDescent="0.2">
      <c r="A1365" s="39"/>
      <c r="B1365" s="36"/>
      <c r="C1365" s="37"/>
      <c r="D1365" s="37"/>
      <c r="E1365" s="37"/>
      <c r="F1365" s="37"/>
      <c r="G1365" s="37"/>
      <c r="H1365" s="37"/>
      <c r="I1365" s="35"/>
      <c r="J1365" s="37"/>
    </row>
    <row r="1366" spans="1:10" ht="15.95" customHeight="1" x14ac:dyDescent="0.2">
      <c r="A1366" s="39"/>
      <c r="B1366" s="36"/>
      <c r="C1366" s="37"/>
      <c r="D1366" s="37"/>
      <c r="E1366" s="37"/>
      <c r="F1366" s="37"/>
      <c r="G1366" s="37"/>
      <c r="H1366" s="37"/>
      <c r="I1366" s="35"/>
      <c r="J1366" s="37"/>
    </row>
    <row r="1367" spans="1:10" ht="15.95" customHeight="1" x14ac:dyDescent="0.2">
      <c r="A1367" s="39"/>
      <c r="B1367" s="36"/>
      <c r="C1367" s="37"/>
      <c r="D1367" s="37"/>
      <c r="E1367" s="37"/>
      <c r="F1367" s="37"/>
      <c r="G1367" s="37"/>
      <c r="H1367" s="37"/>
      <c r="I1367" s="35"/>
      <c r="J1367" s="37"/>
    </row>
    <row r="1368" spans="1:10" ht="15.95" customHeight="1" x14ac:dyDescent="0.2">
      <c r="A1368" s="39"/>
      <c r="B1368" s="36"/>
      <c r="C1368" s="37"/>
      <c r="D1368" s="37"/>
      <c r="E1368" s="37"/>
      <c r="F1368" s="37"/>
      <c r="G1368" s="37"/>
      <c r="H1368" s="37"/>
      <c r="I1368" s="35"/>
      <c r="J1368" s="37"/>
    </row>
    <row r="1369" spans="1:10" ht="15.95" customHeight="1" x14ac:dyDescent="0.2">
      <c r="A1369" s="39"/>
      <c r="B1369" s="36"/>
      <c r="C1369" s="37"/>
      <c r="D1369" s="37"/>
      <c r="E1369" s="37"/>
      <c r="F1369" s="37"/>
      <c r="G1369" s="37"/>
      <c r="H1369" s="37"/>
      <c r="I1369" s="35"/>
      <c r="J1369" s="37"/>
    </row>
    <row r="1370" spans="1:10" ht="15.95" customHeight="1" x14ac:dyDescent="0.2">
      <c r="A1370" s="39"/>
      <c r="B1370" s="36"/>
      <c r="C1370" s="37"/>
      <c r="D1370" s="37"/>
      <c r="E1370" s="37"/>
      <c r="F1370" s="37"/>
      <c r="G1370" s="37"/>
      <c r="H1370" s="37"/>
      <c r="I1370" s="35"/>
      <c r="J1370" s="37"/>
    </row>
    <row r="1371" spans="1:10" ht="15.95" customHeight="1" x14ac:dyDescent="0.2">
      <c r="A1371" s="39"/>
      <c r="B1371" s="36"/>
      <c r="C1371" s="37"/>
      <c r="D1371" s="37"/>
      <c r="E1371" s="37"/>
      <c r="F1371" s="37"/>
      <c r="G1371" s="37"/>
      <c r="H1371" s="37"/>
      <c r="I1371" s="35"/>
      <c r="J1371" s="37"/>
    </row>
    <row r="1372" spans="1:10" ht="15.95" customHeight="1" x14ac:dyDescent="0.2">
      <c r="A1372" s="39"/>
      <c r="B1372" s="36"/>
      <c r="C1372" s="37"/>
      <c r="D1372" s="37"/>
      <c r="E1372" s="37"/>
      <c r="F1372" s="37"/>
      <c r="G1372" s="37"/>
      <c r="H1372" s="37"/>
      <c r="I1372" s="35"/>
      <c r="J1372" s="37"/>
    </row>
    <row r="1373" spans="1:10" ht="15.95" customHeight="1" x14ac:dyDescent="0.2">
      <c r="A1373" s="39"/>
      <c r="B1373" s="36"/>
      <c r="C1373" s="37"/>
      <c r="D1373" s="37"/>
      <c r="E1373" s="37"/>
      <c r="F1373" s="37"/>
      <c r="G1373" s="37"/>
      <c r="H1373" s="37"/>
      <c r="I1373" s="35"/>
      <c r="J1373" s="37"/>
    </row>
    <row r="1374" spans="1:10" ht="15.95" customHeight="1" x14ac:dyDescent="0.2">
      <c r="A1374" s="39"/>
      <c r="B1374" s="36"/>
      <c r="C1374" s="37"/>
      <c r="D1374" s="37"/>
      <c r="E1374" s="37"/>
      <c r="F1374" s="37"/>
      <c r="G1374" s="37"/>
      <c r="H1374" s="37"/>
      <c r="I1374" s="35"/>
      <c r="J1374" s="37"/>
    </row>
    <row r="1375" spans="1:10" ht="15.95" customHeight="1" x14ac:dyDescent="0.2">
      <c r="A1375" s="39"/>
      <c r="B1375" s="36"/>
      <c r="C1375" s="37"/>
      <c r="D1375" s="37"/>
      <c r="E1375" s="37"/>
      <c r="F1375" s="37"/>
      <c r="G1375" s="37"/>
      <c r="H1375" s="37"/>
      <c r="I1375" s="35"/>
      <c r="J1375" s="37"/>
    </row>
    <row r="1376" spans="1:10" ht="15.95" customHeight="1" x14ac:dyDescent="0.2">
      <c r="A1376" s="39"/>
      <c r="B1376" s="36"/>
      <c r="C1376" s="37"/>
      <c r="D1376" s="37"/>
      <c r="E1376" s="37"/>
      <c r="F1376" s="37"/>
      <c r="G1376" s="37"/>
      <c r="H1376" s="37"/>
      <c r="I1376" s="35"/>
      <c r="J1376" s="37"/>
    </row>
    <row r="1377" spans="1:10" ht="15.95" customHeight="1" x14ac:dyDescent="0.2">
      <c r="A1377" s="39"/>
      <c r="B1377" s="36"/>
      <c r="C1377" s="37"/>
      <c r="D1377" s="37"/>
      <c r="E1377" s="37"/>
      <c r="F1377" s="37"/>
      <c r="G1377" s="37"/>
      <c r="H1377" s="37"/>
      <c r="I1377" s="35"/>
      <c r="J1377" s="37"/>
    </row>
    <row r="1378" spans="1:10" ht="15.95" customHeight="1" x14ac:dyDescent="0.2">
      <c r="A1378" s="39"/>
      <c r="B1378" s="36"/>
      <c r="C1378" s="37"/>
      <c r="D1378" s="37"/>
      <c r="E1378" s="37"/>
      <c r="F1378" s="37"/>
      <c r="G1378" s="37"/>
      <c r="H1378" s="37"/>
      <c r="I1378" s="35"/>
      <c r="J1378" s="37"/>
    </row>
    <row r="1379" spans="1:10" ht="15.95" customHeight="1" x14ac:dyDescent="0.2">
      <c r="A1379" s="39"/>
      <c r="B1379" s="36"/>
      <c r="C1379" s="37"/>
      <c r="D1379" s="37"/>
      <c r="E1379" s="37"/>
      <c r="F1379" s="37"/>
      <c r="G1379" s="37"/>
      <c r="H1379" s="37"/>
      <c r="I1379" s="35"/>
      <c r="J1379" s="37"/>
    </row>
    <row r="1380" spans="1:10" ht="15.95" customHeight="1" x14ac:dyDescent="0.2">
      <c r="A1380" s="39"/>
      <c r="B1380" s="36"/>
      <c r="C1380" s="37"/>
      <c r="D1380" s="37"/>
      <c r="E1380" s="37"/>
      <c r="F1380" s="37"/>
      <c r="G1380" s="37"/>
      <c r="H1380" s="37"/>
      <c r="I1380" s="35"/>
      <c r="J1380" s="37"/>
    </row>
    <row r="1381" spans="1:10" ht="15.95" customHeight="1" x14ac:dyDescent="0.2">
      <c r="A1381" s="39"/>
      <c r="B1381" s="36"/>
      <c r="C1381" s="37"/>
      <c r="D1381" s="37"/>
      <c r="E1381" s="37"/>
      <c r="F1381" s="37"/>
      <c r="G1381" s="37"/>
      <c r="H1381" s="37"/>
      <c r="I1381" s="35"/>
      <c r="J1381" s="37"/>
    </row>
    <row r="1382" spans="1:10" ht="15.95" customHeight="1" x14ac:dyDescent="0.2">
      <c r="A1382" s="39"/>
      <c r="B1382" s="36"/>
      <c r="C1382" s="37"/>
      <c r="D1382" s="37"/>
      <c r="E1382" s="37"/>
      <c r="F1382" s="37"/>
      <c r="G1382" s="37"/>
      <c r="H1382" s="37"/>
      <c r="I1382" s="35"/>
      <c r="J1382" s="37"/>
    </row>
    <row r="1383" spans="1:10" ht="15.95" customHeight="1" x14ac:dyDescent="0.2">
      <c r="A1383" s="39"/>
      <c r="B1383" s="36"/>
      <c r="C1383" s="37"/>
      <c r="D1383" s="37"/>
      <c r="E1383" s="37"/>
      <c r="F1383" s="37"/>
      <c r="G1383" s="37"/>
      <c r="H1383" s="37"/>
      <c r="I1383" s="35"/>
      <c r="J1383" s="37"/>
    </row>
    <row r="1384" spans="1:10" ht="15.95" customHeight="1" x14ac:dyDescent="0.2">
      <c r="A1384" s="39"/>
      <c r="B1384" s="36"/>
      <c r="C1384" s="37"/>
      <c r="D1384" s="37"/>
      <c r="E1384" s="37"/>
      <c r="F1384" s="37"/>
      <c r="G1384" s="37"/>
      <c r="H1384" s="37"/>
      <c r="I1384" s="35"/>
      <c r="J1384" s="37"/>
    </row>
    <row r="1385" spans="1:10" ht="15.95" customHeight="1" x14ac:dyDescent="0.2">
      <c r="A1385" s="39"/>
      <c r="B1385" s="36"/>
      <c r="C1385" s="37"/>
      <c r="D1385" s="37"/>
      <c r="E1385" s="37"/>
      <c r="F1385" s="37"/>
      <c r="G1385" s="37"/>
      <c r="H1385" s="37"/>
      <c r="I1385" s="35"/>
      <c r="J1385" s="37"/>
    </row>
    <row r="1386" spans="1:10" ht="15.95" customHeight="1" x14ac:dyDescent="0.2">
      <c r="A1386" s="39"/>
      <c r="B1386" s="36"/>
      <c r="C1386" s="37"/>
      <c r="D1386" s="37"/>
      <c r="E1386" s="37"/>
      <c r="F1386" s="37"/>
      <c r="G1386" s="37"/>
      <c r="H1386" s="37"/>
      <c r="I1386" s="35"/>
      <c r="J1386" s="37"/>
    </row>
    <row r="1387" spans="1:10" ht="15.95" customHeight="1" x14ac:dyDescent="0.2">
      <c r="A1387" s="39"/>
      <c r="B1387" s="36"/>
      <c r="C1387" s="37"/>
      <c r="D1387" s="37"/>
      <c r="E1387" s="37"/>
      <c r="F1387" s="37"/>
      <c r="G1387" s="37"/>
      <c r="H1387" s="37"/>
      <c r="I1387" s="35"/>
      <c r="J1387" s="37"/>
    </row>
    <row r="1388" spans="1:10" ht="15.95" customHeight="1" x14ac:dyDescent="0.2">
      <c r="A1388" s="39"/>
      <c r="B1388" s="36"/>
      <c r="C1388" s="37"/>
      <c r="D1388" s="37"/>
      <c r="E1388" s="37"/>
      <c r="F1388" s="37"/>
      <c r="G1388" s="37"/>
      <c r="H1388" s="37"/>
      <c r="I1388" s="35"/>
      <c r="J1388" s="37"/>
    </row>
    <row r="1389" spans="1:10" ht="15.95" customHeight="1" x14ac:dyDescent="0.2">
      <c r="A1389" s="39"/>
      <c r="B1389" s="36"/>
      <c r="C1389" s="37"/>
      <c r="D1389" s="37"/>
      <c r="E1389" s="37"/>
      <c r="F1389" s="37"/>
      <c r="G1389" s="37"/>
      <c r="H1389" s="37"/>
      <c r="I1389" s="35"/>
      <c r="J1389" s="37"/>
    </row>
    <row r="1390" spans="1:10" ht="15.95" customHeight="1" x14ac:dyDescent="0.2">
      <c r="A1390" s="39"/>
      <c r="B1390" s="36"/>
      <c r="C1390" s="37"/>
      <c r="D1390" s="37"/>
      <c r="E1390" s="37"/>
      <c r="F1390" s="37"/>
      <c r="G1390" s="37"/>
      <c r="H1390" s="37"/>
      <c r="I1390" s="35"/>
      <c r="J1390" s="37"/>
    </row>
    <row r="1391" spans="1:10" ht="15.95" customHeight="1" x14ac:dyDescent="0.2">
      <c r="A1391" s="39"/>
      <c r="B1391" s="36"/>
      <c r="C1391" s="37"/>
      <c r="D1391" s="37"/>
      <c r="E1391" s="37"/>
      <c r="F1391" s="37"/>
      <c r="G1391" s="37"/>
      <c r="H1391" s="37"/>
      <c r="I1391" s="35"/>
      <c r="J1391" s="37"/>
    </row>
    <row r="1392" spans="1:10" ht="15.95" customHeight="1" x14ac:dyDescent="0.2">
      <c r="A1392" s="39"/>
      <c r="B1392" s="36"/>
      <c r="C1392" s="37"/>
      <c r="D1392" s="37"/>
      <c r="E1392" s="37"/>
      <c r="F1392" s="37"/>
      <c r="G1392" s="37"/>
      <c r="H1392" s="37"/>
      <c r="I1392" s="35"/>
      <c r="J1392" s="37"/>
    </row>
    <row r="1393" spans="1:10" ht="15.95" customHeight="1" x14ac:dyDescent="0.2">
      <c r="A1393" s="39"/>
      <c r="B1393" s="36"/>
      <c r="C1393" s="37"/>
      <c r="D1393" s="37"/>
      <c r="E1393" s="37"/>
      <c r="F1393" s="37"/>
      <c r="G1393" s="37"/>
      <c r="H1393" s="37"/>
      <c r="I1393" s="35"/>
      <c r="J1393" s="37"/>
    </row>
    <row r="1394" spans="1:10" ht="15.95" customHeight="1" x14ac:dyDescent="0.2">
      <c r="A1394" s="39"/>
      <c r="B1394" s="36"/>
      <c r="C1394" s="37"/>
      <c r="D1394" s="37"/>
      <c r="E1394" s="37"/>
      <c r="F1394" s="37"/>
      <c r="G1394" s="37"/>
      <c r="H1394" s="37"/>
      <c r="I1394" s="35"/>
      <c r="J1394" s="37"/>
    </row>
    <row r="1395" spans="1:10" ht="15.95" customHeight="1" x14ac:dyDescent="0.2">
      <c r="A1395" s="39"/>
      <c r="B1395" s="36"/>
      <c r="C1395" s="37"/>
      <c r="D1395" s="37"/>
      <c r="E1395" s="37"/>
      <c r="F1395" s="37"/>
      <c r="G1395" s="37"/>
      <c r="H1395" s="37"/>
      <c r="I1395" s="35"/>
      <c r="J1395" s="37"/>
    </row>
    <row r="1396" spans="1:10" ht="15.95" customHeight="1" x14ac:dyDescent="0.2">
      <c r="A1396" s="39"/>
      <c r="B1396" s="36"/>
      <c r="C1396" s="37"/>
      <c r="D1396" s="37"/>
      <c r="E1396" s="37"/>
      <c r="F1396" s="37"/>
      <c r="G1396" s="37"/>
      <c r="H1396" s="37"/>
      <c r="I1396" s="35"/>
      <c r="J1396" s="37"/>
    </row>
    <row r="1397" spans="1:10" ht="15.95" customHeight="1" x14ac:dyDescent="0.2">
      <c r="A1397" s="39"/>
      <c r="B1397" s="36"/>
      <c r="C1397" s="37"/>
      <c r="D1397" s="37"/>
      <c r="E1397" s="37"/>
      <c r="F1397" s="37"/>
      <c r="G1397" s="37"/>
      <c r="H1397" s="37"/>
      <c r="I1397" s="35"/>
      <c r="J1397" s="37"/>
    </row>
    <row r="1398" spans="1:10" ht="15.95" customHeight="1" x14ac:dyDescent="0.2">
      <c r="A1398" s="39"/>
      <c r="B1398" s="36"/>
      <c r="C1398" s="37"/>
      <c r="D1398" s="37"/>
      <c r="E1398" s="37"/>
      <c r="F1398" s="37"/>
      <c r="G1398" s="37"/>
      <c r="H1398" s="37"/>
      <c r="I1398" s="35"/>
      <c r="J1398" s="37"/>
    </row>
    <row r="1399" spans="1:10" ht="15.95" customHeight="1" x14ac:dyDescent="0.2">
      <c r="A1399" s="39"/>
      <c r="B1399" s="36"/>
      <c r="C1399" s="37"/>
      <c r="D1399" s="37"/>
      <c r="E1399" s="37"/>
      <c r="F1399" s="37"/>
      <c r="G1399" s="37"/>
      <c r="H1399" s="37"/>
      <c r="I1399" s="35"/>
      <c r="J1399" s="37"/>
    </row>
    <row r="1400" spans="1:10" ht="15.95" customHeight="1" x14ac:dyDescent="0.2">
      <c r="A1400" s="39"/>
      <c r="B1400" s="36"/>
      <c r="C1400" s="37"/>
      <c r="D1400" s="37"/>
      <c r="E1400" s="37"/>
      <c r="F1400" s="37"/>
      <c r="G1400" s="37"/>
      <c r="H1400" s="37"/>
      <c r="I1400" s="35"/>
      <c r="J1400" s="37"/>
    </row>
    <row r="1401" spans="1:10" ht="15.95" customHeight="1" x14ac:dyDescent="0.2">
      <c r="A1401" s="39"/>
      <c r="B1401" s="36"/>
      <c r="C1401" s="37"/>
      <c r="D1401" s="37"/>
      <c r="E1401" s="37"/>
      <c r="F1401" s="37"/>
      <c r="G1401" s="37"/>
      <c r="H1401" s="37"/>
      <c r="I1401" s="35"/>
      <c r="J1401" s="37"/>
    </row>
    <row r="1402" spans="1:10" ht="15.95" customHeight="1" x14ac:dyDescent="0.2">
      <c r="A1402" s="39"/>
      <c r="B1402" s="36"/>
      <c r="C1402" s="37"/>
      <c r="D1402" s="37"/>
      <c r="E1402" s="37"/>
      <c r="F1402" s="37"/>
      <c r="G1402" s="37"/>
      <c r="H1402" s="37"/>
      <c r="I1402" s="35"/>
      <c r="J1402" s="37"/>
    </row>
    <row r="1403" spans="1:10" ht="15.95" customHeight="1" x14ac:dyDescent="0.2">
      <c r="A1403" s="39"/>
      <c r="B1403" s="36"/>
      <c r="C1403" s="37"/>
      <c r="D1403" s="37"/>
      <c r="E1403" s="37"/>
      <c r="F1403" s="37"/>
      <c r="G1403" s="37"/>
      <c r="H1403" s="37"/>
      <c r="I1403" s="35"/>
      <c r="J1403" s="37"/>
    </row>
    <row r="1404" spans="1:10" ht="15.95" customHeight="1" x14ac:dyDescent="0.2">
      <c r="A1404" s="39"/>
      <c r="B1404" s="36"/>
      <c r="C1404" s="37"/>
      <c r="D1404" s="37"/>
      <c r="E1404" s="37"/>
      <c r="F1404" s="37"/>
      <c r="G1404" s="37"/>
      <c r="H1404" s="37"/>
      <c r="I1404" s="35"/>
      <c r="J1404" s="37"/>
    </row>
    <row r="1405" spans="1:10" ht="15.95" customHeight="1" x14ac:dyDescent="0.2">
      <c r="A1405" s="39"/>
      <c r="B1405" s="36"/>
      <c r="C1405" s="37"/>
      <c r="D1405" s="37"/>
      <c r="E1405" s="37"/>
      <c r="F1405" s="37"/>
      <c r="G1405" s="37"/>
      <c r="H1405" s="37"/>
      <c r="I1405" s="35"/>
      <c r="J1405" s="37"/>
    </row>
    <row r="1406" spans="1:10" ht="15.95" customHeight="1" x14ac:dyDescent="0.2">
      <c r="A1406" s="39"/>
      <c r="B1406" s="36"/>
      <c r="C1406" s="37"/>
      <c r="D1406" s="37"/>
      <c r="E1406" s="37"/>
      <c r="F1406" s="37"/>
      <c r="G1406" s="37"/>
      <c r="H1406" s="37"/>
      <c r="I1406" s="35"/>
      <c r="J1406" s="37"/>
    </row>
    <row r="1407" spans="1:10" ht="15.95" customHeight="1" x14ac:dyDescent="0.2">
      <c r="A1407" s="39"/>
      <c r="B1407" s="36"/>
      <c r="C1407" s="37"/>
      <c r="D1407" s="37"/>
      <c r="E1407" s="37"/>
      <c r="F1407" s="37"/>
      <c r="G1407" s="37"/>
      <c r="H1407" s="37"/>
      <c r="I1407" s="35"/>
      <c r="J1407" s="37"/>
    </row>
    <row r="1408" spans="1:10" ht="15.95" customHeight="1" x14ac:dyDescent="0.2">
      <c r="A1408" s="39"/>
      <c r="B1408" s="36"/>
      <c r="C1408" s="37"/>
      <c r="D1408" s="37"/>
      <c r="E1408" s="37"/>
      <c r="F1408" s="37"/>
      <c r="G1408" s="37"/>
      <c r="H1408" s="37"/>
      <c r="I1408" s="35"/>
      <c r="J1408" s="37"/>
    </row>
    <row r="1409" spans="1:10" ht="15.95" customHeight="1" x14ac:dyDescent="0.2">
      <c r="A1409" s="39"/>
      <c r="B1409" s="36"/>
      <c r="C1409" s="37"/>
      <c r="D1409" s="37"/>
      <c r="E1409" s="37"/>
      <c r="F1409" s="37"/>
      <c r="G1409" s="37"/>
      <c r="H1409" s="37"/>
      <c r="I1409" s="35"/>
      <c r="J1409" s="37"/>
    </row>
    <row r="1410" spans="1:10" ht="15.95" customHeight="1" x14ac:dyDescent="0.2">
      <c r="A1410" s="39"/>
      <c r="B1410" s="36"/>
      <c r="C1410" s="37"/>
      <c r="D1410" s="37"/>
      <c r="E1410" s="37"/>
      <c r="F1410" s="37"/>
      <c r="G1410" s="37"/>
      <c r="H1410" s="37"/>
      <c r="I1410" s="35"/>
      <c r="J1410" s="37"/>
    </row>
    <row r="1411" spans="1:10" ht="15.95" customHeight="1" x14ac:dyDescent="0.2">
      <c r="A1411" s="39"/>
      <c r="B1411" s="36"/>
      <c r="C1411" s="37"/>
      <c r="D1411" s="37"/>
      <c r="E1411" s="37"/>
      <c r="F1411" s="37"/>
      <c r="G1411" s="37"/>
      <c r="H1411" s="37"/>
      <c r="I1411" s="35"/>
      <c r="J1411" s="37"/>
    </row>
    <row r="1412" spans="1:10" ht="15.95" customHeight="1" x14ac:dyDescent="0.2">
      <c r="A1412" s="39"/>
      <c r="B1412" s="36"/>
      <c r="C1412" s="37"/>
      <c r="D1412" s="37"/>
      <c r="E1412" s="37"/>
      <c r="F1412" s="37"/>
      <c r="G1412" s="37"/>
      <c r="H1412" s="37"/>
      <c r="I1412" s="35"/>
      <c r="J1412" s="37"/>
    </row>
    <row r="1413" spans="1:10" ht="15.95" customHeight="1" x14ac:dyDescent="0.2">
      <c r="A1413" s="39"/>
      <c r="B1413" s="36"/>
      <c r="C1413" s="37"/>
      <c r="D1413" s="37"/>
      <c r="E1413" s="37"/>
      <c r="F1413" s="37"/>
      <c r="G1413" s="37"/>
      <c r="H1413" s="37"/>
      <c r="I1413" s="35"/>
      <c r="J1413" s="37"/>
    </row>
    <row r="1414" spans="1:10" ht="15.95" customHeight="1" x14ac:dyDescent="0.2">
      <c r="A1414" s="39"/>
      <c r="B1414" s="36"/>
      <c r="C1414" s="37"/>
      <c r="D1414" s="37"/>
      <c r="E1414" s="37"/>
      <c r="F1414" s="37"/>
      <c r="G1414" s="37"/>
      <c r="H1414" s="37"/>
      <c r="I1414" s="35"/>
      <c r="J1414" s="37"/>
    </row>
    <row r="1415" spans="1:10" ht="15.95" customHeight="1" x14ac:dyDescent="0.2">
      <c r="A1415" s="39"/>
      <c r="B1415" s="36"/>
      <c r="C1415" s="37"/>
      <c r="D1415" s="37"/>
      <c r="E1415" s="37"/>
      <c r="F1415" s="37"/>
      <c r="G1415" s="37"/>
      <c r="H1415" s="37"/>
      <c r="I1415" s="35"/>
      <c r="J1415" s="37"/>
    </row>
    <row r="1416" spans="1:10" ht="15.95" customHeight="1" x14ac:dyDescent="0.2">
      <c r="A1416" s="39"/>
      <c r="B1416" s="36"/>
      <c r="C1416" s="37"/>
      <c r="D1416" s="37"/>
      <c r="E1416" s="37"/>
      <c r="F1416" s="37"/>
      <c r="G1416" s="37"/>
      <c r="H1416" s="37"/>
      <c r="I1416" s="35"/>
      <c r="J1416" s="37"/>
    </row>
    <row r="1417" spans="1:10" ht="15.95" customHeight="1" x14ac:dyDescent="0.2">
      <c r="A1417" s="39"/>
      <c r="B1417" s="36"/>
      <c r="C1417" s="37"/>
      <c r="D1417" s="37"/>
      <c r="E1417" s="37"/>
      <c r="F1417" s="37"/>
      <c r="G1417" s="37"/>
      <c r="H1417" s="37"/>
      <c r="I1417" s="35"/>
      <c r="J1417" s="37"/>
    </row>
    <row r="1418" spans="1:10" ht="15.95" customHeight="1" x14ac:dyDescent="0.2">
      <c r="A1418" s="39"/>
      <c r="B1418" s="36"/>
      <c r="C1418" s="37"/>
      <c r="D1418" s="37"/>
      <c r="E1418" s="37"/>
      <c r="F1418" s="37"/>
      <c r="G1418" s="37"/>
      <c r="H1418" s="37"/>
      <c r="I1418" s="35"/>
      <c r="J1418" s="37"/>
    </row>
    <row r="1419" spans="1:10" ht="15.95" customHeight="1" x14ac:dyDescent="0.2">
      <c r="A1419" s="39"/>
      <c r="B1419" s="36"/>
      <c r="C1419" s="37"/>
      <c r="D1419" s="37"/>
      <c r="E1419" s="37"/>
      <c r="F1419" s="37"/>
      <c r="G1419" s="37"/>
      <c r="H1419" s="37"/>
      <c r="I1419" s="35"/>
      <c r="J1419" s="37"/>
    </row>
    <row r="1420" spans="1:10" ht="15.95" customHeight="1" x14ac:dyDescent="0.2">
      <c r="A1420" s="39"/>
      <c r="B1420" s="36"/>
      <c r="C1420" s="37"/>
      <c r="D1420" s="37"/>
      <c r="E1420" s="37"/>
      <c r="F1420" s="37"/>
      <c r="G1420" s="37"/>
      <c r="H1420" s="37"/>
      <c r="I1420" s="35"/>
      <c r="J1420" s="37"/>
    </row>
    <row r="1421" spans="1:10" ht="15.95" customHeight="1" x14ac:dyDescent="0.2">
      <c r="A1421" s="39"/>
      <c r="B1421" s="36"/>
      <c r="C1421" s="37"/>
      <c r="D1421" s="37"/>
      <c r="E1421" s="37"/>
      <c r="F1421" s="37"/>
      <c r="G1421" s="37"/>
      <c r="H1421" s="37"/>
      <c r="I1421" s="35"/>
      <c r="J1421" s="37"/>
    </row>
    <row r="1422" spans="1:10" ht="15.95" customHeight="1" x14ac:dyDescent="0.2">
      <c r="A1422" s="39"/>
      <c r="B1422" s="36"/>
      <c r="C1422" s="37"/>
      <c r="D1422" s="37"/>
      <c r="E1422" s="37"/>
      <c r="F1422" s="37"/>
      <c r="G1422" s="37"/>
      <c r="H1422" s="37"/>
      <c r="I1422" s="35"/>
      <c r="J1422" s="37"/>
    </row>
    <row r="1423" spans="1:10" ht="15.95" customHeight="1" x14ac:dyDescent="0.2">
      <c r="A1423" s="39"/>
      <c r="B1423" s="36"/>
      <c r="C1423" s="37"/>
      <c r="D1423" s="37"/>
      <c r="E1423" s="37"/>
      <c r="F1423" s="37"/>
      <c r="G1423" s="37"/>
      <c r="H1423" s="37"/>
      <c r="I1423" s="35"/>
      <c r="J1423" s="37"/>
    </row>
    <row r="1424" spans="1:10" ht="15.95" customHeight="1" x14ac:dyDescent="0.2">
      <c r="A1424" s="39"/>
      <c r="B1424" s="36"/>
      <c r="C1424" s="37"/>
      <c r="D1424" s="37"/>
      <c r="E1424" s="37"/>
      <c r="F1424" s="37"/>
      <c r="G1424" s="37"/>
      <c r="H1424" s="37"/>
      <c r="I1424" s="35"/>
      <c r="J1424" s="37"/>
    </row>
    <row r="1425" spans="1:10" ht="15.95" customHeight="1" x14ac:dyDescent="0.2">
      <c r="A1425" s="39"/>
      <c r="B1425" s="36"/>
      <c r="C1425" s="37"/>
      <c r="D1425" s="37"/>
      <c r="E1425" s="37"/>
      <c r="F1425" s="37"/>
      <c r="G1425" s="37"/>
      <c r="H1425" s="37"/>
      <c r="I1425" s="35"/>
      <c r="J1425" s="37"/>
    </row>
    <row r="1426" spans="1:10" ht="15.95" customHeight="1" x14ac:dyDescent="0.2">
      <c r="A1426" s="39"/>
      <c r="B1426" s="36"/>
      <c r="C1426" s="37"/>
      <c r="D1426" s="37"/>
      <c r="E1426" s="37"/>
      <c r="F1426" s="37"/>
      <c r="G1426" s="37"/>
      <c r="H1426" s="37"/>
      <c r="I1426" s="35"/>
      <c r="J1426" s="37"/>
    </row>
    <row r="1427" spans="1:10" ht="15.95" customHeight="1" x14ac:dyDescent="0.2">
      <c r="A1427" s="39"/>
      <c r="B1427" s="36"/>
      <c r="C1427" s="37"/>
      <c r="D1427" s="37"/>
      <c r="E1427" s="37"/>
      <c r="F1427" s="37"/>
      <c r="G1427" s="37"/>
      <c r="H1427" s="37"/>
      <c r="I1427" s="35"/>
      <c r="J1427" s="37"/>
    </row>
    <row r="1428" spans="1:10" ht="15.95" customHeight="1" x14ac:dyDescent="0.2">
      <c r="A1428" s="39"/>
      <c r="B1428" s="36"/>
      <c r="C1428" s="37"/>
      <c r="D1428" s="37"/>
      <c r="E1428" s="37"/>
      <c r="F1428" s="37"/>
      <c r="G1428" s="37"/>
      <c r="H1428" s="37"/>
      <c r="I1428" s="35"/>
      <c r="J1428" s="37"/>
    </row>
    <row r="1429" spans="1:10" ht="15.95" customHeight="1" x14ac:dyDescent="0.2">
      <c r="A1429" s="39"/>
      <c r="B1429" s="36"/>
      <c r="C1429" s="37"/>
      <c r="D1429" s="37"/>
      <c r="E1429" s="37"/>
      <c r="F1429" s="37"/>
      <c r="G1429" s="37"/>
      <c r="H1429" s="37"/>
      <c r="I1429" s="35"/>
      <c r="J1429" s="37"/>
    </row>
    <row r="1430" spans="1:10" ht="15.95" customHeight="1" x14ac:dyDescent="0.2">
      <c r="A1430" s="39"/>
      <c r="B1430" s="36"/>
      <c r="C1430" s="37"/>
      <c r="D1430" s="37"/>
      <c r="E1430" s="37"/>
      <c r="F1430" s="37"/>
      <c r="G1430" s="37"/>
      <c r="H1430" s="37"/>
      <c r="I1430" s="35"/>
      <c r="J1430" s="37"/>
    </row>
    <row r="1431" spans="1:10" ht="15.95" customHeight="1" x14ac:dyDescent="0.2">
      <c r="A1431" s="39"/>
      <c r="B1431" s="36"/>
      <c r="C1431" s="37"/>
      <c r="D1431" s="37"/>
      <c r="E1431" s="37"/>
      <c r="F1431" s="37"/>
      <c r="G1431" s="37"/>
      <c r="H1431" s="37"/>
      <c r="I1431" s="35"/>
      <c r="J1431" s="37"/>
    </row>
    <row r="1432" spans="1:10" ht="15.95" customHeight="1" x14ac:dyDescent="0.2">
      <c r="A1432" s="39"/>
      <c r="B1432" s="36"/>
      <c r="C1432" s="37"/>
      <c r="D1432" s="37"/>
      <c r="E1432" s="37"/>
      <c r="F1432" s="37"/>
      <c r="G1432" s="37"/>
      <c r="H1432" s="37"/>
      <c r="I1432" s="35"/>
      <c r="J1432" s="37"/>
    </row>
    <row r="1433" spans="1:10" ht="15.95" customHeight="1" x14ac:dyDescent="0.2">
      <c r="A1433" s="39"/>
      <c r="B1433" s="36"/>
      <c r="C1433" s="37"/>
      <c r="D1433" s="37"/>
      <c r="E1433" s="37"/>
      <c r="F1433" s="37"/>
      <c r="G1433" s="37"/>
      <c r="H1433" s="37"/>
      <c r="I1433" s="35"/>
      <c r="J1433" s="37"/>
    </row>
    <row r="1434" spans="1:10" ht="15.95" customHeight="1" x14ac:dyDescent="0.2">
      <c r="A1434" s="39"/>
      <c r="B1434" s="36"/>
      <c r="C1434" s="37"/>
      <c r="D1434" s="37"/>
      <c r="E1434" s="37"/>
      <c r="F1434" s="37"/>
      <c r="G1434" s="37"/>
      <c r="H1434" s="37"/>
      <c r="I1434" s="35"/>
      <c r="J1434" s="37"/>
    </row>
    <row r="1435" spans="1:10" ht="15.95" customHeight="1" x14ac:dyDescent="0.2">
      <c r="A1435" s="39"/>
      <c r="B1435" s="36"/>
      <c r="C1435" s="37"/>
      <c r="D1435" s="37"/>
      <c r="E1435" s="37"/>
      <c r="F1435" s="37"/>
      <c r="G1435" s="37"/>
      <c r="H1435" s="37"/>
      <c r="I1435" s="35"/>
      <c r="J1435" s="37"/>
    </row>
    <row r="1436" spans="1:10" ht="15.95" customHeight="1" x14ac:dyDescent="0.2">
      <c r="A1436" s="39"/>
      <c r="B1436" s="36"/>
      <c r="C1436" s="37"/>
      <c r="D1436" s="37"/>
      <c r="E1436" s="37"/>
      <c r="F1436" s="37"/>
      <c r="G1436" s="37"/>
      <c r="H1436" s="37"/>
      <c r="I1436" s="35"/>
      <c r="J1436" s="37"/>
    </row>
    <row r="1437" spans="1:10" ht="15.95" customHeight="1" x14ac:dyDescent="0.2">
      <c r="A1437" s="39"/>
      <c r="B1437" s="36"/>
      <c r="C1437" s="37"/>
      <c r="D1437" s="37"/>
      <c r="E1437" s="37"/>
      <c r="F1437" s="37"/>
      <c r="G1437" s="37"/>
      <c r="H1437" s="37"/>
      <c r="I1437" s="35"/>
      <c r="J1437" s="37"/>
    </row>
    <row r="1438" spans="1:10" ht="15.95" customHeight="1" x14ac:dyDescent="0.2">
      <c r="A1438" s="39"/>
      <c r="B1438" s="36"/>
      <c r="C1438" s="37"/>
      <c r="D1438" s="37"/>
      <c r="E1438" s="37"/>
      <c r="F1438" s="37"/>
      <c r="G1438" s="37"/>
      <c r="H1438" s="37"/>
      <c r="I1438" s="35"/>
      <c r="J1438" s="37"/>
    </row>
    <row r="1439" spans="1:10" ht="15.95" customHeight="1" x14ac:dyDescent="0.2">
      <c r="A1439" s="39"/>
      <c r="B1439" s="36"/>
      <c r="C1439" s="37"/>
      <c r="D1439" s="37"/>
      <c r="E1439" s="37"/>
      <c r="F1439" s="37"/>
      <c r="G1439" s="37"/>
      <c r="H1439" s="37"/>
      <c r="I1439" s="35"/>
      <c r="J1439" s="37"/>
    </row>
    <row r="1440" spans="1:10" ht="15.95" customHeight="1" x14ac:dyDescent="0.2">
      <c r="A1440" s="39"/>
      <c r="B1440" s="36"/>
      <c r="C1440" s="37"/>
      <c r="D1440" s="37"/>
      <c r="E1440" s="37"/>
      <c r="F1440" s="37"/>
      <c r="G1440" s="37"/>
      <c r="H1440" s="37"/>
      <c r="I1440" s="35"/>
      <c r="J1440" s="37"/>
    </row>
    <row r="1441" spans="1:10" ht="15.95" customHeight="1" x14ac:dyDescent="0.2">
      <c r="A1441" s="39"/>
      <c r="B1441" s="36"/>
      <c r="C1441" s="37"/>
      <c r="D1441" s="37"/>
      <c r="E1441" s="37"/>
      <c r="F1441" s="37"/>
      <c r="G1441" s="37"/>
      <c r="H1441" s="37"/>
      <c r="I1441" s="35"/>
      <c r="J1441" s="37"/>
    </row>
    <row r="1442" spans="1:10" ht="15.95" customHeight="1" x14ac:dyDescent="0.2">
      <c r="A1442" s="39"/>
      <c r="B1442" s="36"/>
      <c r="C1442" s="37"/>
      <c r="D1442" s="37"/>
      <c r="E1442" s="37"/>
      <c r="F1442" s="37"/>
      <c r="G1442" s="37"/>
      <c r="H1442" s="37"/>
      <c r="I1442" s="35"/>
      <c r="J1442" s="37"/>
    </row>
    <row r="1443" spans="1:10" ht="15.95" customHeight="1" x14ac:dyDescent="0.2">
      <c r="A1443" s="39"/>
      <c r="B1443" s="36"/>
      <c r="C1443" s="37"/>
      <c r="D1443" s="37"/>
      <c r="E1443" s="37"/>
      <c r="F1443" s="37"/>
      <c r="G1443" s="37"/>
      <c r="H1443" s="37"/>
      <c r="I1443" s="35"/>
      <c r="J1443" s="37"/>
    </row>
    <row r="1444" spans="1:10" ht="15.95" customHeight="1" x14ac:dyDescent="0.2">
      <c r="A1444" s="39"/>
      <c r="B1444" s="36"/>
      <c r="C1444" s="37"/>
      <c r="D1444" s="37"/>
      <c r="E1444" s="37"/>
      <c r="F1444" s="37"/>
      <c r="G1444" s="37"/>
      <c r="H1444" s="37"/>
      <c r="I1444" s="35"/>
      <c r="J1444" s="37"/>
    </row>
    <row r="1445" spans="1:10" ht="15.95" customHeight="1" x14ac:dyDescent="0.2">
      <c r="A1445" s="39"/>
      <c r="B1445" s="36"/>
      <c r="C1445" s="37"/>
      <c r="D1445" s="37"/>
      <c r="E1445" s="37"/>
      <c r="F1445" s="37"/>
      <c r="G1445" s="37"/>
      <c r="H1445" s="37"/>
      <c r="I1445" s="35"/>
      <c r="J1445" s="37"/>
    </row>
    <row r="1446" spans="1:10" ht="15.95" customHeight="1" x14ac:dyDescent="0.2">
      <c r="A1446" s="39"/>
      <c r="B1446" s="36"/>
      <c r="C1446" s="37"/>
      <c r="D1446" s="37"/>
      <c r="E1446" s="37"/>
      <c r="F1446" s="37"/>
      <c r="G1446" s="37"/>
      <c r="H1446" s="37"/>
      <c r="I1446" s="35"/>
      <c r="J1446" s="37"/>
    </row>
    <row r="1447" spans="1:10" ht="15.95" customHeight="1" x14ac:dyDescent="0.2">
      <c r="A1447" s="39"/>
      <c r="B1447" s="36"/>
      <c r="C1447" s="37"/>
      <c r="D1447" s="37"/>
      <c r="E1447" s="37"/>
      <c r="F1447" s="37"/>
      <c r="G1447" s="37"/>
      <c r="H1447" s="37"/>
      <c r="I1447" s="35"/>
      <c r="J1447" s="37"/>
    </row>
    <row r="1448" spans="1:10" ht="15.95" customHeight="1" x14ac:dyDescent="0.2">
      <c r="A1448" s="39"/>
      <c r="B1448" s="36"/>
      <c r="C1448" s="37"/>
      <c r="D1448" s="37"/>
      <c r="E1448" s="37"/>
      <c r="F1448" s="37"/>
      <c r="G1448" s="37"/>
      <c r="H1448" s="37"/>
      <c r="I1448" s="35"/>
      <c r="J1448" s="37"/>
    </row>
    <row r="1449" spans="1:10" ht="15.95" customHeight="1" x14ac:dyDescent="0.2">
      <c r="A1449" s="39"/>
      <c r="B1449" s="36"/>
      <c r="C1449" s="37"/>
      <c r="D1449" s="37"/>
      <c r="E1449" s="37"/>
      <c r="F1449" s="37"/>
      <c r="G1449" s="37"/>
      <c r="H1449" s="37"/>
      <c r="I1449" s="35"/>
      <c r="J1449" s="37"/>
    </row>
    <row r="1450" spans="1:10" ht="15.95" customHeight="1" x14ac:dyDescent="0.2">
      <c r="A1450" s="39"/>
      <c r="B1450" s="36"/>
      <c r="C1450" s="37"/>
      <c r="D1450" s="37"/>
      <c r="E1450" s="37"/>
      <c r="F1450" s="37"/>
      <c r="G1450" s="37"/>
      <c r="H1450" s="37"/>
      <c r="I1450" s="35"/>
      <c r="J1450" s="37"/>
    </row>
    <row r="1451" spans="1:10" ht="15.95" customHeight="1" x14ac:dyDescent="0.2">
      <c r="A1451" s="39"/>
      <c r="B1451" s="36"/>
      <c r="C1451" s="37"/>
      <c r="D1451" s="37"/>
      <c r="E1451" s="37"/>
      <c r="F1451" s="37"/>
      <c r="G1451" s="37"/>
      <c r="H1451" s="37"/>
      <c r="I1451" s="35"/>
      <c r="J1451" s="37"/>
    </row>
    <row r="1452" spans="1:10" ht="15.95" customHeight="1" x14ac:dyDescent="0.2">
      <c r="A1452" s="39"/>
      <c r="B1452" s="36"/>
      <c r="C1452" s="37"/>
      <c r="D1452" s="37"/>
      <c r="E1452" s="37"/>
      <c r="F1452" s="37"/>
      <c r="G1452" s="37"/>
      <c r="H1452" s="37"/>
      <c r="I1452" s="35"/>
      <c r="J1452" s="37"/>
    </row>
    <row r="1453" spans="1:10" ht="15.95" customHeight="1" x14ac:dyDescent="0.2">
      <c r="A1453" s="39"/>
      <c r="B1453" s="36"/>
      <c r="C1453" s="37"/>
      <c r="D1453" s="37"/>
      <c r="E1453" s="37"/>
      <c r="F1453" s="37"/>
      <c r="G1453" s="37"/>
      <c r="H1453" s="37"/>
      <c r="I1453" s="35"/>
      <c r="J1453" s="37"/>
    </row>
    <row r="1454" spans="1:10" ht="15.95" customHeight="1" x14ac:dyDescent="0.2">
      <c r="A1454" s="39"/>
      <c r="B1454" s="36"/>
      <c r="C1454" s="37"/>
      <c r="D1454" s="37"/>
      <c r="E1454" s="37"/>
      <c r="F1454" s="37"/>
      <c r="G1454" s="37"/>
      <c r="H1454" s="37"/>
      <c r="I1454" s="35"/>
      <c r="J1454" s="37"/>
    </row>
    <row r="1455" spans="1:10" ht="15.95" customHeight="1" x14ac:dyDescent="0.2">
      <c r="A1455" s="39"/>
      <c r="B1455" s="36"/>
      <c r="C1455" s="37"/>
      <c r="D1455" s="37"/>
      <c r="E1455" s="37"/>
      <c r="F1455" s="37"/>
      <c r="G1455" s="37"/>
      <c r="H1455" s="37"/>
      <c r="I1455" s="35"/>
      <c r="J1455" s="37"/>
    </row>
    <row r="1456" spans="1:10" ht="15.95" customHeight="1" x14ac:dyDescent="0.2">
      <c r="A1456" s="39"/>
      <c r="B1456" s="36"/>
      <c r="C1456" s="37"/>
      <c r="D1456" s="37"/>
      <c r="E1456" s="37"/>
      <c r="F1456" s="37"/>
      <c r="G1456" s="37"/>
      <c r="H1456" s="37"/>
      <c r="I1456" s="35"/>
      <c r="J1456" s="37"/>
    </row>
    <row r="1457" spans="1:10" ht="15.95" customHeight="1" x14ac:dyDescent="0.2">
      <c r="A1457" s="39"/>
      <c r="B1457" s="36"/>
      <c r="C1457" s="37"/>
      <c r="D1457" s="37"/>
      <c r="E1457" s="37"/>
      <c r="F1457" s="37"/>
      <c r="G1457" s="37"/>
      <c r="H1457" s="37"/>
      <c r="I1457" s="35"/>
      <c r="J1457" s="37"/>
    </row>
    <row r="1458" spans="1:10" ht="15.95" customHeight="1" x14ac:dyDescent="0.2">
      <c r="A1458" s="39"/>
      <c r="B1458" s="36"/>
      <c r="C1458" s="37"/>
      <c r="D1458" s="37"/>
      <c r="E1458" s="37"/>
      <c r="F1458" s="37"/>
      <c r="G1458" s="37"/>
      <c r="H1458" s="37"/>
      <c r="I1458" s="35"/>
      <c r="J1458" s="37"/>
    </row>
    <row r="1459" spans="1:10" ht="15.95" customHeight="1" x14ac:dyDescent="0.2">
      <c r="A1459" s="39"/>
      <c r="B1459" s="36"/>
      <c r="C1459" s="37"/>
      <c r="D1459" s="37"/>
      <c r="E1459" s="37"/>
      <c r="F1459" s="37"/>
      <c r="G1459" s="37"/>
      <c r="H1459" s="37"/>
      <c r="I1459" s="35"/>
      <c r="J1459" s="37"/>
    </row>
    <row r="1460" spans="1:10" ht="15.95" customHeight="1" x14ac:dyDescent="0.2">
      <c r="A1460" s="39"/>
      <c r="B1460" s="36"/>
      <c r="C1460" s="37"/>
      <c r="D1460" s="37"/>
      <c r="E1460" s="37"/>
      <c r="F1460" s="37"/>
      <c r="G1460" s="37"/>
      <c r="H1460" s="37"/>
      <c r="I1460" s="35"/>
      <c r="J1460" s="37"/>
    </row>
    <row r="1461" spans="1:10" ht="15.95" customHeight="1" x14ac:dyDescent="0.2">
      <c r="A1461" s="39"/>
      <c r="B1461" s="36"/>
      <c r="C1461" s="37"/>
      <c r="D1461" s="37"/>
      <c r="E1461" s="37"/>
      <c r="F1461" s="37"/>
      <c r="G1461" s="37"/>
      <c r="H1461" s="37"/>
      <c r="I1461" s="35"/>
      <c r="J1461" s="37"/>
    </row>
    <row r="1462" spans="1:10" ht="15.95" customHeight="1" x14ac:dyDescent="0.2">
      <c r="A1462" s="39"/>
      <c r="B1462" s="36"/>
      <c r="C1462" s="37"/>
      <c r="D1462" s="37"/>
      <c r="E1462" s="37"/>
      <c r="F1462" s="37"/>
      <c r="G1462" s="37"/>
      <c r="H1462" s="37"/>
      <c r="I1462" s="35"/>
      <c r="J1462" s="37"/>
    </row>
    <row r="1463" spans="1:10" ht="15.95" customHeight="1" x14ac:dyDescent="0.2">
      <c r="A1463" s="39"/>
      <c r="B1463" s="36"/>
      <c r="C1463" s="37"/>
      <c r="D1463" s="37"/>
      <c r="E1463" s="37"/>
      <c r="F1463" s="37"/>
      <c r="G1463" s="37"/>
      <c r="H1463" s="37"/>
      <c r="I1463" s="35"/>
      <c r="J1463" s="37"/>
    </row>
    <row r="1464" spans="1:10" ht="15.95" customHeight="1" x14ac:dyDescent="0.2">
      <c r="A1464" s="39"/>
      <c r="B1464" s="36"/>
      <c r="C1464" s="37"/>
      <c r="D1464" s="37"/>
      <c r="E1464" s="37"/>
      <c r="F1464" s="37"/>
      <c r="G1464" s="37"/>
      <c r="H1464" s="37"/>
      <c r="I1464" s="35"/>
      <c r="J1464" s="37"/>
    </row>
    <row r="1465" spans="1:10" ht="15.95" customHeight="1" x14ac:dyDescent="0.2">
      <c r="A1465" s="39"/>
      <c r="B1465" s="36"/>
      <c r="C1465" s="37"/>
      <c r="D1465" s="37"/>
      <c r="E1465" s="37"/>
      <c r="F1465" s="37"/>
      <c r="G1465" s="37"/>
      <c r="H1465" s="37"/>
      <c r="I1465" s="35"/>
      <c r="J1465" s="37"/>
    </row>
    <row r="1466" spans="1:10" ht="15.95" customHeight="1" x14ac:dyDescent="0.2">
      <c r="A1466" s="39"/>
      <c r="B1466" s="36"/>
      <c r="C1466" s="37"/>
      <c r="D1466" s="37"/>
      <c r="E1466" s="37"/>
      <c r="F1466" s="37"/>
      <c r="G1466" s="37"/>
      <c r="H1466" s="37"/>
      <c r="I1466" s="35"/>
      <c r="J1466" s="37"/>
    </row>
    <row r="1467" spans="1:10" ht="15.95" customHeight="1" x14ac:dyDescent="0.2">
      <c r="A1467" s="39"/>
      <c r="B1467" s="36"/>
      <c r="C1467" s="37"/>
      <c r="D1467" s="37"/>
      <c r="E1467" s="37"/>
      <c r="F1467" s="37"/>
      <c r="G1467" s="37"/>
      <c r="H1467" s="37"/>
      <c r="I1467" s="35"/>
      <c r="J1467" s="37"/>
    </row>
    <row r="1468" spans="1:10" ht="15.95" customHeight="1" x14ac:dyDescent="0.2">
      <c r="A1468" s="39"/>
      <c r="B1468" s="36"/>
      <c r="C1468" s="37"/>
      <c r="D1468" s="37"/>
      <c r="E1468" s="37"/>
      <c r="F1468" s="37"/>
      <c r="G1468" s="37"/>
      <c r="H1468" s="37"/>
      <c r="I1468" s="35"/>
      <c r="J1468" s="37"/>
    </row>
    <row r="1469" spans="1:10" ht="15.95" customHeight="1" x14ac:dyDescent="0.2">
      <c r="A1469" s="39"/>
      <c r="B1469" s="36"/>
      <c r="C1469" s="37"/>
      <c r="D1469" s="37"/>
      <c r="E1469" s="37"/>
      <c r="F1469" s="37"/>
      <c r="G1469" s="37"/>
      <c r="H1469" s="37"/>
      <c r="I1469" s="35"/>
      <c r="J1469" s="37"/>
    </row>
    <row r="1470" spans="1:10" ht="15.95" customHeight="1" x14ac:dyDescent="0.2">
      <c r="A1470" s="39"/>
      <c r="B1470" s="36"/>
      <c r="C1470" s="37"/>
      <c r="D1470" s="37"/>
      <c r="E1470" s="37"/>
      <c r="F1470" s="37"/>
      <c r="G1470" s="37"/>
      <c r="H1470" s="37"/>
      <c r="I1470" s="35"/>
      <c r="J1470" s="37"/>
    </row>
    <row r="1471" spans="1:10" ht="15.95" customHeight="1" x14ac:dyDescent="0.2">
      <c r="A1471" s="39"/>
      <c r="B1471" s="36"/>
      <c r="C1471" s="37"/>
      <c r="D1471" s="37"/>
      <c r="E1471" s="37"/>
      <c r="F1471" s="37"/>
      <c r="G1471" s="37"/>
      <c r="H1471" s="37"/>
      <c r="I1471" s="35"/>
      <c r="J1471" s="37"/>
    </row>
    <row r="1472" spans="1:10" ht="15.95" customHeight="1" x14ac:dyDescent="0.2">
      <c r="A1472" s="39"/>
      <c r="B1472" s="36"/>
      <c r="C1472" s="37"/>
      <c r="D1472" s="37"/>
      <c r="E1472" s="37"/>
      <c r="F1472" s="37"/>
      <c r="G1472" s="37"/>
      <c r="H1472" s="37"/>
      <c r="I1472" s="35"/>
      <c r="J1472" s="37"/>
    </row>
    <row r="1473" spans="1:10" ht="15.95" customHeight="1" x14ac:dyDescent="0.2">
      <c r="A1473" s="39"/>
      <c r="B1473" s="36"/>
      <c r="C1473" s="37"/>
      <c r="D1473" s="37"/>
      <c r="E1473" s="37"/>
      <c r="F1473" s="37"/>
      <c r="G1473" s="37"/>
      <c r="H1473" s="37"/>
      <c r="I1473" s="35"/>
      <c r="J1473" s="37"/>
    </row>
    <row r="1474" spans="1:10" ht="15.95" customHeight="1" x14ac:dyDescent="0.2">
      <c r="A1474" s="39"/>
      <c r="B1474" s="36"/>
      <c r="C1474" s="37"/>
      <c r="D1474" s="37"/>
      <c r="E1474" s="37"/>
      <c r="F1474" s="37"/>
      <c r="G1474" s="37"/>
      <c r="H1474" s="37"/>
      <c r="I1474" s="35"/>
      <c r="J1474" s="37"/>
    </row>
    <row r="1475" spans="1:10" ht="15.95" customHeight="1" x14ac:dyDescent="0.2">
      <c r="A1475" s="39"/>
      <c r="B1475" s="36"/>
      <c r="C1475" s="37"/>
      <c r="D1475" s="37"/>
      <c r="E1475" s="37"/>
      <c r="F1475" s="37"/>
      <c r="G1475" s="37"/>
      <c r="H1475" s="37"/>
      <c r="I1475" s="35"/>
      <c r="J1475" s="37"/>
    </row>
    <row r="1476" spans="1:10" ht="15.95" customHeight="1" x14ac:dyDescent="0.2">
      <c r="A1476" s="39"/>
      <c r="B1476" s="36"/>
      <c r="C1476" s="37"/>
      <c r="D1476" s="37"/>
      <c r="E1476" s="37"/>
      <c r="F1476" s="37"/>
      <c r="G1476" s="37"/>
      <c r="H1476" s="37"/>
      <c r="I1476" s="35"/>
      <c r="J1476" s="37"/>
    </row>
    <row r="1477" spans="1:10" ht="15.95" customHeight="1" x14ac:dyDescent="0.2">
      <c r="A1477" s="39"/>
      <c r="B1477" s="36"/>
      <c r="C1477" s="37"/>
      <c r="D1477" s="37"/>
      <c r="E1477" s="37"/>
      <c r="F1477" s="37"/>
      <c r="G1477" s="37"/>
      <c r="H1477" s="37"/>
      <c r="I1477" s="35"/>
      <c r="J1477" s="37"/>
    </row>
    <row r="1478" spans="1:10" ht="15.95" customHeight="1" x14ac:dyDescent="0.2">
      <c r="A1478" s="39"/>
      <c r="B1478" s="36"/>
      <c r="C1478" s="37"/>
      <c r="D1478" s="37"/>
      <c r="E1478" s="37"/>
      <c r="F1478" s="37"/>
      <c r="G1478" s="37"/>
      <c r="H1478" s="37"/>
      <c r="I1478" s="35"/>
      <c r="J1478" s="37"/>
    </row>
    <row r="1479" spans="1:10" ht="15.95" customHeight="1" x14ac:dyDescent="0.2">
      <c r="A1479" s="39"/>
      <c r="B1479" s="36"/>
      <c r="C1479" s="37"/>
      <c r="D1479" s="37"/>
      <c r="E1479" s="37"/>
      <c r="F1479" s="37"/>
      <c r="G1479" s="37"/>
      <c r="H1479" s="37"/>
      <c r="I1479" s="35"/>
      <c r="J1479" s="37"/>
    </row>
    <row r="1480" spans="1:10" ht="15.95" customHeight="1" x14ac:dyDescent="0.2">
      <c r="A1480" s="39"/>
      <c r="B1480" s="36"/>
      <c r="C1480" s="37"/>
      <c r="D1480" s="37"/>
      <c r="E1480" s="37"/>
      <c r="F1480" s="37"/>
      <c r="G1480" s="37"/>
      <c r="H1480" s="37"/>
      <c r="I1480" s="35"/>
      <c r="J1480" s="37"/>
    </row>
    <row r="1481" spans="1:10" ht="15.95" customHeight="1" x14ac:dyDescent="0.2">
      <c r="A1481" s="39"/>
      <c r="B1481" s="36"/>
      <c r="C1481" s="37"/>
      <c r="D1481" s="37"/>
      <c r="E1481" s="37"/>
      <c r="F1481" s="37"/>
      <c r="G1481" s="37"/>
      <c r="H1481" s="37"/>
      <c r="I1481" s="35"/>
      <c r="J1481" s="37"/>
    </row>
    <row r="1482" spans="1:10" ht="15.95" customHeight="1" x14ac:dyDescent="0.2">
      <c r="A1482" s="39"/>
      <c r="B1482" s="36"/>
      <c r="C1482" s="37"/>
      <c r="D1482" s="37"/>
      <c r="E1482" s="37"/>
      <c r="F1482" s="37"/>
      <c r="G1482" s="37"/>
      <c r="H1482" s="37"/>
      <c r="I1482" s="35"/>
      <c r="J1482" s="37"/>
    </row>
    <row r="1483" spans="1:10" ht="15.95" customHeight="1" x14ac:dyDescent="0.2">
      <c r="A1483" s="39"/>
      <c r="B1483" s="36"/>
      <c r="C1483" s="37"/>
      <c r="D1483" s="37"/>
      <c r="E1483" s="37"/>
      <c r="F1483" s="37"/>
      <c r="G1483" s="37"/>
      <c r="H1483" s="37"/>
      <c r="I1483" s="35"/>
      <c r="J1483" s="37"/>
    </row>
    <row r="1484" spans="1:10" ht="15.95" customHeight="1" x14ac:dyDescent="0.2">
      <c r="A1484" s="39"/>
      <c r="B1484" s="36"/>
      <c r="C1484" s="37"/>
      <c r="D1484" s="37"/>
      <c r="E1484" s="37"/>
      <c r="F1484" s="37"/>
      <c r="G1484" s="37"/>
      <c r="H1484" s="37"/>
      <c r="I1484" s="35"/>
      <c r="J1484" s="37"/>
    </row>
    <row r="1485" spans="1:10" ht="15.95" customHeight="1" x14ac:dyDescent="0.2">
      <c r="A1485" s="39"/>
      <c r="B1485" s="36"/>
      <c r="C1485" s="37"/>
      <c r="D1485" s="37"/>
      <c r="E1485" s="37"/>
      <c r="F1485" s="37"/>
      <c r="G1485" s="37"/>
      <c r="H1485" s="37"/>
      <c r="I1485" s="35"/>
      <c r="J1485" s="37"/>
    </row>
    <row r="1486" spans="1:10" ht="15.95" customHeight="1" x14ac:dyDescent="0.2">
      <c r="A1486" s="39"/>
      <c r="B1486" s="36"/>
      <c r="C1486" s="37"/>
      <c r="D1486" s="37"/>
      <c r="E1486" s="37"/>
      <c r="F1486" s="37"/>
      <c r="G1486" s="37"/>
      <c r="H1486" s="37"/>
      <c r="I1486" s="35"/>
      <c r="J1486" s="37"/>
    </row>
    <row r="1487" spans="1:10" ht="15.95" customHeight="1" x14ac:dyDescent="0.2">
      <c r="A1487" s="39"/>
      <c r="B1487" s="36"/>
      <c r="C1487" s="37"/>
      <c r="D1487" s="37"/>
      <c r="E1487" s="37"/>
      <c r="F1487" s="37"/>
      <c r="G1487" s="37"/>
      <c r="H1487" s="37"/>
      <c r="I1487" s="35"/>
      <c r="J1487" s="37"/>
    </row>
    <row r="1488" spans="1:10" ht="15.95" customHeight="1" x14ac:dyDescent="0.2">
      <c r="A1488" s="39"/>
      <c r="B1488" s="36"/>
      <c r="C1488" s="37"/>
      <c r="D1488" s="37"/>
      <c r="E1488" s="37"/>
      <c r="F1488" s="37"/>
      <c r="G1488" s="37"/>
      <c r="H1488" s="37"/>
      <c r="I1488" s="35"/>
      <c r="J1488" s="37"/>
    </row>
    <row r="1489" spans="1:10" ht="15.95" customHeight="1" x14ac:dyDescent="0.2">
      <c r="A1489" s="39"/>
      <c r="B1489" s="36"/>
      <c r="C1489" s="37"/>
      <c r="D1489" s="37"/>
      <c r="E1489" s="37"/>
      <c r="F1489" s="37"/>
      <c r="G1489" s="37"/>
      <c r="H1489" s="37"/>
      <c r="I1489" s="35"/>
      <c r="J1489" s="37"/>
    </row>
    <row r="1490" spans="1:10" ht="15.95" customHeight="1" x14ac:dyDescent="0.2">
      <c r="A1490" s="39"/>
      <c r="B1490" s="36"/>
      <c r="C1490" s="37"/>
      <c r="D1490" s="37"/>
      <c r="E1490" s="37"/>
      <c r="F1490" s="37"/>
      <c r="G1490" s="37"/>
      <c r="H1490" s="37"/>
      <c r="I1490" s="35"/>
      <c r="J1490" s="37"/>
    </row>
    <row r="1491" spans="1:10" ht="15.95" customHeight="1" x14ac:dyDescent="0.2">
      <c r="A1491" s="39"/>
      <c r="B1491" s="36"/>
      <c r="C1491" s="37"/>
      <c r="D1491" s="37"/>
      <c r="E1491" s="37"/>
      <c r="F1491" s="37"/>
      <c r="G1491" s="37"/>
      <c r="H1491" s="37"/>
      <c r="I1491" s="35"/>
      <c r="J1491" s="37"/>
    </row>
    <row r="1492" spans="1:10" ht="15.95" customHeight="1" x14ac:dyDescent="0.2">
      <c r="A1492" s="39"/>
      <c r="B1492" s="36"/>
      <c r="C1492" s="37"/>
      <c r="D1492" s="37"/>
      <c r="E1492" s="37"/>
      <c r="F1492" s="37"/>
      <c r="G1492" s="37"/>
      <c r="H1492" s="37"/>
      <c r="I1492" s="35"/>
      <c r="J1492" s="37"/>
    </row>
    <row r="1493" spans="1:10" ht="15.95" customHeight="1" x14ac:dyDescent="0.2">
      <c r="A1493" s="39"/>
      <c r="B1493" s="36"/>
      <c r="C1493" s="37"/>
      <c r="D1493" s="37"/>
      <c r="E1493" s="37"/>
      <c r="F1493" s="37"/>
      <c r="G1493" s="37"/>
      <c r="H1493" s="37"/>
      <c r="I1493" s="35"/>
      <c r="J1493" s="37"/>
    </row>
    <row r="1494" spans="1:10" ht="15.95" customHeight="1" x14ac:dyDescent="0.2">
      <c r="A1494" s="39"/>
      <c r="B1494" s="36"/>
      <c r="C1494" s="37"/>
      <c r="D1494" s="37"/>
      <c r="E1494" s="37"/>
      <c r="F1494" s="37"/>
      <c r="G1494" s="37"/>
      <c r="H1494" s="37"/>
      <c r="I1494" s="35"/>
      <c r="J1494" s="37"/>
    </row>
    <row r="1495" spans="1:10" ht="15.95" customHeight="1" x14ac:dyDescent="0.2">
      <c r="A1495" s="39"/>
      <c r="B1495" s="36"/>
      <c r="C1495" s="37"/>
      <c r="D1495" s="37"/>
      <c r="E1495" s="37"/>
      <c r="F1495" s="37"/>
      <c r="G1495" s="37"/>
      <c r="H1495" s="37"/>
      <c r="I1495" s="35"/>
      <c r="J1495" s="37"/>
    </row>
    <row r="1496" spans="1:10" ht="15.95" customHeight="1" x14ac:dyDescent="0.2">
      <c r="A1496" s="39"/>
      <c r="B1496" s="36"/>
      <c r="C1496" s="37"/>
      <c r="D1496" s="37"/>
      <c r="E1496" s="37"/>
      <c r="F1496" s="37"/>
      <c r="G1496" s="37"/>
      <c r="H1496" s="37"/>
      <c r="I1496" s="35"/>
      <c r="J1496" s="37"/>
    </row>
    <row r="1497" spans="1:10" ht="15.95" customHeight="1" x14ac:dyDescent="0.2">
      <c r="A1497" s="39"/>
      <c r="B1497" s="36"/>
      <c r="C1497" s="37"/>
      <c r="D1497" s="37"/>
      <c r="E1497" s="37"/>
      <c r="F1497" s="37"/>
      <c r="G1497" s="37"/>
      <c r="H1497" s="37"/>
      <c r="I1497" s="35"/>
      <c r="J1497" s="37"/>
    </row>
    <row r="1498" spans="1:10" ht="15.95" customHeight="1" x14ac:dyDescent="0.2">
      <c r="A1498" s="39"/>
      <c r="B1498" s="36"/>
      <c r="C1498" s="37"/>
      <c r="D1498" s="37"/>
      <c r="E1498" s="37"/>
      <c r="F1498" s="37"/>
      <c r="G1498" s="37"/>
      <c r="H1498" s="37"/>
      <c r="I1498" s="35"/>
      <c r="J1498" s="37"/>
    </row>
    <row r="1499" spans="1:10" ht="15.95" customHeight="1" x14ac:dyDescent="0.2">
      <c r="A1499" s="39"/>
      <c r="B1499" s="36"/>
      <c r="C1499" s="37"/>
      <c r="D1499" s="37"/>
      <c r="E1499" s="37"/>
      <c r="F1499" s="37"/>
      <c r="G1499" s="37"/>
      <c r="H1499" s="37"/>
      <c r="I1499" s="35"/>
      <c r="J1499" s="37"/>
    </row>
    <row r="1500" spans="1:10" ht="15.95" customHeight="1" x14ac:dyDescent="0.2">
      <c r="A1500" s="39"/>
      <c r="B1500" s="36"/>
      <c r="C1500" s="37"/>
      <c r="D1500" s="37"/>
      <c r="E1500" s="37"/>
      <c r="F1500" s="37"/>
      <c r="G1500" s="37"/>
      <c r="H1500" s="37"/>
      <c r="I1500" s="35"/>
      <c r="J1500" s="37"/>
    </row>
    <row r="1501" spans="1:10" ht="15.95" customHeight="1" x14ac:dyDescent="0.2">
      <c r="A1501" s="39"/>
      <c r="B1501" s="36"/>
      <c r="C1501" s="37"/>
      <c r="D1501" s="37"/>
      <c r="E1501" s="37"/>
      <c r="F1501" s="37"/>
      <c r="G1501" s="37"/>
      <c r="H1501" s="37"/>
      <c r="I1501" s="35"/>
      <c r="J1501" s="37"/>
    </row>
    <row r="1502" spans="1:10" ht="15.95" customHeight="1" x14ac:dyDescent="0.2">
      <c r="A1502" s="39"/>
      <c r="B1502" s="36"/>
      <c r="C1502" s="37"/>
      <c r="D1502" s="37"/>
      <c r="E1502" s="37"/>
      <c r="F1502" s="37"/>
      <c r="G1502" s="37"/>
      <c r="H1502" s="37"/>
      <c r="I1502" s="35"/>
      <c r="J1502" s="37"/>
    </row>
    <row r="1503" spans="1:10" ht="15.95" customHeight="1" x14ac:dyDescent="0.2">
      <c r="A1503" s="39"/>
      <c r="B1503" s="36"/>
      <c r="C1503" s="37"/>
      <c r="D1503" s="37"/>
      <c r="E1503" s="37"/>
      <c r="F1503" s="37"/>
      <c r="G1503" s="37"/>
      <c r="H1503" s="37"/>
      <c r="I1503" s="35"/>
      <c r="J1503" s="37"/>
    </row>
    <row r="1504" spans="1:10" ht="15.95" customHeight="1" x14ac:dyDescent="0.2">
      <c r="A1504" s="39"/>
      <c r="B1504" s="36"/>
      <c r="C1504" s="37"/>
      <c r="D1504" s="37"/>
      <c r="E1504" s="37"/>
      <c r="F1504" s="37"/>
      <c r="G1504" s="37"/>
      <c r="H1504" s="37"/>
      <c r="I1504" s="35"/>
      <c r="J1504" s="37"/>
    </row>
    <row r="1505" spans="1:10" ht="15.95" customHeight="1" x14ac:dyDescent="0.2">
      <c r="A1505" s="39"/>
      <c r="B1505" s="36"/>
      <c r="C1505" s="37"/>
      <c r="D1505" s="37"/>
      <c r="E1505" s="37"/>
      <c r="F1505" s="37"/>
      <c r="G1505" s="37"/>
      <c r="H1505" s="37"/>
      <c r="I1505" s="35"/>
      <c r="J1505" s="37"/>
    </row>
    <row r="1506" spans="1:10" ht="15.95" customHeight="1" x14ac:dyDescent="0.2">
      <c r="A1506" s="39"/>
      <c r="B1506" s="36"/>
      <c r="C1506" s="37"/>
      <c r="D1506" s="37"/>
      <c r="E1506" s="37"/>
      <c r="F1506" s="37"/>
      <c r="G1506" s="37"/>
      <c r="H1506" s="37"/>
      <c r="I1506" s="35"/>
      <c r="J1506" s="37"/>
    </row>
    <row r="1507" spans="1:10" ht="15.95" customHeight="1" x14ac:dyDescent="0.2">
      <c r="A1507" s="39"/>
      <c r="B1507" s="36"/>
      <c r="C1507" s="37"/>
      <c r="D1507" s="37"/>
      <c r="E1507" s="37"/>
      <c r="F1507" s="37"/>
      <c r="G1507" s="37"/>
      <c r="H1507" s="37"/>
      <c r="I1507" s="35"/>
      <c r="J1507" s="37"/>
    </row>
    <row r="1508" spans="1:10" ht="15.95" customHeight="1" x14ac:dyDescent="0.2">
      <c r="A1508" s="39"/>
      <c r="B1508" s="36"/>
      <c r="C1508" s="37"/>
      <c r="D1508" s="37"/>
      <c r="E1508" s="37"/>
      <c r="F1508" s="37"/>
      <c r="G1508" s="37"/>
      <c r="H1508" s="37"/>
      <c r="I1508" s="35"/>
      <c r="J1508" s="37"/>
    </row>
    <row r="1509" spans="1:10" ht="15.95" customHeight="1" x14ac:dyDescent="0.2">
      <c r="A1509" s="39"/>
      <c r="B1509" s="36"/>
      <c r="C1509" s="37"/>
      <c r="D1509" s="37"/>
      <c r="E1509" s="37"/>
      <c r="F1509" s="37"/>
      <c r="G1509" s="37"/>
      <c r="H1509" s="37"/>
      <c r="I1509" s="35"/>
      <c r="J1509" s="37"/>
    </row>
    <row r="1510" spans="1:10" ht="15.95" customHeight="1" x14ac:dyDescent="0.2">
      <c r="A1510" s="39"/>
      <c r="B1510" s="36"/>
      <c r="C1510" s="37"/>
      <c r="D1510" s="37"/>
      <c r="E1510" s="37"/>
      <c r="F1510" s="37"/>
      <c r="G1510" s="37"/>
      <c r="H1510" s="37"/>
      <c r="I1510" s="35"/>
      <c r="J1510" s="37"/>
    </row>
    <row r="1511" spans="1:10" ht="15.95" customHeight="1" x14ac:dyDescent="0.2">
      <c r="A1511" s="39"/>
      <c r="B1511" s="36"/>
      <c r="C1511" s="37"/>
      <c r="D1511" s="37"/>
      <c r="E1511" s="37"/>
      <c r="F1511" s="37"/>
      <c r="G1511" s="37"/>
      <c r="H1511" s="37"/>
      <c r="I1511" s="35"/>
      <c r="J1511" s="37"/>
    </row>
    <row r="1512" spans="1:10" ht="15.95" customHeight="1" x14ac:dyDescent="0.2">
      <c r="A1512" s="39"/>
      <c r="B1512" s="36"/>
      <c r="C1512" s="37"/>
      <c r="D1512" s="37"/>
      <c r="E1512" s="37"/>
      <c r="F1512" s="37"/>
      <c r="G1512" s="37"/>
      <c r="H1512" s="37"/>
      <c r="I1512" s="35"/>
      <c r="J1512" s="37"/>
    </row>
    <row r="1513" spans="1:10" ht="15.95" customHeight="1" x14ac:dyDescent="0.2">
      <c r="A1513" s="39"/>
      <c r="B1513" s="36"/>
      <c r="C1513" s="37"/>
      <c r="D1513" s="37"/>
      <c r="E1513" s="37"/>
      <c r="F1513" s="37"/>
      <c r="G1513" s="37"/>
      <c r="H1513" s="37"/>
      <c r="I1513" s="35"/>
      <c r="J1513" s="37"/>
    </row>
    <row r="1514" spans="1:10" ht="15.95" customHeight="1" x14ac:dyDescent="0.2">
      <c r="A1514" s="39"/>
      <c r="B1514" s="36"/>
      <c r="C1514" s="37"/>
      <c r="D1514" s="37"/>
      <c r="E1514" s="37"/>
      <c r="F1514" s="37"/>
      <c r="G1514" s="37"/>
      <c r="H1514" s="37"/>
      <c r="I1514" s="35"/>
      <c r="J1514" s="37"/>
    </row>
    <row r="1515" spans="1:10" ht="15.95" customHeight="1" x14ac:dyDescent="0.2">
      <c r="A1515" s="39"/>
      <c r="B1515" s="36"/>
      <c r="C1515" s="37"/>
      <c r="D1515" s="37"/>
      <c r="E1515" s="37"/>
      <c r="F1515" s="37"/>
      <c r="G1515" s="37"/>
      <c r="H1515" s="37"/>
      <c r="I1515" s="35"/>
      <c r="J1515" s="37"/>
    </row>
    <row r="1516" spans="1:10" ht="15.95" customHeight="1" x14ac:dyDescent="0.2">
      <c r="A1516" s="39"/>
      <c r="B1516" s="36"/>
      <c r="C1516" s="37"/>
      <c r="D1516" s="37"/>
      <c r="E1516" s="37"/>
      <c r="F1516" s="37"/>
      <c r="G1516" s="37"/>
      <c r="H1516" s="37"/>
      <c r="I1516" s="35"/>
      <c r="J1516" s="37"/>
    </row>
    <row r="1517" spans="1:10" ht="15.95" customHeight="1" x14ac:dyDescent="0.2">
      <c r="A1517" s="39"/>
      <c r="B1517" s="36"/>
      <c r="C1517" s="37"/>
      <c r="D1517" s="37"/>
      <c r="E1517" s="37"/>
      <c r="F1517" s="37"/>
      <c r="G1517" s="37"/>
      <c r="H1517" s="37"/>
      <c r="I1517" s="35"/>
      <c r="J1517" s="37"/>
    </row>
    <row r="1518" spans="1:10" ht="15.95" customHeight="1" x14ac:dyDescent="0.2">
      <c r="A1518" s="39"/>
      <c r="B1518" s="36"/>
      <c r="C1518" s="37"/>
      <c r="D1518" s="37"/>
      <c r="E1518" s="37"/>
      <c r="F1518" s="37"/>
      <c r="G1518" s="37"/>
      <c r="H1518" s="37"/>
      <c r="I1518" s="35"/>
      <c r="J1518" s="37"/>
    </row>
    <row r="1519" spans="1:10" ht="15.95" customHeight="1" x14ac:dyDescent="0.2">
      <c r="A1519" s="39"/>
      <c r="B1519" s="36"/>
      <c r="C1519" s="37"/>
      <c r="D1519" s="37"/>
      <c r="E1519" s="37"/>
      <c r="F1519" s="37"/>
      <c r="G1519" s="37"/>
      <c r="H1519" s="37"/>
      <c r="I1519" s="35"/>
      <c r="J1519" s="37"/>
    </row>
    <row r="1520" spans="1:10" ht="15.95" customHeight="1" x14ac:dyDescent="0.2">
      <c r="A1520" s="39"/>
      <c r="B1520" s="36"/>
      <c r="C1520" s="37"/>
      <c r="D1520" s="37"/>
      <c r="E1520" s="37"/>
      <c r="F1520" s="37"/>
      <c r="G1520" s="37"/>
      <c r="H1520" s="37"/>
      <c r="I1520" s="35"/>
      <c r="J1520" s="37"/>
    </row>
    <row r="1521" spans="1:10" ht="15.95" customHeight="1" x14ac:dyDescent="0.2">
      <c r="A1521" s="39"/>
      <c r="B1521" s="36"/>
      <c r="C1521" s="37"/>
      <c r="D1521" s="37"/>
      <c r="E1521" s="37"/>
      <c r="F1521" s="37"/>
      <c r="G1521" s="37"/>
      <c r="H1521" s="37"/>
      <c r="I1521" s="35"/>
      <c r="J1521" s="37"/>
    </row>
    <row r="1522" spans="1:10" ht="15.95" customHeight="1" x14ac:dyDescent="0.2">
      <c r="A1522" s="39"/>
      <c r="B1522" s="36"/>
      <c r="C1522" s="37"/>
      <c r="D1522" s="37"/>
      <c r="E1522" s="37"/>
      <c r="F1522" s="37"/>
      <c r="G1522" s="37"/>
      <c r="H1522" s="37"/>
      <c r="I1522" s="35"/>
      <c r="J1522" s="37"/>
    </row>
    <row r="1523" spans="1:10" ht="15.95" customHeight="1" x14ac:dyDescent="0.2">
      <c r="A1523" s="39"/>
      <c r="B1523" s="36"/>
      <c r="C1523" s="37"/>
      <c r="D1523" s="37"/>
      <c r="E1523" s="37"/>
      <c r="F1523" s="37"/>
      <c r="G1523" s="37"/>
      <c r="H1523" s="37"/>
      <c r="I1523" s="35"/>
      <c r="J1523" s="37"/>
    </row>
    <row r="1524" spans="1:10" ht="15.95" customHeight="1" x14ac:dyDescent="0.2">
      <c r="A1524" s="39"/>
      <c r="B1524" s="36"/>
      <c r="C1524" s="37"/>
      <c r="D1524" s="37"/>
      <c r="E1524" s="37"/>
      <c r="F1524" s="37"/>
      <c r="G1524" s="37"/>
      <c r="H1524" s="37"/>
      <c r="I1524" s="35"/>
      <c r="J1524" s="37"/>
    </row>
    <row r="1525" spans="1:10" ht="15.95" customHeight="1" x14ac:dyDescent="0.2">
      <c r="A1525" s="39"/>
      <c r="B1525" s="36"/>
      <c r="C1525" s="37"/>
      <c r="D1525" s="37"/>
      <c r="E1525" s="37"/>
      <c r="F1525" s="37"/>
      <c r="G1525" s="37"/>
      <c r="H1525" s="37"/>
      <c r="I1525" s="35"/>
      <c r="J1525" s="37"/>
    </row>
    <row r="1526" spans="1:10" ht="15.95" customHeight="1" x14ac:dyDescent="0.2">
      <c r="A1526" s="39"/>
      <c r="B1526" s="36"/>
      <c r="C1526" s="37"/>
      <c r="D1526" s="37"/>
      <c r="E1526" s="37"/>
      <c r="F1526" s="37"/>
      <c r="G1526" s="37"/>
      <c r="H1526" s="37"/>
      <c r="I1526" s="35"/>
      <c r="J1526" s="37"/>
    </row>
    <row r="1527" spans="1:10" ht="15.95" customHeight="1" x14ac:dyDescent="0.2">
      <c r="A1527" s="39"/>
      <c r="B1527" s="36"/>
      <c r="C1527" s="37"/>
      <c r="D1527" s="37"/>
      <c r="E1527" s="37"/>
      <c r="F1527" s="37"/>
      <c r="G1527" s="37"/>
      <c r="H1527" s="37"/>
      <c r="I1527" s="35"/>
      <c r="J1527" s="37"/>
    </row>
    <row r="1528" spans="1:10" ht="15.95" customHeight="1" x14ac:dyDescent="0.2">
      <c r="A1528" s="39"/>
      <c r="B1528" s="36"/>
      <c r="C1528" s="37"/>
      <c r="D1528" s="37"/>
      <c r="E1528" s="37"/>
      <c r="F1528" s="37"/>
      <c r="G1528" s="37"/>
      <c r="H1528" s="37"/>
      <c r="I1528" s="35"/>
      <c r="J1528" s="37"/>
    </row>
    <row r="1529" spans="1:10" ht="15.95" customHeight="1" x14ac:dyDescent="0.2">
      <c r="A1529" s="39"/>
      <c r="B1529" s="36"/>
      <c r="C1529" s="37"/>
      <c r="D1529" s="37"/>
      <c r="E1529" s="37"/>
      <c r="F1529" s="37"/>
      <c r="G1529" s="37"/>
      <c r="H1529" s="37"/>
      <c r="I1529" s="35"/>
      <c r="J1529" s="37"/>
    </row>
    <row r="1530" spans="1:10" ht="15.95" customHeight="1" x14ac:dyDescent="0.2">
      <c r="A1530" s="39"/>
      <c r="B1530" s="36"/>
      <c r="C1530" s="37"/>
      <c r="D1530" s="37"/>
      <c r="E1530" s="37"/>
      <c r="F1530" s="37"/>
      <c r="G1530" s="37"/>
      <c r="H1530" s="37"/>
      <c r="I1530" s="35"/>
      <c r="J1530" s="37"/>
    </row>
    <row r="1531" spans="1:10" ht="15.95" customHeight="1" x14ac:dyDescent="0.2">
      <c r="A1531" s="39"/>
      <c r="B1531" s="36"/>
      <c r="C1531" s="37"/>
      <c r="D1531" s="37"/>
      <c r="E1531" s="37"/>
      <c r="F1531" s="37"/>
      <c r="G1531" s="37"/>
      <c r="H1531" s="37"/>
      <c r="I1531" s="35"/>
      <c r="J1531" s="37"/>
    </row>
    <row r="1532" spans="1:10" ht="15.95" customHeight="1" x14ac:dyDescent="0.2">
      <c r="A1532" s="39"/>
      <c r="B1532" s="36"/>
      <c r="C1532" s="37"/>
      <c r="D1532" s="37"/>
      <c r="E1532" s="37"/>
      <c r="F1532" s="37"/>
      <c r="G1532" s="37"/>
      <c r="H1532" s="37"/>
      <c r="I1532" s="35"/>
      <c r="J1532" s="37"/>
    </row>
    <row r="1533" spans="1:10" ht="15.95" customHeight="1" x14ac:dyDescent="0.2">
      <c r="A1533" s="39"/>
      <c r="B1533" s="36"/>
      <c r="C1533" s="37"/>
      <c r="D1533" s="37"/>
      <c r="E1533" s="37"/>
      <c r="F1533" s="37"/>
      <c r="G1533" s="37"/>
      <c r="H1533" s="37"/>
      <c r="I1533" s="35"/>
      <c r="J1533" s="37"/>
    </row>
    <row r="1534" spans="1:10" ht="15.95" customHeight="1" x14ac:dyDescent="0.2">
      <c r="A1534" s="39"/>
      <c r="B1534" s="36"/>
      <c r="C1534" s="37"/>
      <c r="D1534" s="37"/>
      <c r="E1534" s="37"/>
      <c r="F1534" s="37"/>
      <c r="G1534" s="37"/>
      <c r="H1534" s="37"/>
      <c r="I1534" s="35"/>
      <c r="J1534" s="37"/>
    </row>
    <row r="1535" spans="1:10" ht="15.95" customHeight="1" x14ac:dyDescent="0.2">
      <c r="A1535" s="39"/>
      <c r="B1535" s="36"/>
      <c r="C1535" s="37"/>
      <c r="D1535" s="37"/>
      <c r="E1535" s="37"/>
      <c r="F1535" s="37"/>
      <c r="G1535" s="37"/>
      <c r="H1535" s="37"/>
      <c r="I1535" s="35"/>
      <c r="J1535" s="37"/>
    </row>
    <row r="1536" spans="1:10" ht="15.95" customHeight="1" x14ac:dyDescent="0.2">
      <c r="A1536" s="39"/>
      <c r="B1536" s="36"/>
      <c r="C1536" s="37"/>
      <c r="D1536" s="37"/>
      <c r="E1536" s="37"/>
      <c r="F1536" s="37"/>
      <c r="G1536" s="37"/>
      <c r="H1536" s="37"/>
      <c r="I1536" s="35"/>
      <c r="J1536" s="37"/>
    </row>
    <row r="1537" spans="1:10" ht="15.95" customHeight="1" x14ac:dyDescent="0.2">
      <c r="A1537" s="39"/>
      <c r="B1537" s="36"/>
      <c r="C1537" s="37"/>
      <c r="D1537" s="37"/>
      <c r="E1537" s="37"/>
      <c r="F1537" s="37"/>
      <c r="G1537" s="37"/>
      <c r="H1537" s="37"/>
      <c r="I1537" s="35"/>
      <c r="J1537" s="37"/>
    </row>
    <row r="1538" spans="1:10" ht="15.95" customHeight="1" x14ac:dyDescent="0.2">
      <c r="A1538" s="39"/>
      <c r="B1538" s="36"/>
      <c r="C1538" s="37"/>
      <c r="D1538" s="37"/>
      <c r="E1538" s="37"/>
      <c r="F1538" s="37"/>
      <c r="G1538" s="37"/>
      <c r="H1538" s="37"/>
      <c r="I1538" s="35"/>
      <c r="J1538" s="37"/>
    </row>
    <row r="1539" spans="1:10" ht="15.95" customHeight="1" x14ac:dyDescent="0.2">
      <c r="A1539" s="39"/>
      <c r="B1539" s="36"/>
      <c r="C1539" s="37"/>
      <c r="D1539" s="37"/>
      <c r="E1539" s="37"/>
      <c r="F1539" s="37"/>
      <c r="G1539" s="37"/>
      <c r="H1539" s="37"/>
      <c r="I1539" s="35"/>
      <c r="J1539" s="37"/>
    </row>
    <row r="1540" spans="1:10" ht="15.95" customHeight="1" x14ac:dyDescent="0.2">
      <c r="A1540" s="39"/>
      <c r="B1540" s="36"/>
      <c r="C1540" s="37"/>
      <c r="D1540" s="37"/>
      <c r="E1540" s="37"/>
      <c r="F1540" s="37"/>
      <c r="G1540" s="37"/>
      <c r="H1540" s="37"/>
      <c r="I1540" s="35"/>
      <c r="J1540" s="37"/>
    </row>
    <row r="1541" spans="1:10" ht="15.95" customHeight="1" x14ac:dyDescent="0.2">
      <c r="A1541" s="39"/>
      <c r="B1541" s="36"/>
      <c r="C1541" s="37"/>
      <c r="D1541" s="37"/>
      <c r="E1541" s="37"/>
      <c r="F1541" s="37"/>
      <c r="G1541" s="37"/>
      <c r="H1541" s="37"/>
      <c r="I1541" s="35"/>
      <c r="J1541" s="37"/>
    </row>
    <row r="1542" spans="1:10" ht="15.95" customHeight="1" x14ac:dyDescent="0.2">
      <c r="A1542" s="39"/>
      <c r="B1542" s="36"/>
      <c r="C1542" s="37"/>
      <c r="D1542" s="37"/>
      <c r="E1542" s="37"/>
      <c r="F1542" s="37"/>
      <c r="G1542" s="37"/>
      <c r="H1542" s="37"/>
      <c r="I1542" s="35"/>
      <c r="J1542" s="37"/>
    </row>
    <row r="1543" spans="1:10" ht="15.95" customHeight="1" x14ac:dyDescent="0.2">
      <c r="A1543" s="39"/>
      <c r="B1543" s="36"/>
      <c r="C1543" s="37"/>
      <c r="D1543" s="37"/>
      <c r="E1543" s="37"/>
      <c r="F1543" s="37"/>
      <c r="G1543" s="37"/>
      <c r="H1543" s="37"/>
      <c r="I1543" s="35"/>
      <c r="J1543" s="37"/>
    </row>
    <row r="1544" spans="1:10" ht="15.95" customHeight="1" x14ac:dyDescent="0.2">
      <c r="A1544" s="39"/>
      <c r="B1544" s="36"/>
      <c r="C1544" s="37"/>
      <c r="D1544" s="37"/>
      <c r="E1544" s="37"/>
      <c r="F1544" s="37"/>
      <c r="G1544" s="37"/>
      <c r="H1544" s="37"/>
      <c r="I1544" s="35"/>
      <c r="J1544" s="37"/>
    </row>
    <row r="1545" spans="1:10" ht="15.95" customHeight="1" x14ac:dyDescent="0.2">
      <c r="A1545" s="39"/>
      <c r="B1545" s="36"/>
      <c r="C1545" s="37"/>
      <c r="D1545" s="37"/>
      <c r="E1545" s="37"/>
      <c r="F1545" s="37"/>
      <c r="G1545" s="37"/>
      <c r="H1545" s="37"/>
      <c r="I1545" s="35"/>
      <c r="J1545" s="37"/>
    </row>
    <row r="1546" spans="1:10" ht="15.95" customHeight="1" x14ac:dyDescent="0.2">
      <c r="A1546" s="39"/>
      <c r="B1546" s="36"/>
      <c r="C1546" s="37"/>
      <c r="D1546" s="37"/>
      <c r="E1546" s="37"/>
      <c r="F1546" s="37"/>
      <c r="G1546" s="37"/>
      <c r="H1546" s="37"/>
      <c r="I1546" s="35"/>
      <c r="J1546" s="37"/>
    </row>
    <row r="1547" spans="1:10" ht="15.95" customHeight="1" x14ac:dyDescent="0.2">
      <c r="A1547" s="39"/>
      <c r="B1547" s="36"/>
      <c r="C1547" s="37"/>
      <c r="D1547" s="37"/>
      <c r="E1547" s="37"/>
      <c r="F1547" s="37"/>
      <c r="G1547" s="37"/>
      <c r="H1547" s="37"/>
      <c r="I1547" s="35"/>
      <c r="J1547" s="37"/>
    </row>
    <row r="1548" spans="1:10" ht="15.95" customHeight="1" x14ac:dyDescent="0.2">
      <c r="A1548" s="39"/>
      <c r="B1548" s="36"/>
      <c r="C1548" s="37"/>
      <c r="D1548" s="37"/>
      <c r="E1548" s="37"/>
      <c r="F1548" s="37"/>
      <c r="G1548" s="37"/>
      <c r="H1548" s="37"/>
      <c r="I1548" s="35"/>
      <c r="J1548" s="37"/>
    </row>
    <row r="1549" spans="1:10" ht="15.95" customHeight="1" x14ac:dyDescent="0.2">
      <c r="A1549" s="39"/>
      <c r="B1549" s="36"/>
      <c r="C1549" s="37"/>
      <c r="D1549" s="37"/>
      <c r="E1549" s="37"/>
      <c r="F1549" s="37"/>
      <c r="G1549" s="37"/>
      <c r="H1549" s="37"/>
      <c r="I1549" s="35"/>
      <c r="J1549" s="37"/>
    </row>
    <row r="1550" spans="1:10" ht="15.95" customHeight="1" x14ac:dyDescent="0.2">
      <c r="A1550" s="39"/>
      <c r="B1550" s="36"/>
      <c r="C1550" s="37"/>
      <c r="D1550" s="37"/>
      <c r="E1550" s="37"/>
      <c r="F1550" s="37"/>
      <c r="G1550" s="37"/>
      <c r="H1550" s="37"/>
      <c r="I1550" s="35"/>
      <c r="J1550" s="37"/>
    </row>
    <row r="1551" spans="1:10" ht="15.95" customHeight="1" x14ac:dyDescent="0.2">
      <c r="A1551" s="39"/>
      <c r="B1551" s="36"/>
      <c r="C1551" s="37"/>
      <c r="D1551" s="37"/>
      <c r="E1551" s="37"/>
      <c r="F1551" s="37"/>
      <c r="G1551" s="37"/>
      <c r="H1551" s="37"/>
      <c r="I1551" s="35"/>
      <c r="J1551" s="37"/>
    </row>
    <row r="1552" spans="1:10" ht="15.95" customHeight="1" x14ac:dyDescent="0.2">
      <c r="A1552" s="39"/>
      <c r="B1552" s="36"/>
      <c r="C1552" s="37"/>
      <c r="D1552" s="37"/>
      <c r="E1552" s="37"/>
      <c r="F1552" s="37"/>
      <c r="G1552" s="37"/>
      <c r="H1552" s="37"/>
      <c r="I1552" s="35"/>
      <c r="J1552" s="37"/>
    </row>
    <row r="1553" spans="1:10" ht="15.95" customHeight="1" x14ac:dyDescent="0.2">
      <c r="A1553" s="39"/>
      <c r="B1553" s="36"/>
      <c r="C1553" s="37"/>
      <c r="D1553" s="37"/>
      <c r="E1553" s="37"/>
      <c r="F1553" s="37"/>
      <c r="G1553" s="37"/>
      <c r="H1553" s="37"/>
      <c r="I1553" s="35"/>
      <c r="J1553" s="37"/>
    </row>
    <row r="1554" spans="1:10" ht="15.95" customHeight="1" x14ac:dyDescent="0.2">
      <c r="A1554" s="39"/>
      <c r="B1554" s="36"/>
      <c r="C1554" s="37"/>
      <c r="D1554" s="37"/>
      <c r="E1554" s="37"/>
      <c r="F1554" s="37"/>
      <c r="G1554" s="37"/>
      <c r="H1554" s="37"/>
      <c r="I1554" s="35"/>
      <c r="J1554" s="37"/>
    </row>
    <row r="1555" spans="1:10" ht="15.95" customHeight="1" x14ac:dyDescent="0.2">
      <c r="A1555" s="39"/>
      <c r="B1555" s="36"/>
      <c r="C1555" s="37"/>
      <c r="D1555" s="37"/>
      <c r="E1555" s="37"/>
      <c r="F1555" s="37"/>
      <c r="G1555" s="37"/>
      <c r="H1555" s="37"/>
      <c r="I1555" s="35"/>
      <c r="J1555" s="37"/>
    </row>
    <row r="1556" spans="1:10" ht="15.95" customHeight="1" x14ac:dyDescent="0.2">
      <c r="A1556" s="39"/>
      <c r="B1556" s="36"/>
      <c r="C1556" s="37"/>
      <c r="D1556" s="37"/>
      <c r="E1556" s="37"/>
      <c r="F1556" s="37"/>
      <c r="G1556" s="37"/>
      <c r="H1556" s="37"/>
      <c r="I1556" s="35"/>
      <c r="J1556" s="37"/>
    </row>
    <row r="1557" spans="1:10" ht="15.95" customHeight="1" x14ac:dyDescent="0.2">
      <c r="A1557" s="39"/>
      <c r="B1557" s="36"/>
      <c r="C1557" s="37"/>
      <c r="D1557" s="37"/>
      <c r="E1557" s="37"/>
      <c r="F1557" s="37"/>
      <c r="G1557" s="37"/>
      <c r="H1557" s="37"/>
      <c r="I1557" s="35"/>
      <c r="J1557" s="37"/>
    </row>
    <row r="1558" spans="1:10" ht="15.95" customHeight="1" x14ac:dyDescent="0.2">
      <c r="A1558" s="39"/>
      <c r="B1558" s="36"/>
      <c r="C1558" s="37"/>
      <c r="D1558" s="37"/>
      <c r="E1558" s="37"/>
      <c r="F1558" s="37"/>
      <c r="G1558" s="37"/>
      <c r="H1558" s="37"/>
      <c r="I1558" s="35"/>
      <c r="J1558" s="37"/>
    </row>
    <row r="1559" spans="1:10" ht="15.95" customHeight="1" x14ac:dyDescent="0.2">
      <c r="A1559" s="39"/>
      <c r="B1559" s="36"/>
      <c r="C1559" s="37"/>
      <c r="D1559" s="37"/>
      <c r="E1559" s="37"/>
      <c r="F1559" s="37"/>
      <c r="G1559" s="37"/>
      <c r="H1559" s="37"/>
      <c r="I1559" s="35"/>
      <c r="J1559" s="37"/>
    </row>
    <row r="1560" spans="1:10" ht="15.95" customHeight="1" x14ac:dyDescent="0.2">
      <c r="A1560" s="39"/>
      <c r="B1560" s="36"/>
      <c r="C1560" s="37"/>
      <c r="D1560" s="37"/>
      <c r="E1560" s="37"/>
      <c r="F1560" s="37"/>
      <c r="G1560" s="37"/>
      <c r="H1560" s="37"/>
      <c r="I1560" s="35"/>
      <c r="J1560" s="37"/>
    </row>
    <row r="1561" spans="1:10" ht="15.95" customHeight="1" x14ac:dyDescent="0.2">
      <c r="A1561" s="39"/>
      <c r="B1561" s="36"/>
      <c r="C1561" s="37"/>
      <c r="D1561" s="37"/>
      <c r="E1561" s="37"/>
      <c r="F1561" s="37"/>
      <c r="G1561" s="37"/>
      <c r="H1561" s="37"/>
      <c r="I1561" s="35"/>
      <c r="J1561" s="37"/>
    </row>
    <row r="1562" spans="1:10" ht="15.95" customHeight="1" x14ac:dyDescent="0.2">
      <c r="A1562" s="39"/>
      <c r="B1562" s="36"/>
      <c r="C1562" s="37"/>
      <c r="D1562" s="37"/>
      <c r="E1562" s="37"/>
      <c r="F1562" s="37"/>
      <c r="G1562" s="37"/>
      <c r="H1562" s="37"/>
      <c r="I1562" s="35"/>
      <c r="J1562" s="37"/>
    </row>
    <row r="1563" spans="1:10" ht="15.95" customHeight="1" x14ac:dyDescent="0.2">
      <c r="A1563" s="39"/>
      <c r="B1563" s="36"/>
      <c r="C1563" s="37"/>
      <c r="D1563" s="37"/>
      <c r="E1563" s="37"/>
      <c r="F1563" s="37"/>
      <c r="G1563" s="37"/>
      <c r="H1563" s="37"/>
      <c r="I1563" s="35"/>
      <c r="J1563" s="37"/>
    </row>
    <row r="1564" spans="1:10" ht="15.95" customHeight="1" x14ac:dyDescent="0.2">
      <c r="A1564" s="39"/>
      <c r="B1564" s="36"/>
      <c r="C1564" s="37"/>
      <c r="D1564" s="37"/>
      <c r="E1564" s="37"/>
      <c r="F1564" s="37"/>
      <c r="G1564" s="37"/>
      <c r="H1564" s="37"/>
      <c r="I1564" s="35"/>
      <c r="J1564" s="37"/>
    </row>
    <row r="1565" spans="1:10" ht="15.95" customHeight="1" x14ac:dyDescent="0.2">
      <c r="A1565" s="39"/>
      <c r="B1565" s="36"/>
      <c r="C1565" s="37"/>
      <c r="D1565" s="37"/>
      <c r="E1565" s="37"/>
      <c r="F1565" s="37"/>
      <c r="G1565" s="37"/>
      <c r="H1565" s="37"/>
      <c r="I1565" s="35"/>
      <c r="J1565" s="37"/>
    </row>
    <row r="1566" spans="1:10" ht="15.95" customHeight="1" x14ac:dyDescent="0.2">
      <c r="A1566" s="39"/>
      <c r="B1566" s="36"/>
      <c r="C1566" s="37"/>
      <c r="D1566" s="37"/>
      <c r="E1566" s="37"/>
      <c r="F1566" s="37"/>
      <c r="G1566" s="37"/>
      <c r="H1566" s="37"/>
      <c r="I1566" s="35"/>
      <c r="J1566" s="37"/>
    </row>
    <row r="1567" spans="1:10" ht="15.95" customHeight="1" x14ac:dyDescent="0.2">
      <c r="A1567" s="39"/>
      <c r="B1567" s="36"/>
      <c r="C1567" s="37"/>
      <c r="D1567" s="37"/>
      <c r="E1567" s="37"/>
      <c r="F1567" s="37"/>
      <c r="G1567" s="37"/>
      <c r="H1567" s="37"/>
      <c r="I1567" s="35"/>
      <c r="J1567" s="37"/>
    </row>
    <row r="1568" spans="1:10" ht="15.95" customHeight="1" x14ac:dyDescent="0.2">
      <c r="A1568" s="39"/>
      <c r="B1568" s="36"/>
      <c r="C1568" s="37"/>
      <c r="D1568" s="37"/>
      <c r="E1568" s="37"/>
      <c r="F1568" s="37"/>
      <c r="G1568" s="37"/>
      <c r="H1568" s="37"/>
      <c r="I1568" s="35"/>
      <c r="J1568" s="37"/>
    </row>
    <row r="1569" spans="1:10" ht="15.95" customHeight="1" x14ac:dyDescent="0.2">
      <c r="A1569" s="39"/>
      <c r="B1569" s="36"/>
      <c r="C1569" s="37"/>
      <c r="D1569" s="37"/>
      <c r="E1569" s="37"/>
      <c r="F1569" s="37"/>
      <c r="G1569" s="37"/>
      <c r="H1569" s="37"/>
      <c r="I1569" s="35"/>
      <c r="J1569" s="37"/>
    </row>
    <row r="1570" spans="1:10" ht="15.95" customHeight="1" x14ac:dyDescent="0.2">
      <c r="A1570" s="39"/>
      <c r="B1570" s="36"/>
      <c r="C1570" s="37"/>
      <c r="D1570" s="37"/>
      <c r="E1570" s="37"/>
      <c r="F1570" s="37"/>
      <c r="G1570" s="37"/>
      <c r="H1570" s="37"/>
      <c r="I1570" s="35"/>
      <c r="J1570" s="37"/>
    </row>
    <row r="1571" spans="1:10" ht="15.95" customHeight="1" x14ac:dyDescent="0.2">
      <c r="A1571" s="39"/>
      <c r="B1571" s="36"/>
      <c r="C1571" s="37"/>
      <c r="D1571" s="37"/>
      <c r="E1571" s="37"/>
      <c r="F1571" s="37"/>
      <c r="G1571" s="37"/>
      <c r="H1571" s="37"/>
      <c r="I1571" s="35"/>
      <c r="J1571" s="37"/>
    </row>
    <row r="1572" spans="1:10" ht="15.95" customHeight="1" x14ac:dyDescent="0.2">
      <c r="A1572" s="39"/>
      <c r="B1572" s="36"/>
      <c r="C1572" s="37"/>
      <c r="D1572" s="37"/>
      <c r="E1572" s="37"/>
      <c r="F1572" s="37"/>
      <c r="G1572" s="37"/>
      <c r="H1572" s="37"/>
      <c r="I1572" s="35"/>
      <c r="J1572" s="37"/>
    </row>
    <row r="1573" spans="1:10" ht="15.95" customHeight="1" x14ac:dyDescent="0.2">
      <c r="A1573" s="39"/>
      <c r="B1573" s="36"/>
      <c r="C1573" s="37"/>
      <c r="D1573" s="37"/>
      <c r="E1573" s="37"/>
      <c r="F1573" s="37"/>
      <c r="G1573" s="37"/>
      <c r="H1573" s="37"/>
      <c r="I1573" s="35"/>
      <c r="J1573" s="37"/>
    </row>
    <row r="1574" spans="1:10" ht="15.95" customHeight="1" x14ac:dyDescent="0.2">
      <c r="A1574" s="39"/>
      <c r="B1574" s="36"/>
      <c r="C1574" s="37"/>
      <c r="D1574" s="37"/>
      <c r="E1574" s="37"/>
      <c r="F1574" s="37"/>
      <c r="G1574" s="37"/>
      <c r="H1574" s="37"/>
      <c r="I1574" s="35"/>
      <c r="J1574" s="37"/>
    </row>
    <row r="1575" spans="1:10" ht="15.95" customHeight="1" x14ac:dyDescent="0.2">
      <c r="A1575" s="39"/>
      <c r="B1575" s="36"/>
      <c r="C1575" s="37"/>
      <c r="D1575" s="37"/>
      <c r="E1575" s="37"/>
      <c r="F1575" s="37"/>
      <c r="G1575" s="37"/>
      <c r="H1575" s="37"/>
      <c r="I1575" s="35"/>
      <c r="J1575" s="37"/>
    </row>
    <row r="1576" spans="1:10" ht="15.95" customHeight="1" x14ac:dyDescent="0.2">
      <c r="A1576" s="39"/>
      <c r="B1576" s="36"/>
      <c r="C1576" s="37"/>
      <c r="D1576" s="37"/>
      <c r="E1576" s="37"/>
      <c r="F1576" s="37"/>
      <c r="G1576" s="37"/>
      <c r="H1576" s="37"/>
      <c r="I1576" s="35"/>
      <c r="J1576" s="37"/>
    </row>
    <row r="1577" spans="1:10" ht="15.95" customHeight="1" x14ac:dyDescent="0.2">
      <c r="A1577" s="39"/>
      <c r="B1577" s="36"/>
      <c r="C1577" s="37"/>
      <c r="D1577" s="37"/>
      <c r="E1577" s="37"/>
      <c r="F1577" s="37"/>
      <c r="G1577" s="37"/>
      <c r="H1577" s="37"/>
      <c r="I1577" s="35"/>
      <c r="J1577" s="37"/>
    </row>
    <row r="1578" spans="1:10" ht="15.95" customHeight="1" x14ac:dyDescent="0.2">
      <c r="A1578" s="39"/>
      <c r="B1578" s="36"/>
      <c r="C1578" s="37"/>
      <c r="D1578" s="37"/>
      <c r="E1578" s="37"/>
      <c r="F1578" s="37"/>
      <c r="G1578" s="37"/>
      <c r="H1578" s="37"/>
      <c r="I1578" s="35"/>
      <c r="J1578" s="37"/>
    </row>
    <row r="1579" spans="1:10" ht="15.95" customHeight="1" x14ac:dyDescent="0.2">
      <c r="A1579" s="39"/>
      <c r="B1579" s="36"/>
      <c r="C1579" s="37"/>
      <c r="D1579" s="37"/>
      <c r="E1579" s="37"/>
      <c r="F1579" s="37"/>
      <c r="G1579" s="37"/>
      <c r="H1579" s="37"/>
      <c r="I1579" s="35"/>
      <c r="J1579" s="37"/>
    </row>
    <row r="1580" spans="1:10" ht="15.95" customHeight="1" x14ac:dyDescent="0.2">
      <c r="A1580" s="39"/>
      <c r="B1580" s="36"/>
      <c r="C1580" s="37"/>
      <c r="D1580" s="37"/>
      <c r="E1580" s="37"/>
      <c r="F1580" s="37"/>
      <c r="G1580" s="37"/>
      <c r="H1580" s="37"/>
      <c r="I1580" s="35"/>
      <c r="J1580" s="37"/>
    </row>
    <row r="1581" spans="1:10" ht="15.95" customHeight="1" x14ac:dyDescent="0.2">
      <c r="A1581" s="39"/>
      <c r="B1581" s="36"/>
      <c r="C1581" s="37"/>
      <c r="D1581" s="37"/>
      <c r="E1581" s="37"/>
      <c r="F1581" s="37"/>
      <c r="G1581" s="37"/>
      <c r="H1581" s="37"/>
      <c r="I1581" s="35"/>
      <c r="J1581" s="37"/>
    </row>
    <row r="1582" spans="1:10" ht="15.95" customHeight="1" x14ac:dyDescent="0.2">
      <c r="A1582" s="39"/>
      <c r="B1582" s="36"/>
      <c r="C1582" s="37"/>
      <c r="D1582" s="37"/>
      <c r="E1582" s="37"/>
      <c r="F1582" s="37"/>
      <c r="G1582" s="37"/>
      <c r="H1582" s="37"/>
      <c r="I1582" s="35"/>
      <c r="J1582" s="37"/>
    </row>
    <row r="1583" spans="1:10" ht="15.95" customHeight="1" x14ac:dyDescent="0.2">
      <c r="A1583" s="39"/>
      <c r="B1583" s="36"/>
      <c r="C1583" s="37"/>
      <c r="D1583" s="37"/>
      <c r="E1583" s="37"/>
      <c r="F1583" s="37"/>
      <c r="G1583" s="37"/>
      <c r="H1583" s="37"/>
      <c r="I1583" s="35"/>
      <c r="J1583" s="37"/>
    </row>
    <row r="1584" spans="1:10" ht="15.95" customHeight="1" x14ac:dyDescent="0.2">
      <c r="A1584" s="39"/>
      <c r="B1584" s="36"/>
      <c r="C1584" s="37"/>
      <c r="D1584" s="37"/>
      <c r="E1584" s="37"/>
      <c r="F1584" s="37"/>
      <c r="G1584" s="37"/>
      <c r="H1584" s="37"/>
      <c r="I1584" s="35"/>
      <c r="J1584" s="37"/>
    </row>
    <row r="1585" spans="1:10" ht="15.95" customHeight="1" x14ac:dyDescent="0.2">
      <c r="A1585" s="39"/>
      <c r="B1585" s="36"/>
      <c r="C1585" s="37"/>
      <c r="D1585" s="37"/>
      <c r="E1585" s="37"/>
      <c r="F1585" s="37"/>
      <c r="G1585" s="37"/>
      <c r="H1585" s="37"/>
      <c r="I1585" s="35"/>
      <c r="J1585" s="37"/>
    </row>
    <row r="1586" spans="1:10" ht="15.95" customHeight="1" x14ac:dyDescent="0.2">
      <c r="A1586" s="39"/>
      <c r="B1586" s="36"/>
      <c r="C1586" s="37"/>
      <c r="D1586" s="37"/>
      <c r="E1586" s="37"/>
      <c r="F1586" s="37"/>
      <c r="G1586" s="37"/>
      <c r="H1586" s="37"/>
      <c r="I1586" s="35"/>
      <c r="J1586" s="37"/>
    </row>
    <row r="1587" spans="1:10" ht="15.95" customHeight="1" x14ac:dyDescent="0.2">
      <c r="A1587" s="39"/>
      <c r="B1587" s="36"/>
      <c r="C1587" s="37"/>
      <c r="D1587" s="37"/>
      <c r="E1587" s="37"/>
      <c r="F1587" s="37"/>
      <c r="G1587" s="37"/>
      <c r="H1587" s="37"/>
      <c r="I1587" s="35"/>
      <c r="J1587" s="37"/>
    </row>
    <row r="1588" spans="1:10" ht="15.95" customHeight="1" x14ac:dyDescent="0.2">
      <c r="A1588" s="39"/>
      <c r="B1588" s="36"/>
      <c r="C1588" s="37"/>
      <c r="D1588" s="37"/>
      <c r="E1588" s="37"/>
      <c r="F1588" s="37"/>
      <c r="G1588" s="37"/>
      <c r="H1588" s="37"/>
      <c r="I1588" s="35"/>
      <c r="J1588" s="37"/>
    </row>
    <row r="1589" spans="1:10" ht="15.95" customHeight="1" x14ac:dyDescent="0.2">
      <c r="A1589" s="39"/>
      <c r="B1589" s="36"/>
      <c r="C1589" s="37"/>
      <c r="D1589" s="37"/>
      <c r="E1589" s="37"/>
      <c r="F1589" s="37"/>
      <c r="G1589" s="37"/>
      <c r="H1589" s="37"/>
      <c r="I1589" s="35"/>
      <c r="J1589" s="37"/>
    </row>
    <row r="1590" spans="1:10" ht="15.95" customHeight="1" x14ac:dyDescent="0.2">
      <c r="A1590" s="39"/>
      <c r="B1590" s="36"/>
      <c r="C1590" s="37"/>
      <c r="D1590" s="37"/>
      <c r="E1590" s="37"/>
      <c r="F1590" s="37"/>
      <c r="G1590" s="37"/>
      <c r="H1590" s="37"/>
      <c r="I1590" s="35"/>
      <c r="J1590" s="37"/>
    </row>
    <row r="1591" spans="1:10" ht="15.95" customHeight="1" x14ac:dyDescent="0.2">
      <c r="A1591" s="39"/>
      <c r="B1591" s="36"/>
      <c r="C1591" s="37"/>
      <c r="D1591" s="37"/>
      <c r="E1591" s="37"/>
      <c r="F1591" s="37"/>
      <c r="G1591" s="37"/>
      <c r="H1591" s="37"/>
      <c r="I1591" s="35"/>
      <c r="J1591" s="37"/>
    </row>
    <row r="1592" spans="1:10" ht="15.95" customHeight="1" x14ac:dyDescent="0.2">
      <c r="A1592" s="39"/>
      <c r="B1592" s="36"/>
      <c r="C1592" s="37"/>
      <c r="D1592" s="37"/>
      <c r="E1592" s="37"/>
      <c r="F1592" s="37"/>
      <c r="G1592" s="37"/>
      <c r="H1592" s="37"/>
      <c r="I1592" s="35"/>
      <c r="J1592" s="37"/>
    </row>
    <row r="1593" spans="1:10" ht="15.95" customHeight="1" x14ac:dyDescent="0.2">
      <c r="A1593" s="39"/>
      <c r="B1593" s="36"/>
      <c r="C1593" s="37"/>
      <c r="D1593" s="37"/>
      <c r="E1593" s="37"/>
      <c r="F1593" s="37"/>
      <c r="G1593" s="37"/>
      <c r="H1593" s="37"/>
      <c r="I1593" s="35"/>
      <c r="J1593" s="37"/>
    </row>
    <row r="1594" spans="1:10" ht="15.95" customHeight="1" x14ac:dyDescent="0.2">
      <c r="A1594" s="39"/>
      <c r="B1594" s="36"/>
      <c r="C1594" s="37"/>
      <c r="D1594" s="37"/>
      <c r="E1594" s="37"/>
      <c r="F1594" s="37"/>
      <c r="G1594" s="37"/>
      <c r="H1594" s="37"/>
      <c r="I1594" s="35"/>
      <c r="J1594" s="37"/>
    </row>
    <row r="1595" spans="1:10" ht="15.95" customHeight="1" x14ac:dyDescent="0.2">
      <c r="A1595" s="39"/>
      <c r="B1595" s="36"/>
      <c r="C1595" s="37"/>
      <c r="D1595" s="37"/>
      <c r="E1595" s="37"/>
      <c r="F1595" s="37"/>
      <c r="G1595" s="37"/>
      <c r="H1595" s="37"/>
      <c r="I1595" s="35"/>
      <c r="J1595" s="37"/>
    </row>
    <row r="1596" spans="1:10" ht="15.95" customHeight="1" x14ac:dyDescent="0.2">
      <c r="A1596" s="39"/>
      <c r="B1596" s="36"/>
      <c r="C1596" s="37"/>
      <c r="D1596" s="37"/>
      <c r="E1596" s="37"/>
      <c r="F1596" s="37"/>
      <c r="G1596" s="37"/>
      <c r="H1596" s="37"/>
      <c r="I1596" s="35"/>
      <c r="J1596" s="37"/>
    </row>
    <row r="1597" spans="1:10" ht="15.95" customHeight="1" x14ac:dyDescent="0.2">
      <c r="A1597" s="39"/>
      <c r="B1597" s="36"/>
      <c r="C1597" s="37"/>
      <c r="D1597" s="37"/>
      <c r="E1597" s="37"/>
      <c r="F1597" s="37"/>
      <c r="G1597" s="37"/>
      <c r="H1597" s="37"/>
      <c r="I1597" s="35"/>
      <c r="J1597" s="37"/>
    </row>
    <row r="1598" spans="1:10" ht="15.95" customHeight="1" x14ac:dyDescent="0.2">
      <c r="A1598" s="39"/>
      <c r="B1598" s="36"/>
      <c r="C1598" s="37"/>
      <c r="D1598" s="37"/>
      <c r="E1598" s="37"/>
      <c r="F1598" s="37"/>
      <c r="G1598" s="37"/>
      <c r="H1598" s="37"/>
      <c r="I1598" s="35"/>
      <c r="J1598" s="37"/>
    </row>
    <row r="1599" spans="1:10" ht="15.95" customHeight="1" x14ac:dyDescent="0.2">
      <c r="A1599" s="39"/>
      <c r="B1599" s="36"/>
      <c r="C1599" s="37"/>
      <c r="D1599" s="37"/>
      <c r="E1599" s="37"/>
      <c r="F1599" s="37"/>
      <c r="G1599" s="37"/>
      <c r="H1599" s="37"/>
      <c r="I1599" s="35"/>
      <c r="J1599" s="37"/>
    </row>
    <row r="1600" spans="1:10" ht="15.95" customHeight="1" x14ac:dyDescent="0.2">
      <c r="A1600" s="39"/>
      <c r="B1600" s="36"/>
      <c r="C1600" s="37"/>
      <c r="D1600" s="37"/>
      <c r="E1600" s="37"/>
      <c r="F1600" s="37"/>
      <c r="G1600" s="37"/>
      <c r="H1600" s="37"/>
      <c r="I1600" s="35"/>
      <c r="J1600" s="37"/>
    </row>
    <row r="1601" spans="1:10" ht="15.95" customHeight="1" x14ac:dyDescent="0.2">
      <c r="A1601" s="39"/>
      <c r="B1601" s="36"/>
      <c r="C1601" s="37"/>
      <c r="D1601" s="37"/>
      <c r="E1601" s="37"/>
      <c r="F1601" s="37"/>
      <c r="G1601" s="37"/>
      <c r="H1601" s="37"/>
      <c r="I1601" s="35"/>
      <c r="J1601" s="37"/>
    </row>
    <row r="1602" spans="1:10" ht="15.95" customHeight="1" x14ac:dyDescent="0.2">
      <c r="A1602" s="39"/>
      <c r="B1602" s="36"/>
      <c r="C1602" s="37"/>
      <c r="D1602" s="37"/>
      <c r="E1602" s="37"/>
      <c r="F1602" s="37"/>
      <c r="G1602" s="37"/>
      <c r="H1602" s="37"/>
      <c r="I1602" s="35"/>
      <c r="J1602" s="37"/>
    </row>
    <row r="1603" spans="1:10" ht="15.95" customHeight="1" x14ac:dyDescent="0.2">
      <c r="A1603" s="39"/>
      <c r="B1603" s="36"/>
      <c r="C1603" s="37"/>
      <c r="D1603" s="37"/>
      <c r="E1603" s="37"/>
      <c r="F1603" s="37"/>
      <c r="G1603" s="37"/>
      <c r="H1603" s="37"/>
      <c r="I1603" s="35"/>
      <c r="J1603" s="37"/>
    </row>
    <row r="1604" spans="1:10" ht="15.95" customHeight="1" x14ac:dyDescent="0.2">
      <c r="A1604" s="39"/>
      <c r="B1604" s="36"/>
      <c r="C1604" s="37"/>
      <c r="D1604" s="37"/>
      <c r="E1604" s="37"/>
      <c r="F1604" s="37"/>
      <c r="G1604" s="37"/>
      <c r="H1604" s="37"/>
      <c r="I1604" s="35"/>
      <c r="J1604" s="37"/>
    </row>
    <row r="1605" spans="1:10" ht="15.95" customHeight="1" x14ac:dyDescent="0.2">
      <c r="A1605" s="39"/>
      <c r="B1605" s="36"/>
      <c r="C1605" s="37"/>
      <c r="D1605" s="37"/>
      <c r="E1605" s="37"/>
      <c r="F1605" s="37"/>
      <c r="G1605" s="37"/>
      <c r="H1605" s="37"/>
      <c r="I1605" s="35"/>
      <c r="J1605" s="37"/>
    </row>
    <row r="1606" spans="1:10" ht="15.95" customHeight="1" x14ac:dyDescent="0.2">
      <c r="A1606" s="39"/>
      <c r="B1606" s="36"/>
      <c r="C1606" s="37"/>
      <c r="D1606" s="37"/>
      <c r="E1606" s="37"/>
      <c r="F1606" s="37"/>
      <c r="G1606" s="37"/>
      <c r="H1606" s="37"/>
      <c r="I1606" s="35"/>
      <c r="J1606" s="37"/>
    </row>
    <row r="1607" spans="1:10" ht="15.95" customHeight="1" x14ac:dyDescent="0.2">
      <c r="A1607" s="39"/>
      <c r="B1607" s="36"/>
      <c r="C1607" s="37"/>
      <c r="D1607" s="37"/>
      <c r="E1607" s="37"/>
      <c r="F1607" s="37"/>
      <c r="G1607" s="37"/>
      <c r="H1607" s="37"/>
      <c r="I1607" s="35"/>
      <c r="J1607" s="37"/>
    </row>
    <row r="1608" spans="1:10" ht="15.95" customHeight="1" x14ac:dyDescent="0.2">
      <c r="A1608" s="39"/>
      <c r="B1608" s="36"/>
      <c r="C1608" s="37"/>
      <c r="D1608" s="37"/>
      <c r="E1608" s="37"/>
      <c r="F1608" s="37"/>
      <c r="G1608" s="37"/>
      <c r="H1608" s="37"/>
      <c r="I1608" s="35"/>
      <c r="J1608" s="37"/>
    </row>
    <row r="1609" spans="1:10" ht="15.95" customHeight="1" x14ac:dyDescent="0.2">
      <c r="A1609" s="39"/>
      <c r="B1609" s="36"/>
      <c r="C1609" s="37"/>
      <c r="D1609" s="37"/>
      <c r="E1609" s="37"/>
      <c r="F1609" s="37"/>
      <c r="G1609" s="37"/>
      <c r="H1609" s="37"/>
      <c r="I1609" s="35"/>
      <c r="J1609" s="37"/>
    </row>
    <row r="1610" spans="1:10" ht="15.95" customHeight="1" x14ac:dyDescent="0.2">
      <c r="A1610" s="39"/>
      <c r="B1610" s="36"/>
      <c r="C1610" s="37"/>
      <c r="D1610" s="37"/>
      <c r="E1610" s="37"/>
      <c r="F1610" s="37"/>
      <c r="G1610" s="37"/>
      <c r="H1610" s="37"/>
      <c r="I1610" s="35"/>
      <c r="J1610" s="37"/>
    </row>
    <row r="1611" spans="1:10" ht="15.95" customHeight="1" x14ac:dyDescent="0.2">
      <c r="A1611" s="39"/>
      <c r="B1611" s="36"/>
      <c r="C1611" s="37"/>
      <c r="D1611" s="37"/>
      <c r="E1611" s="37"/>
      <c r="F1611" s="37"/>
      <c r="G1611" s="37"/>
      <c r="H1611" s="37"/>
      <c r="I1611" s="35"/>
      <c r="J1611" s="37"/>
    </row>
    <row r="1612" spans="1:10" ht="15.95" customHeight="1" x14ac:dyDescent="0.2">
      <c r="A1612" s="39"/>
      <c r="B1612" s="36"/>
      <c r="C1612" s="37"/>
      <c r="D1612" s="37"/>
      <c r="E1612" s="37"/>
      <c r="F1612" s="37"/>
      <c r="G1612" s="37"/>
      <c r="H1612" s="37"/>
      <c r="I1612" s="35"/>
      <c r="J1612" s="37"/>
    </row>
    <row r="1613" spans="1:10" ht="15.95" customHeight="1" x14ac:dyDescent="0.2">
      <c r="A1613" s="39"/>
      <c r="B1613" s="36"/>
      <c r="C1613" s="37"/>
      <c r="D1613" s="37"/>
      <c r="E1613" s="37"/>
      <c r="F1613" s="37"/>
      <c r="G1613" s="37"/>
      <c r="H1613" s="37"/>
      <c r="I1613" s="35"/>
      <c r="J1613" s="37"/>
    </row>
    <row r="1614" spans="1:10" ht="15.95" customHeight="1" x14ac:dyDescent="0.2">
      <c r="A1614" s="39"/>
      <c r="B1614" s="36"/>
      <c r="C1614" s="37"/>
      <c r="D1614" s="37"/>
      <c r="E1614" s="37"/>
      <c r="F1614" s="37"/>
      <c r="G1614" s="37"/>
      <c r="H1614" s="37"/>
      <c r="I1614" s="35"/>
      <c r="J1614" s="37"/>
    </row>
    <row r="1615" spans="1:10" ht="15.95" customHeight="1" x14ac:dyDescent="0.2">
      <c r="A1615" s="39"/>
      <c r="B1615" s="36"/>
      <c r="C1615" s="37"/>
      <c r="D1615" s="37"/>
      <c r="E1615" s="37"/>
      <c r="F1615" s="37"/>
      <c r="G1615" s="37"/>
      <c r="H1615" s="37"/>
      <c r="I1615" s="35"/>
      <c r="J1615" s="37"/>
    </row>
    <row r="1616" spans="1:10" ht="15.95" customHeight="1" x14ac:dyDescent="0.2">
      <c r="A1616" s="39"/>
      <c r="B1616" s="36"/>
      <c r="C1616" s="37"/>
      <c r="D1616" s="37"/>
      <c r="E1616" s="37"/>
      <c r="F1616" s="37"/>
      <c r="G1616" s="37"/>
      <c r="H1616" s="37"/>
      <c r="I1616" s="35"/>
      <c r="J1616" s="37"/>
    </row>
    <row r="1617" spans="1:10" ht="15.95" customHeight="1" x14ac:dyDescent="0.2">
      <c r="A1617" s="39"/>
      <c r="B1617" s="36"/>
      <c r="C1617" s="37"/>
      <c r="D1617" s="37"/>
      <c r="E1617" s="37"/>
      <c r="F1617" s="37"/>
      <c r="G1617" s="37"/>
      <c r="H1617" s="37"/>
      <c r="I1617" s="35"/>
      <c r="J1617" s="37"/>
    </row>
    <row r="1618" spans="1:10" ht="15.95" customHeight="1" x14ac:dyDescent="0.2">
      <c r="A1618" s="39"/>
      <c r="B1618" s="36"/>
      <c r="C1618" s="37"/>
      <c r="D1618" s="37"/>
      <c r="E1618" s="37"/>
      <c r="F1618" s="37"/>
      <c r="G1618" s="37"/>
      <c r="H1618" s="37"/>
      <c r="I1618" s="35"/>
      <c r="J1618" s="37"/>
    </row>
    <row r="1619" spans="1:10" ht="15.95" customHeight="1" x14ac:dyDescent="0.2">
      <c r="A1619" s="39"/>
      <c r="B1619" s="36"/>
      <c r="C1619" s="37"/>
      <c r="D1619" s="37"/>
      <c r="E1619" s="37"/>
      <c r="F1619" s="37"/>
      <c r="G1619" s="37"/>
      <c r="H1619" s="37"/>
      <c r="I1619" s="35"/>
      <c r="J1619" s="37"/>
    </row>
    <row r="1620" spans="1:10" ht="15.95" customHeight="1" x14ac:dyDescent="0.2">
      <c r="A1620" s="39"/>
      <c r="B1620" s="36"/>
      <c r="C1620" s="37"/>
      <c r="D1620" s="37"/>
      <c r="E1620" s="37"/>
      <c r="F1620" s="37"/>
      <c r="G1620" s="37"/>
      <c r="H1620" s="37"/>
      <c r="I1620" s="35"/>
      <c r="J1620" s="37"/>
    </row>
    <row r="1621" spans="1:10" ht="15.95" customHeight="1" x14ac:dyDescent="0.2">
      <c r="A1621" s="39"/>
      <c r="B1621" s="36"/>
      <c r="C1621" s="37"/>
      <c r="D1621" s="37"/>
      <c r="E1621" s="37"/>
      <c r="F1621" s="37"/>
      <c r="G1621" s="37"/>
      <c r="H1621" s="37"/>
      <c r="I1621" s="35"/>
      <c r="J1621" s="37"/>
    </row>
    <row r="1622" spans="1:10" ht="15.95" customHeight="1" x14ac:dyDescent="0.2">
      <c r="A1622" s="39"/>
      <c r="B1622" s="36"/>
      <c r="C1622" s="37"/>
      <c r="D1622" s="37"/>
      <c r="E1622" s="37"/>
      <c r="F1622" s="37"/>
      <c r="G1622" s="37"/>
      <c r="H1622" s="37"/>
      <c r="I1622" s="35"/>
      <c r="J1622" s="37"/>
    </row>
    <row r="1623" spans="1:10" ht="15.95" customHeight="1" x14ac:dyDescent="0.2">
      <c r="A1623" s="39"/>
      <c r="B1623" s="36"/>
      <c r="C1623" s="37"/>
      <c r="D1623" s="37"/>
      <c r="E1623" s="37"/>
      <c r="F1623" s="37"/>
      <c r="G1623" s="37"/>
      <c r="H1623" s="37"/>
      <c r="I1623" s="35"/>
      <c r="J1623" s="37"/>
    </row>
    <row r="1624" spans="1:10" ht="15.95" customHeight="1" x14ac:dyDescent="0.2">
      <c r="A1624" s="39"/>
      <c r="B1624" s="36"/>
      <c r="C1624" s="37"/>
      <c r="D1624" s="37"/>
      <c r="E1624" s="37"/>
      <c r="F1624" s="37"/>
      <c r="G1624" s="37"/>
      <c r="H1624" s="37"/>
      <c r="I1624" s="35"/>
      <c r="J1624" s="37"/>
    </row>
    <row r="1625" spans="1:10" ht="15.95" customHeight="1" x14ac:dyDescent="0.2">
      <c r="A1625" s="39"/>
      <c r="B1625" s="36"/>
      <c r="C1625" s="37"/>
      <c r="D1625" s="37"/>
      <c r="E1625" s="37"/>
      <c r="F1625" s="37"/>
      <c r="G1625" s="37"/>
      <c r="H1625" s="37"/>
      <c r="I1625" s="35"/>
      <c r="J1625" s="37"/>
    </row>
    <row r="1626" spans="1:10" ht="15.95" customHeight="1" x14ac:dyDescent="0.2">
      <c r="A1626" s="39"/>
      <c r="B1626" s="36"/>
      <c r="C1626" s="37"/>
      <c r="D1626" s="37"/>
      <c r="E1626" s="37"/>
      <c r="F1626" s="37"/>
      <c r="G1626" s="37"/>
      <c r="H1626" s="37"/>
      <c r="I1626" s="35"/>
      <c r="J1626" s="37"/>
    </row>
    <row r="1627" spans="1:10" ht="15.95" customHeight="1" x14ac:dyDescent="0.2">
      <c r="A1627" s="39"/>
      <c r="B1627" s="36"/>
      <c r="C1627" s="37"/>
      <c r="D1627" s="37"/>
      <c r="E1627" s="37"/>
      <c r="F1627" s="37"/>
      <c r="G1627" s="37"/>
      <c r="H1627" s="37"/>
      <c r="I1627" s="35"/>
      <c r="J1627" s="37"/>
    </row>
    <row r="1628" spans="1:10" ht="15.95" customHeight="1" x14ac:dyDescent="0.2">
      <c r="A1628" s="39"/>
      <c r="B1628" s="36"/>
      <c r="C1628" s="37"/>
      <c r="D1628" s="37"/>
      <c r="E1628" s="37"/>
      <c r="F1628" s="37"/>
      <c r="G1628" s="37"/>
      <c r="H1628" s="37"/>
      <c r="I1628" s="35"/>
      <c r="J1628" s="37"/>
    </row>
    <row r="1629" spans="1:10" ht="15.95" customHeight="1" x14ac:dyDescent="0.2">
      <c r="A1629" s="39"/>
      <c r="B1629" s="36"/>
      <c r="C1629" s="37"/>
      <c r="D1629" s="37"/>
      <c r="E1629" s="37"/>
      <c r="F1629" s="37"/>
      <c r="G1629" s="37"/>
      <c r="H1629" s="37"/>
      <c r="I1629" s="35"/>
      <c r="J1629" s="37"/>
    </row>
    <row r="1630" spans="1:10" ht="15.95" customHeight="1" x14ac:dyDescent="0.2">
      <c r="A1630" s="39"/>
      <c r="B1630" s="36"/>
      <c r="C1630" s="37"/>
      <c r="D1630" s="37"/>
      <c r="E1630" s="37"/>
      <c r="F1630" s="37"/>
      <c r="G1630" s="37"/>
      <c r="H1630" s="37"/>
      <c r="I1630" s="35"/>
      <c r="J1630" s="37"/>
    </row>
    <row r="1631" spans="1:10" ht="15.95" customHeight="1" x14ac:dyDescent="0.2">
      <c r="A1631" s="39"/>
      <c r="B1631" s="36"/>
      <c r="C1631" s="37"/>
      <c r="D1631" s="37"/>
      <c r="E1631" s="37"/>
      <c r="F1631" s="37"/>
      <c r="G1631" s="37"/>
      <c r="H1631" s="37"/>
      <c r="I1631" s="35"/>
      <c r="J1631" s="37"/>
    </row>
    <row r="1632" spans="1:10" ht="15.95" customHeight="1" x14ac:dyDescent="0.2">
      <c r="A1632" s="39"/>
      <c r="B1632" s="36"/>
      <c r="C1632" s="37"/>
      <c r="D1632" s="37"/>
      <c r="E1632" s="37"/>
      <c r="F1632" s="37"/>
      <c r="G1632" s="37"/>
      <c r="H1632" s="37"/>
      <c r="I1632" s="35"/>
      <c r="J1632" s="37"/>
    </row>
    <row r="1633" spans="1:10" ht="15.95" customHeight="1" x14ac:dyDescent="0.2">
      <c r="A1633" s="39"/>
      <c r="B1633" s="36"/>
      <c r="C1633" s="37"/>
      <c r="D1633" s="37"/>
      <c r="E1633" s="37"/>
      <c r="F1633" s="37"/>
      <c r="G1633" s="37"/>
      <c r="H1633" s="37"/>
      <c r="I1633" s="35"/>
      <c r="J1633" s="37"/>
    </row>
    <row r="1634" spans="1:10" ht="15.95" customHeight="1" x14ac:dyDescent="0.2">
      <c r="A1634" s="39"/>
      <c r="B1634" s="36"/>
      <c r="C1634" s="37"/>
      <c r="D1634" s="37"/>
      <c r="E1634" s="37"/>
      <c r="F1634" s="37"/>
      <c r="G1634" s="37"/>
      <c r="H1634" s="37"/>
      <c r="I1634" s="35"/>
      <c r="J1634" s="37"/>
    </row>
    <row r="1635" spans="1:10" ht="15.95" customHeight="1" x14ac:dyDescent="0.2">
      <c r="A1635" s="39"/>
      <c r="B1635" s="36"/>
      <c r="C1635" s="37"/>
      <c r="D1635" s="37"/>
      <c r="E1635" s="37"/>
      <c r="F1635" s="37"/>
      <c r="G1635" s="37"/>
      <c r="H1635" s="37"/>
      <c r="I1635" s="35"/>
      <c r="J1635" s="37"/>
    </row>
    <row r="1636" spans="1:10" ht="15.95" customHeight="1" x14ac:dyDescent="0.2">
      <c r="A1636" s="39"/>
      <c r="B1636" s="36"/>
      <c r="C1636" s="37"/>
      <c r="D1636" s="37"/>
      <c r="E1636" s="37"/>
      <c r="F1636" s="37"/>
      <c r="G1636" s="37"/>
      <c r="H1636" s="37"/>
      <c r="I1636" s="35"/>
      <c r="J1636" s="37"/>
    </row>
    <row r="1637" spans="1:10" ht="15.95" customHeight="1" x14ac:dyDescent="0.2">
      <c r="A1637" s="39"/>
      <c r="B1637" s="36"/>
      <c r="C1637" s="37"/>
      <c r="D1637" s="37"/>
      <c r="E1637" s="37"/>
      <c r="F1637" s="37"/>
      <c r="G1637" s="37"/>
      <c r="H1637" s="37"/>
      <c r="I1637" s="35"/>
      <c r="J1637" s="37"/>
    </row>
    <row r="1638" spans="1:10" ht="15.95" customHeight="1" x14ac:dyDescent="0.2">
      <c r="A1638" s="39"/>
      <c r="B1638" s="36"/>
      <c r="C1638" s="37"/>
      <c r="D1638" s="37"/>
      <c r="E1638" s="37"/>
      <c r="F1638" s="37"/>
      <c r="G1638" s="37"/>
      <c r="H1638" s="37"/>
      <c r="I1638" s="35"/>
      <c r="J1638" s="37"/>
    </row>
    <row r="1639" spans="1:10" ht="15.95" customHeight="1" x14ac:dyDescent="0.2">
      <c r="A1639" s="39"/>
      <c r="B1639" s="36"/>
      <c r="C1639" s="37"/>
      <c r="D1639" s="37"/>
      <c r="E1639" s="37"/>
      <c r="F1639" s="37"/>
      <c r="G1639" s="37"/>
      <c r="H1639" s="37"/>
      <c r="I1639" s="35"/>
      <c r="J1639" s="37"/>
    </row>
    <row r="1640" spans="1:10" ht="15.95" customHeight="1" x14ac:dyDescent="0.2">
      <c r="A1640" s="39"/>
      <c r="B1640" s="36"/>
      <c r="C1640" s="37"/>
      <c r="D1640" s="37"/>
      <c r="E1640" s="37"/>
      <c r="F1640" s="37"/>
      <c r="G1640" s="37"/>
      <c r="H1640" s="37"/>
      <c r="I1640" s="35"/>
      <c r="J1640" s="37"/>
    </row>
    <row r="1641" spans="1:10" ht="15.95" customHeight="1" x14ac:dyDescent="0.2">
      <c r="A1641" s="39"/>
      <c r="B1641" s="36"/>
      <c r="C1641" s="37"/>
      <c r="D1641" s="37"/>
      <c r="E1641" s="37"/>
      <c r="F1641" s="37"/>
      <c r="G1641" s="37"/>
      <c r="H1641" s="37"/>
      <c r="I1641" s="35"/>
      <c r="J1641" s="37"/>
    </row>
    <row r="1642" spans="1:10" ht="15.95" customHeight="1" x14ac:dyDescent="0.2">
      <c r="A1642" s="39"/>
      <c r="B1642" s="36"/>
      <c r="C1642" s="37"/>
      <c r="D1642" s="37"/>
      <c r="E1642" s="37"/>
      <c r="F1642" s="37"/>
      <c r="G1642" s="37"/>
      <c r="H1642" s="37"/>
      <c r="I1642" s="35"/>
      <c r="J1642" s="37"/>
    </row>
    <row r="1643" spans="1:10" ht="15.95" customHeight="1" x14ac:dyDescent="0.2">
      <c r="A1643" s="39"/>
      <c r="B1643" s="36"/>
      <c r="C1643" s="37"/>
      <c r="D1643" s="37"/>
      <c r="E1643" s="37"/>
      <c r="F1643" s="37"/>
      <c r="G1643" s="37"/>
      <c r="H1643" s="37"/>
      <c r="I1643" s="35"/>
      <c r="J1643" s="37"/>
    </row>
    <row r="1644" spans="1:10" ht="15.95" customHeight="1" x14ac:dyDescent="0.2">
      <c r="A1644" s="39"/>
      <c r="B1644" s="36"/>
      <c r="C1644" s="37"/>
      <c r="D1644" s="37"/>
      <c r="E1644" s="37"/>
      <c r="F1644" s="37"/>
      <c r="G1644" s="37"/>
      <c r="H1644" s="37"/>
      <c r="I1644" s="35"/>
      <c r="J1644" s="37"/>
    </row>
    <row r="1645" spans="1:10" ht="15.95" customHeight="1" x14ac:dyDescent="0.2">
      <c r="A1645" s="39"/>
      <c r="B1645" s="36"/>
      <c r="C1645" s="37"/>
      <c r="D1645" s="37"/>
      <c r="E1645" s="37"/>
      <c r="F1645" s="37"/>
      <c r="G1645" s="37"/>
      <c r="H1645" s="37"/>
      <c r="I1645" s="35"/>
      <c r="J1645" s="37"/>
    </row>
    <row r="1646" spans="1:10" ht="15.95" customHeight="1" x14ac:dyDescent="0.2">
      <c r="A1646" s="39"/>
      <c r="B1646" s="36"/>
      <c r="C1646" s="37"/>
      <c r="D1646" s="37"/>
      <c r="E1646" s="37"/>
      <c r="F1646" s="37"/>
      <c r="G1646" s="37"/>
      <c r="H1646" s="37"/>
      <c r="I1646" s="35"/>
      <c r="J1646" s="37"/>
    </row>
    <row r="1647" spans="1:10" ht="15.95" customHeight="1" x14ac:dyDescent="0.2">
      <c r="A1647" s="39"/>
      <c r="B1647" s="36"/>
      <c r="C1647" s="37"/>
      <c r="D1647" s="37"/>
      <c r="E1647" s="37"/>
      <c r="F1647" s="37"/>
      <c r="G1647" s="37"/>
      <c r="H1647" s="37"/>
      <c r="I1647" s="35"/>
      <c r="J1647" s="37"/>
    </row>
    <row r="1648" spans="1:10" ht="15.95" customHeight="1" x14ac:dyDescent="0.2">
      <c r="A1648" s="39"/>
      <c r="B1648" s="36"/>
      <c r="C1648" s="37"/>
      <c r="D1648" s="37"/>
      <c r="E1648" s="37"/>
      <c r="F1648" s="37"/>
      <c r="G1648" s="37"/>
      <c r="H1648" s="37"/>
      <c r="I1648" s="35"/>
      <c r="J1648" s="37"/>
    </row>
    <row r="1649" spans="1:10" ht="15.95" customHeight="1" x14ac:dyDescent="0.2">
      <c r="A1649" s="39"/>
      <c r="B1649" s="36"/>
      <c r="C1649" s="37"/>
      <c r="D1649" s="37"/>
      <c r="E1649" s="37"/>
      <c r="F1649" s="37"/>
      <c r="G1649" s="37"/>
      <c r="H1649" s="37"/>
      <c r="I1649" s="35"/>
      <c r="J1649" s="37"/>
    </row>
    <row r="1650" spans="1:10" ht="15.95" customHeight="1" x14ac:dyDescent="0.2">
      <c r="A1650" s="39"/>
      <c r="B1650" s="36"/>
      <c r="C1650" s="37"/>
      <c r="D1650" s="37"/>
      <c r="E1650" s="37"/>
      <c r="F1650" s="37"/>
      <c r="G1650" s="37"/>
      <c r="H1650" s="37"/>
      <c r="I1650" s="35"/>
      <c r="J1650" s="37"/>
    </row>
    <row r="1651" spans="1:10" ht="15.95" customHeight="1" x14ac:dyDescent="0.2">
      <c r="A1651" s="39"/>
      <c r="B1651" s="36"/>
      <c r="C1651" s="37"/>
      <c r="D1651" s="37"/>
      <c r="E1651" s="37"/>
      <c r="F1651" s="37"/>
      <c r="G1651" s="37"/>
      <c r="H1651" s="37"/>
      <c r="I1651" s="35"/>
      <c r="J1651" s="37"/>
    </row>
    <row r="1652" spans="1:10" ht="15.95" customHeight="1" x14ac:dyDescent="0.2">
      <c r="A1652" s="39"/>
      <c r="B1652" s="36"/>
      <c r="C1652" s="37"/>
      <c r="D1652" s="37"/>
      <c r="E1652" s="37"/>
      <c r="F1652" s="37"/>
      <c r="G1652" s="37"/>
      <c r="H1652" s="37"/>
      <c r="I1652" s="35"/>
      <c r="J1652" s="37"/>
    </row>
    <row r="1653" spans="1:10" ht="15.95" customHeight="1" x14ac:dyDescent="0.2">
      <c r="A1653" s="39"/>
      <c r="B1653" s="36"/>
      <c r="C1653" s="37"/>
      <c r="D1653" s="37"/>
      <c r="E1653" s="37"/>
      <c r="F1653" s="37"/>
      <c r="G1653" s="37"/>
      <c r="H1653" s="37"/>
      <c r="I1653" s="35"/>
      <c r="J1653" s="37"/>
    </row>
    <row r="1654" spans="1:10" ht="15.95" customHeight="1" x14ac:dyDescent="0.2">
      <c r="A1654" s="39"/>
      <c r="B1654" s="36"/>
      <c r="C1654" s="37"/>
      <c r="D1654" s="37"/>
      <c r="E1654" s="37"/>
      <c r="F1654" s="37"/>
      <c r="G1654" s="37"/>
      <c r="H1654" s="37"/>
      <c r="I1654" s="35"/>
      <c r="J1654" s="37"/>
    </row>
    <row r="1655" spans="1:10" ht="15.95" customHeight="1" x14ac:dyDescent="0.2">
      <c r="A1655" s="39"/>
      <c r="B1655" s="36"/>
      <c r="C1655" s="37"/>
      <c r="D1655" s="37"/>
      <c r="E1655" s="37"/>
      <c r="F1655" s="37"/>
      <c r="G1655" s="37"/>
      <c r="H1655" s="37"/>
      <c r="I1655" s="35"/>
      <c r="J1655" s="37"/>
    </row>
    <row r="1656" spans="1:10" ht="15.95" customHeight="1" x14ac:dyDescent="0.2">
      <c r="A1656" s="39"/>
      <c r="B1656" s="36"/>
      <c r="C1656" s="37"/>
      <c r="D1656" s="37"/>
      <c r="E1656" s="37"/>
      <c r="F1656" s="37"/>
      <c r="G1656" s="37"/>
      <c r="H1656" s="37"/>
      <c r="I1656" s="35"/>
      <c r="J1656" s="37"/>
    </row>
    <row r="1657" spans="1:10" ht="15.95" customHeight="1" x14ac:dyDescent="0.2">
      <c r="A1657" s="39"/>
      <c r="B1657" s="36"/>
      <c r="C1657" s="37"/>
      <c r="D1657" s="37"/>
      <c r="E1657" s="37"/>
      <c r="F1657" s="37"/>
      <c r="G1657" s="37"/>
      <c r="H1657" s="37"/>
      <c r="I1657" s="35"/>
      <c r="J1657" s="37"/>
    </row>
    <row r="1658" spans="1:10" ht="15.95" customHeight="1" x14ac:dyDescent="0.2">
      <c r="A1658" s="39"/>
      <c r="B1658" s="36"/>
      <c r="C1658" s="37"/>
      <c r="D1658" s="37"/>
      <c r="E1658" s="37"/>
      <c r="F1658" s="37"/>
      <c r="G1658" s="37"/>
      <c r="H1658" s="37"/>
      <c r="I1658" s="35"/>
      <c r="J1658" s="37"/>
    </row>
    <row r="1659" spans="1:10" ht="15.95" customHeight="1" x14ac:dyDescent="0.2">
      <c r="A1659" s="39"/>
      <c r="B1659" s="36"/>
      <c r="C1659" s="37"/>
      <c r="D1659" s="37"/>
      <c r="E1659" s="37"/>
      <c r="F1659" s="37"/>
      <c r="G1659" s="37"/>
      <c r="H1659" s="37"/>
      <c r="I1659" s="35"/>
      <c r="J1659" s="37"/>
    </row>
    <row r="1660" spans="1:10" ht="15.95" customHeight="1" x14ac:dyDescent="0.2">
      <c r="A1660" s="39"/>
      <c r="B1660" s="36"/>
      <c r="C1660" s="37"/>
      <c r="D1660" s="37"/>
      <c r="E1660" s="37"/>
      <c r="F1660" s="37"/>
      <c r="G1660" s="37"/>
      <c r="H1660" s="37"/>
      <c r="I1660" s="35"/>
      <c r="J1660" s="37"/>
    </row>
    <row r="1661" spans="1:10" ht="15.95" customHeight="1" x14ac:dyDescent="0.2">
      <c r="A1661" s="39"/>
      <c r="B1661" s="36"/>
      <c r="C1661" s="37"/>
      <c r="D1661" s="37"/>
      <c r="E1661" s="37"/>
      <c r="F1661" s="37"/>
      <c r="G1661" s="37"/>
      <c r="H1661" s="37"/>
      <c r="I1661" s="35"/>
      <c r="J1661" s="37"/>
    </row>
    <row r="1662" spans="1:10" ht="15.95" customHeight="1" x14ac:dyDescent="0.2">
      <c r="A1662" s="39"/>
      <c r="B1662" s="36"/>
      <c r="C1662" s="37"/>
      <c r="D1662" s="37"/>
      <c r="E1662" s="37"/>
      <c r="F1662" s="37"/>
      <c r="G1662" s="37"/>
      <c r="H1662" s="37"/>
      <c r="I1662" s="35"/>
      <c r="J1662" s="37"/>
    </row>
    <row r="1663" spans="1:10" ht="15.95" customHeight="1" x14ac:dyDescent="0.2">
      <c r="A1663" s="39"/>
      <c r="B1663" s="36"/>
      <c r="C1663" s="37"/>
      <c r="D1663" s="37"/>
      <c r="E1663" s="37"/>
      <c r="F1663" s="37"/>
      <c r="G1663" s="37"/>
      <c r="H1663" s="37"/>
      <c r="I1663" s="35"/>
      <c r="J1663" s="37"/>
    </row>
    <row r="1664" spans="1:10" ht="15.95" customHeight="1" x14ac:dyDescent="0.2">
      <c r="A1664" s="39"/>
      <c r="B1664" s="36"/>
      <c r="C1664" s="37"/>
      <c r="D1664" s="37"/>
      <c r="E1664" s="37"/>
      <c r="F1664" s="37"/>
      <c r="G1664" s="37"/>
      <c r="H1664" s="37"/>
      <c r="I1664" s="35"/>
      <c r="J1664" s="37"/>
    </row>
    <row r="1665" spans="1:10" ht="15.95" customHeight="1" x14ac:dyDescent="0.2">
      <c r="A1665" s="39"/>
      <c r="B1665" s="36"/>
      <c r="C1665" s="37"/>
      <c r="D1665" s="37"/>
      <c r="E1665" s="37"/>
      <c r="F1665" s="37"/>
      <c r="G1665" s="37"/>
      <c r="H1665" s="37"/>
      <c r="I1665" s="35"/>
      <c r="J1665" s="37"/>
    </row>
    <row r="1666" spans="1:10" ht="15.95" customHeight="1" x14ac:dyDescent="0.2">
      <c r="A1666" s="39"/>
      <c r="B1666" s="36"/>
      <c r="C1666" s="37"/>
      <c r="D1666" s="37"/>
      <c r="E1666" s="37"/>
      <c r="F1666" s="37"/>
      <c r="G1666" s="37"/>
      <c r="H1666" s="37"/>
      <c r="I1666" s="35"/>
      <c r="J1666" s="37"/>
    </row>
    <row r="1667" spans="1:10" ht="15.95" customHeight="1" x14ac:dyDescent="0.2">
      <c r="A1667" s="39"/>
      <c r="B1667" s="36"/>
      <c r="C1667" s="37"/>
      <c r="D1667" s="37"/>
      <c r="E1667" s="37"/>
      <c r="F1667" s="37"/>
      <c r="G1667" s="37"/>
      <c r="H1667" s="37"/>
      <c r="I1667" s="35"/>
      <c r="J1667" s="37"/>
    </row>
    <row r="1668" spans="1:10" ht="15.95" customHeight="1" x14ac:dyDescent="0.2">
      <c r="A1668" s="39"/>
      <c r="B1668" s="36"/>
      <c r="C1668" s="37"/>
      <c r="D1668" s="37"/>
      <c r="E1668" s="37"/>
      <c r="F1668" s="37"/>
      <c r="G1668" s="37"/>
      <c r="H1668" s="37"/>
      <c r="I1668" s="35"/>
      <c r="J1668" s="37"/>
    </row>
    <row r="1669" spans="1:10" ht="15.95" customHeight="1" x14ac:dyDescent="0.2">
      <c r="A1669" s="39"/>
      <c r="B1669" s="36"/>
      <c r="C1669" s="37"/>
      <c r="D1669" s="37"/>
      <c r="E1669" s="37"/>
      <c r="F1669" s="37"/>
      <c r="G1669" s="37"/>
      <c r="H1669" s="37"/>
      <c r="I1669" s="35"/>
      <c r="J1669" s="37"/>
    </row>
    <row r="1670" spans="1:10" ht="15.95" customHeight="1" x14ac:dyDescent="0.2">
      <c r="A1670" s="39"/>
      <c r="B1670" s="36"/>
      <c r="C1670" s="37"/>
      <c r="D1670" s="37"/>
      <c r="E1670" s="37"/>
      <c r="F1670" s="37"/>
      <c r="G1670" s="37"/>
      <c r="H1670" s="37"/>
      <c r="I1670" s="35"/>
      <c r="J1670" s="37"/>
    </row>
    <row r="1671" spans="1:10" ht="15.95" customHeight="1" x14ac:dyDescent="0.2">
      <c r="A1671" s="39"/>
      <c r="B1671" s="36"/>
      <c r="C1671" s="37"/>
      <c r="D1671" s="37"/>
      <c r="E1671" s="37"/>
      <c r="F1671" s="37"/>
      <c r="G1671" s="37"/>
      <c r="H1671" s="37"/>
      <c r="I1671" s="35"/>
      <c r="J1671" s="37"/>
    </row>
    <row r="1672" spans="1:10" ht="15.95" customHeight="1" x14ac:dyDescent="0.2">
      <c r="A1672" s="39"/>
      <c r="B1672" s="36"/>
      <c r="C1672" s="37"/>
      <c r="D1672" s="37"/>
      <c r="E1672" s="37"/>
      <c r="F1672" s="37"/>
      <c r="G1672" s="37"/>
      <c r="H1672" s="37"/>
      <c r="I1672" s="35"/>
      <c r="J1672" s="37"/>
    </row>
    <row r="1673" spans="1:10" ht="15.95" customHeight="1" x14ac:dyDescent="0.2">
      <c r="A1673" s="39"/>
      <c r="B1673" s="36"/>
      <c r="C1673" s="37"/>
      <c r="D1673" s="37"/>
      <c r="E1673" s="37"/>
      <c r="F1673" s="37"/>
      <c r="G1673" s="37"/>
      <c r="H1673" s="37"/>
      <c r="I1673" s="35"/>
      <c r="J1673" s="37"/>
    </row>
    <row r="1674" spans="1:10" ht="15.95" customHeight="1" x14ac:dyDescent="0.2">
      <c r="A1674" s="39"/>
      <c r="B1674" s="36"/>
      <c r="C1674" s="37"/>
      <c r="D1674" s="37"/>
      <c r="E1674" s="37"/>
      <c r="F1674" s="37"/>
      <c r="G1674" s="37"/>
      <c r="H1674" s="37"/>
      <c r="I1674" s="35"/>
      <c r="J1674" s="37"/>
    </row>
    <row r="1675" spans="1:10" ht="15.95" customHeight="1" x14ac:dyDescent="0.2">
      <c r="A1675" s="39"/>
      <c r="B1675" s="36"/>
      <c r="C1675" s="37"/>
      <c r="D1675" s="37"/>
      <c r="E1675" s="37"/>
      <c r="F1675" s="37"/>
      <c r="G1675" s="37"/>
      <c r="H1675" s="37"/>
      <c r="I1675" s="35"/>
      <c r="J1675" s="37"/>
    </row>
    <row r="1676" spans="1:10" ht="15.95" customHeight="1" x14ac:dyDescent="0.2">
      <c r="A1676" s="39"/>
      <c r="B1676" s="36"/>
      <c r="C1676" s="37"/>
      <c r="D1676" s="37"/>
      <c r="E1676" s="37"/>
      <c r="F1676" s="37"/>
      <c r="G1676" s="37"/>
      <c r="H1676" s="37"/>
      <c r="I1676" s="35"/>
      <c r="J1676" s="37"/>
    </row>
    <row r="1677" spans="1:10" ht="15.95" customHeight="1" x14ac:dyDescent="0.2">
      <c r="A1677" s="39"/>
      <c r="B1677" s="36"/>
      <c r="C1677" s="37"/>
      <c r="D1677" s="37"/>
      <c r="E1677" s="37"/>
      <c r="F1677" s="37"/>
      <c r="G1677" s="37"/>
      <c r="H1677" s="37"/>
      <c r="I1677" s="35"/>
      <c r="J1677" s="37"/>
    </row>
    <row r="1678" spans="1:10" ht="15.95" customHeight="1" x14ac:dyDescent="0.2">
      <c r="A1678" s="39"/>
      <c r="B1678" s="36"/>
      <c r="C1678" s="37"/>
      <c r="D1678" s="37"/>
      <c r="E1678" s="37"/>
      <c r="F1678" s="37"/>
      <c r="G1678" s="37"/>
      <c r="H1678" s="37"/>
      <c r="I1678" s="35"/>
      <c r="J1678" s="37"/>
    </row>
    <row r="1679" spans="1:10" ht="15.95" customHeight="1" x14ac:dyDescent="0.2">
      <c r="A1679" s="39"/>
      <c r="B1679" s="36"/>
      <c r="C1679" s="37"/>
      <c r="D1679" s="37"/>
      <c r="E1679" s="37"/>
      <c r="F1679" s="37"/>
      <c r="G1679" s="37"/>
      <c r="H1679" s="37"/>
      <c r="I1679" s="35"/>
      <c r="J1679" s="37"/>
    </row>
    <row r="1680" spans="1:10" ht="15.95" customHeight="1" x14ac:dyDescent="0.2">
      <c r="A1680" s="39"/>
      <c r="B1680" s="36"/>
      <c r="C1680" s="37"/>
      <c r="D1680" s="37"/>
      <c r="E1680" s="37"/>
      <c r="F1680" s="37"/>
      <c r="G1680" s="37"/>
      <c r="H1680" s="37"/>
      <c r="I1680" s="35"/>
      <c r="J1680" s="37"/>
    </row>
    <row r="1681" spans="1:10" ht="15.95" customHeight="1" x14ac:dyDescent="0.2">
      <c r="A1681" s="39"/>
      <c r="B1681" s="36"/>
      <c r="C1681" s="37"/>
      <c r="D1681" s="37"/>
      <c r="E1681" s="37"/>
      <c r="F1681" s="37"/>
      <c r="G1681" s="37"/>
      <c r="H1681" s="37"/>
      <c r="I1681" s="35"/>
      <c r="J1681" s="37"/>
    </row>
    <row r="1682" spans="1:10" ht="15.95" customHeight="1" x14ac:dyDescent="0.2">
      <c r="A1682" s="39"/>
      <c r="B1682" s="36"/>
      <c r="C1682" s="37"/>
      <c r="D1682" s="37"/>
      <c r="E1682" s="37"/>
      <c r="F1682" s="37"/>
      <c r="G1682" s="37"/>
      <c r="H1682" s="37"/>
      <c r="I1682" s="35"/>
      <c r="J1682" s="37"/>
    </row>
    <row r="1683" spans="1:10" ht="15.95" customHeight="1" x14ac:dyDescent="0.2">
      <c r="A1683" s="39"/>
      <c r="B1683" s="36"/>
      <c r="C1683" s="37"/>
      <c r="D1683" s="37"/>
      <c r="E1683" s="37"/>
      <c r="F1683" s="37"/>
      <c r="G1683" s="37"/>
      <c r="H1683" s="37"/>
      <c r="I1683" s="35"/>
      <c r="J1683" s="37"/>
    </row>
    <row r="1684" spans="1:10" ht="15.95" customHeight="1" x14ac:dyDescent="0.2">
      <c r="A1684" s="39"/>
      <c r="B1684" s="36"/>
      <c r="C1684" s="37"/>
      <c r="D1684" s="37"/>
      <c r="E1684" s="37"/>
      <c r="F1684" s="37"/>
      <c r="G1684" s="37"/>
      <c r="H1684" s="37"/>
      <c r="I1684" s="35"/>
      <c r="J1684" s="37"/>
    </row>
    <row r="1685" spans="1:10" ht="15.95" customHeight="1" x14ac:dyDescent="0.2">
      <c r="A1685" s="39"/>
      <c r="B1685" s="36"/>
      <c r="C1685" s="37"/>
      <c r="D1685" s="37"/>
      <c r="E1685" s="37"/>
      <c r="F1685" s="37"/>
      <c r="G1685" s="37"/>
      <c r="H1685" s="37"/>
      <c r="I1685" s="35"/>
      <c r="J1685" s="37"/>
    </row>
    <row r="1686" spans="1:10" ht="15.95" customHeight="1" x14ac:dyDescent="0.2">
      <c r="A1686" s="39"/>
      <c r="B1686" s="36"/>
      <c r="C1686" s="37"/>
      <c r="D1686" s="37"/>
      <c r="E1686" s="37"/>
      <c r="F1686" s="37"/>
      <c r="G1686" s="37"/>
      <c r="H1686" s="37"/>
      <c r="I1686" s="35"/>
      <c r="J1686" s="37"/>
    </row>
    <row r="1687" spans="1:10" ht="15.95" customHeight="1" x14ac:dyDescent="0.2">
      <c r="A1687" s="39"/>
      <c r="B1687" s="36"/>
      <c r="C1687" s="37"/>
      <c r="D1687" s="37"/>
      <c r="E1687" s="37"/>
      <c r="F1687" s="37"/>
      <c r="G1687" s="37"/>
      <c r="H1687" s="37"/>
      <c r="I1687" s="35"/>
      <c r="J1687" s="37"/>
    </row>
    <row r="1688" spans="1:10" ht="15.95" customHeight="1" x14ac:dyDescent="0.2">
      <c r="A1688" s="39"/>
      <c r="B1688" s="36"/>
      <c r="C1688" s="37"/>
      <c r="D1688" s="37"/>
      <c r="E1688" s="37"/>
      <c r="F1688" s="37"/>
      <c r="G1688" s="37"/>
      <c r="H1688" s="37"/>
      <c r="I1688" s="35"/>
      <c r="J1688" s="37"/>
    </row>
    <row r="1689" spans="1:10" ht="15.95" customHeight="1" x14ac:dyDescent="0.2">
      <c r="A1689" s="39"/>
      <c r="B1689" s="36"/>
      <c r="C1689" s="37"/>
      <c r="D1689" s="37"/>
      <c r="E1689" s="37"/>
      <c r="F1689" s="37"/>
      <c r="G1689" s="37"/>
      <c r="H1689" s="37"/>
      <c r="I1689" s="35"/>
      <c r="J1689" s="37"/>
    </row>
    <row r="1690" spans="1:10" ht="15.95" customHeight="1" x14ac:dyDescent="0.2">
      <c r="A1690" s="39"/>
      <c r="B1690" s="36"/>
      <c r="C1690" s="37"/>
      <c r="D1690" s="37"/>
      <c r="E1690" s="37"/>
      <c r="F1690" s="37"/>
      <c r="G1690" s="37"/>
      <c r="H1690" s="37"/>
      <c r="I1690" s="35"/>
      <c r="J1690" s="37"/>
    </row>
    <row r="1691" spans="1:10" ht="15.95" customHeight="1" x14ac:dyDescent="0.2">
      <c r="A1691" s="39"/>
      <c r="B1691" s="36"/>
      <c r="C1691" s="37"/>
      <c r="D1691" s="37"/>
      <c r="E1691" s="37"/>
      <c r="F1691" s="37"/>
      <c r="G1691" s="37"/>
      <c r="H1691" s="37"/>
      <c r="I1691" s="35"/>
      <c r="J1691" s="37"/>
    </row>
    <row r="1692" spans="1:10" ht="15.95" customHeight="1" x14ac:dyDescent="0.2">
      <c r="A1692" s="39"/>
      <c r="B1692" s="36"/>
      <c r="C1692" s="37"/>
      <c r="D1692" s="37"/>
      <c r="E1692" s="37"/>
      <c r="F1692" s="37"/>
      <c r="G1692" s="37"/>
      <c r="H1692" s="37"/>
      <c r="I1692" s="35"/>
      <c r="J1692" s="37"/>
    </row>
    <row r="1693" spans="1:10" ht="15.95" customHeight="1" x14ac:dyDescent="0.2">
      <c r="A1693" s="39"/>
      <c r="B1693" s="36"/>
      <c r="C1693" s="37"/>
      <c r="D1693" s="37"/>
      <c r="E1693" s="37"/>
      <c r="F1693" s="37"/>
      <c r="G1693" s="37"/>
      <c r="H1693" s="37"/>
      <c r="I1693" s="35"/>
      <c r="J1693" s="37"/>
    </row>
    <row r="1694" spans="1:10" ht="15.95" customHeight="1" x14ac:dyDescent="0.2">
      <c r="A1694" s="39"/>
      <c r="B1694" s="36"/>
      <c r="C1694" s="37"/>
      <c r="D1694" s="37"/>
      <c r="E1694" s="37"/>
      <c r="F1694" s="37"/>
      <c r="G1694" s="37"/>
      <c r="H1694" s="37"/>
      <c r="I1694" s="35"/>
      <c r="J1694" s="37"/>
    </row>
    <row r="1695" spans="1:10" ht="15.95" customHeight="1" x14ac:dyDescent="0.2">
      <c r="A1695" s="39"/>
      <c r="B1695" s="36"/>
      <c r="C1695" s="37"/>
      <c r="D1695" s="37"/>
      <c r="E1695" s="37"/>
      <c r="F1695" s="37"/>
      <c r="G1695" s="37"/>
      <c r="H1695" s="37"/>
      <c r="I1695" s="35"/>
      <c r="J1695" s="37"/>
    </row>
    <row r="1696" spans="1:10" ht="15.95" customHeight="1" x14ac:dyDescent="0.2">
      <c r="A1696" s="39"/>
      <c r="B1696" s="36"/>
      <c r="C1696" s="37"/>
      <c r="D1696" s="37"/>
      <c r="E1696" s="37"/>
      <c r="F1696" s="37"/>
      <c r="G1696" s="37"/>
      <c r="H1696" s="37"/>
      <c r="I1696" s="35"/>
      <c r="J1696" s="37"/>
    </row>
    <row r="1697" spans="1:10" ht="15.95" customHeight="1" x14ac:dyDescent="0.2">
      <c r="A1697" s="39"/>
      <c r="B1697" s="36"/>
      <c r="C1697" s="37"/>
      <c r="D1697" s="37"/>
      <c r="E1697" s="37"/>
      <c r="F1697" s="37"/>
      <c r="G1697" s="37"/>
      <c r="H1697" s="37"/>
      <c r="I1697" s="35"/>
      <c r="J1697" s="37"/>
    </row>
    <row r="1698" spans="1:10" ht="15.95" customHeight="1" x14ac:dyDescent="0.2">
      <c r="A1698" s="39"/>
      <c r="B1698" s="36"/>
      <c r="C1698" s="37"/>
      <c r="D1698" s="37"/>
      <c r="E1698" s="37"/>
      <c r="F1698" s="37"/>
      <c r="G1698" s="37"/>
      <c r="H1698" s="37"/>
      <c r="I1698" s="35"/>
      <c r="J1698" s="37"/>
    </row>
    <row r="1699" spans="1:10" ht="15.95" customHeight="1" x14ac:dyDescent="0.2">
      <c r="A1699" s="39"/>
      <c r="B1699" s="36"/>
      <c r="C1699" s="37"/>
      <c r="D1699" s="37"/>
      <c r="E1699" s="37"/>
      <c r="F1699" s="37"/>
      <c r="G1699" s="37"/>
      <c r="H1699" s="37"/>
      <c r="I1699" s="35"/>
      <c r="J1699" s="37"/>
    </row>
    <row r="1700" spans="1:10" ht="15.95" customHeight="1" x14ac:dyDescent="0.2">
      <c r="A1700" s="39"/>
      <c r="B1700" s="36"/>
      <c r="C1700" s="37"/>
      <c r="D1700" s="37"/>
      <c r="E1700" s="37"/>
      <c r="F1700" s="37"/>
      <c r="G1700" s="37"/>
      <c r="H1700" s="37"/>
      <c r="I1700" s="35"/>
      <c r="J1700" s="37"/>
    </row>
    <row r="1701" spans="1:10" ht="15.95" customHeight="1" x14ac:dyDescent="0.2">
      <c r="A1701" s="39"/>
      <c r="B1701" s="36"/>
      <c r="C1701" s="37"/>
      <c r="D1701" s="37"/>
      <c r="E1701" s="37"/>
      <c r="F1701" s="37"/>
      <c r="G1701" s="37"/>
      <c r="H1701" s="37"/>
      <c r="I1701" s="35"/>
      <c r="J1701" s="37"/>
    </row>
    <row r="1702" spans="1:10" ht="15.95" customHeight="1" x14ac:dyDescent="0.2">
      <c r="A1702" s="39"/>
      <c r="B1702" s="36"/>
      <c r="C1702" s="37"/>
      <c r="D1702" s="37"/>
      <c r="E1702" s="37"/>
      <c r="F1702" s="37"/>
      <c r="G1702" s="37"/>
      <c r="H1702" s="37"/>
      <c r="I1702" s="35"/>
      <c r="J1702" s="37"/>
    </row>
    <row r="1703" spans="1:10" ht="15.95" customHeight="1" x14ac:dyDescent="0.2">
      <c r="A1703" s="39"/>
      <c r="B1703" s="36"/>
      <c r="C1703" s="37"/>
      <c r="D1703" s="37"/>
      <c r="E1703" s="37"/>
      <c r="F1703" s="37"/>
      <c r="G1703" s="37"/>
      <c r="H1703" s="37"/>
      <c r="I1703" s="35"/>
      <c r="J1703" s="37"/>
    </row>
    <row r="1704" spans="1:10" ht="15.95" customHeight="1" x14ac:dyDescent="0.2">
      <c r="A1704" s="39"/>
      <c r="B1704" s="36"/>
      <c r="C1704" s="37"/>
      <c r="D1704" s="37"/>
      <c r="E1704" s="37"/>
      <c r="F1704" s="37"/>
      <c r="G1704" s="37"/>
      <c r="H1704" s="37"/>
      <c r="I1704" s="35"/>
      <c r="J1704" s="37"/>
    </row>
    <row r="1705" spans="1:10" ht="15.95" customHeight="1" x14ac:dyDescent="0.2">
      <c r="A1705" s="39"/>
      <c r="B1705" s="36"/>
      <c r="C1705" s="37"/>
      <c r="D1705" s="37"/>
      <c r="E1705" s="37"/>
      <c r="F1705" s="37"/>
      <c r="G1705" s="37"/>
      <c r="H1705" s="37"/>
      <c r="I1705" s="35"/>
      <c r="J1705" s="37"/>
    </row>
    <row r="1706" spans="1:10" ht="15.95" customHeight="1" x14ac:dyDescent="0.2">
      <c r="A1706" s="39"/>
      <c r="B1706" s="36"/>
      <c r="C1706" s="37"/>
      <c r="D1706" s="37"/>
      <c r="E1706" s="37"/>
      <c r="F1706" s="37"/>
      <c r="G1706" s="37"/>
      <c r="H1706" s="37"/>
      <c r="I1706" s="35"/>
      <c r="J1706" s="37"/>
    </row>
    <row r="1707" spans="1:10" ht="15.95" customHeight="1" x14ac:dyDescent="0.2">
      <c r="A1707" s="39"/>
      <c r="B1707" s="36"/>
      <c r="C1707" s="37"/>
      <c r="D1707" s="37"/>
      <c r="E1707" s="37"/>
      <c r="F1707" s="37"/>
      <c r="G1707" s="37"/>
      <c r="H1707" s="37"/>
      <c r="I1707" s="35"/>
      <c r="J1707" s="37"/>
    </row>
    <row r="1708" spans="1:10" ht="15.95" customHeight="1" x14ac:dyDescent="0.2">
      <c r="A1708" s="39"/>
      <c r="B1708" s="36"/>
      <c r="C1708" s="37"/>
      <c r="D1708" s="37"/>
      <c r="E1708" s="37"/>
      <c r="F1708" s="37"/>
      <c r="G1708" s="37"/>
      <c r="H1708" s="37"/>
      <c r="I1708" s="35"/>
      <c r="J1708" s="37"/>
    </row>
    <row r="1709" spans="1:10" ht="15.95" customHeight="1" x14ac:dyDescent="0.2">
      <c r="A1709" s="39"/>
      <c r="B1709" s="36"/>
      <c r="C1709" s="37"/>
      <c r="D1709" s="37"/>
      <c r="E1709" s="37"/>
      <c r="F1709" s="37"/>
      <c r="G1709" s="37"/>
      <c r="H1709" s="37"/>
      <c r="I1709" s="35"/>
      <c r="J1709" s="37"/>
    </row>
    <row r="1710" spans="1:10" ht="15.95" customHeight="1" x14ac:dyDescent="0.2">
      <c r="A1710" s="39"/>
      <c r="B1710" s="36"/>
      <c r="C1710" s="37"/>
      <c r="D1710" s="37"/>
      <c r="E1710" s="37"/>
      <c r="F1710" s="37"/>
      <c r="G1710" s="37"/>
      <c r="H1710" s="37"/>
      <c r="I1710" s="35"/>
      <c r="J1710" s="37"/>
    </row>
    <row r="1711" spans="1:10" ht="15.95" customHeight="1" x14ac:dyDescent="0.2">
      <c r="A1711" s="39"/>
      <c r="B1711" s="36"/>
      <c r="C1711" s="37"/>
      <c r="D1711" s="37"/>
      <c r="E1711" s="37"/>
      <c r="F1711" s="37"/>
      <c r="G1711" s="37"/>
      <c r="H1711" s="37"/>
      <c r="I1711" s="35"/>
      <c r="J1711" s="37"/>
    </row>
    <row r="1712" spans="1:10" ht="15.95" customHeight="1" x14ac:dyDescent="0.2">
      <c r="A1712" s="39"/>
      <c r="B1712" s="36"/>
      <c r="C1712" s="37"/>
      <c r="D1712" s="37"/>
      <c r="E1712" s="37"/>
      <c r="F1712" s="37"/>
      <c r="G1712" s="37"/>
      <c r="H1712" s="37"/>
      <c r="I1712" s="35"/>
      <c r="J1712" s="37"/>
    </row>
    <row r="1713" spans="1:10" ht="15.95" customHeight="1" x14ac:dyDescent="0.2">
      <c r="A1713" s="39"/>
      <c r="B1713" s="36"/>
      <c r="C1713" s="37"/>
      <c r="D1713" s="37"/>
      <c r="E1713" s="37"/>
      <c r="F1713" s="37"/>
      <c r="G1713" s="37"/>
      <c r="H1713" s="37"/>
      <c r="I1713" s="35"/>
      <c r="J1713" s="37"/>
    </row>
    <row r="1714" spans="1:10" ht="15.95" customHeight="1" x14ac:dyDescent="0.2">
      <c r="A1714" s="39"/>
      <c r="B1714" s="36"/>
      <c r="C1714" s="37"/>
      <c r="D1714" s="37"/>
      <c r="E1714" s="37"/>
      <c r="F1714" s="37"/>
      <c r="G1714" s="37"/>
      <c r="H1714" s="37"/>
      <c r="I1714" s="35"/>
      <c r="J1714" s="37"/>
    </row>
    <row r="1715" spans="1:10" ht="15.95" customHeight="1" x14ac:dyDescent="0.2">
      <c r="A1715" s="39"/>
      <c r="B1715" s="36"/>
      <c r="C1715" s="37"/>
      <c r="D1715" s="37"/>
      <c r="E1715" s="37"/>
      <c r="F1715" s="37"/>
      <c r="G1715" s="37"/>
      <c r="H1715" s="37"/>
      <c r="I1715" s="35"/>
      <c r="J1715" s="37"/>
    </row>
    <row r="1716" spans="1:10" ht="15.95" customHeight="1" x14ac:dyDescent="0.2">
      <c r="A1716" s="39"/>
      <c r="B1716" s="36"/>
      <c r="C1716" s="37"/>
      <c r="D1716" s="37"/>
      <c r="E1716" s="37"/>
      <c r="F1716" s="37"/>
      <c r="G1716" s="37"/>
      <c r="H1716" s="37"/>
      <c r="I1716" s="35"/>
      <c r="J1716" s="37"/>
    </row>
    <row r="1717" spans="1:10" ht="15.95" customHeight="1" x14ac:dyDescent="0.2">
      <c r="A1717" s="39"/>
      <c r="B1717" s="36"/>
      <c r="C1717" s="37"/>
      <c r="D1717" s="37"/>
      <c r="E1717" s="37"/>
      <c r="F1717" s="37"/>
      <c r="G1717" s="37"/>
      <c r="H1717" s="37"/>
      <c r="I1717" s="35"/>
      <c r="J1717" s="37"/>
    </row>
    <row r="1718" spans="1:10" ht="15.95" customHeight="1" x14ac:dyDescent="0.2">
      <c r="A1718" s="39"/>
      <c r="B1718" s="36"/>
      <c r="C1718" s="37"/>
      <c r="D1718" s="37"/>
      <c r="E1718" s="37"/>
      <c r="F1718" s="37"/>
      <c r="G1718" s="37"/>
      <c r="H1718" s="37"/>
      <c r="I1718" s="35"/>
      <c r="J1718" s="37"/>
    </row>
    <row r="1719" spans="1:10" ht="15.95" customHeight="1" x14ac:dyDescent="0.2">
      <c r="A1719" s="39"/>
      <c r="B1719" s="36"/>
      <c r="C1719" s="37"/>
      <c r="D1719" s="37"/>
      <c r="E1719" s="37"/>
      <c r="F1719" s="37"/>
      <c r="G1719" s="37"/>
      <c r="H1719" s="37"/>
      <c r="I1719" s="35"/>
      <c r="J1719" s="37"/>
    </row>
    <row r="1720" spans="1:10" ht="15.95" customHeight="1" x14ac:dyDescent="0.2">
      <c r="A1720" s="39"/>
      <c r="B1720" s="36"/>
      <c r="C1720" s="37"/>
      <c r="D1720" s="37"/>
      <c r="E1720" s="37"/>
      <c r="F1720" s="37"/>
      <c r="G1720" s="37"/>
      <c r="H1720" s="37"/>
      <c r="I1720" s="35"/>
      <c r="J1720" s="37"/>
    </row>
    <row r="1721" spans="1:10" ht="15.95" customHeight="1" x14ac:dyDescent="0.2">
      <c r="A1721" s="39"/>
      <c r="B1721" s="36"/>
      <c r="C1721" s="37"/>
      <c r="D1721" s="37"/>
      <c r="E1721" s="37"/>
      <c r="F1721" s="37"/>
      <c r="G1721" s="37"/>
      <c r="H1721" s="37"/>
      <c r="I1721" s="35"/>
      <c r="J1721" s="37"/>
    </row>
    <row r="1722" spans="1:10" ht="15.95" customHeight="1" x14ac:dyDescent="0.2">
      <c r="A1722" s="39"/>
      <c r="B1722" s="36"/>
      <c r="C1722" s="37"/>
      <c r="D1722" s="37"/>
      <c r="E1722" s="37"/>
      <c r="F1722" s="37"/>
      <c r="G1722" s="37"/>
      <c r="H1722" s="37"/>
      <c r="I1722" s="35"/>
      <c r="J1722" s="37"/>
    </row>
    <row r="1723" spans="1:10" ht="15.95" customHeight="1" x14ac:dyDescent="0.2">
      <c r="A1723" s="39"/>
      <c r="B1723" s="36"/>
      <c r="C1723" s="37"/>
      <c r="D1723" s="37"/>
      <c r="E1723" s="37"/>
      <c r="F1723" s="37"/>
      <c r="G1723" s="37"/>
      <c r="H1723" s="37"/>
      <c r="I1723" s="35"/>
      <c r="J1723" s="37"/>
    </row>
    <row r="1724" spans="1:10" ht="15.95" customHeight="1" x14ac:dyDescent="0.2">
      <c r="A1724" s="39"/>
      <c r="B1724" s="36"/>
      <c r="C1724" s="37"/>
      <c r="D1724" s="37"/>
      <c r="E1724" s="37"/>
      <c r="F1724" s="37"/>
      <c r="G1724" s="37"/>
      <c r="H1724" s="37"/>
      <c r="I1724" s="35"/>
      <c r="J1724" s="37"/>
    </row>
    <row r="1725" spans="1:10" ht="15.95" customHeight="1" x14ac:dyDescent="0.2">
      <c r="A1725" s="39"/>
      <c r="B1725" s="36"/>
      <c r="C1725" s="37"/>
      <c r="D1725" s="37"/>
      <c r="E1725" s="37"/>
      <c r="F1725" s="37"/>
      <c r="G1725" s="37"/>
      <c r="H1725" s="37"/>
      <c r="I1725" s="35"/>
      <c r="J1725" s="37"/>
    </row>
    <row r="1726" spans="1:10" ht="15.95" customHeight="1" x14ac:dyDescent="0.2">
      <c r="A1726" s="39"/>
      <c r="B1726" s="36"/>
      <c r="C1726" s="37"/>
      <c r="D1726" s="37"/>
      <c r="E1726" s="37"/>
      <c r="F1726" s="37"/>
      <c r="G1726" s="37"/>
      <c r="H1726" s="37"/>
      <c r="I1726" s="35"/>
      <c r="J1726" s="37"/>
    </row>
    <row r="1727" spans="1:10" ht="15.95" customHeight="1" x14ac:dyDescent="0.2">
      <c r="A1727" s="39"/>
      <c r="B1727" s="36"/>
      <c r="C1727" s="37"/>
      <c r="D1727" s="37"/>
      <c r="E1727" s="37"/>
      <c r="F1727" s="37"/>
      <c r="G1727" s="37"/>
      <c r="H1727" s="37"/>
      <c r="I1727" s="35"/>
      <c r="J1727" s="37"/>
    </row>
    <row r="1728" spans="1:10" ht="15.95" customHeight="1" x14ac:dyDescent="0.2">
      <c r="A1728" s="39"/>
      <c r="B1728" s="36"/>
      <c r="C1728" s="37"/>
      <c r="D1728" s="37"/>
      <c r="E1728" s="37"/>
      <c r="F1728" s="37"/>
      <c r="G1728" s="37"/>
      <c r="H1728" s="37"/>
      <c r="I1728" s="35"/>
      <c r="J1728" s="37"/>
    </row>
    <row r="1729" spans="1:10" ht="15.95" customHeight="1" x14ac:dyDescent="0.2">
      <c r="A1729" s="39"/>
      <c r="B1729" s="36"/>
      <c r="C1729" s="37"/>
      <c r="D1729" s="37"/>
      <c r="E1729" s="37"/>
      <c r="F1729" s="37"/>
      <c r="G1729" s="37"/>
      <c r="H1729" s="37"/>
      <c r="I1729" s="35"/>
      <c r="J1729" s="37"/>
    </row>
    <row r="1730" spans="1:10" ht="15.95" customHeight="1" x14ac:dyDescent="0.2">
      <c r="A1730" s="39"/>
      <c r="B1730" s="36"/>
      <c r="C1730" s="37"/>
      <c r="D1730" s="37"/>
      <c r="E1730" s="37"/>
      <c r="F1730" s="37"/>
      <c r="G1730" s="37"/>
      <c r="H1730" s="37"/>
      <c r="I1730" s="35"/>
      <c r="J1730" s="37"/>
    </row>
    <row r="1731" spans="1:10" ht="15.95" customHeight="1" x14ac:dyDescent="0.2">
      <c r="A1731" s="39"/>
      <c r="B1731" s="36"/>
      <c r="C1731" s="37"/>
      <c r="D1731" s="37"/>
      <c r="E1731" s="37"/>
      <c r="F1731" s="37"/>
      <c r="G1731" s="37"/>
      <c r="H1731" s="37"/>
      <c r="I1731" s="35"/>
      <c r="J1731" s="37"/>
    </row>
    <row r="1732" spans="1:10" ht="15.95" customHeight="1" x14ac:dyDescent="0.2">
      <c r="A1732" s="39"/>
      <c r="B1732" s="36"/>
      <c r="C1732" s="37"/>
      <c r="D1732" s="37"/>
      <c r="E1732" s="37"/>
      <c r="F1732" s="37"/>
      <c r="G1732" s="37"/>
      <c r="H1732" s="37"/>
      <c r="I1732" s="35"/>
      <c r="J1732" s="37"/>
    </row>
    <row r="1733" spans="1:10" ht="15.95" customHeight="1" x14ac:dyDescent="0.2">
      <c r="A1733" s="39"/>
      <c r="B1733" s="36"/>
      <c r="C1733" s="37"/>
      <c r="D1733" s="37"/>
      <c r="E1733" s="37"/>
      <c r="F1733" s="37"/>
      <c r="G1733" s="37"/>
      <c r="H1733" s="37"/>
      <c r="I1733" s="35"/>
      <c r="J1733" s="37"/>
    </row>
    <row r="1734" spans="1:10" ht="15.95" customHeight="1" x14ac:dyDescent="0.2">
      <c r="A1734" s="39"/>
      <c r="B1734" s="36"/>
      <c r="C1734" s="37"/>
      <c r="D1734" s="37"/>
      <c r="E1734" s="37"/>
      <c r="F1734" s="37"/>
      <c r="G1734" s="37"/>
      <c r="H1734" s="37"/>
      <c r="I1734" s="35"/>
      <c r="J1734" s="37"/>
    </row>
    <row r="1735" spans="1:10" ht="15.95" customHeight="1" x14ac:dyDescent="0.2">
      <c r="A1735" s="39"/>
      <c r="B1735" s="36"/>
      <c r="C1735" s="37"/>
      <c r="D1735" s="37"/>
      <c r="E1735" s="37"/>
      <c r="F1735" s="37"/>
      <c r="G1735" s="37"/>
      <c r="H1735" s="37"/>
      <c r="I1735" s="35"/>
      <c r="J1735" s="37"/>
    </row>
    <row r="1736" spans="1:10" ht="15.95" customHeight="1" x14ac:dyDescent="0.2">
      <c r="A1736" s="39"/>
      <c r="B1736" s="36"/>
      <c r="C1736" s="37"/>
      <c r="D1736" s="37"/>
      <c r="E1736" s="37"/>
      <c r="F1736" s="37"/>
      <c r="G1736" s="37"/>
      <c r="H1736" s="37"/>
      <c r="I1736" s="35"/>
      <c r="J1736" s="37"/>
    </row>
    <row r="1737" spans="1:10" ht="15.95" customHeight="1" x14ac:dyDescent="0.2">
      <c r="A1737" s="39"/>
      <c r="B1737" s="36"/>
      <c r="C1737" s="37"/>
      <c r="D1737" s="37"/>
      <c r="E1737" s="37"/>
      <c r="F1737" s="37"/>
      <c r="G1737" s="37"/>
      <c r="H1737" s="37"/>
      <c r="I1737" s="35"/>
      <c r="J1737" s="37"/>
    </row>
    <row r="1738" spans="1:10" ht="15.95" customHeight="1" x14ac:dyDescent="0.2">
      <c r="A1738" s="39"/>
      <c r="B1738" s="36"/>
      <c r="C1738" s="37"/>
      <c r="D1738" s="37"/>
      <c r="E1738" s="37"/>
      <c r="F1738" s="37"/>
      <c r="G1738" s="37"/>
      <c r="H1738" s="37"/>
      <c r="I1738" s="35"/>
      <c r="J1738" s="37"/>
    </row>
    <row r="1739" spans="1:10" ht="15.95" customHeight="1" x14ac:dyDescent="0.2">
      <c r="A1739" s="39"/>
      <c r="B1739" s="36"/>
      <c r="C1739" s="37"/>
      <c r="D1739" s="37"/>
      <c r="E1739" s="37"/>
      <c r="F1739" s="37"/>
      <c r="G1739" s="37"/>
      <c r="H1739" s="37"/>
      <c r="I1739" s="35"/>
      <c r="J1739" s="37"/>
    </row>
    <row r="1740" spans="1:10" ht="15.95" customHeight="1" x14ac:dyDescent="0.2">
      <c r="A1740" s="39"/>
      <c r="B1740" s="36"/>
      <c r="C1740" s="37"/>
      <c r="D1740" s="37"/>
      <c r="E1740" s="37"/>
      <c r="F1740" s="37"/>
      <c r="G1740" s="37"/>
      <c r="H1740" s="37"/>
      <c r="I1740" s="35"/>
      <c r="J1740" s="37"/>
    </row>
    <row r="1741" spans="1:10" ht="15.95" customHeight="1" x14ac:dyDescent="0.2">
      <c r="A1741" s="39"/>
      <c r="B1741" s="36"/>
      <c r="C1741" s="37"/>
      <c r="D1741" s="37"/>
      <c r="E1741" s="37"/>
      <c r="F1741" s="37"/>
      <c r="G1741" s="37"/>
      <c r="H1741" s="37"/>
      <c r="I1741" s="35"/>
      <c r="J1741" s="37"/>
    </row>
    <row r="1742" spans="1:10" ht="15.95" customHeight="1" x14ac:dyDescent="0.2">
      <c r="A1742" s="39"/>
      <c r="B1742" s="36"/>
      <c r="C1742" s="37"/>
      <c r="D1742" s="37"/>
      <c r="E1742" s="37"/>
      <c r="F1742" s="37"/>
      <c r="G1742" s="37"/>
      <c r="H1742" s="37"/>
      <c r="I1742" s="35"/>
      <c r="J1742" s="37"/>
    </row>
    <row r="1743" spans="1:10" ht="15.95" customHeight="1" x14ac:dyDescent="0.2">
      <c r="A1743" s="39"/>
      <c r="B1743" s="36"/>
      <c r="C1743" s="37"/>
      <c r="D1743" s="37"/>
      <c r="E1743" s="37"/>
      <c r="F1743" s="37"/>
      <c r="G1743" s="37"/>
      <c r="H1743" s="37"/>
      <c r="I1743" s="35"/>
      <c r="J1743" s="37"/>
    </row>
    <row r="1744" spans="1:10" ht="15.95" customHeight="1" x14ac:dyDescent="0.2">
      <c r="A1744" s="39"/>
      <c r="B1744" s="36"/>
      <c r="C1744" s="37"/>
      <c r="D1744" s="37"/>
      <c r="E1744" s="37"/>
      <c r="F1744" s="37"/>
      <c r="G1744" s="37"/>
      <c r="H1744" s="37"/>
      <c r="I1744" s="35"/>
      <c r="J1744" s="37"/>
    </row>
    <row r="1745" spans="1:10" ht="15.95" customHeight="1" x14ac:dyDescent="0.2">
      <c r="A1745" s="39"/>
      <c r="B1745" s="36"/>
      <c r="C1745" s="37"/>
      <c r="D1745" s="37"/>
      <c r="E1745" s="37"/>
      <c r="F1745" s="37"/>
      <c r="G1745" s="37"/>
      <c r="H1745" s="37"/>
      <c r="I1745" s="35"/>
      <c r="J1745" s="37"/>
    </row>
    <row r="1746" spans="1:10" ht="15.95" customHeight="1" x14ac:dyDescent="0.2">
      <c r="A1746" s="39"/>
      <c r="B1746" s="36"/>
      <c r="C1746" s="37"/>
      <c r="D1746" s="37"/>
      <c r="E1746" s="37"/>
      <c r="F1746" s="37"/>
      <c r="G1746" s="37"/>
      <c r="H1746" s="37"/>
      <c r="I1746" s="35"/>
      <c r="J1746" s="37"/>
    </row>
    <row r="1747" spans="1:10" ht="15.95" customHeight="1" x14ac:dyDescent="0.2">
      <c r="A1747" s="39"/>
      <c r="B1747" s="36"/>
      <c r="C1747" s="37"/>
      <c r="D1747" s="37"/>
      <c r="E1747" s="37"/>
      <c r="F1747" s="37"/>
      <c r="G1747" s="37"/>
      <c r="H1747" s="37"/>
      <c r="I1747" s="35"/>
      <c r="J1747" s="37"/>
    </row>
    <row r="1748" spans="1:10" ht="15.95" customHeight="1" x14ac:dyDescent="0.2">
      <c r="A1748" s="39"/>
      <c r="B1748" s="36"/>
      <c r="C1748" s="37"/>
      <c r="D1748" s="37"/>
      <c r="E1748" s="37"/>
      <c r="F1748" s="37"/>
      <c r="G1748" s="37"/>
      <c r="H1748" s="37"/>
      <c r="I1748" s="35"/>
      <c r="J1748" s="37"/>
    </row>
    <row r="1749" spans="1:10" ht="15.95" customHeight="1" x14ac:dyDescent="0.2">
      <c r="A1749" s="39"/>
      <c r="B1749" s="36"/>
      <c r="C1749" s="37"/>
      <c r="D1749" s="37"/>
      <c r="E1749" s="37"/>
      <c r="F1749" s="37"/>
      <c r="G1749" s="37"/>
      <c r="H1749" s="37"/>
      <c r="I1749" s="35"/>
      <c r="J1749" s="37"/>
    </row>
    <row r="1750" spans="1:10" ht="15.95" customHeight="1" x14ac:dyDescent="0.2">
      <c r="A1750" s="39"/>
      <c r="B1750" s="36"/>
      <c r="C1750" s="37"/>
      <c r="D1750" s="37"/>
      <c r="E1750" s="37"/>
      <c r="F1750" s="37"/>
      <c r="G1750" s="37"/>
      <c r="H1750" s="37"/>
      <c r="I1750" s="35"/>
      <c r="J1750" s="37"/>
    </row>
    <row r="1751" spans="1:10" ht="15.95" customHeight="1" x14ac:dyDescent="0.2">
      <c r="A1751" s="39"/>
      <c r="B1751" s="36"/>
      <c r="C1751" s="37"/>
      <c r="D1751" s="37"/>
      <c r="E1751" s="37"/>
      <c r="F1751" s="37"/>
      <c r="G1751" s="37"/>
      <c r="H1751" s="37"/>
      <c r="I1751" s="35"/>
      <c r="J1751" s="37"/>
    </row>
    <row r="1752" spans="1:10" ht="15.95" customHeight="1" x14ac:dyDescent="0.2">
      <c r="A1752" s="39"/>
      <c r="B1752" s="36"/>
      <c r="C1752" s="37"/>
      <c r="D1752" s="37"/>
      <c r="E1752" s="37"/>
      <c r="F1752" s="37"/>
      <c r="G1752" s="37"/>
      <c r="H1752" s="37"/>
      <c r="I1752" s="35"/>
      <c r="J1752" s="37"/>
    </row>
    <row r="1753" spans="1:10" ht="15.95" customHeight="1" x14ac:dyDescent="0.2">
      <c r="A1753" s="39"/>
      <c r="B1753" s="36"/>
      <c r="C1753" s="37"/>
      <c r="D1753" s="37"/>
      <c r="E1753" s="37"/>
      <c r="F1753" s="37"/>
      <c r="G1753" s="37"/>
      <c r="H1753" s="37"/>
      <c r="I1753" s="35"/>
      <c r="J1753" s="37"/>
    </row>
    <row r="1754" spans="1:10" ht="15.95" customHeight="1" x14ac:dyDescent="0.2">
      <c r="A1754" s="39"/>
      <c r="B1754" s="36"/>
      <c r="C1754" s="37"/>
      <c r="D1754" s="37"/>
      <c r="E1754" s="37"/>
      <c r="F1754" s="37"/>
      <c r="G1754" s="37"/>
      <c r="H1754" s="37"/>
      <c r="I1754" s="35"/>
      <c r="J1754" s="37"/>
    </row>
    <row r="1755" spans="1:10" ht="15.95" customHeight="1" x14ac:dyDescent="0.2">
      <c r="A1755" s="39"/>
      <c r="B1755" s="36"/>
      <c r="C1755" s="37"/>
      <c r="D1755" s="37"/>
      <c r="E1755" s="37"/>
      <c r="F1755" s="37"/>
      <c r="G1755" s="37"/>
      <c r="H1755" s="37"/>
      <c r="I1755" s="35"/>
      <c r="J1755" s="37"/>
    </row>
    <row r="1756" spans="1:10" ht="15.95" customHeight="1" x14ac:dyDescent="0.2">
      <c r="A1756" s="39"/>
      <c r="B1756" s="36"/>
      <c r="C1756" s="37"/>
      <c r="D1756" s="37"/>
      <c r="E1756" s="37"/>
      <c r="F1756" s="37"/>
      <c r="G1756" s="37"/>
      <c r="H1756" s="37"/>
      <c r="I1756" s="35"/>
      <c r="J1756" s="37"/>
    </row>
    <row r="1757" spans="1:10" ht="15.95" customHeight="1" x14ac:dyDescent="0.2">
      <c r="A1757" s="39"/>
      <c r="B1757" s="36"/>
      <c r="C1757" s="37"/>
      <c r="D1757" s="37"/>
      <c r="E1757" s="37"/>
      <c r="F1757" s="37"/>
      <c r="G1757" s="37"/>
      <c r="H1757" s="37"/>
      <c r="I1757" s="35"/>
      <c r="J1757" s="37"/>
    </row>
    <row r="1758" spans="1:10" ht="15.95" customHeight="1" x14ac:dyDescent="0.2">
      <c r="A1758" s="39"/>
      <c r="B1758" s="36"/>
      <c r="C1758" s="37"/>
      <c r="D1758" s="37"/>
      <c r="E1758" s="37"/>
      <c r="F1758" s="37"/>
      <c r="G1758" s="37"/>
      <c r="H1758" s="37"/>
      <c r="I1758" s="35"/>
      <c r="J1758" s="37"/>
    </row>
    <row r="1759" spans="1:10" ht="15.95" customHeight="1" x14ac:dyDescent="0.2">
      <c r="A1759" s="39"/>
      <c r="B1759" s="36"/>
      <c r="C1759" s="37"/>
      <c r="D1759" s="37"/>
      <c r="E1759" s="37"/>
      <c r="F1759" s="37"/>
      <c r="G1759" s="37"/>
      <c r="H1759" s="37"/>
      <c r="I1759" s="35"/>
      <c r="J1759" s="37"/>
    </row>
    <row r="1760" spans="1:10" ht="15.95" customHeight="1" x14ac:dyDescent="0.2">
      <c r="A1760" s="39"/>
      <c r="B1760" s="36"/>
      <c r="C1760" s="37"/>
      <c r="D1760" s="37"/>
      <c r="E1760" s="37"/>
      <c r="F1760" s="37"/>
      <c r="G1760" s="37"/>
      <c r="H1760" s="37"/>
      <c r="I1760" s="35"/>
      <c r="J1760" s="37"/>
    </row>
    <row r="1761" spans="1:10" ht="15.95" customHeight="1" x14ac:dyDescent="0.2">
      <c r="A1761" s="39"/>
      <c r="B1761" s="36"/>
      <c r="C1761" s="37"/>
      <c r="D1761" s="37"/>
      <c r="E1761" s="37"/>
      <c r="F1761" s="37"/>
      <c r="G1761" s="37"/>
      <c r="H1761" s="37"/>
      <c r="I1761" s="35"/>
      <c r="J1761" s="37"/>
    </row>
    <row r="1762" spans="1:10" ht="15.95" customHeight="1" x14ac:dyDescent="0.2">
      <c r="A1762" s="39"/>
      <c r="B1762" s="36"/>
      <c r="C1762" s="37"/>
      <c r="D1762" s="37"/>
      <c r="E1762" s="37"/>
      <c r="F1762" s="37"/>
      <c r="G1762" s="37"/>
      <c r="H1762" s="37"/>
      <c r="I1762" s="35"/>
      <c r="J1762" s="37"/>
    </row>
    <row r="1763" spans="1:10" ht="15.95" customHeight="1" x14ac:dyDescent="0.2">
      <c r="A1763" s="39"/>
      <c r="B1763" s="36"/>
      <c r="C1763" s="37"/>
      <c r="D1763" s="37"/>
      <c r="E1763" s="37"/>
      <c r="F1763" s="37"/>
      <c r="G1763" s="37"/>
      <c r="H1763" s="37"/>
      <c r="I1763" s="35"/>
      <c r="J1763" s="37"/>
    </row>
    <row r="1764" spans="1:10" ht="15.95" customHeight="1" x14ac:dyDescent="0.2">
      <c r="A1764" s="39"/>
      <c r="B1764" s="36"/>
      <c r="C1764" s="37"/>
      <c r="D1764" s="37"/>
      <c r="E1764" s="37"/>
      <c r="F1764" s="37"/>
      <c r="G1764" s="37"/>
      <c r="H1764" s="37"/>
      <c r="I1764" s="35"/>
      <c r="J1764" s="37"/>
    </row>
    <row r="1765" spans="1:10" ht="15.95" customHeight="1" x14ac:dyDescent="0.2">
      <c r="A1765" s="39"/>
      <c r="B1765" s="36"/>
      <c r="C1765" s="37"/>
      <c r="D1765" s="37"/>
      <c r="E1765" s="37"/>
      <c r="F1765" s="37"/>
      <c r="G1765" s="37"/>
      <c r="H1765" s="37"/>
      <c r="I1765" s="35"/>
      <c r="J1765" s="37"/>
    </row>
    <row r="1766" spans="1:10" ht="15.95" customHeight="1" x14ac:dyDescent="0.2">
      <c r="A1766" s="39"/>
      <c r="B1766" s="36"/>
      <c r="C1766" s="37"/>
      <c r="D1766" s="37"/>
      <c r="E1766" s="37"/>
      <c r="F1766" s="37"/>
      <c r="G1766" s="37"/>
      <c r="H1766" s="37"/>
      <c r="I1766" s="35"/>
      <c r="J1766" s="37"/>
    </row>
    <row r="1767" spans="1:10" ht="15.95" customHeight="1" x14ac:dyDescent="0.2">
      <c r="A1767" s="39"/>
      <c r="B1767" s="36"/>
      <c r="C1767" s="37"/>
      <c r="D1767" s="37"/>
      <c r="E1767" s="37"/>
      <c r="F1767" s="37"/>
      <c r="G1767" s="37"/>
      <c r="H1767" s="37"/>
      <c r="I1767" s="35"/>
      <c r="J1767" s="37"/>
    </row>
    <row r="1768" spans="1:10" ht="15.95" customHeight="1" x14ac:dyDescent="0.2">
      <c r="A1768" s="39"/>
      <c r="B1768" s="36"/>
      <c r="C1768" s="37"/>
      <c r="D1768" s="37"/>
      <c r="E1768" s="37"/>
      <c r="F1768" s="37"/>
      <c r="G1768" s="37"/>
      <c r="H1768" s="37"/>
      <c r="I1768" s="35"/>
      <c r="J1768" s="37"/>
    </row>
    <row r="1769" spans="1:10" ht="15.95" customHeight="1" x14ac:dyDescent="0.2">
      <c r="A1769" s="39"/>
      <c r="B1769" s="36"/>
      <c r="C1769" s="37"/>
      <c r="D1769" s="37"/>
      <c r="E1769" s="37"/>
      <c r="F1769" s="37"/>
      <c r="G1769" s="37"/>
      <c r="H1769" s="37"/>
      <c r="I1769" s="35"/>
      <c r="J1769" s="37"/>
    </row>
    <row r="1770" spans="1:10" ht="15.95" customHeight="1" x14ac:dyDescent="0.2">
      <c r="A1770" s="39"/>
      <c r="B1770" s="36"/>
      <c r="C1770" s="37"/>
      <c r="D1770" s="37"/>
      <c r="E1770" s="37"/>
      <c r="F1770" s="37"/>
      <c r="G1770" s="37"/>
      <c r="H1770" s="37"/>
      <c r="I1770" s="35"/>
      <c r="J1770" s="37"/>
    </row>
    <row r="1771" spans="1:10" ht="15.95" customHeight="1" x14ac:dyDescent="0.2">
      <c r="A1771" s="39"/>
      <c r="B1771" s="36"/>
      <c r="C1771" s="37"/>
      <c r="D1771" s="37"/>
      <c r="E1771" s="37"/>
      <c r="F1771" s="37"/>
      <c r="G1771" s="37"/>
      <c r="H1771" s="37"/>
      <c r="I1771" s="35"/>
      <c r="J1771" s="37"/>
    </row>
    <row r="1772" spans="1:10" ht="15.95" customHeight="1" x14ac:dyDescent="0.2">
      <c r="A1772" s="39"/>
      <c r="B1772" s="36"/>
      <c r="C1772" s="37"/>
      <c r="D1772" s="37"/>
      <c r="E1772" s="37"/>
      <c r="F1772" s="37"/>
      <c r="G1772" s="37"/>
      <c r="H1772" s="37"/>
      <c r="I1772" s="35"/>
      <c r="J1772" s="37"/>
    </row>
    <row r="1773" spans="1:10" ht="15.95" customHeight="1" x14ac:dyDescent="0.2">
      <c r="A1773" s="39"/>
      <c r="B1773" s="36"/>
      <c r="C1773" s="37"/>
      <c r="D1773" s="37"/>
      <c r="E1773" s="37"/>
      <c r="F1773" s="37"/>
      <c r="G1773" s="37"/>
      <c r="H1773" s="37"/>
      <c r="I1773" s="35"/>
      <c r="J1773" s="37"/>
    </row>
    <row r="1774" spans="1:10" ht="15.95" customHeight="1" x14ac:dyDescent="0.2">
      <c r="A1774" s="39"/>
      <c r="B1774" s="36"/>
      <c r="C1774" s="37"/>
      <c r="D1774" s="37"/>
      <c r="E1774" s="37"/>
      <c r="F1774" s="37"/>
      <c r="G1774" s="37"/>
      <c r="H1774" s="37"/>
      <c r="I1774" s="35"/>
      <c r="J1774" s="37"/>
    </row>
    <row r="1775" spans="1:10" ht="15.95" customHeight="1" x14ac:dyDescent="0.2">
      <c r="A1775" s="39"/>
      <c r="B1775" s="36"/>
      <c r="C1775" s="37"/>
      <c r="D1775" s="37"/>
      <c r="E1775" s="37"/>
      <c r="F1775" s="37"/>
      <c r="G1775" s="37"/>
      <c r="H1775" s="37"/>
      <c r="I1775" s="35"/>
      <c r="J1775" s="37"/>
    </row>
    <row r="1776" spans="1:10" ht="15.95" customHeight="1" x14ac:dyDescent="0.2">
      <c r="A1776" s="39"/>
      <c r="B1776" s="36"/>
      <c r="C1776" s="37"/>
      <c r="D1776" s="37"/>
      <c r="E1776" s="37"/>
      <c r="F1776" s="37"/>
      <c r="G1776" s="37"/>
      <c r="H1776" s="37"/>
      <c r="I1776" s="35"/>
      <c r="J1776" s="37"/>
    </row>
    <row r="1777" spans="1:10" ht="15.95" customHeight="1" x14ac:dyDescent="0.2">
      <c r="A1777" s="39"/>
      <c r="B1777" s="36"/>
      <c r="C1777" s="37"/>
      <c r="D1777" s="37"/>
      <c r="E1777" s="37"/>
      <c r="F1777" s="37"/>
      <c r="G1777" s="37"/>
      <c r="H1777" s="37"/>
      <c r="I1777" s="35"/>
      <c r="J1777" s="37"/>
    </row>
    <row r="1778" spans="1:10" ht="15.95" customHeight="1" x14ac:dyDescent="0.2">
      <c r="A1778" s="39"/>
      <c r="B1778" s="36"/>
      <c r="C1778" s="37"/>
      <c r="D1778" s="37"/>
      <c r="E1778" s="37"/>
      <c r="F1778" s="37"/>
      <c r="G1778" s="37"/>
      <c r="H1778" s="37"/>
      <c r="I1778" s="35"/>
      <c r="J1778" s="37"/>
    </row>
    <row r="1779" spans="1:10" ht="15.95" customHeight="1" x14ac:dyDescent="0.2">
      <c r="A1779" s="39"/>
      <c r="B1779" s="36"/>
      <c r="C1779" s="37"/>
      <c r="D1779" s="37"/>
      <c r="E1779" s="37"/>
      <c r="F1779" s="37"/>
      <c r="G1779" s="37"/>
      <c r="H1779" s="37"/>
      <c r="I1779" s="35"/>
      <c r="J1779" s="37"/>
    </row>
    <row r="1780" spans="1:10" ht="15.95" customHeight="1" x14ac:dyDescent="0.2">
      <c r="A1780" s="39"/>
      <c r="B1780" s="36"/>
      <c r="C1780" s="37"/>
      <c r="D1780" s="37"/>
      <c r="E1780" s="37"/>
      <c r="F1780" s="37"/>
      <c r="G1780" s="37"/>
      <c r="H1780" s="37"/>
      <c r="I1780" s="35"/>
      <c r="J1780" s="37"/>
    </row>
    <row r="1781" spans="1:10" ht="15.95" customHeight="1" x14ac:dyDescent="0.2">
      <c r="A1781" s="39"/>
      <c r="B1781" s="36"/>
      <c r="C1781" s="37"/>
      <c r="D1781" s="37"/>
      <c r="E1781" s="37"/>
      <c r="F1781" s="37"/>
      <c r="G1781" s="37"/>
      <c r="H1781" s="37"/>
      <c r="I1781" s="35"/>
      <c r="J1781" s="37"/>
    </row>
    <row r="1782" spans="1:10" ht="15.95" customHeight="1" x14ac:dyDescent="0.2">
      <c r="A1782" s="39"/>
      <c r="B1782" s="36"/>
      <c r="C1782" s="37"/>
      <c r="D1782" s="37"/>
      <c r="E1782" s="37"/>
      <c r="F1782" s="37"/>
      <c r="G1782" s="37"/>
      <c r="H1782" s="37"/>
      <c r="I1782" s="35"/>
      <c r="J1782" s="37"/>
    </row>
    <row r="1783" spans="1:10" ht="15.95" customHeight="1" x14ac:dyDescent="0.2">
      <c r="A1783" s="39"/>
      <c r="B1783" s="36"/>
      <c r="C1783" s="37"/>
      <c r="D1783" s="37"/>
      <c r="E1783" s="37"/>
      <c r="F1783" s="37"/>
      <c r="G1783" s="37"/>
      <c r="H1783" s="37"/>
      <c r="I1783" s="35"/>
      <c r="J1783" s="37"/>
    </row>
    <row r="1784" spans="1:10" ht="15.95" customHeight="1" x14ac:dyDescent="0.2">
      <c r="A1784" s="39"/>
      <c r="B1784" s="36"/>
      <c r="C1784" s="37"/>
      <c r="D1784" s="37"/>
      <c r="E1784" s="37"/>
      <c r="F1784" s="37"/>
      <c r="G1784" s="37"/>
      <c r="H1784" s="37"/>
      <c r="I1784" s="35"/>
      <c r="J1784" s="37"/>
    </row>
    <row r="1785" spans="1:10" ht="15.95" customHeight="1" x14ac:dyDescent="0.2">
      <c r="A1785" s="39"/>
      <c r="B1785" s="36"/>
      <c r="C1785" s="37"/>
      <c r="D1785" s="37"/>
      <c r="E1785" s="37"/>
      <c r="F1785" s="37"/>
      <c r="G1785" s="37"/>
      <c r="H1785" s="37"/>
      <c r="I1785" s="35"/>
      <c r="J1785" s="37"/>
    </row>
    <row r="1786" spans="1:10" ht="15.95" customHeight="1" x14ac:dyDescent="0.2">
      <c r="A1786" s="39"/>
      <c r="B1786" s="36"/>
      <c r="C1786" s="37"/>
      <c r="D1786" s="37"/>
      <c r="E1786" s="37"/>
      <c r="F1786" s="37"/>
      <c r="G1786" s="37"/>
      <c r="H1786" s="37"/>
      <c r="I1786" s="35"/>
      <c r="J1786" s="37"/>
    </row>
    <row r="1787" spans="1:10" ht="15.95" customHeight="1" x14ac:dyDescent="0.2">
      <c r="A1787" s="39"/>
      <c r="B1787" s="36"/>
      <c r="C1787" s="37"/>
      <c r="D1787" s="37"/>
      <c r="E1787" s="37"/>
      <c r="F1787" s="37"/>
      <c r="G1787" s="37"/>
      <c r="H1787" s="37"/>
      <c r="I1787" s="35"/>
      <c r="J1787" s="37"/>
    </row>
    <row r="1788" spans="1:10" ht="15.95" customHeight="1" x14ac:dyDescent="0.2">
      <c r="A1788" s="39"/>
      <c r="B1788" s="36"/>
      <c r="C1788" s="37"/>
      <c r="D1788" s="37"/>
      <c r="E1788" s="37"/>
      <c r="F1788" s="37"/>
      <c r="G1788" s="37"/>
      <c r="H1788" s="37"/>
      <c r="I1788" s="35"/>
      <c r="J1788" s="37"/>
    </row>
    <row r="1789" spans="1:10" ht="15.95" customHeight="1" x14ac:dyDescent="0.2">
      <c r="A1789" s="39"/>
      <c r="B1789" s="36"/>
      <c r="C1789" s="37"/>
      <c r="D1789" s="37"/>
      <c r="E1789" s="37"/>
      <c r="F1789" s="37"/>
      <c r="G1789" s="37"/>
      <c r="H1789" s="37"/>
      <c r="I1789" s="35"/>
      <c r="J1789" s="37"/>
    </row>
    <row r="1790" spans="1:10" ht="15.95" customHeight="1" x14ac:dyDescent="0.2">
      <c r="A1790" s="39"/>
      <c r="B1790" s="36"/>
      <c r="C1790" s="37"/>
      <c r="D1790" s="37"/>
      <c r="E1790" s="37"/>
      <c r="F1790" s="37"/>
      <c r="G1790" s="37"/>
      <c r="H1790" s="37"/>
      <c r="I1790" s="35"/>
      <c r="J1790" s="37"/>
    </row>
    <row r="1791" spans="1:10" ht="15.95" customHeight="1" x14ac:dyDescent="0.2">
      <c r="A1791" s="39"/>
      <c r="B1791" s="36"/>
      <c r="C1791" s="37"/>
      <c r="D1791" s="37"/>
      <c r="E1791" s="37"/>
      <c r="F1791" s="37"/>
      <c r="G1791" s="37"/>
      <c r="H1791" s="37"/>
      <c r="I1791" s="35"/>
      <c r="J1791" s="37"/>
    </row>
    <row r="1792" spans="1:10" ht="15.95" customHeight="1" x14ac:dyDescent="0.2">
      <c r="A1792" s="39"/>
      <c r="B1792" s="36"/>
      <c r="C1792" s="37"/>
      <c r="D1792" s="37"/>
      <c r="E1792" s="37"/>
      <c r="F1792" s="37"/>
      <c r="G1792" s="37"/>
      <c r="H1792" s="37"/>
      <c r="I1792" s="35"/>
      <c r="J1792" s="37"/>
    </row>
    <row r="1793" spans="1:10" ht="15.95" customHeight="1" x14ac:dyDescent="0.2">
      <c r="A1793" s="39"/>
      <c r="B1793" s="36"/>
      <c r="C1793" s="37"/>
      <c r="D1793" s="37"/>
      <c r="E1793" s="37"/>
      <c r="F1793" s="37"/>
      <c r="G1793" s="37"/>
      <c r="H1793" s="37"/>
      <c r="I1793" s="35"/>
      <c r="J1793" s="37"/>
    </row>
    <row r="1794" spans="1:10" ht="15.95" customHeight="1" x14ac:dyDescent="0.2">
      <c r="A1794" s="39"/>
      <c r="B1794" s="36"/>
      <c r="C1794" s="37"/>
      <c r="D1794" s="37"/>
      <c r="E1794" s="37"/>
      <c r="F1794" s="37"/>
      <c r="G1794" s="37"/>
      <c r="H1794" s="37"/>
      <c r="I1794" s="35"/>
      <c r="J1794" s="37"/>
    </row>
    <row r="1795" spans="1:10" ht="15.95" customHeight="1" x14ac:dyDescent="0.2">
      <c r="A1795" s="39"/>
      <c r="B1795" s="36"/>
      <c r="C1795" s="37"/>
      <c r="D1795" s="37"/>
      <c r="E1795" s="37"/>
      <c r="F1795" s="37"/>
      <c r="G1795" s="37"/>
      <c r="H1795" s="37"/>
      <c r="I1795" s="35"/>
      <c r="J1795" s="37"/>
    </row>
    <row r="1796" spans="1:10" ht="15.95" customHeight="1" x14ac:dyDescent="0.2">
      <c r="A1796" s="39"/>
      <c r="B1796" s="36"/>
      <c r="C1796" s="37"/>
      <c r="D1796" s="37"/>
      <c r="E1796" s="37"/>
      <c r="F1796" s="37"/>
      <c r="G1796" s="37"/>
      <c r="H1796" s="37"/>
      <c r="I1796" s="35"/>
      <c r="J1796" s="37"/>
    </row>
    <row r="1797" spans="1:10" ht="15.95" customHeight="1" x14ac:dyDescent="0.2">
      <c r="A1797" s="39"/>
      <c r="B1797" s="36"/>
      <c r="C1797" s="37"/>
      <c r="D1797" s="37"/>
      <c r="E1797" s="37"/>
      <c r="F1797" s="37"/>
      <c r="G1797" s="37"/>
      <c r="H1797" s="37"/>
      <c r="I1797" s="35"/>
      <c r="J1797" s="37"/>
    </row>
    <row r="1798" spans="1:10" ht="15.95" customHeight="1" x14ac:dyDescent="0.2">
      <c r="A1798" s="39"/>
      <c r="B1798" s="36"/>
      <c r="C1798" s="37"/>
      <c r="D1798" s="37"/>
      <c r="E1798" s="37"/>
      <c r="F1798" s="37"/>
      <c r="G1798" s="37"/>
      <c r="H1798" s="37"/>
      <c r="I1798" s="35"/>
      <c r="J1798" s="37"/>
    </row>
    <row r="1799" spans="1:10" ht="15.95" customHeight="1" x14ac:dyDescent="0.2">
      <c r="A1799" s="39"/>
      <c r="B1799" s="36"/>
      <c r="C1799" s="37"/>
      <c r="D1799" s="37"/>
      <c r="E1799" s="37"/>
      <c r="F1799" s="37"/>
      <c r="G1799" s="37"/>
      <c r="H1799" s="37"/>
      <c r="I1799" s="35"/>
      <c r="J1799" s="37"/>
    </row>
    <row r="1800" spans="1:10" ht="15.95" customHeight="1" x14ac:dyDescent="0.2">
      <c r="A1800" s="39"/>
      <c r="B1800" s="36"/>
      <c r="C1800" s="37"/>
      <c r="D1800" s="37"/>
      <c r="E1800" s="37"/>
      <c r="F1800" s="37"/>
      <c r="G1800" s="37"/>
      <c r="H1800" s="37"/>
      <c r="I1800" s="35"/>
      <c r="J1800" s="37"/>
    </row>
    <row r="1801" spans="1:10" ht="15.95" customHeight="1" x14ac:dyDescent="0.2">
      <c r="A1801" s="39"/>
      <c r="B1801" s="36"/>
      <c r="C1801" s="37"/>
      <c r="D1801" s="37"/>
      <c r="E1801" s="37"/>
      <c r="F1801" s="37"/>
      <c r="G1801" s="37"/>
      <c r="H1801" s="37"/>
      <c r="I1801" s="35"/>
      <c r="J1801" s="37"/>
    </row>
    <row r="1802" spans="1:10" ht="15.95" customHeight="1" x14ac:dyDescent="0.2">
      <c r="A1802" s="39"/>
      <c r="B1802" s="36"/>
      <c r="C1802" s="37"/>
      <c r="D1802" s="37"/>
      <c r="E1802" s="37"/>
      <c r="F1802" s="37"/>
      <c r="G1802" s="37"/>
      <c r="H1802" s="37"/>
      <c r="I1802" s="35"/>
      <c r="J1802" s="37"/>
    </row>
    <row r="1803" spans="1:10" ht="15.95" customHeight="1" x14ac:dyDescent="0.2">
      <c r="A1803" s="39"/>
      <c r="B1803" s="36"/>
      <c r="C1803" s="37"/>
      <c r="D1803" s="37"/>
      <c r="E1803" s="37"/>
      <c r="F1803" s="37"/>
      <c r="G1803" s="37"/>
      <c r="H1803" s="37"/>
      <c r="I1803" s="35"/>
      <c r="J1803" s="37"/>
    </row>
    <row r="1804" spans="1:10" ht="15.95" customHeight="1" x14ac:dyDescent="0.2">
      <c r="A1804" s="39"/>
      <c r="B1804" s="36"/>
      <c r="C1804" s="37"/>
      <c r="D1804" s="37"/>
      <c r="E1804" s="37"/>
      <c r="F1804" s="37"/>
      <c r="G1804" s="37"/>
      <c r="H1804" s="37"/>
      <c r="I1804" s="35"/>
      <c r="J1804" s="37"/>
    </row>
    <row r="1805" spans="1:10" ht="15.95" customHeight="1" x14ac:dyDescent="0.2">
      <c r="A1805" s="39"/>
      <c r="B1805" s="36"/>
      <c r="C1805" s="37"/>
      <c r="D1805" s="37"/>
      <c r="E1805" s="37"/>
      <c r="F1805" s="37"/>
      <c r="G1805" s="37"/>
      <c r="H1805" s="37"/>
      <c r="I1805" s="35"/>
      <c r="J1805" s="37"/>
    </row>
    <row r="1806" spans="1:10" ht="15.95" customHeight="1" x14ac:dyDescent="0.2">
      <c r="A1806" s="39"/>
      <c r="B1806" s="36"/>
      <c r="C1806" s="37"/>
      <c r="D1806" s="37"/>
      <c r="E1806" s="37"/>
      <c r="F1806" s="37"/>
      <c r="G1806" s="37"/>
      <c r="H1806" s="37"/>
      <c r="I1806" s="35"/>
      <c r="J1806" s="37"/>
    </row>
    <row r="1807" spans="1:10" ht="15.95" customHeight="1" x14ac:dyDescent="0.2">
      <c r="A1807" s="39"/>
      <c r="B1807" s="36"/>
      <c r="C1807" s="37"/>
      <c r="D1807" s="37"/>
      <c r="E1807" s="37"/>
      <c r="F1807" s="37"/>
      <c r="G1807" s="37"/>
      <c r="H1807" s="37"/>
      <c r="I1807" s="35"/>
      <c r="J1807" s="37"/>
    </row>
    <row r="1808" spans="1:10" ht="15.95" customHeight="1" x14ac:dyDescent="0.2">
      <c r="A1808" s="39"/>
      <c r="B1808" s="36"/>
      <c r="C1808" s="37"/>
      <c r="D1808" s="37"/>
      <c r="E1808" s="37"/>
      <c r="F1808" s="37"/>
      <c r="G1808" s="37"/>
      <c r="H1808" s="37"/>
      <c r="I1808" s="35"/>
      <c r="J1808" s="37"/>
    </row>
    <row r="1809" spans="1:10" ht="15.95" customHeight="1" x14ac:dyDescent="0.2">
      <c r="A1809" s="39"/>
      <c r="B1809" s="36"/>
      <c r="C1809" s="37"/>
      <c r="D1809" s="37"/>
      <c r="E1809" s="37"/>
      <c r="F1809" s="37"/>
      <c r="G1809" s="37"/>
      <c r="H1809" s="37"/>
      <c r="I1809" s="35"/>
      <c r="J1809" s="37"/>
    </row>
    <row r="1810" spans="1:10" ht="15.95" customHeight="1" x14ac:dyDescent="0.2">
      <c r="A1810" s="39"/>
      <c r="B1810" s="36"/>
      <c r="C1810" s="37"/>
      <c r="D1810" s="37"/>
      <c r="E1810" s="37"/>
      <c r="F1810" s="37"/>
      <c r="G1810" s="37"/>
      <c r="H1810" s="37"/>
      <c r="I1810" s="35"/>
      <c r="J1810" s="37"/>
    </row>
    <row r="1811" spans="1:10" ht="15.95" customHeight="1" x14ac:dyDescent="0.2">
      <c r="A1811" s="39"/>
      <c r="B1811" s="36"/>
      <c r="C1811" s="37"/>
      <c r="D1811" s="37"/>
      <c r="E1811" s="37"/>
      <c r="F1811" s="37"/>
      <c r="G1811" s="37"/>
      <c r="H1811" s="37"/>
      <c r="I1811" s="35"/>
      <c r="J1811" s="37"/>
    </row>
    <row r="1812" spans="1:10" ht="15.95" customHeight="1" x14ac:dyDescent="0.2">
      <c r="A1812" s="39"/>
      <c r="B1812" s="36"/>
      <c r="C1812" s="37"/>
      <c r="D1812" s="37"/>
      <c r="E1812" s="37"/>
      <c r="F1812" s="37"/>
      <c r="G1812" s="37"/>
      <c r="H1812" s="37"/>
      <c r="I1812" s="35"/>
      <c r="J1812" s="37"/>
    </row>
    <row r="1813" spans="1:10" ht="15.95" customHeight="1" x14ac:dyDescent="0.2">
      <c r="A1813" s="39"/>
      <c r="B1813" s="36"/>
      <c r="C1813" s="37"/>
      <c r="D1813" s="37"/>
      <c r="E1813" s="37"/>
      <c r="F1813" s="37"/>
      <c r="G1813" s="37"/>
      <c r="H1813" s="37"/>
      <c r="I1813" s="35"/>
      <c r="J1813" s="37"/>
    </row>
    <row r="1814" spans="1:10" ht="15.95" customHeight="1" x14ac:dyDescent="0.2">
      <c r="A1814" s="39"/>
      <c r="B1814" s="36"/>
      <c r="C1814" s="37"/>
      <c r="D1814" s="37"/>
      <c r="E1814" s="37"/>
      <c r="F1814" s="37"/>
      <c r="G1814" s="37"/>
      <c r="H1814" s="37"/>
      <c r="I1814" s="35"/>
      <c r="J1814" s="37"/>
    </row>
    <row r="1815" spans="1:10" ht="15.95" customHeight="1" x14ac:dyDescent="0.2">
      <c r="A1815" s="39"/>
      <c r="B1815" s="36"/>
      <c r="C1815" s="37"/>
      <c r="D1815" s="37"/>
      <c r="E1815" s="37"/>
      <c r="F1815" s="37"/>
      <c r="G1815" s="37"/>
      <c r="H1815" s="37"/>
      <c r="I1815" s="35"/>
      <c r="J1815" s="37"/>
    </row>
    <row r="1816" spans="1:10" ht="15.95" customHeight="1" x14ac:dyDescent="0.2">
      <c r="A1816" s="39"/>
      <c r="B1816" s="36"/>
      <c r="C1816" s="37"/>
      <c r="D1816" s="37"/>
      <c r="E1816" s="37"/>
      <c r="F1816" s="37"/>
      <c r="G1816" s="37"/>
      <c r="H1816" s="37"/>
      <c r="I1816" s="35"/>
      <c r="J1816" s="37"/>
    </row>
    <row r="1817" spans="1:10" ht="15.95" customHeight="1" x14ac:dyDescent="0.2">
      <c r="A1817" s="39"/>
      <c r="B1817" s="36"/>
      <c r="C1817" s="37"/>
      <c r="D1817" s="37"/>
      <c r="E1817" s="37"/>
      <c r="F1817" s="37"/>
      <c r="G1817" s="37"/>
      <c r="H1817" s="37"/>
      <c r="I1817" s="35"/>
      <c r="J1817" s="37"/>
    </row>
    <row r="1818" spans="1:10" ht="15.95" customHeight="1" x14ac:dyDescent="0.2">
      <c r="A1818" s="39"/>
      <c r="B1818" s="36"/>
      <c r="C1818" s="37"/>
      <c r="D1818" s="37"/>
      <c r="E1818" s="37"/>
      <c r="F1818" s="37"/>
      <c r="G1818" s="37"/>
      <c r="H1818" s="37"/>
      <c r="I1818" s="35"/>
      <c r="J1818" s="37"/>
    </row>
    <row r="1819" spans="1:10" ht="15.95" customHeight="1" x14ac:dyDescent="0.2">
      <c r="A1819" s="39"/>
      <c r="B1819" s="36"/>
      <c r="C1819" s="37"/>
      <c r="D1819" s="37"/>
      <c r="E1819" s="37"/>
      <c r="F1819" s="37"/>
      <c r="G1819" s="37"/>
      <c r="H1819" s="37"/>
      <c r="I1819" s="35"/>
      <c r="J1819" s="37"/>
    </row>
    <row r="1820" spans="1:10" ht="15.95" customHeight="1" x14ac:dyDescent="0.2">
      <c r="A1820" s="39"/>
      <c r="B1820" s="36"/>
      <c r="C1820" s="37"/>
      <c r="D1820" s="37"/>
      <c r="E1820" s="37"/>
      <c r="F1820" s="37"/>
      <c r="G1820" s="37"/>
      <c r="H1820" s="37"/>
      <c r="I1820" s="35"/>
      <c r="J1820" s="37"/>
    </row>
    <row r="1821" spans="1:10" ht="15.95" customHeight="1" x14ac:dyDescent="0.2">
      <c r="A1821" s="39"/>
      <c r="B1821" s="36"/>
      <c r="C1821" s="37"/>
      <c r="D1821" s="37"/>
      <c r="E1821" s="37"/>
      <c r="F1821" s="37"/>
      <c r="G1821" s="37"/>
      <c r="H1821" s="37"/>
      <c r="I1821" s="35"/>
      <c r="J1821" s="37"/>
    </row>
    <row r="1822" spans="1:10" ht="15.95" customHeight="1" x14ac:dyDescent="0.2">
      <c r="A1822" s="39"/>
      <c r="B1822" s="36"/>
      <c r="C1822" s="37"/>
      <c r="D1822" s="37"/>
      <c r="E1822" s="37"/>
      <c r="F1822" s="37"/>
      <c r="G1822" s="37"/>
      <c r="H1822" s="37"/>
      <c r="I1822" s="35"/>
      <c r="J1822" s="37"/>
    </row>
    <row r="1823" spans="1:10" ht="15.95" customHeight="1" x14ac:dyDescent="0.2">
      <c r="A1823" s="39"/>
      <c r="B1823" s="36"/>
      <c r="C1823" s="37"/>
      <c r="D1823" s="37"/>
      <c r="E1823" s="37"/>
      <c r="F1823" s="37"/>
      <c r="G1823" s="37"/>
      <c r="H1823" s="37"/>
      <c r="I1823" s="35"/>
      <c r="J1823" s="37"/>
    </row>
    <row r="1824" spans="1:10" ht="15.95" customHeight="1" x14ac:dyDescent="0.2">
      <c r="A1824" s="39"/>
      <c r="B1824" s="36"/>
      <c r="C1824" s="37"/>
      <c r="D1824" s="37"/>
      <c r="E1824" s="37"/>
      <c r="F1824" s="37"/>
      <c r="G1824" s="37"/>
      <c r="H1824" s="37"/>
      <c r="I1824" s="35"/>
      <c r="J1824" s="37"/>
    </row>
    <row r="1825" spans="1:10" ht="15.95" customHeight="1" x14ac:dyDescent="0.2">
      <c r="A1825" s="39"/>
      <c r="B1825" s="36"/>
      <c r="C1825" s="37"/>
      <c r="D1825" s="37"/>
      <c r="E1825" s="37"/>
      <c r="F1825" s="37"/>
      <c r="G1825" s="37"/>
      <c r="H1825" s="37"/>
      <c r="I1825" s="35"/>
      <c r="J1825" s="37"/>
    </row>
    <row r="1826" spans="1:10" ht="15.95" customHeight="1" x14ac:dyDescent="0.2">
      <c r="A1826" s="39"/>
      <c r="B1826" s="36"/>
      <c r="C1826" s="37"/>
      <c r="D1826" s="37"/>
      <c r="E1826" s="37"/>
      <c r="F1826" s="37"/>
      <c r="G1826" s="37"/>
      <c r="H1826" s="37"/>
      <c r="I1826" s="35"/>
      <c r="J1826" s="37"/>
    </row>
    <row r="1827" spans="1:10" ht="15.95" customHeight="1" x14ac:dyDescent="0.2">
      <c r="A1827" s="39"/>
      <c r="B1827" s="36"/>
      <c r="C1827" s="37"/>
      <c r="D1827" s="37"/>
      <c r="E1827" s="37"/>
      <c r="F1827" s="37"/>
      <c r="G1827" s="37"/>
      <c r="H1827" s="37"/>
      <c r="I1827" s="35"/>
      <c r="J1827" s="37"/>
    </row>
    <row r="1828" spans="1:10" ht="15.95" customHeight="1" x14ac:dyDescent="0.2">
      <c r="A1828" s="39"/>
      <c r="B1828" s="36"/>
      <c r="C1828" s="37"/>
      <c r="D1828" s="37"/>
      <c r="E1828" s="37"/>
      <c r="F1828" s="37"/>
      <c r="G1828" s="37"/>
      <c r="H1828" s="37"/>
      <c r="I1828" s="35"/>
      <c r="J1828" s="37"/>
    </row>
    <row r="1829" spans="1:10" ht="15.95" customHeight="1" x14ac:dyDescent="0.2">
      <c r="A1829" s="39"/>
      <c r="B1829" s="36"/>
      <c r="C1829" s="37"/>
      <c r="D1829" s="37"/>
      <c r="E1829" s="37"/>
      <c r="F1829" s="37"/>
      <c r="G1829" s="37"/>
      <c r="H1829" s="37"/>
      <c r="I1829" s="35"/>
      <c r="J1829" s="37"/>
    </row>
    <row r="1830" spans="1:10" ht="15.95" customHeight="1" x14ac:dyDescent="0.2">
      <c r="A1830" s="39"/>
      <c r="B1830" s="36"/>
      <c r="C1830" s="37"/>
      <c r="D1830" s="37"/>
      <c r="E1830" s="37"/>
      <c r="F1830" s="37"/>
      <c r="G1830" s="37"/>
      <c r="H1830" s="37"/>
      <c r="I1830" s="35"/>
      <c r="J1830" s="37"/>
    </row>
    <row r="1831" spans="1:10" ht="15.95" customHeight="1" x14ac:dyDescent="0.2">
      <c r="A1831" s="39"/>
      <c r="B1831" s="36"/>
      <c r="C1831" s="37"/>
      <c r="D1831" s="37"/>
      <c r="E1831" s="37"/>
      <c r="F1831" s="37"/>
      <c r="G1831" s="37"/>
      <c r="H1831" s="37"/>
      <c r="I1831" s="35"/>
      <c r="J1831" s="37"/>
    </row>
    <row r="1832" spans="1:10" ht="15.95" customHeight="1" x14ac:dyDescent="0.2">
      <c r="A1832" s="39"/>
      <c r="B1832" s="36"/>
      <c r="C1832" s="37"/>
      <c r="D1832" s="37"/>
      <c r="E1832" s="37"/>
      <c r="F1832" s="37"/>
      <c r="G1832" s="37"/>
      <c r="H1832" s="37"/>
      <c r="I1832" s="35"/>
      <c r="J1832" s="37"/>
    </row>
    <row r="1833" spans="1:10" ht="15.95" customHeight="1" x14ac:dyDescent="0.2">
      <c r="A1833" s="39"/>
      <c r="B1833" s="36"/>
      <c r="C1833" s="37"/>
      <c r="D1833" s="37"/>
      <c r="E1833" s="37"/>
      <c r="F1833" s="37"/>
      <c r="G1833" s="37"/>
      <c r="H1833" s="37"/>
      <c r="I1833" s="35"/>
      <c r="J1833" s="37"/>
    </row>
    <row r="1834" spans="1:10" ht="15.95" customHeight="1" x14ac:dyDescent="0.2">
      <c r="A1834" s="39"/>
      <c r="B1834" s="36"/>
      <c r="C1834" s="37"/>
      <c r="D1834" s="37"/>
      <c r="E1834" s="37"/>
      <c r="F1834" s="37"/>
      <c r="G1834" s="37"/>
      <c r="H1834" s="37"/>
      <c r="I1834" s="35"/>
      <c r="J1834" s="37"/>
    </row>
    <row r="1835" spans="1:10" ht="15.95" customHeight="1" x14ac:dyDescent="0.2">
      <c r="A1835" s="39"/>
      <c r="B1835" s="36"/>
      <c r="C1835" s="37"/>
      <c r="D1835" s="37"/>
      <c r="E1835" s="37"/>
      <c r="F1835" s="37"/>
      <c r="G1835" s="37"/>
      <c r="H1835" s="37"/>
      <c r="I1835" s="35"/>
      <c r="J1835" s="37"/>
    </row>
    <row r="1836" spans="1:10" ht="15.95" customHeight="1" x14ac:dyDescent="0.2">
      <c r="A1836" s="39"/>
      <c r="B1836" s="36"/>
      <c r="C1836" s="37"/>
      <c r="D1836" s="37"/>
      <c r="E1836" s="37"/>
      <c r="F1836" s="37"/>
      <c r="G1836" s="37"/>
      <c r="H1836" s="37"/>
      <c r="I1836" s="35"/>
      <c r="J1836" s="37"/>
    </row>
    <row r="1837" spans="1:10" ht="15.95" customHeight="1" x14ac:dyDescent="0.2">
      <c r="A1837" s="39"/>
      <c r="B1837" s="36"/>
      <c r="C1837" s="37"/>
      <c r="D1837" s="37"/>
      <c r="E1837" s="37"/>
      <c r="F1837" s="37"/>
      <c r="G1837" s="37"/>
      <c r="H1837" s="37"/>
      <c r="I1837" s="35"/>
      <c r="J1837" s="37"/>
    </row>
    <row r="1838" spans="1:10" ht="15.95" customHeight="1" x14ac:dyDescent="0.2">
      <c r="A1838" s="39"/>
      <c r="B1838" s="36"/>
      <c r="C1838" s="37"/>
      <c r="D1838" s="37"/>
      <c r="E1838" s="37"/>
      <c r="F1838" s="37"/>
      <c r="G1838" s="37"/>
      <c r="H1838" s="37"/>
      <c r="I1838" s="35"/>
      <c r="J1838" s="37"/>
    </row>
    <row r="1839" spans="1:10" ht="15.95" customHeight="1" x14ac:dyDescent="0.2">
      <c r="A1839" s="39"/>
      <c r="B1839" s="36"/>
      <c r="C1839" s="37"/>
      <c r="D1839" s="37"/>
      <c r="E1839" s="37"/>
      <c r="F1839" s="37"/>
      <c r="G1839" s="37"/>
      <c r="H1839" s="37"/>
      <c r="I1839" s="35"/>
      <c r="J1839" s="37"/>
    </row>
    <row r="1840" spans="1:10" ht="15.95" customHeight="1" x14ac:dyDescent="0.2">
      <c r="A1840" s="39"/>
      <c r="B1840" s="36"/>
      <c r="C1840" s="37"/>
      <c r="D1840" s="37"/>
      <c r="E1840" s="37"/>
      <c r="F1840" s="37"/>
      <c r="G1840" s="37"/>
      <c r="H1840" s="37"/>
      <c r="I1840" s="35"/>
      <c r="J1840" s="37"/>
    </row>
    <row r="1841" spans="1:10" ht="15.95" customHeight="1" x14ac:dyDescent="0.2">
      <c r="A1841" s="39"/>
      <c r="B1841" s="36"/>
      <c r="C1841" s="37"/>
      <c r="D1841" s="37"/>
      <c r="E1841" s="37"/>
      <c r="F1841" s="37"/>
      <c r="G1841" s="37"/>
      <c r="H1841" s="37"/>
      <c r="I1841" s="35"/>
      <c r="J1841" s="37"/>
    </row>
    <row r="1842" spans="1:10" ht="15.95" customHeight="1" x14ac:dyDescent="0.2">
      <c r="A1842" s="39"/>
      <c r="B1842" s="36"/>
      <c r="C1842" s="37"/>
      <c r="D1842" s="37"/>
      <c r="E1842" s="37"/>
      <c r="F1842" s="37"/>
      <c r="G1842" s="37"/>
      <c r="H1842" s="37"/>
      <c r="I1842" s="35"/>
      <c r="J1842" s="37"/>
    </row>
    <row r="1843" spans="1:10" ht="15.95" customHeight="1" x14ac:dyDescent="0.2">
      <c r="A1843" s="39"/>
      <c r="B1843" s="36"/>
      <c r="C1843" s="37"/>
      <c r="D1843" s="37"/>
      <c r="E1843" s="37"/>
      <c r="F1843" s="37"/>
      <c r="G1843" s="37"/>
      <c r="H1843" s="37"/>
      <c r="I1843" s="35"/>
      <c r="J1843" s="37"/>
    </row>
    <row r="1844" spans="1:10" ht="15.95" customHeight="1" x14ac:dyDescent="0.2">
      <c r="A1844" s="39"/>
      <c r="B1844" s="36"/>
      <c r="C1844" s="37"/>
      <c r="D1844" s="37"/>
      <c r="E1844" s="37"/>
      <c r="F1844" s="37"/>
      <c r="G1844" s="37"/>
      <c r="H1844" s="37"/>
      <c r="I1844" s="35"/>
      <c r="J1844" s="37"/>
    </row>
    <row r="1845" spans="1:10" ht="15.95" customHeight="1" x14ac:dyDescent="0.2">
      <c r="A1845" s="39"/>
      <c r="B1845" s="36"/>
      <c r="C1845" s="37"/>
      <c r="D1845" s="37"/>
      <c r="E1845" s="37"/>
      <c r="F1845" s="37"/>
      <c r="G1845" s="37"/>
      <c r="H1845" s="37"/>
      <c r="I1845" s="35"/>
      <c r="J1845" s="37"/>
    </row>
    <row r="1846" spans="1:10" ht="15.95" customHeight="1" x14ac:dyDescent="0.2">
      <c r="A1846" s="39"/>
      <c r="B1846" s="36"/>
      <c r="C1846" s="37"/>
      <c r="D1846" s="37"/>
      <c r="E1846" s="37"/>
      <c r="F1846" s="37"/>
      <c r="G1846" s="37"/>
      <c r="H1846" s="37"/>
      <c r="I1846" s="35"/>
      <c r="J1846" s="37"/>
    </row>
    <row r="1847" spans="1:10" ht="15.95" customHeight="1" x14ac:dyDescent="0.2">
      <c r="A1847" s="39"/>
      <c r="B1847" s="36"/>
      <c r="C1847" s="37"/>
      <c r="D1847" s="37"/>
      <c r="E1847" s="37"/>
      <c r="F1847" s="37"/>
      <c r="G1847" s="37"/>
      <c r="H1847" s="37"/>
      <c r="I1847" s="35"/>
      <c r="J1847" s="37"/>
    </row>
    <row r="1848" spans="1:10" ht="15.95" customHeight="1" x14ac:dyDescent="0.2">
      <c r="A1848" s="39"/>
      <c r="B1848" s="36"/>
      <c r="C1848" s="37"/>
      <c r="D1848" s="37"/>
      <c r="E1848" s="37"/>
      <c r="F1848" s="37"/>
      <c r="G1848" s="37"/>
      <c r="H1848" s="37"/>
      <c r="I1848" s="35"/>
      <c r="J1848" s="37"/>
    </row>
    <row r="1849" spans="1:10" ht="15.95" customHeight="1" x14ac:dyDescent="0.2">
      <c r="A1849" s="39"/>
      <c r="B1849" s="36"/>
      <c r="C1849" s="37"/>
      <c r="D1849" s="37"/>
      <c r="E1849" s="37"/>
      <c r="F1849" s="37"/>
      <c r="G1849" s="37"/>
      <c r="H1849" s="37"/>
      <c r="I1849" s="35"/>
      <c r="J1849" s="37"/>
    </row>
    <row r="1850" spans="1:10" ht="15.95" customHeight="1" x14ac:dyDescent="0.2">
      <c r="A1850" s="39"/>
      <c r="B1850" s="36"/>
      <c r="C1850" s="37"/>
      <c r="D1850" s="37"/>
      <c r="E1850" s="37"/>
      <c r="F1850" s="37"/>
      <c r="G1850" s="37"/>
      <c r="H1850" s="37"/>
      <c r="I1850" s="35"/>
      <c r="J1850" s="37"/>
    </row>
    <row r="1851" spans="1:10" ht="15.95" customHeight="1" x14ac:dyDescent="0.2">
      <c r="A1851" s="39"/>
      <c r="B1851" s="36"/>
      <c r="C1851" s="37"/>
      <c r="D1851" s="37"/>
      <c r="E1851" s="37"/>
      <c r="F1851" s="37"/>
      <c r="G1851" s="37"/>
      <c r="H1851" s="37"/>
      <c r="I1851" s="35"/>
      <c r="J1851" s="37"/>
    </row>
    <row r="1852" spans="1:10" ht="15.95" customHeight="1" x14ac:dyDescent="0.2">
      <c r="A1852" s="39"/>
      <c r="B1852" s="36"/>
      <c r="C1852" s="37"/>
      <c r="D1852" s="37"/>
      <c r="E1852" s="37"/>
      <c r="F1852" s="37"/>
      <c r="G1852" s="37"/>
      <c r="H1852" s="37"/>
      <c r="I1852" s="35"/>
      <c r="J1852" s="37"/>
    </row>
    <row r="1853" spans="1:10" ht="15.95" customHeight="1" x14ac:dyDescent="0.2">
      <c r="A1853" s="39"/>
      <c r="B1853" s="36"/>
      <c r="C1853" s="37"/>
      <c r="D1853" s="37"/>
      <c r="E1853" s="37"/>
      <c r="F1853" s="37"/>
      <c r="G1853" s="37"/>
      <c r="H1853" s="37"/>
      <c r="I1853" s="35"/>
      <c r="J1853" s="37"/>
    </row>
    <row r="1854" spans="1:10" ht="15.95" customHeight="1" x14ac:dyDescent="0.2">
      <c r="A1854" s="39"/>
      <c r="B1854" s="36"/>
      <c r="C1854" s="37"/>
      <c r="D1854" s="37"/>
      <c r="E1854" s="37"/>
      <c r="F1854" s="37"/>
      <c r="G1854" s="37"/>
      <c r="H1854" s="37"/>
      <c r="I1854" s="35"/>
      <c r="J1854" s="37"/>
    </row>
    <row r="1855" spans="1:10" ht="15.95" customHeight="1" x14ac:dyDescent="0.2">
      <c r="A1855" s="39"/>
      <c r="B1855" s="36"/>
      <c r="C1855" s="37"/>
      <c r="D1855" s="37"/>
      <c r="E1855" s="37"/>
      <c r="F1855" s="37"/>
      <c r="G1855" s="37"/>
      <c r="H1855" s="37"/>
      <c r="I1855" s="35"/>
      <c r="J1855" s="37"/>
    </row>
    <row r="1856" spans="1:10" ht="15.95" customHeight="1" x14ac:dyDescent="0.2">
      <c r="A1856" s="39"/>
      <c r="B1856" s="36"/>
      <c r="C1856" s="37"/>
      <c r="D1856" s="37"/>
      <c r="E1856" s="37"/>
      <c r="F1856" s="37"/>
      <c r="G1856" s="37"/>
      <c r="H1856" s="37"/>
      <c r="I1856" s="35"/>
      <c r="J1856" s="37"/>
    </row>
    <row r="1857" spans="1:10" ht="15.95" customHeight="1" x14ac:dyDescent="0.2">
      <c r="A1857" s="39"/>
      <c r="B1857" s="36"/>
      <c r="C1857" s="37"/>
      <c r="D1857" s="37"/>
      <c r="E1857" s="37"/>
      <c r="F1857" s="37"/>
      <c r="G1857" s="37"/>
      <c r="H1857" s="37"/>
      <c r="I1857" s="35"/>
      <c r="J1857" s="37"/>
    </row>
    <row r="1858" spans="1:10" ht="15.95" customHeight="1" x14ac:dyDescent="0.2">
      <c r="A1858" s="39"/>
      <c r="B1858" s="36"/>
      <c r="C1858" s="37"/>
      <c r="D1858" s="37"/>
      <c r="E1858" s="37"/>
      <c r="F1858" s="37"/>
      <c r="G1858" s="37"/>
      <c r="H1858" s="37"/>
      <c r="I1858" s="35"/>
      <c r="J1858" s="37"/>
    </row>
    <row r="1859" spans="1:10" ht="15.95" customHeight="1" x14ac:dyDescent="0.2">
      <c r="A1859" s="39"/>
      <c r="B1859" s="36"/>
      <c r="C1859" s="37"/>
      <c r="D1859" s="37"/>
      <c r="E1859" s="37"/>
      <c r="F1859" s="37"/>
      <c r="G1859" s="37"/>
      <c r="H1859" s="37"/>
      <c r="I1859" s="35"/>
      <c r="J1859" s="37"/>
    </row>
    <row r="1860" spans="1:10" ht="15.95" customHeight="1" x14ac:dyDescent="0.2">
      <c r="A1860" s="39"/>
      <c r="B1860" s="36"/>
      <c r="C1860" s="37"/>
      <c r="D1860" s="37"/>
      <c r="E1860" s="37"/>
      <c r="F1860" s="37"/>
      <c r="G1860" s="37"/>
      <c r="H1860" s="37"/>
      <c r="I1860" s="35"/>
      <c r="J1860" s="37"/>
    </row>
    <row r="1861" spans="1:10" ht="15.95" customHeight="1" x14ac:dyDescent="0.2">
      <c r="A1861" s="39"/>
      <c r="B1861" s="36"/>
      <c r="C1861" s="37"/>
      <c r="D1861" s="37"/>
      <c r="E1861" s="37"/>
      <c r="F1861" s="37"/>
      <c r="G1861" s="37"/>
      <c r="H1861" s="37"/>
      <c r="I1861" s="35"/>
      <c r="J1861" s="37"/>
    </row>
    <row r="1862" spans="1:10" ht="15.95" customHeight="1" x14ac:dyDescent="0.2">
      <c r="A1862" s="39"/>
      <c r="B1862" s="36"/>
      <c r="C1862" s="37"/>
      <c r="D1862" s="37"/>
      <c r="E1862" s="37"/>
      <c r="F1862" s="37"/>
      <c r="G1862" s="37"/>
      <c r="H1862" s="37"/>
      <c r="I1862" s="35"/>
      <c r="J1862" s="37"/>
    </row>
    <row r="1863" spans="1:10" ht="15.95" customHeight="1" x14ac:dyDescent="0.2">
      <c r="A1863" s="39"/>
      <c r="B1863" s="36"/>
      <c r="C1863" s="37"/>
      <c r="D1863" s="37"/>
      <c r="E1863" s="37"/>
      <c r="F1863" s="37"/>
      <c r="G1863" s="37"/>
      <c r="H1863" s="37"/>
      <c r="I1863" s="35"/>
      <c r="J1863" s="37"/>
    </row>
    <row r="1864" spans="1:10" ht="15.95" customHeight="1" x14ac:dyDescent="0.2">
      <c r="A1864" s="39"/>
      <c r="B1864" s="36"/>
      <c r="C1864" s="37"/>
      <c r="D1864" s="37"/>
      <c r="E1864" s="37"/>
      <c r="F1864" s="37"/>
      <c r="G1864" s="37"/>
      <c r="H1864" s="37"/>
      <c r="I1864" s="35"/>
      <c r="J1864" s="37"/>
    </row>
    <row r="1865" spans="1:10" ht="15.95" customHeight="1" x14ac:dyDescent="0.2">
      <c r="A1865" s="39"/>
      <c r="B1865" s="36"/>
      <c r="C1865" s="37"/>
      <c r="D1865" s="37"/>
      <c r="E1865" s="37"/>
      <c r="F1865" s="37"/>
      <c r="G1865" s="37"/>
      <c r="H1865" s="37"/>
      <c r="I1865" s="35"/>
      <c r="J1865" s="37"/>
    </row>
    <row r="1866" spans="1:10" ht="15.95" customHeight="1" x14ac:dyDescent="0.2">
      <c r="A1866" s="39"/>
      <c r="B1866" s="36"/>
      <c r="C1866" s="37"/>
      <c r="D1866" s="37"/>
      <c r="E1866" s="37"/>
      <c r="F1866" s="37"/>
      <c r="G1866" s="37"/>
      <c r="H1866" s="37"/>
      <c r="I1866" s="35"/>
      <c r="J1866" s="37"/>
    </row>
    <row r="1867" spans="1:10" ht="15.95" customHeight="1" x14ac:dyDescent="0.2">
      <c r="A1867" s="39"/>
      <c r="B1867" s="36"/>
      <c r="C1867" s="37"/>
      <c r="D1867" s="37"/>
      <c r="E1867" s="37"/>
      <c r="F1867" s="37"/>
      <c r="G1867" s="37"/>
      <c r="H1867" s="37"/>
      <c r="I1867" s="35"/>
      <c r="J1867" s="37"/>
    </row>
    <row r="1868" spans="1:10" ht="15.95" customHeight="1" x14ac:dyDescent="0.2">
      <c r="A1868" s="39"/>
      <c r="B1868" s="36"/>
      <c r="C1868" s="37"/>
      <c r="D1868" s="37"/>
      <c r="E1868" s="37"/>
      <c r="F1868" s="37"/>
      <c r="G1868" s="37"/>
      <c r="H1868" s="37"/>
      <c r="I1868" s="35"/>
      <c r="J1868" s="37"/>
    </row>
    <row r="1869" spans="1:10" ht="15.95" customHeight="1" x14ac:dyDescent="0.2">
      <c r="A1869" s="39"/>
      <c r="B1869" s="36"/>
      <c r="C1869" s="37"/>
      <c r="D1869" s="37"/>
      <c r="E1869" s="37"/>
      <c r="F1869" s="37"/>
      <c r="G1869" s="37"/>
      <c r="H1869" s="37"/>
      <c r="I1869" s="35"/>
      <c r="J1869" s="37"/>
    </row>
    <row r="1870" spans="1:10" ht="15.95" customHeight="1" x14ac:dyDescent="0.2">
      <c r="A1870" s="39"/>
      <c r="B1870" s="36"/>
      <c r="C1870" s="37"/>
      <c r="D1870" s="37"/>
      <c r="E1870" s="37"/>
      <c r="F1870" s="37"/>
      <c r="G1870" s="37"/>
      <c r="H1870" s="37"/>
      <c r="I1870" s="35"/>
      <c r="J1870" s="37"/>
    </row>
    <row r="1871" spans="1:10" ht="15.95" customHeight="1" x14ac:dyDescent="0.2">
      <c r="A1871" s="39"/>
      <c r="B1871" s="36"/>
      <c r="C1871" s="37"/>
      <c r="D1871" s="37"/>
      <c r="E1871" s="37"/>
      <c r="F1871" s="37"/>
      <c r="G1871" s="37"/>
      <c r="H1871" s="37"/>
      <c r="I1871" s="35"/>
      <c r="J1871" s="37"/>
    </row>
    <row r="1872" spans="1:10" ht="15.95" customHeight="1" x14ac:dyDescent="0.2">
      <c r="A1872" s="39"/>
      <c r="B1872" s="36"/>
      <c r="C1872" s="37"/>
      <c r="D1872" s="37"/>
      <c r="E1872" s="37"/>
      <c r="F1872" s="37"/>
      <c r="G1872" s="37"/>
      <c r="H1872" s="37"/>
      <c r="I1872" s="35"/>
      <c r="J1872" s="37"/>
    </row>
    <row r="1873" spans="1:10" ht="15.95" customHeight="1" x14ac:dyDescent="0.2">
      <c r="A1873" s="39"/>
      <c r="B1873" s="36"/>
      <c r="C1873" s="37"/>
      <c r="D1873" s="37"/>
      <c r="E1873" s="37"/>
      <c r="F1873" s="37"/>
      <c r="G1873" s="37"/>
      <c r="H1873" s="37"/>
      <c r="I1873" s="35"/>
      <c r="J1873" s="37"/>
    </row>
    <row r="1874" spans="1:10" ht="15.95" customHeight="1" x14ac:dyDescent="0.2">
      <c r="A1874" s="39"/>
      <c r="B1874" s="36"/>
      <c r="C1874" s="37"/>
      <c r="D1874" s="37"/>
      <c r="E1874" s="37"/>
      <c r="F1874" s="37"/>
      <c r="G1874" s="37"/>
      <c r="H1874" s="37"/>
      <c r="I1874" s="35"/>
      <c r="J1874" s="37"/>
    </row>
    <row r="1875" spans="1:10" ht="15.95" customHeight="1" x14ac:dyDescent="0.2">
      <c r="A1875" s="39"/>
      <c r="B1875" s="36"/>
      <c r="C1875" s="37"/>
      <c r="D1875" s="37"/>
      <c r="E1875" s="37"/>
      <c r="F1875" s="37"/>
      <c r="G1875" s="37"/>
      <c r="H1875" s="37"/>
      <c r="I1875" s="35"/>
      <c r="J1875" s="37"/>
    </row>
    <row r="1876" spans="1:10" ht="15.95" customHeight="1" x14ac:dyDescent="0.2">
      <c r="A1876" s="39"/>
      <c r="B1876" s="36"/>
      <c r="C1876" s="37"/>
      <c r="D1876" s="37"/>
      <c r="E1876" s="37"/>
      <c r="F1876" s="37"/>
      <c r="G1876" s="37"/>
      <c r="H1876" s="37"/>
      <c r="I1876" s="35"/>
      <c r="J1876" s="37"/>
    </row>
    <row r="1877" spans="1:10" ht="15.95" customHeight="1" x14ac:dyDescent="0.2">
      <c r="A1877" s="39"/>
      <c r="B1877" s="36"/>
      <c r="C1877" s="37"/>
      <c r="D1877" s="37"/>
      <c r="E1877" s="37"/>
      <c r="F1877" s="37"/>
      <c r="G1877" s="37"/>
      <c r="H1877" s="37"/>
      <c r="I1877" s="35"/>
      <c r="J1877" s="37"/>
    </row>
    <row r="1878" spans="1:10" ht="15.95" customHeight="1" x14ac:dyDescent="0.2">
      <c r="A1878" s="39"/>
      <c r="B1878" s="36"/>
      <c r="C1878" s="37"/>
      <c r="D1878" s="37"/>
      <c r="E1878" s="37"/>
      <c r="F1878" s="37"/>
      <c r="G1878" s="37"/>
      <c r="H1878" s="37"/>
      <c r="I1878" s="35"/>
      <c r="J1878" s="37"/>
    </row>
    <row r="1879" spans="1:10" ht="15.95" customHeight="1" x14ac:dyDescent="0.2">
      <c r="A1879" s="39"/>
      <c r="B1879" s="36"/>
      <c r="C1879" s="37"/>
      <c r="D1879" s="37"/>
      <c r="E1879" s="37"/>
      <c r="F1879" s="37"/>
      <c r="G1879" s="37"/>
      <c r="H1879" s="37"/>
      <c r="I1879" s="35"/>
      <c r="J1879" s="37"/>
    </row>
    <row r="1880" spans="1:10" ht="15.95" customHeight="1" x14ac:dyDescent="0.2">
      <c r="A1880" s="39"/>
      <c r="B1880" s="36"/>
      <c r="C1880" s="37"/>
      <c r="D1880" s="37"/>
      <c r="E1880" s="37"/>
      <c r="F1880" s="37"/>
      <c r="G1880" s="37"/>
      <c r="H1880" s="37"/>
      <c r="I1880" s="35"/>
      <c r="J1880" s="37"/>
    </row>
    <row r="1881" spans="1:10" ht="15.95" customHeight="1" x14ac:dyDescent="0.2">
      <c r="A1881" s="39"/>
      <c r="B1881" s="36"/>
      <c r="C1881" s="37"/>
      <c r="D1881" s="37"/>
      <c r="E1881" s="37"/>
      <c r="F1881" s="37"/>
      <c r="G1881" s="37"/>
      <c r="H1881" s="37"/>
      <c r="I1881" s="35"/>
      <c r="J1881" s="37"/>
    </row>
    <row r="1882" spans="1:10" ht="15.95" customHeight="1" x14ac:dyDescent="0.2">
      <c r="A1882" s="39"/>
      <c r="B1882" s="36"/>
      <c r="C1882" s="37"/>
      <c r="D1882" s="37"/>
      <c r="E1882" s="37"/>
      <c r="F1882" s="37"/>
      <c r="G1882" s="37"/>
      <c r="H1882" s="37"/>
      <c r="I1882" s="35"/>
      <c r="J1882" s="37"/>
    </row>
    <row r="1883" spans="1:10" ht="15.95" customHeight="1" x14ac:dyDescent="0.2">
      <c r="A1883" s="39"/>
      <c r="B1883" s="36"/>
      <c r="C1883" s="37"/>
      <c r="D1883" s="37"/>
      <c r="E1883" s="37"/>
      <c r="F1883" s="37"/>
      <c r="G1883" s="37"/>
      <c r="H1883" s="37"/>
      <c r="I1883" s="35"/>
      <c r="J1883" s="37"/>
    </row>
    <row r="1884" spans="1:10" ht="15.95" customHeight="1" x14ac:dyDescent="0.2">
      <c r="A1884" s="39"/>
      <c r="B1884" s="36"/>
      <c r="C1884" s="37"/>
      <c r="D1884" s="37"/>
      <c r="E1884" s="37"/>
      <c r="F1884" s="37"/>
      <c r="G1884" s="37"/>
      <c r="H1884" s="37"/>
      <c r="I1884" s="35"/>
      <c r="J1884" s="37"/>
    </row>
    <row r="1885" spans="1:10" ht="15.95" customHeight="1" x14ac:dyDescent="0.2">
      <c r="A1885" s="39"/>
      <c r="B1885" s="36"/>
      <c r="C1885" s="37"/>
      <c r="D1885" s="37"/>
      <c r="E1885" s="37"/>
      <c r="F1885" s="37"/>
      <c r="G1885" s="37"/>
      <c r="H1885" s="37"/>
      <c r="I1885" s="35"/>
      <c r="J1885" s="37"/>
    </row>
    <row r="1886" spans="1:10" ht="15.95" customHeight="1" x14ac:dyDescent="0.2">
      <c r="A1886" s="39"/>
      <c r="B1886" s="36"/>
      <c r="C1886" s="37"/>
      <c r="D1886" s="37"/>
      <c r="E1886" s="37"/>
      <c r="F1886" s="37"/>
      <c r="G1886" s="37"/>
      <c r="H1886" s="37"/>
      <c r="I1886" s="35"/>
      <c r="J1886" s="37"/>
    </row>
    <row r="1887" spans="1:10" ht="15.95" customHeight="1" x14ac:dyDescent="0.2">
      <c r="A1887" s="39"/>
      <c r="B1887" s="36"/>
      <c r="C1887" s="37"/>
      <c r="D1887" s="37"/>
      <c r="E1887" s="37"/>
      <c r="F1887" s="37"/>
      <c r="G1887" s="37"/>
      <c r="H1887" s="37"/>
      <c r="I1887" s="35"/>
      <c r="J1887" s="37"/>
    </row>
    <row r="1888" spans="1:10" ht="15.95" customHeight="1" x14ac:dyDescent="0.2">
      <c r="A1888" s="39"/>
      <c r="B1888" s="36"/>
      <c r="C1888" s="37"/>
      <c r="D1888" s="37"/>
      <c r="E1888" s="37"/>
      <c r="F1888" s="37"/>
      <c r="G1888" s="37"/>
      <c r="H1888" s="37"/>
      <c r="I1888" s="35"/>
      <c r="J1888" s="37"/>
    </row>
    <row r="1889" spans="1:10" ht="15.95" customHeight="1" x14ac:dyDescent="0.2">
      <c r="A1889" s="39"/>
      <c r="B1889" s="36"/>
      <c r="C1889" s="37"/>
      <c r="D1889" s="37"/>
      <c r="E1889" s="37"/>
      <c r="F1889" s="37"/>
      <c r="G1889" s="37"/>
      <c r="H1889" s="37"/>
      <c r="I1889" s="35"/>
      <c r="J1889" s="37"/>
    </row>
    <row r="1890" spans="1:10" ht="15.95" customHeight="1" x14ac:dyDescent="0.2">
      <c r="A1890" s="39"/>
      <c r="B1890" s="36"/>
      <c r="C1890" s="37"/>
      <c r="D1890" s="37"/>
      <c r="E1890" s="37"/>
      <c r="F1890" s="37"/>
      <c r="G1890" s="37"/>
      <c r="H1890" s="37"/>
      <c r="I1890" s="35"/>
      <c r="J1890" s="37"/>
    </row>
    <row r="1891" spans="1:10" ht="15.95" customHeight="1" x14ac:dyDescent="0.2">
      <c r="A1891" s="39"/>
      <c r="B1891" s="36"/>
      <c r="C1891" s="37"/>
      <c r="D1891" s="37"/>
      <c r="E1891" s="37"/>
      <c r="F1891" s="37"/>
      <c r="G1891" s="37"/>
      <c r="H1891" s="37"/>
      <c r="I1891" s="35"/>
      <c r="J1891" s="37"/>
    </row>
    <row r="1892" spans="1:10" ht="15.95" customHeight="1" x14ac:dyDescent="0.2">
      <c r="A1892" s="39"/>
      <c r="B1892" s="36"/>
      <c r="C1892" s="37"/>
      <c r="D1892" s="37"/>
      <c r="E1892" s="37"/>
      <c r="F1892" s="37"/>
      <c r="G1892" s="37"/>
      <c r="H1892" s="37"/>
      <c r="I1892" s="35"/>
      <c r="J1892" s="37"/>
    </row>
    <row r="1893" spans="1:10" ht="15.95" customHeight="1" x14ac:dyDescent="0.2">
      <c r="A1893" s="39"/>
      <c r="B1893" s="36"/>
      <c r="C1893" s="37"/>
      <c r="D1893" s="37"/>
      <c r="E1893" s="37"/>
      <c r="F1893" s="37"/>
      <c r="G1893" s="37"/>
      <c r="H1893" s="37"/>
      <c r="I1893" s="35"/>
      <c r="J1893" s="37"/>
    </row>
    <row r="1894" spans="1:10" ht="15.95" customHeight="1" x14ac:dyDescent="0.2">
      <c r="A1894" s="39"/>
      <c r="B1894" s="36"/>
      <c r="C1894" s="37"/>
      <c r="D1894" s="37"/>
      <c r="E1894" s="37"/>
      <c r="F1894" s="37"/>
      <c r="G1894" s="37"/>
      <c r="H1894" s="37"/>
      <c r="I1894" s="35"/>
      <c r="J1894" s="37"/>
    </row>
    <row r="1895" spans="1:10" ht="15.95" customHeight="1" x14ac:dyDescent="0.2">
      <c r="A1895" s="39"/>
      <c r="B1895" s="36"/>
      <c r="C1895" s="37"/>
      <c r="D1895" s="37"/>
      <c r="E1895" s="37"/>
      <c r="F1895" s="37"/>
      <c r="G1895" s="37"/>
      <c r="H1895" s="37"/>
      <c r="I1895" s="35"/>
      <c r="J1895" s="37"/>
    </row>
    <row r="1896" spans="1:10" ht="15.95" customHeight="1" x14ac:dyDescent="0.2">
      <c r="A1896" s="39"/>
      <c r="B1896" s="36"/>
      <c r="C1896" s="37"/>
      <c r="D1896" s="37"/>
      <c r="E1896" s="37"/>
      <c r="F1896" s="37"/>
      <c r="G1896" s="37"/>
      <c r="H1896" s="37"/>
      <c r="I1896" s="35"/>
      <c r="J1896" s="37"/>
    </row>
    <row r="1897" spans="1:10" ht="15.95" customHeight="1" x14ac:dyDescent="0.2">
      <c r="A1897" s="39"/>
      <c r="B1897" s="36"/>
      <c r="C1897" s="37"/>
      <c r="D1897" s="37"/>
      <c r="E1897" s="37"/>
      <c r="F1897" s="37"/>
      <c r="G1897" s="37"/>
      <c r="H1897" s="37"/>
      <c r="I1897" s="35"/>
      <c r="J1897" s="37"/>
    </row>
    <row r="1898" spans="1:10" ht="15.95" customHeight="1" x14ac:dyDescent="0.2">
      <c r="A1898" s="39"/>
      <c r="B1898" s="36"/>
      <c r="C1898" s="37"/>
      <c r="D1898" s="37"/>
      <c r="E1898" s="37"/>
      <c r="F1898" s="37"/>
      <c r="G1898" s="37"/>
      <c r="H1898" s="37"/>
      <c r="I1898" s="35"/>
      <c r="J1898" s="37"/>
    </row>
    <row r="1899" spans="1:10" ht="15.95" customHeight="1" x14ac:dyDescent="0.2">
      <c r="A1899" s="39"/>
      <c r="B1899" s="36"/>
      <c r="C1899" s="37"/>
      <c r="D1899" s="37"/>
      <c r="E1899" s="37"/>
      <c r="F1899" s="37"/>
      <c r="G1899" s="37"/>
      <c r="H1899" s="37"/>
      <c r="I1899" s="35"/>
      <c r="J1899" s="37"/>
    </row>
    <row r="1900" spans="1:10" ht="15.95" customHeight="1" x14ac:dyDescent="0.2">
      <c r="A1900" s="39"/>
      <c r="B1900" s="36"/>
      <c r="C1900" s="37"/>
      <c r="D1900" s="37"/>
      <c r="E1900" s="37"/>
      <c r="F1900" s="37"/>
      <c r="G1900" s="37"/>
      <c r="H1900" s="37"/>
      <c r="I1900" s="35"/>
      <c r="J1900" s="37"/>
    </row>
    <row r="1901" spans="1:10" ht="15.95" customHeight="1" x14ac:dyDescent="0.2">
      <c r="A1901" s="39"/>
      <c r="B1901" s="36"/>
      <c r="C1901" s="37"/>
      <c r="D1901" s="37"/>
      <c r="E1901" s="37"/>
      <c r="F1901" s="37"/>
      <c r="G1901" s="37"/>
      <c r="H1901" s="37"/>
      <c r="I1901" s="35"/>
      <c r="J1901" s="37"/>
    </row>
    <row r="1902" spans="1:10" ht="15.95" customHeight="1" x14ac:dyDescent="0.2">
      <c r="A1902" s="39"/>
      <c r="B1902" s="36"/>
      <c r="C1902" s="37"/>
      <c r="D1902" s="37"/>
      <c r="E1902" s="37"/>
      <c r="F1902" s="37"/>
      <c r="G1902" s="37"/>
      <c r="H1902" s="37"/>
      <c r="I1902" s="35"/>
      <c r="J1902" s="37"/>
    </row>
    <row r="1903" spans="1:10" ht="15.95" customHeight="1" x14ac:dyDescent="0.2">
      <c r="A1903" s="39"/>
      <c r="B1903" s="36"/>
      <c r="C1903" s="37"/>
      <c r="D1903" s="37"/>
      <c r="E1903" s="37"/>
      <c r="F1903" s="37"/>
      <c r="G1903" s="37"/>
      <c r="H1903" s="37"/>
      <c r="I1903" s="35"/>
      <c r="J1903" s="37"/>
    </row>
    <row r="1904" spans="1:10" ht="15.95" customHeight="1" x14ac:dyDescent="0.2">
      <c r="A1904" s="39"/>
      <c r="B1904" s="36"/>
      <c r="C1904" s="37"/>
      <c r="D1904" s="37"/>
      <c r="E1904" s="37"/>
      <c r="F1904" s="37"/>
      <c r="G1904" s="37"/>
      <c r="H1904" s="37"/>
      <c r="I1904" s="35"/>
      <c r="J1904" s="37"/>
    </row>
    <row r="1905" spans="1:10" ht="15.95" customHeight="1" x14ac:dyDescent="0.2">
      <c r="A1905" s="39"/>
      <c r="B1905" s="36"/>
      <c r="C1905" s="37"/>
      <c r="D1905" s="37"/>
      <c r="E1905" s="37"/>
      <c r="F1905" s="37"/>
      <c r="G1905" s="37"/>
      <c r="H1905" s="37"/>
      <c r="I1905" s="35"/>
      <c r="J1905" s="37"/>
    </row>
    <row r="1906" spans="1:10" ht="15.95" customHeight="1" x14ac:dyDescent="0.2">
      <c r="A1906" s="39"/>
      <c r="B1906" s="36"/>
      <c r="C1906" s="37"/>
      <c r="D1906" s="37"/>
      <c r="E1906" s="37"/>
      <c r="F1906" s="37"/>
      <c r="G1906" s="37"/>
      <c r="H1906" s="37"/>
      <c r="I1906" s="35"/>
      <c r="J1906" s="37"/>
    </row>
    <row r="1907" spans="1:10" ht="15.95" customHeight="1" x14ac:dyDescent="0.2">
      <c r="A1907" s="39"/>
      <c r="B1907" s="36"/>
      <c r="C1907" s="37"/>
      <c r="D1907" s="37"/>
      <c r="E1907" s="37"/>
      <c r="F1907" s="37"/>
      <c r="G1907" s="37"/>
      <c r="H1907" s="37"/>
      <c r="I1907" s="35"/>
      <c r="J1907" s="37"/>
    </row>
    <row r="1908" spans="1:10" ht="15.95" customHeight="1" x14ac:dyDescent="0.2">
      <c r="A1908" s="39"/>
      <c r="B1908" s="36"/>
      <c r="C1908" s="37"/>
      <c r="D1908" s="37"/>
      <c r="E1908" s="37"/>
      <c r="F1908" s="37"/>
      <c r="G1908" s="37"/>
      <c r="H1908" s="37"/>
      <c r="I1908" s="35"/>
      <c r="J1908" s="37"/>
    </row>
    <row r="1909" spans="1:10" ht="15.95" customHeight="1" x14ac:dyDescent="0.2">
      <c r="A1909" s="39"/>
      <c r="B1909" s="36"/>
      <c r="C1909" s="37"/>
      <c r="D1909" s="37"/>
      <c r="E1909" s="37"/>
      <c r="F1909" s="37"/>
      <c r="G1909" s="37"/>
      <c r="H1909" s="37"/>
      <c r="I1909" s="35"/>
      <c r="J1909" s="37"/>
    </row>
    <row r="1910" spans="1:10" ht="15.95" customHeight="1" x14ac:dyDescent="0.2">
      <c r="A1910" s="39"/>
      <c r="B1910" s="36"/>
      <c r="C1910" s="37"/>
      <c r="D1910" s="37"/>
      <c r="E1910" s="37"/>
      <c r="F1910" s="37"/>
      <c r="G1910" s="37"/>
      <c r="H1910" s="37"/>
      <c r="I1910" s="35"/>
      <c r="J1910" s="37"/>
    </row>
    <row r="1911" spans="1:10" ht="15.95" customHeight="1" x14ac:dyDescent="0.2">
      <c r="A1911" s="39"/>
      <c r="B1911" s="36"/>
      <c r="C1911" s="37"/>
      <c r="D1911" s="37"/>
      <c r="E1911" s="37"/>
      <c r="F1911" s="37"/>
      <c r="G1911" s="37"/>
      <c r="H1911" s="37"/>
      <c r="I1911" s="35"/>
      <c r="J1911" s="37"/>
    </row>
    <row r="1912" spans="1:10" ht="15.95" customHeight="1" x14ac:dyDescent="0.2">
      <c r="A1912" s="39"/>
      <c r="B1912" s="36"/>
      <c r="C1912" s="37"/>
      <c r="D1912" s="37"/>
      <c r="E1912" s="37"/>
      <c r="F1912" s="37"/>
      <c r="G1912" s="37"/>
      <c r="H1912" s="37"/>
      <c r="I1912" s="35"/>
      <c r="J1912" s="37"/>
    </row>
    <row r="1913" spans="1:10" ht="15.95" customHeight="1" x14ac:dyDescent="0.2">
      <c r="A1913" s="39"/>
      <c r="B1913" s="36"/>
      <c r="C1913" s="37"/>
      <c r="D1913" s="37"/>
      <c r="E1913" s="37"/>
      <c r="F1913" s="37"/>
      <c r="G1913" s="37"/>
      <c r="H1913" s="37"/>
      <c r="I1913" s="35"/>
      <c r="J1913" s="37"/>
    </row>
    <row r="1914" spans="1:10" ht="15.95" customHeight="1" x14ac:dyDescent="0.2">
      <c r="A1914" s="39"/>
      <c r="B1914" s="36"/>
      <c r="C1914" s="37"/>
      <c r="D1914" s="37"/>
      <c r="E1914" s="37"/>
      <c r="F1914" s="37"/>
      <c r="G1914" s="37"/>
      <c r="H1914" s="37"/>
      <c r="I1914" s="35"/>
      <c r="J1914" s="37"/>
    </row>
    <row r="1915" spans="1:10" ht="15.95" customHeight="1" x14ac:dyDescent="0.2">
      <c r="A1915" s="39"/>
      <c r="B1915" s="36"/>
      <c r="C1915" s="37"/>
      <c r="D1915" s="37"/>
      <c r="E1915" s="37"/>
      <c r="F1915" s="37"/>
      <c r="G1915" s="37"/>
      <c r="H1915" s="37"/>
      <c r="I1915" s="35"/>
      <c r="J1915" s="37"/>
    </row>
    <row r="1916" spans="1:10" ht="15.95" customHeight="1" x14ac:dyDescent="0.2">
      <c r="A1916" s="39"/>
      <c r="B1916" s="36"/>
      <c r="C1916" s="37"/>
      <c r="D1916" s="37"/>
      <c r="E1916" s="37"/>
      <c r="F1916" s="37"/>
      <c r="G1916" s="37"/>
      <c r="H1916" s="37"/>
      <c r="I1916" s="35"/>
      <c r="J1916" s="37"/>
    </row>
    <row r="1917" spans="1:10" ht="15.95" customHeight="1" x14ac:dyDescent="0.2">
      <c r="A1917" s="39"/>
      <c r="B1917" s="36"/>
      <c r="C1917" s="37"/>
      <c r="D1917" s="37"/>
      <c r="E1917" s="37"/>
      <c r="F1917" s="37"/>
      <c r="G1917" s="37"/>
      <c r="H1917" s="37"/>
      <c r="I1917" s="35"/>
      <c r="J1917" s="37"/>
    </row>
    <row r="1918" spans="1:10" ht="15.95" customHeight="1" x14ac:dyDescent="0.2">
      <c r="A1918" s="39"/>
      <c r="B1918" s="36"/>
      <c r="C1918" s="37"/>
      <c r="D1918" s="37"/>
      <c r="E1918" s="37"/>
      <c r="F1918" s="37"/>
      <c r="G1918" s="37"/>
      <c r="H1918" s="37"/>
      <c r="I1918" s="35"/>
      <c r="J1918" s="37"/>
    </row>
    <row r="1919" spans="1:10" ht="15.95" customHeight="1" x14ac:dyDescent="0.2">
      <c r="A1919" s="39"/>
      <c r="B1919" s="36"/>
      <c r="C1919" s="37"/>
      <c r="D1919" s="37"/>
      <c r="E1919" s="37"/>
      <c r="F1919" s="37"/>
      <c r="G1919" s="37"/>
      <c r="H1919" s="37"/>
      <c r="I1919" s="35"/>
      <c r="J1919" s="37"/>
    </row>
    <row r="1920" spans="1:10" ht="15.95" customHeight="1" x14ac:dyDescent="0.2">
      <c r="A1920" s="39"/>
      <c r="B1920" s="36"/>
      <c r="C1920" s="37"/>
      <c r="D1920" s="37"/>
      <c r="E1920" s="37"/>
      <c r="F1920" s="37"/>
      <c r="G1920" s="37"/>
      <c r="H1920" s="37"/>
      <c r="I1920" s="35"/>
      <c r="J1920" s="37"/>
    </row>
    <row r="1921" spans="1:10" ht="15.95" customHeight="1" x14ac:dyDescent="0.2">
      <c r="A1921" s="39"/>
      <c r="B1921" s="36"/>
      <c r="C1921" s="37"/>
      <c r="D1921" s="37"/>
      <c r="E1921" s="37"/>
      <c r="F1921" s="37"/>
      <c r="G1921" s="37"/>
      <c r="H1921" s="37"/>
      <c r="I1921" s="35"/>
      <c r="J1921" s="37"/>
    </row>
    <row r="1922" spans="1:10" ht="15.95" customHeight="1" x14ac:dyDescent="0.2">
      <c r="A1922" s="39"/>
      <c r="B1922" s="36"/>
      <c r="C1922" s="37"/>
      <c r="D1922" s="37"/>
      <c r="E1922" s="37"/>
      <c r="F1922" s="37"/>
      <c r="G1922" s="37"/>
      <c r="H1922" s="37"/>
      <c r="I1922" s="35"/>
      <c r="J1922" s="37"/>
    </row>
    <row r="1923" spans="1:10" ht="15.95" customHeight="1" x14ac:dyDescent="0.2">
      <c r="A1923" s="39"/>
      <c r="B1923" s="36"/>
      <c r="C1923" s="37"/>
      <c r="D1923" s="37"/>
      <c r="E1923" s="37"/>
      <c r="F1923" s="37"/>
      <c r="G1923" s="37"/>
      <c r="H1923" s="37"/>
      <c r="I1923" s="35"/>
      <c r="J1923" s="37"/>
    </row>
    <row r="1924" spans="1:10" ht="15.95" customHeight="1" x14ac:dyDescent="0.2">
      <c r="A1924" s="39"/>
      <c r="B1924" s="36"/>
      <c r="C1924" s="37"/>
      <c r="D1924" s="37"/>
      <c r="E1924" s="37"/>
      <c r="F1924" s="37"/>
      <c r="G1924" s="37"/>
      <c r="H1924" s="37"/>
      <c r="I1924" s="35"/>
      <c r="J1924" s="37"/>
    </row>
    <row r="1925" spans="1:10" ht="15.95" customHeight="1" x14ac:dyDescent="0.2">
      <c r="A1925" s="39"/>
      <c r="B1925" s="36"/>
      <c r="C1925" s="37"/>
      <c r="D1925" s="37"/>
      <c r="E1925" s="37"/>
      <c r="F1925" s="37"/>
      <c r="G1925" s="37"/>
      <c r="H1925" s="37"/>
      <c r="I1925" s="35"/>
      <c r="J1925" s="37"/>
    </row>
    <row r="1926" spans="1:10" ht="15.95" customHeight="1" x14ac:dyDescent="0.2">
      <c r="A1926" s="39"/>
      <c r="B1926" s="36"/>
      <c r="C1926" s="37"/>
      <c r="D1926" s="37"/>
      <c r="E1926" s="37"/>
      <c r="F1926" s="37"/>
      <c r="G1926" s="37"/>
      <c r="H1926" s="37"/>
      <c r="I1926" s="35"/>
      <c r="J1926" s="37"/>
    </row>
    <row r="1927" spans="1:10" ht="15.95" customHeight="1" x14ac:dyDescent="0.2">
      <c r="A1927" s="39"/>
      <c r="B1927" s="36"/>
      <c r="C1927" s="37"/>
      <c r="D1927" s="37"/>
      <c r="E1927" s="37"/>
      <c r="F1927" s="37"/>
      <c r="G1927" s="37"/>
      <c r="H1927" s="37"/>
      <c r="I1927" s="35"/>
      <c r="J1927" s="37"/>
    </row>
    <row r="1928" spans="1:10" ht="15.95" customHeight="1" x14ac:dyDescent="0.2">
      <c r="A1928" s="39"/>
      <c r="B1928" s="36"/>
      <c r="C1928" s="37"/>
      <c r="D1928" s="37"/>
      <c r="E1928" s="37"/>
      <c r="F1928" s="37"/>
      <c r="G1928" s="37"/>
      <c r="H1928" s="37"/>
      <c r="I1928" s="35"/>
      <c r="J1928" s="37"/>
    </row>
    <row r="1929" spans="1:10" ht="15.95" customHeight="1" x14ac:dyDescent="0.2">
      <c r="A1929" s="39"/>
      <c r="B1929" s="36"/>
      <c r="C1929" s="37"/>
      <c r="D1929" s="37"/>
      <c r="E1929" s="37"/>
      <c r="F1929" s="37"/>
      <c r="G1929" s="37"/>
      <c r="H1929" s="37"/>
      <c r="I1929" s="35"/>
      <c r="J1929" s="37"/>
    </row>
    <row r="1930" spans="1:10" ht="15.95" customHeight="1" x14ac:dyDescent="0.2">
      <c r="A1930" s="39"/>
      <c r="B1930" s="36"/>
      <c r="C1930" s="37"/>
      <c r="D1930" s="37"/>
      <c r="E1930" s="37"/>
      <c r="F1930" s="37"/>
      <c r="G1930" s="37"/>
      <c r="H1930" s="37"/>
      <c r="I1930" s="35"/>
      <c r="J1930" s="37"/>
    </row>
    <row r="1931" spans="1:10" ht="15.95" customHeight="1" x14ac:dyDescent="0.2">
      <c r="A1931" s="39"/>
      <c r="B1931" s="36"/>
      <c r="C1931" s="37"/>
      <c r="D1931" s="37"/>
      <c r="E1931" s="37"/>
      <c r="F1931" s="37"/>
      <c r="G1931" s="37"/>
      <c r="H1931" s="37"/>
      <c r="I1931" s="35"/>
      <c r="J1931" s="37"/>
    </row>
    <row r="1932" spans="1:10" ht="15.95" customHeight="1" x14ac:dyDescent="0.2">
      <c r="A1932" s="39"/>
      <c r="B1932" s="36"/>
      <c r="C1932" s="37"/>
      <c r="D1932" s="37"/>
      <c r="E1932" s="37"/>
      <c r="F1932" s="37"/>
      <c r="G1932" s="37"/>
      <c r="H1932" s="37"/>
      <c r="I1932" s="35"/>
      <c r="J1932" s="37"/>
    </row>
    <row r="1933" spans="1:10" ht="15.95" customHeight="1" x14ac:dyDescent="0.2">
      <c r="A1933" s="39"/>
      <c r="B1933" s="36"/>
      <c r="C1933" s="37"/>
      <c r="D1933" s="37"/>
      <c r="E1933" s="37"/>
      <c r="F1933" s="37"/>
      <c r="G1933" s="37"/>
      <c r="H1933" s="37"/>
      <c r="I1933" s="35"/>
      <c r="J1933" s="37"/>
    </row>
    <row r="1934" spans="1:10" ht="15.95" customHeight="1" x14ac:dyDescent="0.2">
      <c r="A1934" s="39"/>
      <c r="B1934" s="36"/>
      <c r="C1934" s="37"/>
      <c r="D1934" s="37"/>
      <c r="E1934" s="37"/>
      <c r="F1934" s="37"/>
      <c r="G1934" s="37"/>
      <c r="H1934" s="37"/>
      <c r="I1934" s="35"/>
      <c r="J1934" s="37"/>
    </row>
    <row r="1935" spans="1:10" ht="15.95" customHeight="1" x14ac:dyDescent="0.2">
      <c r="A1935" s="39"/>
      <c r="B1935" s="36"/>
      <c r="C1935" s="37"/>
      <c r="D1935" s="37"/>
      <c r="E1935" s="37"/>
      <c r="F1935" s="37"/>
      <c r="G1935" s="37"/>
      <c r="H1935" s="37"/>
      <c r="I1935" s="35"/>
      <c r="J1935" s="37"/>
    </row>
    <row r="1936" spans="1:10" ht="15.95" customHeight="1" x14ac:dyDescent="0.2">
      <c r="A1936" s="39"/>
      <c r="B1936" s="36"/>
      <c r="C1936" s="37"/>
      <c r="D1936" s="37"/>
      <c r="E1936" s="37"/>
      <c r="F1936" s="37"/>
      <c r="G1936" s="37"/>
      <c r="H1936" s="37"/>
      <c r="I1936" s="35"/>
      <c r="J1936" s="37"/>
    </row>
    <row r="1937" spans="1:10" ht="15.95" customHeight="1" x14ac:dyDescent="0.2">
      <c r="A1937" s="39"/>
      <c r="B1937" s="36"/>
      <c r="C1937" s="37"/>
      <c r="D1937" s="37"/>
      <c r="E1937" s="37"/>
      <c r="F1937" s="37"/>
      <c r="G1937" s="37"/>
      <c r="H1937" s="37"/>
      <c r="I1937" s="35"/>
      <c r="J1937" s="37"/>
    </row>
    <row r="1938" spans="1:10" ht="15.95" customHeight="1" x14ac:dyDescent="0.2">
      <c r="A1938" s="39"/>
      <c r="B1938" s="36"/>
      <c r="C1938" s="37"/>
      <c r="D1938" s="37"/>
      <c r="E1938" s="37"/>
      <c r="F1938" s="37"/>
      <c r="G1938" s="37"/>
      <c r="H1938" s="37"/>
      <c r="I1938" s="35"/>
      <c r="J1938" s="37"/>
    </row>
    <row r="1939" spans="1:10" ht="15.95" customHeight="1" x14ac:dyDescent="0.2">
      <c r="A1939" s="39"/>
      <c r="B1939" s="36"/>
      <c r="C1939" s="37"/>
      <c r="D1939" s="37"/>
      <c r="E1939" s="37"/>
      <c r="F1939" s="37"/>
      <c r="G1939" s="37"/>
      <c r="H1939" s="37"/>
      <c r="I1939" s="35"/>
      <c r="J1939" s="37"/>
    </row>
    <row r="1940" spans="1:10" ht="15.95" customHeight="1" x14ac:dyDescent="0.2">
      <c r="A1940" s="39"/>
      <c r="B1940" s="36"/>
      <c r="C1940" s="37"/>
      <c r="D1940" s="37"/>
      <c r="E1940" s="37"/>
      <c r="F1940" s="37"/>
      <c r="G1940" s="37"/>
      <c r="H1940" s="37"/>
      <c r="I1940" s="35"/>
      <c r="J1940" s="37"/>
    </row>
    <row r="1941" spans="1:10" ht="15.95" customHeight="1" x14ac:dyDescent="0.2">
      <c r="A1941" s="39"/>
      <c r="B1941" s="36"/>
      <c r="C1941" s="37"/>
      <c r="D1941" s="37"/>
      <c r="E1941" s="37"/>
      <c r="F1941" s="37"/>
      <c r="G1941" s="37"/>
      <c r="H1941" s="37"/>
      <c r="I1941" s="35"/>
      <c r="J1941" s="37"/>
    </row>
    <row r="1942" spans="1:10" ht="15.95" customHeight="1" x14ac:dyDescent="0.2">
      <c r="A1942" s="39"/>
      <c r="B1942" s="36"/>
      <c r="C1942" s="37"/>
      <c r="D1942" s="37"/>
      <c r="E1942" s="37"/>
      <c r="F1942" s="37"/>
      <c r="G1942" s="37"/>
      <c r="H1942" s="37"/>
      <c r="I1942" s="35"/>
      <c r="J1942" s="37"/>
    </row>
    <row r="1943" spans="1:10" ht="15.95" customHeight="1" x14ac:dyDescent="0.2">
      <c r="A1943" s="39"/>
      <c r="B1943" s="36"/>
      <c r="C1943" s="37"/>
      <c r="D1943" s="37"/>
      <c r="E1943" s="37"/>
      <c r="F1943" s="37"/>
      <c r="G1943" s="37"/>
      <c r="H1943" s="37"/>
      <c r="I1943" s="35"/>
      <c r="J1943" s="37"/>
    </row>
    <row r="1944" spans="1:10" ht="15.95" customHeight="1" x14ac:dyDescent="0.2">
      <c r="A1944" s="39"/>
      <c r="B1944" s="36"/>
      <c r="C1944" s="37"/>
      <c r="D1944" s="37"/>
      <c r="E1944" s="37"/>
      <c r="F1944" s="37"/>
      <c r="G1944" s="37"/>
      <c r="H1944" s="37"/>
      <c r="I1944" s="35"/>
      <c r="J1944" s="37"/>
    </row>
    <row r="1945" spans="1:10" ht="15.95" customHeight="1" x14ac:dyDescent="0.2">
      <c r="A1945" s="39"/>
      <c r="B1945" s="36"/>
      <c r="C1945" s="37"/>
      <c r="D1945" s="37"/>
      <c r="E1945" s="37"/>
      <c r="F1945" s="37"/>
      <c r="G1945" s="37"/>
      <c r="H1945" s="37"/>
      <c r="I1945" s="35"/>
      <c r="J1945" s="37"/>
    </row>
    <row r="1946" spans="1:10" ht="15.95" customHeight="1" x14ac:dyDescent="0.2">
      <c r="A1946" s="39"/>
      <c r="B1946" s="36"/>
      <c r="C1946" s="37"/>
      <c r="D1946" s="37"/>
      <c r="E1946" s="37"/>
      <c r="F1946" s="37"/>
      <c r="G1946" s="37"/>
      <c r="H1946" s="37"/>
      <c r="I1946" s="35"/>
      <c r="J1946" s="37"/>
    </row>
    <row r="1947" spans="1:10" ht="15.95" customHeight="1" x14ac:dyDescent="0.2">
      <c r="A1947" s="39"/>
      <c r="B1947" s="36"/>
      <c r="C1947" s="37"/>
      <c r="D1947" s="37"/>
      <c r="E1947" s="37"/>
      <c r="F1947" s="37"/>
      <c r="G1947" s="37"/>
      <c r="H1947" s="37"/>
      <c r="I1947" s="35"/>
      <c r="J1947" s="37"/>
    </row>
    <row r="1948" spans="1:10" ht="15.95" customHeight="1" x14ac:dyDescent="0.2">
      <c r="A1948" s="39"/>
      <c r="B1948" s="36"/>
      <c r="C1948" s="37"/>
      <c r="D1948" s="37"/>
      <c r="E1948" s="37"/>
      <c r="F1948" s="37"/>
      <c r="G1948" s="37"/>
      <c r="H1948" s="37"/>
      <c r="I1948" s="35"/>
      <c r="J1948" s="37"/>
    </row>
    <row r="1949" spans="1:10" ht="15.95" customHeight="1" x14ac:dyDescent="0.2">
      <c r="A1949" s="39"/>
      <c r="B1949" s="36"/>
      <c r="C1949" s="37"/>
      <c r="D1949" s="37"/>
      <c r="E1949" s="37"/>
      <c r="F1949" s="37"/>
      <c r="G1949" s="37"/>
      <c r="H1949" s="37"/>
      <c r="I1949" s="35"/>
      <c r="J1949" s="37"/>
    </row>
    <row r="1950" spans="1:10" ht="15.95" customHeight="1" x14ac:dyDescent="0.2">
      <c r="A1950" s="39"/>
      <c r="B1950" s="36"/>
      <c r="C1950" s="37"/>
      <c r="D1950" s="37"/>
      <c r="E1950" s="37"/>
      <c r="F1950" s="37"/>
      <c r="G1950" s="37"/>
      <c r="H1950" s="37"/>
      <c r="I1950" s="35"/>
      <c r="J1950" s="37"/>
    </row>
    <row r="1951" spans="1:10" ht="15.95" customHeight="1" x14ac:dyDescent="0.2">
      <c r="A1951" s="39"/>
      <c r="B1951" s="36"/>
      <c r="C1951" s="37"/>
      <c r="D1951" s="37"/>
      <c r="E1951" s="37"/>
      <c r="F1951" s="37"/>
      <c r="G1951" s="37"/>
      <c r="H1951" s="37"/>
      <c r="I1951" s="35"/>
      <c r="J1951" s="37"/>
    </row>
    <row r="1952" spans="1:10" ht="15.95" customHeight="1" x14ac:dyDescent="0.2">
      <c r="A1952" s="39"/>
      <c r="B1952" s="36"/>
      <c r="C1952" s="37"/>
      <c r="D1952" s="37"/>
      <c r="E1952" s="37"/>
      <c r="F1952" s="37"/>
      <c r="G1952" s="37"/>
      <c r="H1952" s="37"/>
      <c r="I1952" s="35"/>
      <c r="J1952" s="37"/>
    </row>
    <row r="1953" spans="1:10" ht="15.95" customHeight="1" x14ac:dyDescent="0.2">
      <c r="A1953" s="39"/>
      <c r="B1953" s="36"/>
      <c r="C1953" s="37"/>
      <c r="D1953" s="37"/>
      <c r="E1953" s="37"/>
      <c r="F1953" s="37"/>
      <c r="G1953" s="37"/>
      <c r="H1953" s="37"/>
      <c r="I1953" s="35"/>
      <c r="J1953" s="37"/>
    </row>
    <row r="1954" spans="1:10" ht="15.95" customHeight="1" x14ac:dyDescent="0.2">
      <c r="A1954" s="39"/>
      <c r="B1954" s="36"/>
      <c r="C1954" s="37"/>
      <c r="D1954" s="37"/>
      <c r="E1954" s="37"/>
      <c r="F1954" s="37"/>
      <c r="G1954" s="37"/>
      <c r="H1954" s="37"/>
      <c r="I1954" s="35"/>
      <c r="J1954" s="37"/>
    </row>
    <row r="1955" spans="1:10" ht="15.95" customHeight="1" x14ac:dyDescent="0.2">
      <c r="A1955" s="39"/>
      <c r="B1955" s="36"/>
      <c r="C1955" s="37"/>
      <c r="D1955" s="37"/>
      <c r="E1955" s="37"/>
      <c r="F1955" s="37"/>
      <c r="G1955" s="37"/>
      <c r="H1955" s="37"/>
      <c r="I1955" s="35"/>
      <c r="J1955" s="37"/>
    </row>
    <row r="1956" spans="1:10" ht="15.95" customHeight="1" x14ac:dyDescent="0.2">
      <c r="A1956" s="39"/>
      <c r="B1956" s="36"/>
      <c r="C1956" s="37"/>
      <c r="D1956" s="37"/>
      <c r="E1956" s="37"/>
      <c r="F1956" s="37"/>
      <c r="G1956" s="37"/>
      <c r="H1956" s="37"/>
      <c r="I1956" s="35"/>
      <c r="J1956" s="37"/>
    </row>
    <row r="1957" spans="1:10" ht="15.95" customHeight="1" x14ac:dyDescent="0.2">
      <c r="A1957" s="39"/>
      <c r="B1957" s="36"/>
      <c r="C1957" s="37"/>
      <c r="D1957" s="37"/>
      <c r="E1957" s="37"/>
      <c r="F1957" s="37"/>
      <c r="G1957" s="37"/>
      <c r="H1957" s="37"/>
      <c r="I1957" s="35"/>
      <c r="J1957" s="37"/>
    </row>
    <row r="1958" spans="1:10" ht="15.95" customHeight="1" x14ac:dyDescent="0.2">
      <c r="A1958" s="39"/>
      <c r="B1958" s="36"/>
      <c r="C1958" s="37"/>
      <c r="D1958" s="37"/>
      <c r="E1958" s="37"/>
      <c r="F1958" s="37"/>
      <c r="G1958" s="37"/>
      <c r="H1958" s="37"/>
      <c r="I1958" s="35"/>
      <c r="J1958" s="37"/>
    </row>
    <row r="1959" spans="1:10" ht="15.95" customHeight="1" x14ac:dyDescent="0.2">
      <c r="A1959" s="39"/>
      <c r="B1959" s="36"/>
      <c r="C1959" s="37"/>
      <c r="D1959" s="37"/>
      <c r="E1959" s="37"/>
      <c r="F1959" s="37"/>
      <c r="G1959" s="37"/>
      <c r="H1959" s="37"/>
      <c r="I1959" s="35"/>
      <c r="J1959" s="37"/>
    </row>
    <row r="1960" spans="1:10" ht="15.95" customHeight="1" x14ac:dyDescent="0.2">
      <c r="A1960" s="39"/>
      <c r="B1960" s="36"/>
      <c r="C1960" s="37"/>
      <c r="D1960" s="37"/>
      <c r="E1960" s="37"/>
      <c r="F1960" s="37"/>
      <c r="G1960" s="37"/>
      <c r="H1960" s="37"/>
      <c r="I1960" s="35"/>
      <c r="J1960" s="37"/>
    </row>
    <row r="1961" spans="1:10" ht="15.95" customHeight="1" x14ac:dyDescent="0.2">
      <c r="A1961" s="39"/>
      <c r="B1961" s="36"/>
      <c r="C1961" s="37"/>
      <c r="D1961" s="37"/>
      <c r="E1961" s="37"/>
      <c r="F1961" s="37"/>
      <c r="G1961" s="37"/>
      <c r="H1961" s="37"/>
      <c r="I1961" s="35"/>
      <c r="J1961" s="37"/>
    </row>
    <row r="1962" spans="1:10" ht="15.95" customHeight="1" x14ac:dyDescent="0.2">
      <c r="A1962" s="39"/>
      <c r="B1962" s="36"/>
      <c r="C1962" s="37"/>
      <c r="D1962" s="37"/>
      <c r="E1962" s="37"/>
      <c r="F1962" s="37"/>
      <c r="G1962" s="37"/>
      <c r="H1962" s="37"/>
      <c r="I1962" s="35"/>
      <c r="J1962" s="37"/>
    </row>
    <row r="1963" spans="1:10" ht="15.95" customHeight="1" x14ac:dyDescent="0.2">
      <c r="A1963" s="39"/>
      <c r="B1963" s="36"/>
      <c r="C1963" s="37"/>
      <c r="D1963" s="37"/>
      <c r="E1963" s="37"/>
      <c r="F1963" s="37"/>
      <c r="G1963" s="37"/>
      <c r="H1963" s="37"/>
      <c r="I1963" s="35"/>
      <c r="J1963" s="37"/>
    </row>
    <row r="1964" spans="1:10" ht="15.95" customHeight="1" x14ac:dyDescent="0.2">
      <c r="A1964" s="39"/>
      <c r="B1964" s="36"/>
      <c r="C1964" s="37"/>
      <c r="D1964" s="37"/>
      <c r="E1964" s="37"/>
      <c r="F1964" s="37"/>
      <c r="G1964" s="37"/>
      <c r="H1964" s="37"/>
      <c r="I1964" s="35"/>
      <c r="J1964" s="37"/>
    </row>
    <row r="1965" spans="1:10" ht="15.95" customHeight="1" x14ac:dyDescent="0.2">
      <c r="A1965" s="39"/>
      <c r="B1965" s="36"/>
      <c r="C1965" s="37"/>
      <c r="D1965" s="37"/>
      <c r="E1965" s="37"/>
      <c r="F1965" s="37"/>
      <c r="G1965" s="37"/>
      <c r="H1965" s="37"/>
      <c r="I1965" s="35"/>
      <c r="J1965" s="37"/>
    </row>
    <row r="1966" spans="1:10" ht="15.95" customHeight="1" x14ac:dyDescent="0.2">
      <c r="A1966" s="39"/>
      <c r="B1966" s="36"/>
      <c r="C1966" s="37"/>
      <c r="D1966" s="37"/>
      <c r="E1966" s="37"/>
      <c r="F1966" s="37"/>
      <c r="G1966" s="37"/>
      <c r="H1966" s="37"/>
      <c r="I1966" s="35"/>
      <c r="J1966" s="37"/>
    </row>
    <row r="1967" spans="1:10" ht="15.95" customHeight="1" x14ac:dyDescent="0.2">
      <c r="A1967" s="39"/>
      <c r="B1967" s="36"/>
      <c r="C1967" s="37"/>
      <c r="D1967" s="37"/>
      <c r="E1967" s="37"/>
      <c r="F1967" s="37"/>
      <c r="G1967" s="37"/>
      <c r="H1967" s="37"/>
      <c r="I1967" s="35"/>
      <c r="J1967" s="37"/>
    </row>
    <row r="1968" spans="1:10" ht="15.95" customHeight="1" x14ac:dyDescent="0.2">
      <c r="A1968" s="39"/>
      <c r="B1968" s="36"/>
      <c r="C1968" s="37"/>
      <c r="D1968" s="37"/>
      <c r="E1968" s="37"/>
      <c r="F1968" s="37"/>
      <c r="G1968" s="37"/>
      <c r="H1968" s="37"/>
      <c r="I1968" s="35"/>
      <c r="J1968" s="37"/>
    </row>
    <row r="1969" spans="1:10" ht="15.95" customHeight="1" x14ac:dyDescent="0.2">
      <c r="A1969" s="39"/>
      <c r="B1969" s="36"/>
      <c r="C1969" s="37"/>
      <c r="D1969" s="37"/>
      <c r="E1969" s="37"/>
      <c r="F1969" s="37"/>
      <c r="G1969" s="37"/>
      <c r="H1969" s="37"/>
      <c r="I1969" s="35"/>
      <c r="J1969" s="37"/>
    </row>
    <row r="1970" spans="1:10" ht="15.95" customHeight="1" x14ac:dyDescent="0.2">
      <c r="A1970" s="39"/>
      <c r="B1970" s="36"/>
      <c r="C1970" s="37"/>
      <c r="D1970" s="37"/>
      <c r="E1970" s="37"/>
      <c r="F1970" s="37"/>
      <c r="G1970" s="37"/>
      <c r="H1970" s="37"/>
      <c r="I1970" s="35"/>
      <c r="J1970" s="37"/>
    </row>
    <row r="1971" spans="1:10" ht="15.95" customHeight="1" x14ac:dyDescent="0.2">
      <c r="A1971" s="39"/>
      <c r="B1971" s="36"/>
      <c r="C1971" s="37"/>
      <c r="D1971" s="37"/>
      <c r="E1971" s="37"/>
      <c r="F1971" s="37"/>
      <c r="G1971" s="37"/>
      <c r="H1971" s="37"/>
      <c r="I1971" s="35"/>
      <c r="J1971" s="37"/>
    </row>
    <row r="1972" spans="1:10" ht="15.95" customHeight="1" x14ac:dyDescent="0.2">
      <c r="A1972" s="39"/>
      <c r="B1972" s="36"/>
      <c r="C1972" s="37"/>
      <c r="D1972" s="37"/>
      <c r="E1972" s="37"/>
      <c r="F1972" s="37"/>
      <c r="G1972" s="37"/>
      <c r="H1972" s="37"/>
      <c r="I1972" s="35"/>
      <c r="J1972" s="37"/>
    </row>
    <row r="1973" spans="1:10" ht="15.95" customHeight="1" x14ac:dyDescent="0.2">
      <c r="A1973" s="39"/>
      <c r="B1973" s="36"/>
      <c r="C1973" s="37"/>
      <c r="D1973" s="37"/>
      <c r="E1973" s="37"/>
      <c r="F1973" s="37"/>
      <c r="G1973" s="37"/>
      <c r="H1973" s="37"/>
      <c r="I1973" s="35"/>
      <c r="J1973" s="37"/>
    </row>
    <row r="1974" spans="1:10" ht="15.95" customHeight="1" x14ac:dyDescent="0.2">
      <c r="A1974" s="39"/>
      <c r="B1974" s="36"/>
      <c r="C1974" s="37"/>
      <c r="D1974" s="37"/>
      <c r="E1974" s="37"/>
      <c r="F1974" s="37"/>
      <c r="G1974" s="37"/>
      <c r="H1974" s="37"/>
      <c r="I1974" s="35"/>
      <c r="J1974" s="37"/>
    </row>
    <row r="1975" spans="1:10" ht="15.95" customHeight="1" x14ac:dyDescent="0.2">
      <c r="A1975" s="39"/>
      <c r="B1975" s="36"/>
      <c r="C1975" s="37"/>
      <c r="D1975" s="37"/>
      <c r="E1975" s="37"/>
      <c r="F1975" s="37"/>
      <c r="G1975" s="37"/>
      <c r="H1975" s="37"/>
      <c r="I1975" s="35"/>
      <c r="J1975" s="37"/>
    </row>
    <row r="1976" spans="1:10" ht="15.95" customHeight="1" x14ac:dyDescent="0.2">
      <c r="A1976" s="39"/>
      <c r="B1976" s="36"/>
      <c r="C1976" s="37"/>
      <c r="D1976" s="37"/>
      <c r="E1976" s="37"/>
      <c r="F1976" s="37"/>
      <c r="G1976" s="37"/>
      <c r="H1976" s="37"/>
      <c r="I1976" s="35"/>
      <c r="J1976" s="37"/>
    </row>
    <row r="1977" spans="1:10" ht="15.95" customHeight="1" x14ac:dyDescent="0.2">
      <c r="A1977" s="39"/>
      <c r="B1977" s="36"/>
      <c r="C1977" s="37"/>
      <c r="D1977" s="37"/>
      <c r="E1977" s="37"/>
      <c r="F1977" s="37"/>
      <c r="G1977" s="37"/>
      <c r="H1977" s="37"/>
      <c r="I1977" s="35"/>
      <c r="J1977" s="37"/>
    </row>
    <row r="1978" spans="1:10" ht="15.95" customHeight="1" x14ac:dyDescent="0.2">
      <c r="A1978" s="39"/>
      <c r="B1978" s="36"/>
      <c r="C1978" s="37"/>
      <c r="D1978" s="37"/>
      <c r="E1978" s="37"/>
      <c r="F1978" s="37"/>
      <c r="G1978" s="37"/>
      <c r="H1978" s="37"/>
      <c r="I1978" s="35"/>
      <c r="J1978" s="37"/>
    </row>
    <row r="1979" spans="1:10" ht="15.95" customHeight="1" x14ac:dyDescent="0.2">
      <c r="A1979" s="39"/>
      <c r="B1979" s="36"/>
      <c r="C1979" s="37"/>
      <c r="D1979" s="37"/>
      <c r="E1979" s="37"/>
      <c r="F1979" s="37"/>
      <c r="G1979" s="37"/>
      <c r="H1979" s="37"/>
      <c r="I1979" s="35"/>
      <c r="J1979" s="37"/>
    </row>
    <row r="1980" spans="1:10" ht="15.95" customHeight="1" x14ac:dyDescent="0.2">
      <c r="A1980" s="39"/>
      <c r="B1980" s="36"/>
      <c r="C1980" s="37"/>
      <c r="D1980" s="37"/>
      <c r="E1980" s="37"/>
      <c r="F1980" s="37"/>
      <c r="G1980" s="37"/>
      <c r="H1980" s="37"/>
      <c r="I1980" s="35"/>
      <c r="J1980" s="37"/>
    </row>
    <row r="1981" spans="1:10" ht="15.95" customHeight="1" x14ac:dyDescent="0.2">
      <c r="A1981" s="39"/>
      <c r="B1981" s="36"/>
      <c r="C1981" s="37"/>
      <c r="D1981" s="37"/>
      <c r="E1981" s="37"/>
      <c r="F1981" s="37"/>
      <c r="G1981" s="37"/>
      <c r="H1981" s="37"/>
      <c r="I1981" s="35"/>
      <c r="J1981" s="37"/>
    </row>
    <row r="1982" spans="1:10" ht="15.95" customHeight="1" x14ac:dyDescent="0.2">
      <c r="A1982" s="39"/>
      <c r="B1982" s="36"/>
      <c r="C1982" s="37"/>
      <c r="D1982" s="37"/>
      <c r="E1982" s="37"/>
      <c r="F1982" s="37"/>
      <c r="G1982" s="37"/>
      <c r="H1982" s="37"/>
      <c r="I1982" s="35"/>
      <c r="J1982" s="37"/>
    </row>
    <row r="1983" spans="1:10" ht="15.95" customHeight="1" x14ac:dyDescent="0.2">
      <c r="A1983" s="39"/>
      <c r="B1983" s="36"/>
      <c r="C1983" s="37"/>
      <c r="D1983" s="37"/>
      <c r="E1983" s="37"/>
      <c r="F1983" s="37"/>
      <c r="G1983" s="37"/>
      <c r="H1983" s="37"/>
      <c r="I1983" s="35"/>
      <c r="J1983" s="37"/>
    </row>
    <row r="1984" spans="1:10" ht="15.95" customHeight="1" x14ac:dyDescent="0.2">
      <c r="A1984" s="39"/>
      <c r="B1984" s="36"/>
      <c r="C1984" s="37"/>
      <c r="D1984" s="37"/>
      <c r="E1984" s="37"/>
      <c r="F1984" s="37"/>
      <c r="G1984" s="37"/>
      <c r="H1984" s="37"/>
      <c r="I1984" s="35"/>
      <c r="J1984" s="37"/>
    </row>
    <row r="1985" spans="1:10" ht="15.95" customHeight="1" x14ac:dyDescent="0.2">
      <c r="A1985" s="39"/>
      <c r="B1985" s="36"/>
      <c r="C1985" s="37"/>
      <c r="D1985" s="37"/>
      <c r="E1985" s="37"/>
      <c r="F1985" s="37"/>
      <c r="G1985" s="37"/>
      <c r="H1985" s="37"/>
      <c r="I1985" s="35"/>
      <c r="J1985" s="37"/>
    </row>
    <row r="1986" spans="1:10" ht="15.95" customHeight="1" x14ac:dyDescent="0.2">
      <c r="A1986" s="39"/>
      <c r="B1986" s="36"/>
      <c r="C1986" s="37"/>
      <c r="D1986" s="37"/>
      <c r="E1986" s="37"/>
      <c r="F1986" s="37"/>
      <c r="G1986" s="37"/>
      <c r="H1986" s="37"/>
      <c r="I1986" s="35"/>
      <c r="J1986" s="37"/>
    </row>
    <row r="1987" spans="1:10" ht="15.95" customHeight="1" x14ac:dyDescent="0.2">
      <c r="A1987" s="39"/>
      <c r="B1987" s="36"/>
      <c r="C1987" s="37"/>
      <c r="D1987" s="37"/>
      <c r="E1987" s="37"/>
      <c r="F1987" s="37"/>
      <c r="G1987" s="37"/>
      <c r="H1987" s="37"/>
      <c r="I1987" s="35"/>
      <c r="J1987" s="37"/>
    </row>
    <row r="1988" spans="1:10" ht="15.95" customHeight="1" x14ac:dyDescent="0.2">
      <c r="A1988" s="39"/>
      <c r="B1988" s="36"/>
      <c r="C1988" s="37"/>
      <c r="D1988" s="37"/>
      <c r="E1988" s="37"/>
      <c r="F1988" s="37"/>
      <c r="G1988" s="37"/>
      <c r="H1988" s="37"/>
      <c r="I1988" s="35"/>
      <c r="J1988" s="37"/>
    </row>
    <row r="1989" spans="1:10" ht="15.95" customHeight="1" x14ac:dyDescent="0.2">
      <c r="A1989" s="39"/>
      <c r="B1989" s="36"/>
      <c r="C1989" s="37"/>
      <c r="D1989" s="37"/>
      <c r="E1989" s="37"/>
      <c r="F1989" s="37"/>
      <c r="G1989" s="37"/>
      <c r="H1989" s="37"/>
      <c r="I1989" s="35"/>
      <c r="J1989" s="37"/>
    </row>
    <row r="1990" spans="1:10" ht="15.95" customHeight="1" x14ac:dyDescent="0.2">
      <c r="A1990" s="39"/>
      <c r="B1990" s="36"/>
      <c r="C1990" s="37"/>
      <c r="D1990" s="37"/>
      <c r="E1990" s="37"/>
      <c r="F1990" s="37"/>
      <c r="G1990" s="37"/>
      <c r="H1990" s="37"/>
      <c r="I1990" s="35"/>
      <c r="J1990" s="37"/>
    </row>
    <row r="1991" spans="1:10" ht="15.95" customHeight="1" x14ac:dyDescent="0.2">
      <c r="A1991" s="39"/>
      <c r="B1991" s="36"/>
      <c r="C1991" s="37"/>
      <c r="D1991" s="37"/>
      <c r="E1991" s="37"/>
      <c r="F1991" s="37"/>
      <c r="G1991" s="37"/>
      <c r="H1991" s="37"/>
      <c r="I1991" s="35"/>
      <c r="J1991" s="37"/>
    </row>
    <row r="1992" spans="1:10" ht="15.95" customHeight="1" x14ac:dyDescent="0.2">
      <c r="A1992" s="39"/>
      <c r="B1992" s="36"/>
      <c r="C1992" s="37"/>
      <c r="D1992" s="37"/>
      <c r="E1992" s="37"/>
      <c r="F1992" s="37"/>
      <c r="G1992" s="37"/>
      <c r="H1992" s="37"/>
      <c r="I1992" s="35"/>
      <c r="J1992" s="37"/>
    </row>
    <row r="1993" spans="1:10" ht="15.95" customHeight="1" x14ac:dyDescent="0.2">
      <c r="A1993" s="39"/>
      <c r="B1993" s="36"/>
      <c r="C1993" s="37"/>
      <c r="D1993" s="37"/>
      <c r="E1993" s="37"/>
      <c r="F1993" s="37"/>
      <c r="G1993" s="37"/>
      <c r="H1993" s="37"/>
      <c r="I1993" s="35"/>
      <c r="J1993" s="37"/>
    </row>
    <row r="1994" spans="1:10" ht="15.95" customHeight="1" x14ac:dyDescent="0.2">
      <c r="A1994" s="39"/>
      <c r="B1994" s="36"/>
      <c r="C1994" s="37"/>
      <c r="D1994" s="37"/>
      <c r="E1994" s="37"/>
      <c r="F1994" s="37"/>
      <c r="G1994" s="37"/>
      <c r="H1994" s="37"/>
      <c r="I1994" s="35"/>
      <c r="J1994" s="37"/>
    </row>
    <row r="1995" spans="1:10" ht="15.95" customHeight="1" x14ac:dyDescent="0.2">
      <c r="A1995" s="39"/>
      <c r="B1995" s="36"/>
      <c r="C1995" s="37"/>
      <c r="D1995" s="37"/>
      <c r="E1995" s="37"/>
      <c r="F1995" s="37"/>
      <c r="G1995" s="37"/>
      <c r="H1995" s="37"/>
      <c r="I1995" s="35"/>
      <c r="J1995" s="37"/>
    </row>
    <row r="1996" spans="1:10" ht="15.95" customHeight="1" x14ac:dyDescent="0.2">
      <c r="A1996" s="39"/>
      <c r="B1996" s="36"/>
      <c r="C1996" s="37"/>
      <c r="D1996" s="37"/>
      <c r="E1996" s="37"/>
      <c r="F1996" s="37"/>
      <c r="G1996" s="37"/>
      <c r="H1996" s="37"/>
      <c r="I1996" s="35"/>
      <c r="J1996" s="37"/>
    </row>
    <row r="1997" spans="1:10" ht="15.95" customHeight="1" x14ac:dyDescent="0.2">
      <c r="A1997" s="39"/>
      <c r="B1997" s="36"/>
      <c r="C1997" s="37"/>
      <c r="D1997" s="37"/>
      <c r="E1997" s="37"/>
      <c r="F1997" s="37"/>
      <c r="G1997" s="37"/>
      <c r="H1997" s="37"/>
      <c r="I1997" s="35"/>
      <c r="J1997" s="37"/>
    </row>
    <row r="1998" spans="1:10" ht="15.95" customHeight="1" x14ac:dyDescent="0.2">
      <c r="A1998" s="39"/>
      <c r="B1998" s="36"/>
      <c r="C1998" s="37"/>
      <c r="D1998" s="37"/>
      <c r="E1998" s="37"/>
      <c r="F1998" s="37"/>
      <c r="G1998" s="37"/>
      <c r="H1998" s="37"/>
      <c r="I1998" s="35"/>
      <c r="J1998" s="37"/>
    </row>
    <row r="1999" spans="1:10" ht="15.95" customHeight="1" x14ac:dyDescent="0.2">
      <c r="A1999" s="39"/>
      <c r="B1999" s="36"/>
      <c r="C1999" s="37"/>
      <c r="D1999" s="37"/>
      <c r="E1999" s="37"/>
      <c r="F1999" s="37"/>
      <c r="G1999" s="37"/>
      <c r="H1999" s="37"/>
      <c r="I1999" s="35"/>
      <c r="J1999" s="37"/>
    </row>
    <row r="2000" spans="1:10" ht="15.95" customHeight="1" x14ac:dyDescent="0.2">
      <c r="A2000" s="39"/>
      <c r="B2000" s="36"/>
      <c r="C2000" s="37"/>
      <c r="D2000" s="37"/>
      <c r="E2000" s="37"/>
      <c r="F2000" s="37"/>
      <c r="G2000" s="37"/>
      <c r="H2000" s="37"/>
      <c r="I2000" s="35"/>
      <c r="J2000" s="37"/>
    </row>
    <row r="2001" spans="1:10" ht="15.95" customHeight="1" x14ac:dyDescent="0.2">
      <c r="A2001" s="39"/>
      <c r="B2001" s="36"/>
      <c r="C2001" s="37"/>
      <c r="D2001" s="37"/>
      <c r="E2001" s="37"/>
      <c r="F2001" s="37"/>
      <c r="G2001" s="37"/>
      <c r="H2001" s="37"/>
      <c r="I2001" s="35"/>
      <c r="J2001" s="37"/>
    </row>
    <row r="2002" spans="1:10" ht="15.95" customHeight="1" x14ac:dyDescent="0.2">
      <c r="A2002" s="39"/>
      <c r="B2002" s="36"/>
      <c r="C2002" s="37"/>
      <c r="D2002" s="37"/>
      <c r="E2002" s="37"/>
      <c r="F2002" s="37"/>
      <c r="G2002" s="37"/>
      <c r="H2002" s="37"/>
      <c r="I2002" s="35"/>
      <c r="J2002" s="37"/>
    </row>
    <row r="2003" spans="1:10" ht="15.95" customHeight="1" x14ac:dyDescent="0.2">
      <c r="A2003" s="39"/>
      <c r="B2003" s="36"/>
      <c r="C2003" s="37"/>
      <c r="D2003" s="37"/>
      <c r="E2003" s="37"/>
      <c r="F2003" s="37"/>
      <c r="G2003" s="37"/>
      <c r="H2003" s="37"/>
      <c r="I2003" s="35"/>
      <c r="J2003" s="37"/>
    </row>
    <row r="2004" spans="1:10" ht="15.95" customHeight="1" x14ac:dyDescent="0.2">
      <c r="A2004" s="39"/>
      <c r="B2004" s="36"/>
      <c r="C2004" s="37"/>
      <c r="D2004" s="37"/>
      <c r="E2004" s="37"/>
      <c r="F2004" s="37"/>
      <c r="G2004" s="37"/>
      <c r="H2004" s="37"/>
      <c r="I2004" s="35"/>
      <c r="J2004" s="37"/>
    </row>
    <row r="2005" spans="1:10" ht="15.95" customHeight="1" x14ac:dyDescent="0.2">
      <c r="A2005" s="39"/>
      <c r="B2005" s="36"/>
      <c r="C2005" s="37"/>
      <c r="D2005" s="37"/>
      <c r="E2005" s="37"/>
      <c r="F2005" s="37"/>
      <c r="G2005" s="37"/>
      <c r="H2005" s="37"/>
      <c r="I2005" s="35"/>
      <c r="J2005" s="37"/>
    </row>
    <row r="2006" spans="1:10" ht="15.95" customHeight="1" x14ac:dyDescent="0.2">
      <c r="A2006" s="39"/>
      <c r="B2006" s="36"/>
      <c r="C2006" s="37"/>
      <c r="D2006" s="37"/>
      <c r="E2006" s="37"/>
      <c r="F2006" s="37"/>
      <c r="G2006" s="37"/>
      <c r="H2006" s="37"/>
      <c r="I2006" s="35"/>
      <c r="J2006" s="37"/>
    </row>
    <row r="2007" spans="1:10" ht="15.95" customHeight="1" x14ac:dyDescent="0.2">
      <c r="A2007" s="39"/>
      <c r="B2007" s="36"/>
      <c r="C2007" s="37"/>
      <c r="D2007" s="37"/>
      <c r="E2007" s="37"/>
      <c r="F2007" s="37"/>
      <c r="G2007" s="37"/>
      <c r="H2007" s="37"/>
      <c r="I2007" s="35"/>
      <c r="J2007" s="37"/>
    </row>
    <row r="2008" spans="1:10" ht="15.95" customHeight="1" x14ac:dyDescent="0.2">
      <c r="A2008" s="39"/>
      <c r="B2008" s="36"/>
      <c r="C2008" s="37"/>
      <c r="D2008" s="37"/>
      <c r="E2008" s="37"/>
      <c r="F2008" s="37"/>
      <c r="G2008" s="37"/>
      <c r="H2008" s="37"/>
      <c r="I2008" s="35"/>
      <c r="J2008" s="37"/>
    </row>
    <row r="2009" spans="1:10" ht="15.95" customHeight="1" x14ac:dyDescent="0.2">
      <c r="A2009" s="39"/>
      <c r="B2009" s="36"/>
      <c r="C2009" s="37"/>
      <c r="D2009" s="37"/>
      <c r="E2009" s="37"/>
      <c r="F2009" s="37"/>
      <c r="G2009" s="37"/>
      <c r="H2009" s="37"/>
      <c r="I2009" s="35"/>
      <c r="J2009" s="37"/>
    </row>
    <row r="2010" spans="1:10" ht="15.95" customHeight="1" x14ac:dyDescent="0.2">
      <c r="A2010" s="39"/>
      <c r="B2010" s="36"/>
      <c r="C2010" s="37"/>
      <c r="D2010" s="37"/>
      <c r="E2010" s="37"/>
      <c r="F2010" s="37"/>
      <c r="G2010" s="37"/>
      <c r="H2010" s="37"/>
      <c r="I2010" s="35"/>
      <c r="J2010" s="37"/>
    </row>
    <row r="2011" spans="1:10" ht="15.95" customHeight="1" x14ac:dyDescent="0.2">
      <c r="A2011" s="39"/>
      <c r="B2011" s="36"/>
      <c r="C2011" s="37"/>
      <c r="D2011" s="37"/>
      <c r="E2011" s="37"/>
      <c r="F2011" s="37"/>
      <c r="G2011" s="37"/>
      <c r="H2011" s="37"/>
      <c r="I2011" s="35"/>
      <c r="J2011" s="37"/>
    </row>
    <row r="2012" spans="1:10" ht="15.95" customHeight="1" x14ac:dyDescent="0.2">
      <c r="A2012" s="39"/>
      <c r="B2012" s="36"/>
      <c r="C2012" s="37"/>
      <c r="D2012" s="37"/>
      <c r="E2012" s="37"/>
      <c r="F2012" s="37"/>
      <c r="G2012" s="37"/>
      <c r="H2012" s="37"/>
      <c r="I2012" s="35"/>
      <c r="J2012" s="37"/>
    </row>
    <row r="2013" spans="1:10" ht="15.95" customHeight="1" x14ac:dyDescent="0.2">
      <c r="A2013" s="39"/>
      <c r="B2013" s="36"/>
      <c r="C2013" s="37"/>
      <c r="D2013" s="37"/>
      <c r="E2013" s="37"/>
      <c r="F2013" s="37"/>
      <c r="G2013" s="37"/>
      <c r="H2013" s="37"/>
      <c r="I2013" s="35"/>
      <c r="J2013" s="37"/>
    </row>
    <row r="2014" spans="1:10" ht="15.95" customHeight="1" x14ac:dyDescent="0.2">
      <c r="A2014" s="39"/>
      <c r="B2014" s="36"/>
      <c r="C2014" s="37"/>
      <c r="D2014" s="37"/>
      <c r="E2014" s="37"/>
      <c r="F2014" s="37"/>
      <c r="G2014" s="37"/>
      <c r="H2014" s="37"/>
      <c r="I2014" s="35"/>
      <c r="J2014" s="37"/>
    </row>
    <row r="2015" spans="1:10" ht="15.95" customHeight="1" x14ac:dyDescent="0.2">
      <c r="A2015" s="39"/>
      <c r="B2015" s="36"/>
      <c r="C2015" s="37"/>
      <c r="D2015" s="37"/>
      <c r="E2015" s="37"/>
      <c r="F2015" s="37"/>
      <c r="G2015" s="37"/>
      <c r="H2015" s="37"/>
      <c r="I2015" s="35"/>
      <c r="J2015" s="37"/>
    </row>
    <row r="2016" spans="1:10" ht="15.95" customHeight="1" x14ac:dyDescent="0.2">
      <c r="A2016" s="39"/>
      <c r="B2016" s="36"/>
      <c r="C2016" s="37"/>
      <c r="D2016" s="37"/>
      <c r="E2016" s="37"/>
      <c r="F2016" s="37"/>
      <c r="G2016" s="37"/>
      <c r="H2016" s="37"/>
      <c r="I2016" s="35"/>
      <c r="J2016" s="37"/>
    </row>
    <row r="2017" spans="1:10" ht="15.95" customHeight="1" x14ac:dyDescent="0.2">
      <c r="A2017" s="39"/>
      <c r="B2017" s="36"/>
      <c r="C2017" s="37"/>
      <c r="D2017" s="37"/>
      <c r="E2017" s="37"/>
      <c r="F2017" s="37"/>
      <c r="G2017" s="37"/>
      <c r="H2017" s="37"/>
      <c r="I2017" s="35"/>
      <c r="J2017" s="37"/>
    </row>
    <row r="2018" spans="1:10" ht="15.95" customHeight="1" x14ac:dyDescent="0.2">
      <c r="A2018" s="39"/>
      <c r="B2018" s="36"/>
      <c r="C2018" s="37"/>
      <c r="D2018" s="37"/>
      <c r="E2018" s="37"/>
      <c r="F2018" s="37"/>
      <c r="G2018" s="37"/>
      <c r="H2018" s="37"/>
      <c r="I2018" s="35"/>
      <c r="J2018" s="37"/>
    </row>
    <row r="2019" spans="1:10" ht="15.95" customHeight="1" x14ac:dyDescent="0.2">
      <c r="A2019" s="39"/>
      <c r="B2019" s="36"/>
      <c r="C2019" s="37"/>
      <c r="D2019" s="37"/>
      <c r="E2019" s="37"/>
      <c r="F2019" s="37"/>
      <c r="G2019" s="37"/>
      <c r="H2019" s="37"/>
      <c r="I2019" s="35"/>
      <c r="J2019" s="37"/>
    </row>
    <row r="2020" spans="1:10" ht="15.95" customHeight="1" x14ac:dyDescent="0.2">
      <c r="A2020" s="39"/>
      <c r="B2020" s="36"/>
      <c r="C2020" s="37"/>
      <c r="D2020" s="37"/>
      <c r="E2020" s="37"/>
      <c r="F2020" s="37"/>
      <c r="G2020" s="37"/>
      <c r="H2020" s="37"/>
      <c r="I2020" s="35"/>
      <c r="J2020" s="37"/>
    </row>
    <row r="2021" spans="1:10" ht="15.95" customHeight="1" x14ac:dyDescent="0.2">
      <c r="A2021" s="39"/>
      <c r="B2021" s="36"/>
      <c r="C2021" s="37"/>
      <c r="D2021" s="37"/>
      <c r="E2021" s="37"/>
      <c r="F2021" s="37"/>
      <c r="G2021" s="37"/>
      <c r="H2021" s="37"/>
      <c r="I2021" s="35"/>
      <c r="J2021" s="37"/>
    </row>
    <row r="2022" spans="1:10" ht="15.95" customHeight="1" x14ac:dyDescent="0.2">
      <c r="A2022" s="39"/>
      <c r="B2022" s="36"/>
      <c r="C2022" s="37"/>
      <c r="D2022" s="37"/>
      <c r="E2022" s="37"/>
      <c r="F2022" s="37"/>
      <c r="G2022" s="37"/>
      <c r="H2022" s="37"/>
      <c r="I2022" s="35"/>
      <c r="J2022" s="37"/>
    </row>
    <row r="2023" spans="1:10" ht="15.95" customHeight="1" x14ac:dyDescent="0.2">
      <c r="A2023" s="39"/>
      <c r="B2023" s="36"/>
      <c r="C2023" s="37"/>
      <c r="D2023" s="37"/>
      <c r="E2023" s="37"/>
      <c r="F2023" s="37"/>
      <c r="G2023" s="37"/>
      <c r="H2023" s="37"/>
      <c r="I2023" s="35"/>
      <c r="J2023" s="37"/>
    </row>
    <row r="2024" spans="1:10" ht="15.95" customHeight="1" x14ac:dyDescent="0.2">
      <c r="A2024" s="39"/>
      <c r="B2024" s="36"/>
      <c r="C2024" s="37"/>
      <c r="D2024" s="37"/>
      <c r="E2024" s="37"/>
      <c r="F2024" s="37"/>
      <c r="G2024" s="37"/>
      <c r="H2024" s="37"/>
      <c r="I2024" s="35"/>
      <c r="J2024" s="37"/>
    </row>
    <row r="2025" spans="1:10" ht="15.95" customHeight="1" x14ac:dyDescent="0.2">
      <c r="A2025" s="39"/>
      <c r="B2025" s="36"/>
      <c r="C2025" s="37"/>
      <c r="D2025" s="37"/>
      <c r="E2025" s="37"/>
      <c r="F2025" s="37"/>
      <c r="G2025" s="37"/>
      <c r="H2025" s="37"/>
      <c r="I2025" s="35"/>
      <c r="J2025" s="37"/>
    </row>
    <row r="2026" spans="1:10" ht="15.95" customHeight="1" x14ac:dyDescent="0.2">
      <c r="A2026" s="39"/>
      <c r="B2026" s="36"/>
      <c r="C2026" s="37"/>
      <c r="D2026" s="37"/>
      <c r="E2026" s="37"/>
      <c r="F2026" s="37"/>
      <c r="G2026" s="37"/>
      <c r="H2026" s="37"/>
      <c r="I2026" s="35"/>
      <c r="J2026" s="37"/>
    </row>
    <row r="2027" spans="1:10" ht="15.95" customHeight="1" x14ac:dyDescent="0.2">
      <c r="A2027" s="39"/>
      <c r="B2027" s="36"/>
      <c r="C2027" s="37"/>
      <c r="D2027" s="37"/>
      <c r="E2027" s="37"/>
      <c r="F2027" s="37"/>
      <c r="G2027" s="37"/>
      <c r="H2027" s="37"/>
      <c r="I2027" s="35"/>
      <c r="J2027" s="37"/>
    </row>
    <row r="2028" spans="1:10" ht="15.95" customHeight="1" x14ac:dyDescent="0.2">
      <c r="A2028" s="39"/>
      <c r="B2028" s="36"/>
      <c r="C2028" s="37"/>
      <c r="D2028" s="37"/>
      <c r="E2028" s="37"/>
      <c r="F2028" s="37"/>
      <c r="G2028" s="37"/>
      <c r="H2028" s="37"/>
      <c r="I2028" s="35"/>
      <c r="J2028" s="37"/>
    </row>
    <row r="2029" spans="1:10" ht="15.95" customHeight="1" x14ac:dyDescent="0.2">
      <c r="A2029" s="39"/>
      <c r="B2029" s="36"/>
      <c r="C2029" s="37"/>
      <c r="D2029" s="37"/>
      <c r="E2029" s="37"/>
      <c r="F2029" s="37"/>
      <c r="G2029" s="37"/>
      <c r="H2029" s="37"/>
      <c r="I2029" s="35"/>
      <c r="J2029" s="37"/>
    </row>
    <row r="2030" spans="1:10" ht="15.95" customHeight="1" x14ac:dyDescent="0.2">
      <c r="A2030" s="39"/>
      <c r="B2030" s="36"/>
      <c r="C2030" s="37"/>
      <c r="D2030" s="37"/>
      <c r="E2030" s="37"/>
      <c r="F2030" s="37"/>
      <c r="G2030" s="37"/>
      <c r="H2030" s="37"/>
      <c r="I2030" s="35"/>
      <c r="J2030" s="37"/>
    </row>
    <row r="2031" spans="1:10" ht="15.95" customHeight="1" x14ac:dyDescent="0.2">
      <c r="A2031" s="39"/>
      <c r="B2031" s="36"/>
      <c r="C2031" s="37"/>
      <c r="D2031" s="37"/>
      <c r="E2031" s="37"/>
      <c r="F2031" s="37"/>
      <c r="G2031" s="37"/>
      <c r="H2031" s="37"/>
      <c r="I2031" s="35"/>
      <c r="J2031" s="37"/>
    </row>
    <row r="2032" spans="1:10" ht="15.95" customHeight="1" x14ac:dyDescent="0.2">
      <c r="A2032" s="39"/>
      <c r="B2032" s="36"/>
      <c r="C2032" s="37"/>
      <c r="D2032" s="37"/>
      <c r="E2032" s="37"/>
      <c r="F2032" s="37"/>
      <c r="G2032" s="37"/>
      <c r="H2032" s="37"/>
      <c r="I2032" s="35"/>
      <c r="J2032" s="37"/>
    </row>
    <row r="2033" spans="1:10" ht="15.95" customHeight="1" x14ac:dyDescent="0.2">
      <c r="A2033" s="39"/>
      <c r="B2033" s="36"/>
      <c r="C2033" s="37"/>
      <c r="D2033" s="37"/>
      <c r="E2033" s="37"/>
      <c r="F2033" s="37"/>
      <c r="G2033" s="37"/>
      <c r="H2033" s="37"/>
      <c r="I2033" s="35"/>
      <c r="J2033" s="37"/>
    </row>
    <row r="2034" spans="1:10" ht="15.95" customHeight="1" x14ac:dyDescent="0.2">
      <c r="A2034" s="39"/>
      <c r="B2034" s="36"/>
      <c r="C2034" s="37"/>
      <c r="D2034" s="37"/>
      <c r="E2034" s="37"/>
      <c r="F2034" s="37"/>
      <c r="G2034" s="37"/>
      <c r="H2034" s="37"/>
      <c r="I2034" s="35"/>
      <c r="J2034" s="37"/>
    </row>
    <row r="2035" spans="1:10" ht="15.95" customHeight="1" x14ac:dyDescent="0.2">
      <c r="A2035" s="39"/>
      <c r="B2035" s="36"/>
      <c r="C2035" s="37"/>
      <c r="D2035" s="37"/>
      <c r="E2035" s="37"/>
      <c r="F2035" s="37"/>
      <c r="G2035" s="37"/>
      <c r="H2035" s="37"/>
      <c r="I2035" s="35"/>
      <c r="J2035" s="37"/>
    </row>
    <row r="2036" spans="1:10" ht="15.95" customHeight="1" x14ac:dyDescent="0.2">
      <c r="A2036" s="39"/>
      <c r="B2036" s="36"/>
      <c r="C2036" s="37"/>
      <c r="D2036" s="37"/>
      <c r="E2036" s="37"/>
      <c r="F2036" s="37"/>
      <c r="G2036" s="37"/>
      <c r="H2036" s="37"/>
      <c r="I2036" s="35"/>
      <c r="J2036" s="37"/>
    </row>
    <row r="2037" spans="1:10" ht="15.95" customHeight="1" x14ac:dyDescent="0.2">
      <c r="A2037" s="39"/>
      <c r="B2037" s="36"/>
      <c r="C2037" s="37"/>
      <c r="D2037" s="37"/>
      <c r="E2037" s="37"/>
      <c r="F2037" s="37"/>
      <c r="G2037" s="37"/>
      <c r="H2037" s="37"/>
      <c r="I2037" s="35"/>
      <c r="J2037" s="37"/>
    </row>
    <row r="2038" spans="1:10" ht="15.95" customHeight="1" x14ac:dyDescent="0.2">
      <c r="A2038" s="39"/>
      <c r="B2038" s="36"/>
      <c r="C2038" s="37"/>
      <c r="D2038" s="37"/>
      <c r="E2038" s="37"/>
      <c r="F2038" s="37"/>
      <c r="G2038" s="37"/>
      <c r="H2038" s="37"/>
      <c r="I2038" s="35"/>
      <c r="J2038" s="37"/>
    </row>
    <row r="2039" spans="1:10" ht="15.95" customHeight="1" x14ac:dyDescent="0.2">
      <c r="A2039" s="39"/>
      <c r="B2039" s="36"/>
      <c r="C2039" s="37"/>
      <c r="D2039" s="37"/>
      <c r="E2039" s="37"/>
      <c r="F2039" s="37"/>
      <c r="G2039" s="37"/>
      <c r="H2039" s="37"/>
      <c r="I2039" s="35"/>
      <c r="J2039" s="37"/>
    </row>
    <row r="2040" spans="1:10" ht="15.95" customHeight="1" x14ac:dyDescent="0.2">
      <c r="A2040" s="39"/>
      <c r="B2040" s="36"/>
      <c r="C2040" s="37"/>
      <c r="D2040" s="37"/>
      <c r="E2040" s="37"/>
      <c r="F2040" s="37"/>
      <c r="G2040" s="37"/>
      <c r="H2040" s="37"/>
      <c r="I2040" s="35"/>
      <c r="J2040" s="37"/>
    </row>
    <row r="2041" spans="1:10" ht="15.95" customHeight="1" x14ac:dyDescent="0.2">
      <c r="A2041" s="39"/>
      <c r="B2041" s="36"/>
      <c r="C2041" s="37"/>
      <c r="D2041" s="37"/>
      <c r="E2041" s="37"/>
      <c r="F2041" s="37"/>
      <c r="G2041" s="37"/>
      <c r="H2041" s="37"/>
      <c r="I2041" s="35"/>
      <c r="J2041" s="37"/>
    </row>
    <row r="2042" spans="1:10" ht="15.95" customHeight="1" x14ac:dyDescent="0.2">
      <c r="A2042" s="39"/>
      <c r="B2042" s="36"/>
      <c r="C2042" s="37"/>
      <c r="D2042" s="37"/>
      <c r="E2042" s="37"/>
      <c r="F2042" s="37"/>
      <c r="G2042" s="37"/>
      <c r="H2042" s="37"/>
      <c r="I2042" s="35"/>
      <c r="J2042" s="37"/>
    </row>
    <row r="2043" spans="1:10" ht="15.95" customHeight="1" x14ac:dyDescent="0.2">
      <c r="A2043" s="39"/>
      <c r="B2043" s="36"/>
      <c r="C2043" s="37"/>
      <c r="D2043" s="37"/>
      <c r="E2043" s="37"/>
      <c r="F2043" s="37"/>
      <c r="G2043" s="37"/>
      <c r="H2043" s="37"/>
      <c r="I2043" s="35"/>
      <c r="J2043" s="37"/>
    </row>
    <row r="2044" spans="1:10" ht="15.95" customHeight="1" x14ac:dyDescent="0.2">
      <c r="A2044" s="39"/>
      <c r="B2044" s="36"/>
      <c r="C2044" s="37"/>
      <c r="D2044" s="37"/>
      <c r="E2044" s="37"/>
      <c r="F2044" s="37"/>
      <c r="G2044" s="37"/>
      <c r="H2044" s="37"/>
      <c r="I2044" s="35"/>
      <c r="J2044" s="37"/>
    </row>
    <row r="2045" spans="1:10" ht="15.95" customHeight="1" x14ac:dyDescent="0.2">
      <c r="A2045" s="39"/>
      <c r="B2045" s="36"/>
      <c r="C2045" s="37"/>
      <c r="D2045" s="37"/>
      <c r="E2045" s="37"/>
      <c r="F2045" s="37"/>
      <c r="G2045" s="37"/>
      <c r="H2045" s="37"/>
      <c r="I2045" s="35"/>
      <c r="J2045" s="37"/>
    </row>
    <row r="2046" spans="1:10" ht="15.95" customHeight="1" x14ac:dyDescent="0.2">
      <c r="A2046" s="39"/>
      <c r="B2046" s="36"/>
      <c r="C2046" s="37"/>
      <c r="D2046" s="37"/>
      <c r="E2046" s="37"/>
      <c r="F2046" s="37"/>
      <c r="G2046" s="37"/>
      <c r="H2046" s="37"/>
      <c r="I2046" s="35"/>
      <c r="J2046" s="37"/>
    </row>
    <row r="2047" spans="1:10" ht="15.95" customHeight="1" x14ac:dyDescent="0.2">
      <c r="A2047" s="39"/>
      <c r="B2047" s="36"/>
      <c r="C2047" s="37"/>
      <c r="D2047" s="37"/>
      <c r="E2047" s="37"/>
      <c r="F2047" s="37"/>
      <c r="G2047" s="37"/>
      <c r="H2047" s="37"/>
      <c r="I2047" s="35"/>
      <c r="J2047" s="37"/>
    </row>
    <row r="2048" spans="1:10" ht="15.95" customHeight="1" x14ac:dyDescent="0.2">
      <c r="A2048" s="39"/>
      <c r="B2048" s="36"/>
      <c r="C2048" s="37"/>
      <c r="D2048" s="37"/>
      <c r="E2048" s="37"/>
      <c r="F2048" s="37"/>
      <c r="G2048" s="37"/>
      <c r="H2048" s="37"/>
      <c r="I2048" s="35"/>
      <c r="J2048" s="37"/>
    </row>
    <row r="2049" spans="1:10" ht="15.95" customHeight="1" x14ac:dyDescent="0.2">
      <c r="A2049" s="39"/>
      <c r="B2049" s="36"/>
      <c r="C2049" s="37"/>
      <c r="D2049" s="37"/>
      <c r="E2049" s="37"/>
      <c r="F2049" s="37"/>
      <c r="G2049" s="37"/>
      <c r="H2049" s="37"/>
      <c r="I2049" s="35"/>
      <c r="J2049" s="37"/>
    </row>
    <row r="2050" spans="1:10" ht="15.95" customHeight="1" x14ac:dyDescent="0.2">
      <c r="A2050" s="39"/>
      <c r="B2050" s="36"/>
      <c r="C2050" s="37"/>
      <c r="D2050" s="37"/>
      <c r="E2050" s="37"/>
      <c r="F2050" s="37"/>
      <c r="G2050" s="37"/>
      <c r="H2050" s="37"/>
      <c r="I2050" s="35"/>
      <c r="J2050" s="37"/>
    </row>
    <row r="2051" spans="1:10" ht="15.95" customHeight="1" x14ac:dyDescent="0.2">
      <c r="A2051" s="39"/>
      <c r="B2051" s="36"/>
      <c r="C2051" s="37"/>
      <c r="D2051" s="37"/>
      <c r="E2051" s="37"/>
      <c r="F2051" s="37"/>
      <c r="G2051" s="37"/>
      <c r="H2051" s="37"/>
      <c r="I2051" s="35"/>
      <c r="J2051" s="37"/>
    </row>
    <row r="2052" spans="1:10" ht="15.95" customHeight="1" x14ac:dyDescent="0.2">
      <c r="A2052" s="39"/>
      <c r="B2052" s="36"/>
      <c r="C2052" s="37"/>
      <c r="D2052" s="37"/>
      <c r="E2052" s="37"/>
      <c r="F2052" s="37"/>
      <c r="G2052" s="37"/>
      <c r="H2052" s="37"/>
      <c r="I2052" s="35"/>
      <c r="J2052" s="37"/>
    </row>
    <row r="2053" spans="1:10" ht="15.95" customHeight="1" x14ac:dyDescent="0.2">
      <c r="A2053" s="39"/>
      <c r="B2053" s="36"/>
      <c r="C2053" s="37"/>
      <c r="D2053" s="37"/>
      <c r="E2053" s="37"/>
      <c r="F2053" s="37"/>
      <c r="G2053" s="37"/>
      <c r="H2053" s="37"/>
      <c r="I2053" s="35"/>
      <c r="J2053" s="37"/>
    </row>
    <row r="2054" spans="1:10" ht="15.95" customHeight="1" x14ac:dyDescent="0.2">
      <c r="A2054" s="39"/>
      <c r="B2054" s="36"/>
      <c r="C2054" s="37"/>
      <c r="D2054" s="37"/>
      <c r="E2054" s="37"/>
      <c r="F2054" s="37"/>
      <c r="G2054" s="37"/>
      <c r="H2054" s="37"/>
      <c r="I2054" s="35"/>
      <c r="J2054" s="37"/>
    </row>
    <row r="2055" spans="1:10" ht="15.95" customHeight="1" x14ac:dyDescent="0.2">
      <c r="A2055" s="39"/>
      <c r="B2055" s="36"/>
      <c r="C2055" s="37"/>
      <c r="D2055" s="37"/>
      <c r="E2055" s="37"/>
      <c r="F2055" s="37"/>
      <c r="G2055" s="37"/>
      <c r="H2055" s="37"/>
      <c r="I2055" s="35"/>
      <c r="J2055" s="37"/>
    </row>
    <row r="2056" spans="1:10" ht="15.95" customHeight="1" x14ac:dyDescent="0.2">
      <c r="A2056" s="39"/>
      <c r="B2056" s="36"/>
      <c r="C2056" s="37"/>
      <c r="D2056" s="37"/>
      <c r="E2056" s="37"/>
      <c r="F2056" s="37"/>
      <c r="G2056" s="37"/>
      <c r="H2056" s="37"/>
      <c r="I2056" s="35"/>
      <c r="J2056" s="37"/>
    </row>
    <row r="2057" spans="1:10" ht="15.95" customHeight="1" x14ac:dyDescent="0.2">
      <c r="A2057" s="39"/>
      <c r="B2057" s="36"/>
      <c r="C2057" s="37"/>
      <c r="D2057" s="37"/>
      <c r="E2057" s="37"/>
      <c r="F2057" s="37"/>
      <c r="G2057" s="37"/>
      <c r="H2057" s="37"/>
      <c r="I2057" s="35"/>
      <c r="J2057" s="37"/>
    </row>
    <row r="2058" spans="1:10" ht="15.95" customHeight="1" x14ac:dyDescent="0.2">
      <c r="A2058" s="39"/>
      <c r="B2058" s="36"/>
      <c r="C2058" s="37"/>
      <c r="D2058" s="37"/>
      <c r="E2058" s="37"/>
      <c r="F2058" s="37"/>
      <c r="G2058" s="37"/>
      <c r="H2058" s="37"/>
      <c r="I2058" s="35"/>
      <c r="J2058" s="37"/>
    </row>
    <row r="2059" spans="1:10" ht="15.95" customHeight="1" x14ac:dyDescent="0.2">
      <c r="A2059" s="39"/>
      <c r="B2059" s="36"/>
      <c r="C2059" s="37"/>
      <c r="D2059" s="37"/>
      <c r="E2059" s="37"/>
      <c r="F2059" s="37"/>
      <c r="G2059" s="37"/>
      <c r="H2059" s="37"/>
      <c r="I2059" s="35"/>
      <c r="J2059" s="37"/>
    </row>
    <row r="2060" spans="1:10" ht="15.95" customHeight="1" x14ac:dyDescent="0.2">
      <c r="A2060" s="39"/>
      <c r="B2060" s="36"/>
      <c r="C2060" s="37"/>
      <c r="D2060" s="37"/>
      <c r="E2060" s="37"/>
      <c r="F2060" s="37"/>
      <c r="G2060" s="37"/>
      <c r="H2060" s="37"/>
      <c r="I2060" s="35"/>
      <c r="J2060" s="37"/>
    </row>
    <row r="2061" spans="1:10" ht="15.95" customHeight="1" x14ac:dyDescent="0.2">
      <c r="A2061" s="39"/>
      <c r="B2061" s="36"/>
      <c r="C2061" s="37"/>
      <c r="D2061" s="37"/>
      <c r="E2061" s="37"/>
      <c r="F2061" s="37"/>
      <c r="G2061" s="37"/>
      <c r="H2061" s="37"/>
      <c r="I2061" s="35"/>
      <c r="J2061" s="37"/>
    </row>
    <row r="2062" spans="1:10" ht="15.95" customHeight="1" x14ac:dyDescent="0.2">
      <c r="A2062" s="39"/>
      <c r="B2062" s="36"/>
      <c r="C2062" s="37"/>
      <c r="D2062" s="37"/>
      <c r="E2062" s="37"/>
      <c r="F2062" s="37"/>
      <c r="G2062" s="37"/>
      <c r="H2062" s="37"/>
      <c r="I2062" s="35"/>
      <c r="J2062" s="37"/>
    </row>
    <row r="2063" spans="1:10" ht="15.95" customHeight="1" x14ac:dyDescent="0.2">
      <c r="A2063" s="39"/>
      <c r="B2063" s="36"/>
      <c r="C2063" s="37"/>
      <c r="D2063" s="37"/>
      <c r="E2063" s="37"/>
      <c r="F2063" s="37"/>
      <c r="G2063" s="37"/>
      <c r="H2063" s="37"/>
      <c r="I2063" s="35"/>
      <c r="J2063" s="37"/>
    </row>
    <row r="2064" spans="1:10" ht="15.95" customHeight="1" x14ac:dyDescent="0.2">
      <c r="A2064" s="39"/>
      <c r="B2064" s="36"/>
      <c r="C2064" s="37"/>
      <c r="D2064" s="37"/>
      <c r="E2064" s="37"/>
      <c r="F2064" s="37"/>
      <c r="G2064" s="37"/>
      <c r="H2064" s="37"/>
      <c r="I2064" s="35"/>
      <c r="J2064" s="37"/>
    </row>
    <row r="2065" spans="1:10" ht="15.95" customHeight="1" x14ac:dyDescent="0.2">
      <c r="A2065" s="39"/>
      <c r="B2065" s="36"/>
      <c r="C2065" s="37"/>
      <c r="D2065" s="37"/>
      <c r="E2065" s="37"/>
      <c r="F2065" s="37"/>
      <c r="G2065" s="37"/>
      <c r="H2065" s="37"/>
      <c r="I2065" s="35"/>
      <c r="J2065" s="37"/>
    </row>
    <row r="2066" spans="1:10" ht="15.95" customHeight="1" x14ac:dyDescent="0.2">
      <c r="A2066" s="39"/>
      <c r="B2066" s="36"/>
      <c r="C2066" s="37"/>
      <c r="D2066" s="37"/>
      <c r="E2066" s="37"/>
      <c r="F2066" s="37"/>
      <c r="G2066" s="37"/>
      <c r="H2066" s="37"/>
      <c r="I2066" s="35"/>
      <c r="J2066" s="37"/>
    </row>
    <row r="2067" spans="1:10" ht="15.95" customHeight="1" x14ac:dyDescent="0.2">
      <c r="A2067" s="39"/>
      <c r="B2067" s="36"/>
      <c r="C2067" s="37"/>
      <c r="D2067" s="37"/>
      <c r="E2067" s="37"/>
      <c r="F2067" s="37"/>
      <c r="G2067" s="37"/>
      <c r="H2067" s="37"/>
      <c r="I2067" s="35"/>
      <c r="J2067" s="37"/>
    </row>
    <row r="2068" spans="1:10" ht="15.95" customHeight="1" x14ac:dyDescent="0.2">
      <c r="A2068" s="39"/>
      <c r="B2068" s="36"/>
      <c r="C2068" s="37"/>
      <c r="D2068" s="37"/>
      <c r="E2068" s="37"/>
      <c r="F2068" s="37"/>
      <c r="G2068" s="37"/>
      <c r="H2068" s="37"/>
      <c r="I2068" s="35"/>
      <c r="J2068" s="37"/>
    </row>
    <row r="2069" spans="1:10" ht="15.95" customHeight="1" x14ac:dyDescent="0.2">
      <c r="A2069" s="39"/>
      <c r="B2069" s="36"/>
      <c r="C2069" s="37"/>
      <c r="D2069" s="37"/>
      <c r="E2069" s="37"/>
      <c r="F2069" s="37"/>
      <c r="G2069" s="37"/>
      <c r="H2069" s="37"/>
      <c r="I2069" s="35"/>
      <c r="J2069" s="37"/>
    </row>
    <row r="2070" spans="1:10" ht="15.95" customHeight="1" x14ac:dyDescent="0.2">
      <c r="A2070" s="39"/>
      <c r="B2070" s="36"/>
      <c r="C2070" s="37"/>
      <c r="D2070" s="37"/>
      <c r="E2070" s="37"/>
      <c r="F2070" s="37"/>
      <c r="G2070" s="37"/>
      <c r="H2070" s="37"/>
      <c r="I2070" s="35"/>
      <c r="J2070" s="37"/>
    </row>
    <row r="2071" spans="1:10" ht="15.95" customHeight="1" x14ac:dyDescent="0.2">
      <c r="A2071" s="39"/>
      <c r="B2071" s="36"/>
      <c r="C2071" s="37"/>
      <c r="D2071" s="37"/>
      <c r="E2071" s="37"/>
      <c r="F2071" s="37"/>
      <c r="G2071" s="37"/>
      <c r="H2071" s="37"/>
      <c r="I2071" s="35"/>
      <c r="J2071" s="37"/>
    </row>
    <row r="2072" spans="1:10" ht="15.95" customHeight="1" x14ac:dyDescent="0.2">
      <c r="A2072" s="39"/>
      <c r="B2072" s="36"/>
      <c r="C2072" s="37"/>
      <c r="D2072" s="37"/>
      <c r="E2072" s="37"/>
      <c r="F2072" s="37"/>
      <c r="G2072" s="37"/>
      <c r="H2072" s="37"/>
      <c r="I2072" s="35"/>
      <c r="J2072" s="37"/>
    </row>
    <row r="2073" spans="1:10" ht="15.95" customHeight="1" x14ac:dyDescent="0.2">
      <c r="A2073" s="39"/>
      <c r="B2073" s="36"/>
      <c r="C2073" s="37"/>
      <c r="D2073" s="37"/>
      <c r="E2073" s="37"/>
      <c r="F2073" s="37"/>
      <c r="G2073" s="37"/>
      <c r="H2073" s="37"/>
      <c r="I2073" s="35"/>
      <c r="J2073" s="37"/>
    </row>
    <row r="2074" spans="1:10" ht="15.95" customHeight="1" x14ac:dyDescent="0.2">
      <c r="A2074" s="39"/>
      <c r="B2074" s="36"/>
      <c r="C2074" s="37"/>
      <c r="D2074" s="37"/>
      <c r="E2074" s="37"/>
      <c r="F2074" s="37"/>
      <c r="G2074" s="37"/>
      <c r="H2074" s="37"/>
      <c r="I2074" s="35"/>
      <c r="J2074" s="37"/>
    </row>
    <row r="2075" spans="1:10" ht="15.95" customHeight="1" x14ac:dyDescent="0.2">
      <c r="A2075" s="39"/>
      <c r="B2075" s="36"/>
      <c r="C2075" s="37"/>
      <c r="D2075" s="37"/>
      <c r="E2075" s="37"/>
      <c r="F2075" s="37"/>
      <c r="G2075" s="37"/>
      <c r="H2075" s="37"/>
      <c r="I2075" s="35"/>
      <c r="J2075" s="37"/>
    </row>
    <row r="2076" spans="1:10" ht="15.95" customHeight="1" x14ac:dyDescent="0.2">
      <c r="A2076" s="39"/>
      <c r="B2076" s="36"/>
      <c r="C2076" s="37"/>
      <c r="D2076" s="37"/>
      <c r="E2076" s="37"/>
      <c r="F2076" s="37"/>
      <c r="G2076" s="37"/>
      <c r="H2076" s="37"/>
      <c r="I2076" s="35"/>
      <c r="J2076" s="37"/>
    </row>
    <row r="2077" spans="1:10" ht="15.95" customHeight="1" x14ac:dyDescent="0.2">
      <c r="A2077" s="39"/>
      <c r="B2077" s="36"/>
      <c r="C2077" s="37"/>
      <c r="D2077" s="37"/>
      <c r="E2077" s="37"/>
      <c r="F2077" s="37"/>
      <c r="G2077" s="37"/>
      <c r="H2077" s="37"/>
      <c r="I2077" s="35"/>
      <c r="J2077" s="37"/>
    </row>
    <row r="2078" spans="1:10" ht="15.95" customHeight="1" x14ac:dyDescent="0.2">
      <c r="A2078" s="39"/>
      <c r="B2078" s="36"/>
      <c r="C2078" s="37"/>
      <c r="D2078" s="37"/>
      <c r="E2078" s="37"/>
      <c r="F2078" s="37"/>
      <c r="G2078" s="37"/>
      <c r="H2078" s="37"/>
      <c r="I2078" s="35"/>
      <c r="J2078" s="37"/>
    </row>
    <row r="2079" spans="1:10" ht="15.95" customHeight="1" x14ac:dyDescent="0.2">
      <c r="A2079" s="39"/>
      <c r="B2079" s="36"/>
      <c r="C2079" s="37"/>
      <c r="D2079" s="37"/>
      <c r="E2079" s="37"/>
      <c r="F2079" s="37"/>
      <c r="G2079" s="37"/>
      <c r="H2079" s="37"/>
      <c r="I2079" s="35"/>
      <c r="J2079" s="37"/>
    </row>
    <row r="2080" spans="1:10" ht="15.95" customHeight="1" x14ac:dyDescent="0.2">
      <c r="A2080" s="39"/>
      <c r="B2080" s="36"/>
      <c r="C2080" s="37"/>
      <c r="D2080" s="37"/>
      <c r="E2080" s="37"/>
      <c r="F2080" s="37"/>
      <c r="G2080" s="37"/>
      <c r="H2080" s="37"/>
      <c r="I2080" s="35"/>
      <c r="J2080" s="37"/>
    </row>
    <row r="2081" spans="1:10" ht="15.95" customHeight="1" x14ac:dyDescent="0.2">
      <c r="A2081" s="39"/>
      <c r="B2081" s="36"/>
      <c r="C2081" s="37"/>
      <c r="D2081" s="37"/>
      <c r="E2081" s="37"/>
      <c r="F2081" s="37"/>
      <c r="G2081" s="37"/>
      <c r="H2081" s="37"/>
      <c r="I2081" s="35"/>
      <c r="J2081" s="37"/>
    </row>
    <row r="2082" spans="1:10" ht="15.95" customHeight="1" x14ac:dyDescent="0.2">
      <c r="A2082" s="39"/>
      <c r="B2082" s="36"/>
      <c r="C2082" s="37"/>
      <c r="D2082" s="37"/>
      <c r="E2082" s="37"/>
      <c r="F2082" s="37"/>
      <c r="G2082" s="37"/>
      <c r="H2082" s="37"/>
      <c r="I2082" s="35"/>
      <c r="J2082" s="37"/>
    </row>
    <row r="2083" spans="1:10" ht="15.95" customHeight="1" x14ac:dyDescent="0.2">
      <c r="A2083" s="39"/>
      <c r="B2083" s="36"/>
      <c r="C2083" s="37"/>
      <c r="D2083" s="37"/>
      <c r="E2083" s="37"/>
      <c r="F2083" s="37"/>
      <c r="G2083" s="37"/>
      <c r="H2083" s="37"/>
      <c r="I2083" s="35"/>
      <c r="J2083" s="37"/>
    </row>
    <row r="2084" spans="1:10" ht="15.95" customHeight="1" x14ac:dyDescent="0.2">
      <c r="A2084" s="39"/>
      <c r="B2084" s="36"/>
      <c r="C2084" s="37"/>
      <c r="D2084" s="37"/>
      <c r="E2084" s="37"/>
      <c r="F2084" s="37"/>
      <c r="G2084" s="37"/>
      <c r="H2084" s="37"/>
      <c r="I2084" s="35"/>
      <c r="J2084" s="37"/>
    </row>
    <row r="2085" spans="1:10" ht="15.95" customHeight="1" x14ac:dyDescent="0.2">
      <c r="A2085" s="39"/>
      <c r="B2085" s="36"/>
      <c r="C2085" s="37"/>
      <c r="D2085" s="37"/>
      <c r="E2085" s="37"/>
      <c r="F2085" s="37"/>
      <c r="G2085" s="37"/>
      <c r="H2085" s="37"/>
      <c r="I2085" s="35"/>
      <c r="J2085" s="37"/>
    </row>
    <row r="2086" spans="1:10" ht="15.95" customHeight="1" x14ac:dyDescent="0.2">
      <c r="A2086" s="39"/>
      <c r="B2086" s="36"/>
      <c r="C2086" s="37"/>
      <c r="D2086" s="37"/>
      <c r="E2086" s="37"/>
      <c r="F2086" s="37"/>
      <c r="G2086" s="37"/>
      <c r="H2086" s="37"/>
      <c r="I2086" s="35"/>
      <c r="J2086" s="37"/>
    </row>
    <row r="2087" spans="1:10" ht="15.95" customHeight="1" x14ac:dyDescent="0.2">
      <c r="A2087" s="39"/>
      <c r="B2087" s="36"/>
      <c r="C2087" s="37"/>
      <c r="D2087" s="37"/>
      <c r="E2087" s="37"/>
      <c r="F2087" s="37"/>
      <c r="G2087" s="37"/>
      <c r="H2087" s="37"/>
      <c r="I2087" s="35"/>
      <c r="J2087" s="37"/>
    </row>
    <row r="2088" spans="1:10" ht="15.95" customHeight="1" x14ac:dyDescent="0.2">
      <c r="A2088" s="39"/>
      <c r="B2088" s="36"/>
      <c r="C2088" s="37"/>
      <c r="D2088" s="37"/>
      <c r="E2088" s="37"/>
      <c r="F2088" s="37"/>
      <c r="G2088" s="37"/>
      <c r="H2088" s="37"/>
      <c r="I2088" s="35"/>
      <c r="J2088" s="37"/>
    </row>
    <row r="2089" spans="1:10" ht="15.95" customHeight="1" x14ac:dyDescent="0.2">
      <c r="A2089" s="39"/>
      <c r="B2089" s="36"/>
      <c r="C2089" s="37"/>
      <c r="D2089" s="37"/>
      <c r="E2089" s="37"/>
      <c r="F2089" s="37"/>
      <c r="G2089" s="37"/>
      <c r="H2089" s="37"/>
      <c r="I2089" s="35"/>
      <c r="J2089" s="37"/>
    </row>
    <row r="2090" spans="1:10" ht="15.95" customHeight="1" x14ac:dyDescent="0.2">
      <c r="A2090" s="39"/>
      <c r="B2090" s="36"/>
      <c r="C2090" s="37"/>
      <c r="D2090" s="37"/>
      <c r="E2090" s="37"/>
      <c r="F2090" s="37"/>
      <c r="G2090" s="37"/>
      <c r="H2090" s="37"/>
      <c r="I2090" s="35"/>
      <c r="J2090" s="37"/>
    </row>
    <row r="2091" spans="1:10" ht="15.95" customHeight="1" x14ac:dyDescent="0.2">
      <c r="A2091" s="39"/>
      <c r="B2091" s="36"/>
      <c r="C2091" s="37"/>
      <c r="D2091" s="37"/>
      <c r="E2091" s="37"/>
      <c r="F2091" s="37"/>
      <c r="G2091" s="37"/>
      <c r="H2091" s="37"/>
      <c r="I2091" s="35"/>
      <c r="J2091" s="37"/>
    </row>
    <row r="2092" spans="1:10" ht="15.95" customHeight="1" x14ac:dyDescent="0.2">
      <c r="A2092" s="39"/>
      <c r="B2092" s="36"/>
      <c r="C2092" s="37"/>
      <c r="D2092" s="37"/>
      <c r="E2092" s="37"/>
      <c r="F2092" s="37"/>
      <c r="G2092" s="37"/>
      <c r="H2092" s="37"/>
      <c r="I2092" s="35"/>
      <c r="J2092" s="37"/>
    </row>
    <row r="2093" spans="1:10" ht="15.95" customHeight="1" x14ac:dyDescent="0.2">
      <c r="A2093" s="39"/>
      <c r="B2093" s="36"/>
      <c r="C2093" s="37"/>
      <c r="D2093" s="37"/>
      <c r="E2093" s="37"/>
      <c r="F2093" s="37"/>
      <c r="G2093" s="37"/>
      <c r="H2093" s="37"/>
      <c r="I2093" s="35"/>
      <c r="J2093" s="37"/>
    </row>
    <row r="2094" spans="1:10" ht="15.95" customHeight="1" x14ac:dyDescent="0.2">
      <c r="A2094" s="39"/>
      <c r="B2094" s="36"/>
      <c r="C2094" s="37"/>
      <c r="D2094" s="37"/>
      <c r="E2094" s="37"/>
      <c r="F2094" s="37"/>
      <c r="G2094" s="37"/>
      <c r="H2094" s="37"/>
      <c r="I2094" s="35"/>
      <c r="J2094" s="37"/>
    </row>
    <row r="2095" spans="1:10" ht="15.95" customHeight="1" x14ac:dyDescent="0.2">
      <c r="A2095" s="39"/>
      <c r="B2095" s="36"/>
      <c r="C2095" s="37"/>
      <c r="D2095" s="37"/>
      <c r="E2095" s="37"/>
      <c r="F2095" s="37"/>
      <c r="G2095" s="37"/>
      <c r="H2095" s="37"/>
      <c r="I2095" s="35"/>
      <c r="J2095" s="37"/>
    </row>
    <row r="2096" spans="1:10" ht="15.95" customHeight="1" x14ac:dyDescent="0.2">
      <c r="A2096" s="39"/>
      <c r="B2096" s="36"/>
      <c r="C2096" s="37"/>
      <c r="D2096" s="37"/>
      <c r="E2096" s="37"/>
      <c r="F2096" s="37"/>
      <c r="G2096" s="37"/>
      <c r="H2096" s="37"/>
      <c r="I2096" s="35"/>
      <c r="J2096" s="37"/>
    </row>
    <row r="2097" spans="1:10" ht="15.95" customHeight="1" x14ac:dyDescent="0.2">
      <c r="A2097" s="39"/>
      <c r="B2097" s="36"/>
      <c r="C2097" s="37"/>
      <c r="D2097" s="37"/>
      <c r="E2097" s="37"/>
      <c r="F2097" s="37"/>
      <c r="G2097" s="37"/>
      <c r="H2097" s="37"/>
      <c r="I2097" s="35"/>
      <c r="J2097" s="37"/>
    </row>
    <row r="2098" spans="1:10" ht="15.95" customHeight="1" x14ac:dyDescent="0.2">
      <c r="A2098" s="39"/>
      <c r="B2098" s="36"/>
      <c r="C2098" s="37"/>
      <c r="D2098" s="37"/>
      <c r="E2098" s="37"/>
      <c r="F2098" s="37"/>
      <c r="G2098" s="37"/>
      <c r="H2098" s="37"/>
      <c r="I2098" s="35"/>
      <c r="J2098" s="37"/>
    </row>
    <row r="2099" spans="1:10" ht="15.95" customHeight="1" x14ac:dyDescent="0.2">
      <c r="A2099" s="39"/>
      <c r="B2099" s="36"/>
      <c r="C2099" s="37"/>
      <c r="D2099" s="37"/>
      <c r="E2099" s="37"/>
      <c r="F2099" s="37"/>
      <c r="G2099" s="37"/>
      <c r="H2099" s="37"/>
      <c r="I2099" s="35"/>
      <c r="J2099" s="37"/>
    </row>
    <row r="2100" spans="1:10" ht="15.95" customHeight="1" x14ac:dyDescent="0.2">
      <c r="A2100" s="39"/>
      <c r="B2100" s="36"/>
      <c r="C2100" s="37"/>
      <c r="D2100" s="37"/>
      <c r="E2100" s="37"/>
      <c r="F2100" s="37"/>
      <c r="G2100" s="37"/>
      <c r="H2100" s="37"/>
      <c r="I2100" s="35"/>
      <c r="J2100" s="37"/>
    </row>
    <row r="2101" spans="1:10" ht="15.95" customHeight="1" x14ac:dyDescent="0.2">
      <c r="A2101" s="39"/>
      <c r="B2101" s="36"/>
      <c r="C2101" s="37"/>
      <c r="D2101" s="37"/>
      <c r="E2101" s="37"/>
      <c r="F2101" s="37"/>
      <c r="G2101" s="37"/>
      <c r="H2101" s="37"/>
      <c r="I2101" s="35"/>
      <c r="J2101" s="37"/>
    </row>
    <row r="2102" spans="1:10" ht="15.95" customHeight="1" x14ac:dyDescent="0.2">
      <c r="A2102" s="39"/>
      <c r="B2102" s="36"/>
      <c r="C2102" s="37"/>
      <c r="D2102" s="37"/>
      <c r="E2102" s="37"/>
      <c r="F2102" s="37"/>
      <c r="G2102" s="37"/>
      <c r="H2102" s="37"/>
      <c r="I2102" s="35"/>
      <c r="J2102" s="37"/>
    </row>
    <row r="2103" spans="1:10" ht="15.95" customHeight="1" x14ac:dyDescent="0.2">
      <c r="A2103" s="39"/>
      <c r="B2103" s="36"/>
      <c r="C2103" s="37"/>
      <c r="D2103" s="37"/>
      <c r="E2103" s="37"/>
      <c r="F2103" s="37"/>
      <c r="G2103" s="37"/>
      <c r="H2103" s="37"/>
      <c r="I2103" s="35"/>
      <c r="J2103" s="37"/>
    </row>
    <row r="2104" spans="1:10" ht="15.95" customHeight="1" x14ac:dyDescent="0.2">
      <c r="A2104" s="39"/>
      <c r="B2104" s="36"/>
      <c r="C2104" s="37"/>
      <c r="D2104" s="37"/>
      <c r="E2104" s="37"/>
      <c r="F2104" s="37"/>
      <c r="G2104" s="37"/>
      <c r="H2104" s="37"/>
      <c r="I2104" s="35"/>
      <c r="J2104" s="37"/>
    </row>
    <row r="2105" spans="1:10" ht="15.95" customHeight="1" x14ac:dyDescent="0.2">
      <c r="A2105" s="39"/>
      <c r="B2105" s="36"/>
      <c r="C2105" s="37"/>
      <c r="D2105" s="37"/>
      <c r="E2105" s="37"/>
      <c r="F2105" s="37"/>
      <c r="G2105" s="37"/>
      <c r="H2105" s="37"/>
      <c r="I2105" s="35"/>
      <c r="J2105" s="37"/>
    </row>
    <row r="2106" spans="1:10" ht="15.95" customHeight="1" x14ac:dyDescent="0.2">
      <c r="A2106" s="39"/>
      <c r="B2106" s="36"/>
      <c r="C2106" s="37"/>
      <c r="D2106" s="37"/>
      <c r="E2106" s="37"/>
      <c r="F2106" s="37"/>
      <c r="G2106" s="37"/>
      <c r="H2106" s="37"/>
      <c r="I2106" s="35"/>
      <c r="J2106" s="37"/>
    </row>
    <row r="2107" spans="1:10" ht="15.95" customHeight="1" x14ac:dyDescent="0.2">
      <c r="A2107" s="39"/>
      <c r="B2107" s="36"/>
      <c r="C2107" s="37"/>
      <c r="D2107" s="37"/>
      <c r="E2107" s="37"/>
      <c r="F2107" s="37"/>
      <c r="G2107" s="37"/>
      <c r="H2107" s="37"/>
      <c r="I2107" s="35"/>
      <c r="J2107" s="37"/>
    </row>
    <row r="2108" spans="1:10" ht="15.95" customHeight="1" x14ac:dyDescent="0.2">
      <c r="A2108" s="39"/>
      <c r="B2108" s="36"/>
      <c r="C2108" s="37"/>
      <c r="D2108" s="37"/>
      <c r="E2108" s="37"/>
      <c r="F2108" s="37"/>
      <c r="G2108" s="37"/>
      <c r="H2108" s="37"/>
      <c r="I2108" s="35"/>
      <c r="J2108" s="37"/>
    </row>
    <row r="2109" spans="1:10" ht="15.95" customHeight="1" x14ac:dyDescent="0.2">
      <c r="A2109" s="39"/>
      <c r="B2109" s="36"/>
      <c r="C2109" s="37"/>
      <c r="D2109" s="37"/>
      <c r="E2109" s="37"/>
      <c r="F2109" s="37"/>
      <c r="G2109" s="37"/>
      <c r="H2109" s="37"/>
      <c r="I2109" s="35"/>
      <c r="J2109" s="37"/>
    </row>
    <row r="2110" spans="1:10" ht="15.95" customHeight="1" x14ac:dyDescent="0.2">
      <c r="A2110" s="39"/>
      <c r="B2110" s="36"/>
      <c r="C2110" s="37"/>
      <c r="D2110" s="37"/>
      <c r="E2110" s="37"/>
      <c r="F2110" s="37"/>
      <c r="G2110" s="37"/>
      <c r="H2110" s="37"/>
      <c r="I2110" s="35"/>
      <c r="J2110" s="37"/>
    </row>
    <row r="2111" spans="1:10" ht="15.95" customHeight="1" x14ac:dyDescent="0.2">
      <c r="A2111" s="39"/>
      <c r="B2111" s="36"/>
      <c r="C2111" s="37"/>
      <c r="D2111" s="37"/>
      <c r="E2111" s="37"/>
      <c r="F2111" s="37"/>
      <c r="G2111" s="37"/>
      <c r="H2111" s="37"/>
      <c r="I2111" s="35"/>
      <c r="J2111" s="37"/>
    </row>
    <row r="2112" spans="1:10" ht="15.95" customHeight="1" x14ac:dyDescent="0.2">
      <c r="A2112" s="39"/>
      <c r="B2112" s="36"/>
      <c r="C2112" s="37"/>
      <c r="D2112" s="37"/>
      <c r="E2112" s="37"/>
      <c r="F2112" s="37"/>
      <c r="G2112" s="37"/>
      <c r="H2112" s="37"/>
      <c r="I2112" s="35"/>
      <c r="J2112" s="37"/>
    </row>
    <row r="2113" spans="1:10" ht="15.95" customHeight="1" x14ac:dyDescent="0.2">
      <c r="A2113" s="39"/>
      <c r="B2113" s="36"/>
      <c r="C2113" s="37"/>
      <c r="D2113" s="37"/>
      <c r="E2113" s="37"/>
      <c r="F2113" s="37"/>
      <c r="G2113" s="37"/>
      <c r="H2113" s="37"/>
      <c r="I2113" s="35"/>
      <c r="J2113" s="37"/>
    </row>
    <row r="2114" spans="1:10" ht="15.95" customHeight="1" x14ac:dyDescent="0.2">
      <c r="A2114" s="39"/>
      <c r="B2114" s="36"/>
      <c r="C2114" s="37"/>
      <c r="D2114" s="37"/>
      <c r="E2114" s="37"/>
      <c r="F2114" s="37"/>
      <c r="G2114" s="37"/>
      <c r="H2114" s="37"/>
      <c r="I2114" s="35"/>
      <c r="J2114" s="37"/>
    </row>
    <row r="2115" spans="1:10" ht="15.95" customHeight="1" x14ac:dyDescent="0.2">
      <c r="A2115" s="39"/>
      <c r="B2115" s="36"/>
      <c r="C2115" s="37"/>
      <c r="D2115" s="37"/>
      <c r="E2115" s="37"/>
      <c r="F2115" s="37"/>
      <c r="G2115" s="37"/>
      <c r="H2115" s="37"/>
      <c r="I2115" s="35"/>
      <c r="J2115" s="37"/>
    </row>
    <row r="2116" spans="1:10" ht="15.95" customHeight="1" x14ac:dyDescent="0.2">
      <c r="A2116" s="39"/>
      <c r="B2116" s="36"/>
      <c r="C2116" s="37"/>
      <c r="D2116" s="37"/>
      <c r="E2116" s="37"/>
      <c r="F2116" s="37"/>
      <c r="G2116" s="37"/>
      <c r="H2116" s="37"/>
      <c r="I2116" s="35"/>
      <c r="J2116" s="37"/>
    </row>
    <row r="2117" spans="1:10" ht="15.95" customHeight="1" x14ac:dyDescent="0.2">
      <c r="A2117" s="39"/>
      <c r="B2117" s="36"/>
      <c r="C2117" s="37"/>
      <c r="D2117" s="37"/>
      <c r="E2117" s="37"/>
      <c r="F2117" s="37"/>
      <c r="G2117" s="37"/>
      <c r="H2117" s="37"/>
      <c r="I2117" s="35"/>
      <c r="J2117" s="37"/>
    </row>
    <row r="2118" spans="1:10" ht="15.95" customHeight="1" x14ac:dyDescent="0.2">
      <c r="A2118" s="39"/>
      <c r="B2118" s="36"/>
      <c r="C2118" s="37"/>
      <c r="D2118" s="37"/>
      <c r="E2118" s="37"/>
      <c r="F2118" s="37"/>
      <c r="G2118" s="37"/>
      <c r="H2118" s="37"/>
      <c r="I2118" s="35"/>
      <c r="J2118" s="37"/>
    </row>
    <row r="2119" spans="1:10" ht="15.95" customHeight="1" x14ac:dyDescent="0.2">
      <c r="A2119" s="39"/>
      <c r="B2119" s="36"/>
      <c r="C2119" s="37"/>
      <c r="D2119" s="37"/>
      <c r="E2119" s="37"/>
      <c r="F2119" s="37"/>
      <c r="G2119" s="37"/>
      <c r="H2119" s="37"/>
      <c r="I2119" s="35"/>
      <c r="J2119" s="37"/>
    </row>
    <row r="2120" spans="1:10" ht="15.95" customHeight="1" x14ac:dyDescent="0.2">
      <c r="A2120" s="39"/>
      <c r="B2120" s="36"/>
      <c r="C2120" s="37"/>
      <c r="D2120" s="37"/>
      <c r="E2120" s="37"/>
      <c r="F2120" s="37"/>
      <c r="G2120" s="37"/>
      <c r="H2120" s="37"/>
      <c r="I2120" s="35"/>
      <c r="J2120" s="37"/>
    </row>
    <row r="2121" spans="1:10" ht="15.95" customHeight="1" x14ac:dyDescent="0.2">
      <c r="A2121" s="39"/>
      <c r="B2121" s="36"/>
      <c r="C2121" s="37"/>
      <c r="D2121" s="37"/>
      <c r="E2121" s="37"/>
      <c r="F2121" s="37"/>
      <c r="G2121" s="37"/>
      <c r="H2121" s="37"/>
      <c r="I2121" s="35"/>
      <c r="J2121" s="37"/>
    </row>
    <row r="2122" spans="1:10" ht="15.95" customHeight="1" x14ac:dyDescent="0.2">
      <c r="A2122" s="39"/>
      <c r="B2122" s="36"/>
      <c r="C2122" s="37"/>
      <c r="D2122" s="37"/>
      <c r="E2122" s="37"/>
      <c r="F2122" s="37"/>
      <c r="G2122" s="37"/>
      <c r="H2122" s="37"/>
      <c r="I2122" s="35"/>
      <c r="J2122" s="37"/>
    </row>
    <row r="2123" spans="1:10" ht="15.95" customHeight="1" x14ac:dyDescent="0.2">
      <c r="A2123" s="39"/>
      <c r="B2123" s="36"/>
      <c r="C2123" s="37"/>
      <c r="D2123" s="37"/>
      <c r="E2123" s="37"/>
      <c r="F2123" s="37"/>
      <c r="G2123" s="37"/>
      <c r="H2123" s="37"/>
      <c r="I2123" s="35"/>
      <c r="J2123" s="37"/>
    </row>
    <row r="2124" spans="1:10" ht="15.95" customHeight="1" x14ac:dyDescent="0.2">
      <c r="A2124" s="39"/>
      <c r="B2124" s="36"/>
      <c r="C2124" s="37"/>
      <c r="D2124" s="37"/>
      <c r="E2124" s="37"/>
      <c r="F2124" s="37"/>
      <c r="G2124" s="37"/>
      <c r="H2124" s="37"/>
      <c r="I2124" s="35"/>
      <c r="J2124" s="37"/>
    </row>
    <row r="2125" spans="1:10" ht="15.95" customHeight="1" x14ac:dyDescent="0.2">
      <c r="A2125" s="39"/>
      <c r="B2125" s="36"/>
      <c r="C2125" s="37"/>
      <c r="D2125" s="37"/>
      <c r="E2125" s="37"/>
      <c r="F2125" s="37"/>
      <c r="G2125" s="37"/>
      <c r="H2125" s="37"/>
      <c r="I2125" s="35"/>
      <c r="J2125" s="37"/>
    </row>
    <row r="2126" spans="1:10" ht="15.95" customHeight="1" x14ac:dyDescent="0.2">
      <c r="A2126" s="39"/>
      <c r="B2126" s="36"/>
      <c r="C2126" s="37"/>
      <c r="D2126" s="37"/>
      <c r="E2126" s="37"/>
      <c r="F2126" s="37"/>
      <c r="G2126" s="37"/>
      <c r="H2126" s="37"/>
      <c r="I2126" s="35"/>
      <c r="J2126" s="37"/>
    </row>
    <row r="2127" spans="1:10" ht="15.95" customHeight="1" x14ac:dyDescent="0.2">
      <c r="A2127" s="39"/>
      <c r="B2127" s="36"/>
      <c r="C2127" s="37"/>
      <c r="D2127" s="37"/>
      <c r="E2127" s="37"/>
      <c r="F2127" s="37"/>
      <c r="G2127" s="37"/>
      <c r="H2127" s="37"/>
      <c r="I2127" s="35"/>
      <c r="J2127" s="37"/>
    </row>
    <row r="2128" spans="1:10" ht="15.95" customHeight="1" x14ac:dyDescent="0.2">
      <c r="A2128" s="39"/>
      <c r="B2128" s="36"/>
      <c r="C2128" s="37"/>
      <c r="D2128" s="37"/>
      <c r="E2128" s="37"/>
      <c r="F2128" s="37"/>
      <c r="G2128" s="37"/>
      <c r="H2128" s="37"/>
      <c r="I2128" s="35"/>
      <c r="J2128" s="37"/>
    </row>
    <row r="2129" spans="1:10" ht="15.95" customHeight="1" x14ac:dyDescent="0.2">
      <c r="A2129" s="39"/>
      <c r="B2129" s="36"/>
      <c r="C2129" s="37"/>
      <c r="D2129" s="37"/>
      <c r="E2129" s="37"/>
      <c r="F2129" s="37"/>
      <c r="G2129" s="37"/>
      <c r="H2129" s="37"/>
      <c r="I2129" s="35"/>
      <c r="J2129" s="37"/>
    </row>
    <row r="2130" spans="1:10" ht="15.95" customHeight="1" x14ac:dyDescent="0.2">
      <c r="A2130" s="39"/>
      <c r="B2130" s="36"/>
      <c r="C2130" s="37"/>
      <c r="D2130" s="37"/>
      <c r="E2130" s="37"/>
      <c r="F2130" s="37"/>
      <c r="G2130" s="37"/>
      <c r="H2130" s="37"/>
      <c r="I2130" s="35"/>
      <c r="J2130" s="37"/>
    </row>
    <row r="2131" spans="1:10" ht="15.95" customHeight="1" x14ac:dyDescent="0.2">
      <c r="A2131" s="39"/>
      <c r="B2131" s="36"/>
      <c r="C2131" s="37"/>
      <c r="D2131" s="37"/>
      <c r="E2131" s="37"/>
      <c r="F2131" s="37"/>
      <c r="G2131" s="37"/>
      <c r="H2131" s="37"/>
      <c r="I2131" s="35"/>
      <c r="J2131" s="37"/>
    </row>
    <row r="2132" spans="1:10" ht="15.95" customHeight="1" x14ac:dyDescent="0.2">
      <c r="A2132" s="39"/>
      <c r="B2132" s="36"/>
      <c r="C2132" s="37"/>
      <c r="D2132" s="37"/>
      <c r="E2132" s="37"/>
      <c r="F2132" s="37"/>
      <c r="G2132" s="37"/>
      <c r="H2132" s="37"/>
      <c r="I2132" s="35"/>
      <c r="J2132" s="37"/>
    </row>
    <row r="2133" spans="1:10" ht="15.95" customHeight="1" x14ac:dyDescent="0.2">
      <c r="A2133" s="39"/>
      <c r="B2133" s="36"/>
      <c r="C2133" s="37"/>
      <c r="D2133" s="37"/>
      <c r="E2133" s="37"/>
      <c r="F2133" s="37"/>
      <c r="G2133" s="37"/>
      <c r="H2133" s="37"/>
      <c r="I2133" s="35"/>
      <c r="J2133" s="37"/>
    </row>
    <row r="2134" spans="1:10" ht="15.95" customHeight="1" x14ac:dyDescent="0.2">
      <c r="A2134" s="39"/>
      <c r="B2134" s="36"/>
      <c r="C2134" s="37"/>
      <c r="D2134" s="37"/>
      <c r="E2134" s="37"/>
      <c r="F2134" s="37"/>
      <c r="G2134" s="37"/>
      <c r="H2134" s="37"/>
      <c r="I2134" s="35"/>
      <c r="J2134" s="37"/>
    </row>
    <row r="2135" spans="1:10" ht="15.95" customHeight="1" x14ac:dyDescent="0.2">
      <c r="A2135" s="39"/>
      <c r="B2135" s="36"/>
      <c r="C2135" s="37"/>
      <c r="D2135" s="37"/>
      <c r="E2135" s="37"/>
      <c r="F2135" s="37"/>
      <c r="G2135" s="37"/>
      <c r="H2135" s="37"/>
      <c r="I2135" s="35"/>
      <c r="J2135" s="37"/>
    </row>
    <row r="2136" spans="1:10" ht="15.95" customHeight="1" x14ac:dyDescent="0.2">
      <c r="A2136" s="39"/>
      <c r="B2136" s="36"/>
      <c r="C2136" s="37"/>
      <c r="D2136" s="37"/>
      <c r="E2136" s="37"/>
      <c r="F2136" s="37"/>
      <c r="G2136" s="37"/>
      <c r="H2136" s="37"/>
      <c r="I2136" s="35"/>
      <c r="J2136" s="37"/>
    </row>
    <row r="2137" spans="1:10" ht="15.95" customHeight="1" x14ac:dyDescent="0.2">
      <c r="A2137" s="39"/>
      <c r="B2137" s="36"/>
      <c r="C2137" s="37"/>
      <c r="D2137" s="37"/>
      <c r="E2137" s="37"/>
      <c r="F2137" s="37"/>
      <c r="G2137" s="37"/>
      <c r="H2137" s="37"/>
      <c r="I2137" s="35"/>
      <c r="J2137" s="37"/>
    </row>
    <row r="2138" spans="1:10" ht="15.95" customHeight="1" x14ac:dyDescent="0.2">
      <c r="A2138" s="39"/>
      <c r="B2138" s="36"/>
      <c r="C2138" s="37"/>
      <c r="D2138" s="37"/>
      <c r="E2138" s="37"/>
      <c r="F2138" s="37"/>
      <c r="G2138" s="37"/>
      <c r="H2138" s="37"/>
      <c r="I2138" s="35"/>
      <c r="J2138" s="37"/>
    </row>
    <row r="2139" spans="1:10" ht="15.95" customHeight="1" x14ac:dyDescent="0.2">
      <c r="A2139" s="39"/>
      <c r="B2139" s="36"/>
      <c r="C2139" s="37"/>
      <c r="D2139" s="37"/>
      <c r="E2139" s="37"/>
      <c r="F2139" s="37"/>
      <c r="G2139" s="37"/>
      <c r="H2139" s="37"/>
      <c r="I2139" s="35"/>
      <c r="J2139" s="37"/>
    </row>
    <row r="2140" spans="1:10" ht="15.95" customHeight="1" x14ac:dyDescent="0.2">
      <c r="A2140" s="39"/>
      <c r="B2140" s="36"/>
      <c r="C2140" s="37"/>
      <c r="D2140" s="37"/>
      <c r="E2140" s="37"/>
      <c r="F2140" s="37"/>
      <c r="G2140" s="37"/>
      <c r="H2140" s="37"/>
      <c r="I2140" s="35"/>
      <c r="J2140" s="37"/>
    </row>
    <row r="2141" spans="1:10" ht="15.95" customHeight="1" x14ac:dyDescent="0.2">
      <c r="A2141" s="39"/>
      <c r="B2141" s="36"/>
      <c r="C2141" s="37"/>
      <c r="D2141" s="37"/>
      <c r="E2141" s="37"/>
      <c r="F2141" s="37"/>
      <c r="G2141" s="37"/>
      <c r="H2141" s="37"/>
      <c r="I2141" s="35"/>
      <c r="J2141" s="37"/>
    </row>
    <row r="2142" spans="1:10" ht="15.95" customHeight="1" x14ac:dyDescent="0.2">
      <c r="A2142" s="39"/>
      <c r="B2142" s="36"/>
      <c r="C2142" s="37"/>
      <c r="D2142" s="37"/>
      <c r="E2142" s="37"/>
      <c r="F2142" s="37"/>
      <c r="G2142" s="37"/>
      <c r="H2142" s="37"/>
      <c r="I2142" s="35"/>
      <c r="J2142" s="37"/>
    </row>
    <row r="2143" spans="1:10" ht="15.95" customHeight="1" x14ac:dyDescent="0.2">
      <c r="A2143" s="39"/>
      <c r="B2143" s="36"/>
      <c r="C2143" s="37"/>
      <c r="D2143" s="37"/>
      <c r="E2143" s="37"/>
      <c r="F2143" s="37"/>
      <c r="G2143" s="37"/>
      <c r="H2143" s="37"/>
      <c r="I2143" s="35"/>
      <c r="J2143" s="37"/>
    </row>
    <row r="2144" spans="1:10" ht="15.95" customHeight="1" x14ac:dyDescent="0.2">
      <c r="A2144" s="39"/>
      <c r="B2144" s="36"/>
      <c r="C2144" s="37"/>
      <c r="D2144" s="37"/>
      <c r="E2144" s="37"/>
      <c r="F2144" s="37"/>
      <c r="G2144" s="37"/>
      <c r="H2144" s="37"/>
      <c r="I2144" s="35"/>
      <c r="J2144" s="37"/>
    </row>
    <row r="2145" spans="1:10" ht="15.95" customHeight="1" x14ac:dyDescent="0.2">
      <c r="A2145" s="39"/>
      <c r="B2145" s="36"/>
      <c r="C2145" s="37"/>
      <c r="D2145" s="37"/>
      <c r="E2145" s="37"/>
      <c r="F2145" s="37"/>
      <c r="G2145" s="37"/>
      <c r="H2145" s="37"/>
      <c r="I2145" s="35"/>
      <c r="J2145" s="37"/>
    </row>
    <row r="2146" spans="1:10" ht="15.95" customHeight="1" x14ac:dyDescent="0.2">
      <c r="A2146" s="39"/>
      <c r="B2146" s="36"/>
      <c r="C2146" s="37"/>
      <c r="D2146" s="37"/>
      <c r="E2146" s="37"/>
      <c r="F2146" s="37"/>
      <c r="G2146" s="37"/>
      <c r="H2146" s="37"/>
      <c r="I2146" s="35"/>
      <c r="J2146" s="37"/>
    </row>
    <row r="2147" spans="1:10" ht="15.95" customHeight="1" x14ac:dyDescent="0.2">
      <c r="A2147" s="39"/>
      <c r="B2147" s="36"/>
      <c r="C2147" s="37"/>
      <c r="D2147" s="37"/>
      <c r="E2147" s="37"/>
      <c r="F2147" s="37"/>
      <c r="G2147" s="37"/>
      <c r="H2147" s="37"/>
      <c r="I2147" s="35"/>
      <c r="J2147" s="37"/>
    </row>
    <row r="2148" spans="1:10" ht="15.95" customHeight="1" x14ac:dyDescent="0.2">
      <c r="A2148" s="39"/>
      <c r="B2148" s="36"/>
      <c r="C2148" s="37"/>
      <c r="D2148" s="37"/>
      <c r="E2148" s="37"/>
      <c r="F2148" s="37"/>
      <c r="G2148" s="37"/>
      <c r="H2148" s="37"/>
      <c r="I2148" s="35"/>
      <c r="J2148" s="37"/>
    </row>
    <row r="2149" spans="1:10" ht="15.95" customHeight="1" x14ac:dyDescent="0.2">
      <c r="A2149" s="39"/>
      <c r="B2149" s="36"/>
      <c r="C2149" s="37"/>
      <c r="D2149" s="37"/>
      <c r="E2149" s="37"/>
      <c r="F2149" s="37"/>
      <c r="G2149" s="37"/>
      <c r="H2149" s="37"/>
      <c r="I2149" s="35"/>
      <c r="J2149" s="37"/>
    </row>
    <row r="2150" spans="1:10" ht="15.95" customHeight="1" x14ac:dyDescent="0.2">
      <c r="A2150" s="39"/>
      <c r="B2150" s="36"/>
      <c r="C2150" s="37"/>
      <c r="D2150" s="37"/>
      <c r="E2150" s="37"/>
      <c r="F2150" s="37"/>
      <c r="G2150" s="37"/>
      <c r="H2150" s="37"/>
      <c r="I2150" s="35"/>
      <c r="J2150" s="37"/>
    </row>
    <row r="2151" spans="1:10" ht="15.95" customHeight="1" x14ac:dyDescent="0.2">
      <c r="A2151" s="39"/>
      <c r="B2151" s="36"/>
      <c r="C2151" s="37"/>
      <c r="D2151" s="37"/>
      <c r="E2151" s="37"/>
      <c r="F2151" s="37"/>
      <c r="G2151" s="37"/>
      <c r="H2151" s="37"/>
      <c r="I2151" s="35"/>
      <c r="J2151" s="37"/>
    </row>
    <row r="2152" spans="1:10" ht="15.95" customHeight="1" x14ac:dyDescent="0.2">
      <c r="A2152" s="39"/>
      <c r="B2152" s="36"/>
      <c r="C2152" s="37"/>
      <c r="D2152" s="37"/>
      <c r="E2152" s="37"/>
      <c r="F2152" s="37"/>
      <c r="G2152" s="37"/>
      <c r="H2152" s="37"/>
      <c r="I2152" s="35"/>
      <c r="J2152" s="37"/>
    </row>
    <row r="2153" spans="1:10" ht="15.95" customHeight="1" x14ac:dyDescent="0.2">
      <c r="A2153" s="39"/>
      <c r="B2153" s="36"/>
      <c r="C2153" s="37"/>
      <c r="D2153" s="37"/>
      <c r="E2153" s="37"/>
      <c r="F2153" s="37"/>
      <c r="G2153" s="37"/>
      <c r="H2153" s="37"/>
      <c r="I2153" s="35"/>
      <c r="J2153" s="37"/>
    </row>
    <row r="2154" spans="1:10" ht="15.95" customHeight="1" x14ac:dyDescent="0.2">
      <c r="A2154" s="39"/>
      <c r="B2154" s="36"/>
      <c r="C2154" s="37"/>
      <c r="D2154" s="37"/>
      <c r="E2154" s="37"/>
      <c r="F2154" s="37"/>
      <c r="G2154" s="37"/>
      <c r="H2154" s="37"/>
      <c r="I2154" s="35"/>
      <c r="J2154" s="37"/>
    </row>
    <row r="2155" spans="1:10" ht="15.95" customHeight="1" x14ac:dyDescent="0.2">
      <c r="A2155" s="39"/>
      <c r="B2155" s="36"/>
      <c r="C2155" s="37"/>
      <c r="D2155" s="37"/>
      <c r="E2155" s="37"/>
      <c r="F2155" s="37"/>
      <c r="G2155" s="37"/>
      <c r="H2155" s="37"/>
      <c r="I2155" s="35"/>
      <c r="J2155" s="37"/>
    </row>
    <row r="2156" spans="1:10" ht="15.95" customHeight="1" x14ac:dyDescent="0.2">
      <c r="A2156" s="39"/>
      <c r="B2156" s="36"/>
      <c r="C2156" s="37"/>
      <c r="D2156" s="37"/>
      <c r="E2156" s="37"/>
      <c r="F2156" s="37"/>
      <c r="G2156" s="37"/>
      <c r="H2156" s="37"/>
      <c r="I2156" s="35"/>
      <c r="J2156" s="37"/>
    </row>
    <row r="2157" spans="1:10" ht="15.95" customHeight="1" x14ac:dyDescent="0.2">
      <c r="A2157" s="39"/>
      <c r="B2157" s="36"/>
      <c r="C2157" s="37"/>
      <c r="D2157" s="37"/>
      <c r="E2157" s="37"/>
      <c r="F2157" s="37"/>
      <c r="G2157" s="37"/>
      <c r="H2157" s="37"/>
      <c r="I2157" s="35"/>
      <c r="J2157" s="37"/>
    </row>
    <row r="2158" spans="1:10" ht="15.95" customHeight="1" x14ac:dyDescent="0.2">
      <c r="A2158" s="39"/>
      <c r="B2158" s="36"/>
      <c r="C2158" s="37"/>
      <c r="D2158" s="37"/>
      <c r="E2158" s="37"/>
      <c r="F2158" s="37"/>
      <c r="G2158" s="37"/>
      <c r="H2158" s="37"/>
      <c r="I2158" s="35"/>
      <c r="J2158" s="37"/>
    </row>
    <row r="2159" spans="1:10" ht="15.95" customHeight="1" x14ac:dyDescent="0.2">
      <c r="A2159" s="39"/>
      <c r="B2159" s="36"/>
      <c r="C2159" s="37"/>
      <c r="D2159" s="37"/>
      <c r="E2159" s="37"/>
      <c r="F2159" s="37"/>
      <c r="G2159" s="37"/>
      <c r="H2159" s="37"/>
      <c r="I2159" s="35"/>
      <c r="J2159" s="37"/>
    </row>
    <row r="2160" spans="1:10" ht="15.95" customHeight="1" x14ac:dyDescent="0.2">
      <c r="A2160" s="39"/>
      <c r="B2160" s="36"/>
      <c r="C2160" s="37"/>
      <c r="D2160" s="37"/>
      <c r="E2160" s="37"/>
      <c r="F2160" s="37"/>
      <c r="G2160" s="37"/>
      <c r="H2160" s="37"/>
      <c r="I2160" s="35"/>
      <c r="J2160" s="37"/>
    </row>
    <row r="2161" spans="1:10" ht="15.95" customHeight="1" x14ac:dyDescent="0.2">
      <c r="A2161" s="39"/>
      <c r="B2161" s="36"/>
      <c r="C2161" s="37"/>
      <c r="D2161" s="37"/>
      <c r="E2161" s="37"/>
      <c r="F2161" s="37"/>
      <c r="G2161" s="37"/>
      <c r="H2161" s="37"/>
      <c r="I2161" s="35"/>
      <c r="J2161" s="37"/>
    </row>
    <row r="2162" spans="1:10" ht="15.95" customHeight="1" x14ac:dyDescent="0.2">
      <c r="A2162" s="39"/>
      <c r="B2162" s="36"/>
      <c r="C2162" s="37"/>
      <c r="D2162" s="37"/>
      <c r="E2162" s="37"/>
      <c r="F2162" s="37"/>
      <c r="G2162" s="37"/>
      <c r="H2162" s="37"/>
      <c r="I2162" s="35"/>
      <c r="J2162" s="37"/>
    </row>
    <row r="2163" spans="1:10" ht="15.95" customHeight="1" x14ac:dyDescent="0.2">
      <c r="A2163" s="39"/>
      <c r="B2163" s="36"/>
      <c r="C2163" s="37"/>
      <c r="D2163" s="37"/>
      <c r="E2163" s="37"/>
      <c r="F2163" s="37"/>
      <c r="G2163" s="37"/>
      <c r="H2163" s="37"/>
      <c r="I2163" s="35"/>
      <c r="J2163" s="37"/>
    </row>
    <row r="2164" spans="1:10" ht="15.95" customHeight="1" x14ac:dyDescent="0.2">
      <c r="A2164" s="39"/>
      <c r="B2164" s="36"/>
      <c r="C2164" s="37"/>
      <c r="D2164" s="37"/>
      <c r="E2164" s="37"/>
      <c r="F2164" s="37"/>
      <c r="G2164" s="37"/>
      <c r="H2164" s="37"/>
      <c r="I2164" s="35"/>
      <c r="J2164" s="37"/>
    </row>
    <row r="2165" spans="1:10" ht="15.95" customHeight="1" x14ac:dyDescent="0.2">
      <c r="A2165" s="39"/>
      <c r="B2165" s="36"/>
      <c r="C2165" s="37"/>
      <c r="D2165" s="37"/>
      <c r="E2165" s="37"/>
      <c r="F2165" s="37"/>
      <c r="G2165" s="37"/>
      <c r="H2165" s="37"/>
      <c r="I2165" s="35"/>
      <c r="J2165" s="37"/>
    </row>
    <row r="2166" spans="1:10" ht="15.95" customHeight="1" x14ac:dyDescent="0.2">
      <c r="A2166" s="39"/>
      <c r="B2166" s="36"/>
      <c r="C2166" s="37"/>
      <c r="D2166" s="37"/>
      <c r="E2166" s="37"/>
      <c r="F2166" s="37"/>
      <c r="G2166" s="37"/>
      <c r="H2166" s="37"/>
      <c r="I2166" s="35"/>
      <c r="J2166" s="37"/>
    </row>
    <row r="2167" spans="1:10" ht="15.95" customHeight="1" x14ac:dyDescent="0.2">
      <c r="A2167" s="39"/>
      <c r="B2167" s="36"/>
      <c r="C2167" s="37"/>
      <c r="D2167" s="37"/>
      <c r="E2167" s="37"/>
      <c r="F2167" s="37"/>
      <c r="G2167" s="37"/>
      <c r="H2167" s="37"/>
      <c r="I2167" s="35"/>
      <c r="J2167" s="37"/>
    </row>
    <row r="2168" spans="1:10" ht="15.95" customHeight="1" x14ac:dyDescent="0.2">
      <c r="A2168" s="39"/>
      <c r="B2168" s="36"/>
      <c r="C2168" s="37"/>
      <c r="D2168" s="37"/>
      <c r="E2168" s="37"/>
      <c r="F2168" s="37"/>
      <c r="G2168" s="37"/>
      <c r="H2168" s="37"/>
      <c r="I2168" s="35"/>
      <c r="J2168" s="37"/>
    </row>
    <row r="2169" spans="1:10" ht="15.95" customHeight="1" x14ac:dyDescent="0.2">
      <c r="A2169" s="39"/>
      <c r="B2169" s="36"/>
      <c r="C2169" s="37"/>
      <c r="D2169" s="37"/>
      <c r="E2169" s="37"/>
      <c r="F2169" s="37"/>
      <c r="G2169" s="37"/>
      <c r="H2169" s="37"/>
      <c r="I2169" s="35"/>
      <c r="J2169" s="37"/>
    </row>
    <row r="2170" spans="1:10" ht="15.95" customHeight="1" x14ac:dyDescent="0.2">
      <c r="A2170" s="39"/>
      <c r="B2170" s="36"/>
      <c r="C2170" s="37"/>
      <c r="D2170" s="37"/>
      <c r="E2170" s="37"/>
      <c r="F2170" s="37"/>
      <c r="G2170" s="37"/>
      <c r="H2170" s="37"/>
      <c r="I2170" s="35"/>
      <c r="J2170" s="37"/>
    </row>
    <row r="2171" spans="1:10" ht="15.95" customHeight="1" x14ac:dyDescent="0.2">
      <c r="A2171" s="39"/>
      <c r="B2171" s="36"/>
      <c r="C2171" s="37"/>
      <c r="D2171" s="37"/>
      <c r="E2171" s="37"/>
      <c r="F2171" s="37"/>
      <c r="G2171" s="37"/>
      <c r="H2171" s="37"/>
      <c r="I2171" s="35"/>
      <c r="J2171" s="37"/>
    </row>
    <row r="2172" spans="1:10" ht="15.95" customHeight="1" x14ac:dyDescent="0.2">
      <c r="A2172" s="39"/>
      <c r="B2172" s="36"/>
      <c r="C2172" s="37"/>
      <c r="D2172" s="37"/>
      <c r="E2172" s="37"/>
      <c r="F2172" s="37"/>
      <c r="G2172" s="37"/>
      <c r="H2172" s="37"/>
      <c r="I2172" s="35"/>
      <c r="J2172" s="37"/>
    </row>
    <row r="2173" spans="1:10" ht="15.95" customHeight="1" x14ac:dyDescent="0.2">
      <c r="A2173" s="39"/>
      <c r="B2173" s="36"/>
      <c r="C2173" s="37"/>
      <c r="D2173" s="37"/>
      <c r="E2173" s="37"/>
      <c r="F2173" s="37"/>
      <c r="G2173" s="37"/>
      <c r="H2173" s="37"/>
      <c r="I2173" s="35"/>
      <c r="J2173" s="37"/>
    </row>
    <row r="2174" spans="1:10" ht="15.95" customHeight="1" x14ac:dyDescent="0.2">
      <c r="A2174" s="39"/>
      <c r="B2174" s="36"/>
      <c r="C2174" s="37"/>
      <c r="D2174" s="37"/>
      <c r="E2174" s="37"/>
      <c r="F2174" s="37"/>
      <c r="G2174" s="37"/>
      <c r="H2174" s="37"/>
      <c r="I2174" s="35"/>
      <c r="J2174" s="37"/>
    </row>
    <row r="2175" spans="1:10" ht="15.95" customHeight="1" x14ac:dyDescent="0.2">
      <c r="A2175" s="39"/>
      <c r="B2175" s="36"/>
      <c r="C2175" s="37"/>
      <c r="D2175" s="37"/>
      <c r="E2175" s="37"/>
      <c r="F2175" s="37"/>
      <c r="G2175" s="37"/>
      <c r="H2175" s="37"/>
      <c r="I2175" s="35"/>
      <c r="J2175" s="37"/>
    </row>
    <row r="2176" spans="1:10" ht="15.95" customHeight="1" x14ac:dyDescent="0.2">
      <c r="A2176" s="39"/>
      <c r="B2176" s="36"/>
      <c r="C2176" s="37"/>
      <c r="D2176" s="37"/>
      <c r="E2176" s="37"/>
      <c r="F2176" s="37"/>
      <c r="G2176" s="37"/>
      <c r="H2176" s="37"/>
      <c r="I2176" s="35"/>
      <c r="J2176" s="37"/>
    </row>
    <row r="2177" spans="1:10" ht="15.95" customHeight="1" x14ac:dyDescent="0.2">
      <c r="A2177" s="39"/>
      <c r="B2177" s="36"/>
      <c r="C2177" s="37"/>
      <c r="D2177" s="37"/>
      <c r="E2177" s="37"/>
      <c r="F2177" s="37"/>
      <c r="G2177" s="37"/>
      <c r="H2177" s="37"/>
      <c r="I2177" s="35"/>
      <c r="J2177" s="37"/>
    </row>
    <row r="2178" spans="1:10" ht="15.95" customHeight="1" x14ac:dyDescent="0.2">
      <c r="A2178" s="39"/>
      <c r="B2178" s="36"/>
      <c r="C2178" s="37"/>
      <c r="D2178" s="37"/>
      <c r="E2178" s="37"/>
      <c r="F2178" s="37"/>
      <c r="G2178" s="37"/>
      <c r="H2178" s="37"/>
      <c r="I2178" s="35"/>
      <c r="J2178" s="37"/>
    </row>
    <row r="2179" spans="1:10" ht="15.95" customHeight="1" x14ac:dyDescent="0.2">
      <c r="A2179" s="39"/>
      <c r="B2179" s="36"/>
      <c r="C2179" s="37"/>
      <c r="D2179" s="37"/>
      <c r="E2179" s="37"/>
      <c r="F2179" s="37"/>
      <c r="G2179" s="37"/>
      <c r="H2179" s="37"/>
      <c r="I2179" s="35"/>
      <c r="J2179" s="37"/>
    </row>
    <row r="2180" spans="1:10" ht="15.95" customHeight="1" x14ac:dyDescent="0.2">
      <c r="A2180" s="39"/>
      <c r="B2180" s="36"/>
      <c r="C2180" s="37"/>
      <c r="D2180" s="37"/>
      <c r="E2180" s="37"/>
      <c r="F2180" s="37"/>
      <c r="G2180" s="37"/>
      <c r="H2180" s="37"/>
      <c r="I2180" s="35"/>
      <c r="J2180" s="37"/>
    </row>
    <row r="2181" spans="1:10" ht="15.95" customHeight="1" x14ac:dyDescent="0.2">
      <c r="A2181" s="39"/>
      <c r="B2181" s="36"/>
      <c r="C2181" s="37"/>
      <c r="D2181" s="37"/>
      <c r="E2181" s="37"/>
      <c r="F2181" s="37"/>
      <c r="G2181" s="37"/>
      <c r="H2181" s="37"/>
      <c r="I2181" s="35"/>
      <c r="J2181" s="37"/>
    </row>
    <row r="2182" spans="1:10" ht="15.95" customHeight="1" x14ac:dyDescent="0.2">
      <c r="A2182" s="39"/>
      <c r="B2182" s="36"/>
      <c r="C2182" s="37"/>
      <c r="D2182" s="37"/>
      <c r="E2182" s="37"/>
      <c r="F2182" s="37"/>
      <c r="G2182" s="37"/>
      <c r="H2182" s="37"/>
      <c r="I2182" s="35"/>
      <c r="J2182" s="37"/>
    </row>
    <row r="2183" spans="1:10" ht="15.95" customHeight="1" x14ac:dyDescent="0.2">
      <c r="A2183" s="39"/>
      <c r="B2183" s="36"/>
      <c r="C2183" s="37"/>
      <c r="D2183" s="37"/>
      <c r="E2183" s="37"/>
      <c r="F2183" s="37"/>
      <c r="G2183" s="37"/>
      <c r="H2183" s="37"/>
      <c r="I2183" s="35"/>
      <c r="J2183" s="37"/>
    </row>
    <row r="2184" spans="1:10" ht="15.95" customHeight="1" x14ac:dyDescent="0.2">
      <c r="A2184" s="39"/>
      <c r="B2184" s="36"/>
      <c r="C2184" s="37"/>
      <c r="D2184" s="37"/>
      <c r="E2184" s="37"/>
      <c r="F2184" s="37"/>
      <c r="G2184" s="37"/>
      <c r="H2184" s="37"/>
      <c r="I2184" s="35"/>
      <c r="J2184" s="37"/>
    </row>
    <row r="2185" spans="1:10" ht="15.95" customHeight="1" x14ac:dyDescent="0.2">
      <c r="A2185" s="39"/>
      <c r="B2185" s="36"/>
      <c r="C2185" s="37"/>
      <c r="D2185" s="37"/>
      <c r="E2185" s="37"/>
      <c r="F2185" s="37"/>
      <c r="G2185" s="37"/>
      <c r="H2185" s="37"/>
      <c r="I2185" s="35"/>
      <c r="J2185" s="37"/>
    </row>
    <row r="2186" spans="1:10" ht="15.95" customHeight="1" x14ac:dyDescent="0.2">
      <c r="A2186" s="39"/>
      <c r="B2186" s="36"/>
      <c r="C2186" s="37"/>
      <c r="D2186" s="37"/>
      <c r="E2186" s="37"/>
      <c r="F2186" s="37"/>
      <c r="G2186" s="37"/>
      <c r="H2186" s="37"/>
      <c r="I2186" s="35"/>
      <c r="J2186" s="37"/>
    </row>
    <row r="2187" spans="1:10" ht="15.95" customHeight="1" x14ac:dyDescent="0.2">
      <c r="A2187" s="39"/>
      <c r="B2187" s="36"/>
      <c r="C2187" s="37"/>
      <c r="D2187" s="37"/>
      <c r="E2187" s="37"/>
      <c r="F2187" s="37"/>
      <c r="G2187" s="37"/>
      <c r="H2187" s="37"/>
      <c r="I2187" s="35"/>
      <c r="J2187" s="37"/>
    </row>
    <row r="2188" spans="1:10" ht="15.95" customHeight="1" x14ac:dyDescent="0.2">
      <c r="A2188" s="39"/>
      <c r="B2188" s="36"/>
      <c r="C2188" s="37"/>
      <c r="D2188" s="37"/>
      <c r="E2188" s="37"/>
      <c r="F2188" s="37"/>
      <c r="G2188" s="37"/>
      <c r="H2188" s="37"/>
      <c r="I2188" s="35"/>
      <c r="J2188" s="37"/>
    </row>
    <row r="2189" spans="1:10" ht="15.95" customHeight="1" x14ac:dyDescent="0.2">
      <c r="A2189" s="39"/>
      <c r="B2189" s="36"/>
      <c r="C2189" s="37"/>
      <c r="D2189" s="37"/>
      <c r="E2189" s="37"/>
      <c r="F2189" s="37"/>
      <c r="G2189" s="37"/>
      <c r="H2189" s="37"/>
      <c r="I2189" s="35"/>
      <c r="J2189" s="37"/>
    </row>
    <row r="2190" spans="1:10" ht="15.95" customHeight="1" x14ac:dyDescent="0.2">
      <c r="A2190" s="39"/>
      <c r="B2190" s="36"/>
      <c r="C2190" s="37"/>
      <c r="D2190" s="37"/>
      <c r="E2190" s="37"/>
      <c r="F2190" s="37"/>
      <c r="G2190" s="37"/>
      <c r="H2190" s="37"/>
      <c r="I2190" s="35"/>
      <c r="J2190" s="37"/>
    </row>
    <row r="2191" spans="1:10" ht="15.95" customHeight="1" x14ac:dyDescent="0.2">
      <c r="A2191" s="39"/>
      <c r="B2191" s="36"/>
      <c r="C2191" s="37"/>
      <c r="D2191" s="37"/>
      <c r="E2191" s="37"/>
      <c r="F2191" s="37"/>
      <c r="G2191" s="37"/>
      <c r="H2191" s="37"/>
      <c r="I2191" s="35"/>
      <c r="J2191" s="37"/>
    </row>
    <row r="2192" spans="1:10" ht="15.95" customHeight="1" x14ac:dyDescent="0.2">
      <c r="A2192" s="39"/>
      <c r="B2192" s="36"/>
      <c r="C2192" s="37"/>
      <c r="D2192" s="37"/>
      <c r="E2192" s="37"/>
      <c r="F2192" s="37"/>
      <c r="G2192" s="37"/>
      <c r="H2192" s="37"/>
      <c r="I2192" s="35"/>
      <c r="J2192" s="37"/>
    </row>
    <row r="2193" spans="1:10" ht="15.95" customHeight="1" x14ac:dyDescent="0.2">
      <c r="A2193" s="39"/>
      <c r="B2193" s="36"/>
      <c r="C2193" s="37"/>
      <c r="D2193" s="37"/>
      <c r="E2193" s="37"/>
      <c r="F2193" s="37"/>
      <c r="G2193" s="37"/>
      <c r="H2193" s="37"/>
      <c r="I2193" s="35"/>
      <c r="J2193" s="37"/>
    </row>
    <row r="2194" spans="1:10" ht="15.95" customHeight="1" x14ac:dyDescent="0.2">
      <c r="A2194" s="39"/>
      <c r="B2194" s="36"/>
      <c r="C2194" s="37"/>
      <c r="D2194" s="37"/>
      <c r="E2194" s="37"/>
      <c r="F2194" s="37"/>
      <c r="G2194" s="37"/>
      <c r="H2194" s="37"/>
      <c r="I2194" s="35"/>
      <c r="J2194" s="37"/>
    </row>
    <row r="2195" spans="1:10" ht="15.95" customHeight="1" x14ac:dyDescent="0.2">
      <c r="A2195" s="39"/>
      <c r="B2195" s="36"/>
      <c r="C2195" s="37"/>
      <c r="D2195" s="37"/>
      <c r="E2195" s="37"/>
      <c r="F2195" s="37"/>
      <c r="G2195" s="37"/>
      <c r="H2195" s="37"/>
      <c r="I2195" s="35"/>
      <c r="J2195" s="37"/>
    </row>
    <row r="2196" spans="1:10" ht="15.95" customHeight="1" x14ac:dyDescent="0.2">
      <c r="A2196" s="39"/>
      <c r="B2196" s="36"/>
      <c r="C2196" s="37"/>
      <c r="D2196" s="37"/>
      <c r="E2196" s="37"/>
      <c r="F2196" s="37"/>
      <c r="G2196" s="37"/>
      <c r="H2196" s="37"/>
      <c r="I2196" s="35"/>
      <c r="J2196" s="37"/>
    </row>
    <row r="2197" spans="1:10" ht="15.95" customHeight="1" x14ac:dyDescent="0.2">
      <c r="A2197" s="39"/>
      <c r="B2197" s="36"/>
      <c r="C2197" s="37"/>
      <c r="D2197" s="37"/>
      <c r="E2197" s="37"/>
      <c r="F2197" s="37"/>
      <c r="G2197" s="37"/>
      <c r="H2197" s="37"/>
      <c r="I2197" s="35"/>
      <c r="J2197" s="37"/>
    </row>
    <row r="2198" spans="1:10" ht="15.95" customHeight="1" x14ac:dyDescent="0.2">
      <c r="A2198" s="39"/>
      <c r="B2198" s="36"/>
      <c r="C2198" s="37"/>
      <c r="D2198" s="37"/>
      <c r="E2198" s="37"/>
      <c r="F2198" s="37"/>
      <c r="G2198" s="37"/>
      <c r="H2198" s="37"/>
      <c r="I2198" s="35"/>
      <c r="J2198" s="37"/>
    </row>
    <row r="2199" spans="1:10" ht="15.95" customHeight="1" x14ac:dyDescent="0.2">
      <c r="A2199" s="39"/>
      <c r="B2199" s="36"/>
      <c r="C2199" s="37"/>
      <c r="D2199" s="37"/>
      <c r="E2199" s="37"/>
      <c r="F2199" s="37"/>
      <c r="G2199" s="37"/>
      <c r="H2199" s="37"/>
      <c r="I2199" s="35"/>
      <c r="J2199" s="37"/>
    </row>
    <row r="2200" spans="1:10" ht="15.95" customHeight="1" x14ac:dyDescent="0.2">
      <c r="A2200" s="39"/>
      <c r="B2200" s="36"/>
      <c r="C2200" s="37"/>
      <c r="D2200" s="37"/>
      <c r="E2200" s="37"/>
      <c r="F2200" s="37"/>
      <c r="G2200" s="37"/>
      <c r="H2200" s="37"/>
      <c r="I2200" s="35"/>
      <c r="J2200" s="37"/>
    </row>
    <row r="2201" spans="1:10" ht="15.95" customHeight="1" x14ac:dyDescent="0.2">
      <c r="A2201" s="39"/>
      <c r="B2201" s="36"/>
      <c r="C2201" s="37"/>
      <c r="D2201" s="37"/>
      <c r="E2201" s="37"/>
      <c r="F2201" s="37"/>
      <c r="G2201" s="37"/>
      <c r="H2201" s="37"/>
      <c r="I2201" s="35"/>
      <c r="J2201" s="37"/>
    </row>
    <row r="2202" spans="1:10" ht="15.95" customHeight="1" x14ac:dyDescent="0.2">
      <c r="A2202" s="39"/>
      <c r="B2202" s="36"/>
      <c r="C2202" s="37"/>
      <c r="D2202" s="37"/>
      <c r="E2202" s="37"/>
      <c r="F2202" s="37"/>
      <c r="G2202" s="37"/>
      <c r="H2202" s="37"/>
      <c r="I2202" s="35"/>
      <c r="J2202" s="37"/>
    </row>
    <row r="2203" spans="1:10" ht="15.95" customHeight="1" x14ac:dyDescent="0.2">
      <c r="A2203" s="39"/>
      <c r="B2203" s="36"/>
      <c r="C2203" s="37"/>
      <c r="D2203" s="37"/>
      <c r="E2203" s="37"/>
      <c r="F2203" s="37"/>
      <c r="G2203" s="37"/>
      <c r="H2203" s="37"/>
      <c r="I2203" s="35"/>
      <c r="J2203" s="37"/>
    </row>
    <row r="2204" spans="1:10" ht="15.95" customHeight="1" x14ac:dyDescent="0.2">
      <c r="A2204" s="39"/>
      <c r="B2204" s="36"/>
      <c r="C2204" s="37"/>
      <c r="D2204" s="37"/>
      <c r="E2204" s="37"/>
      <c r="F2204" s="37"/>
      <c r="G2204" s="37"/>
      <c r="H2204" s="37"/>
      <c r="I2204" s="35"/>
      <c r="J2204" s="37"/>
    </row>
    <row r="2205" spans="1:10" ht="15.95" customHeight="1" x14ac:dyDescent="0.2">
      <c r="A2205" s="39"/>
      <c r="B2205" s="36"/>
      <c r="C2205" s="37"/>
      <c r="D2205" s="37"/>
      <c r="E2205" s="37"/>
      <c r="F2205" s="37"/>
      <c r="G2205" s="37"/>
      <c r="H2205" s="37"/>
      <c r="I2205" s="35"/>
      <c r="J2205" s="37"/>
    </row>
    <row r="2206" spans="1:10" ht="15.95" customHeight="1" x14ac:dyDescent="0.2">
      <c r="A2206" s="39"/>
      <c r="B2206" s="36"/>
      <c r="C2206" s="37"/>
      <c r="D2206" s="37"/>
      <c r="E2206" s="37"/>
      <c r="F2206" s="37"/>
      <c r="G2206" s="37"/>
      <c r="H2206" s="37"/>
      <c r="I2206" s="35"/>
      <c r="J2206" s="37"/>
    </row>
    <row r="2207" spans="1:10" ht="15.95" customHeight="1" x14ac:dyDescent="0.2">
      <c r="A2207" s="39"/>
      <c r="B2207" s="36"/>
      <c r="C2207" s="37"/>
      <c r="D2207" s="37"/>
      <c r="E2207" s="37"/>
      <c r="F2207" s="37"/>
      <c r="G2207" s="37"/>
      <c r="H2207" s="37"/>
      <c r="I2207" s="35"/>
      <c r="J2207" s="37"/>
    </row>
    <row r="2208" spans="1:10" ht="15.95" customHeight="1" x14ac:dyDescent="0.2">
      <c r="A2208" s="39"/>
      <c r="B2208" s="36"/>
      <c r="C2208" s="37"/>
      <c r="D2208" s="37"/>
      <c r="E2208" s="37"/>
      <c r="F2208" s="37"/>
      <c r="G2208" s="37"/>
      <c r="H2208" s="37"/>
      <c r="I2208" s="35"/>
      <c r="J2208" s="37"/>
    </row>
    <row r="2209" spans="1:10" ht="15.95" customHeight="1" x14ac:dyDescent="0.2">
      <c r="A2209" s="39"/>
      <c r="B2209" s="36"/>
      <c r="C2209" s="37"/>
      <c r="D2209" s="37"/>
      <c r="E2209" s="37"/>
      <c r="F2209" s="37"/>
      <c r="G2209" s="37"/>
      <c r="H2209" s="37"/>
      <c r="I2209" s="35"/>
      <c r="J2209" s="37"/>
    </row>
    <row r="2210" spans="1:10" ht="15.95" customHeight="1" x14ac:dyDescent="0.2">
      <c r="A2210" s="39"/>
      <c r="B2210" s="36"/>
      <c r="C2210" s="37"/>
      <c r="D2210" s="37"/>
      <c r="E2210" s="37"/>
      <c r="F2210" s="37"/>
      <c r="G2210" s="37"/>
      <c r="H2210" s="37"/>
      <c r="I2210" s="35"/>
      <c r="J2210" s="37"/>
    </row>
    <row r="2211" spans="1:10" ht="15.95" customHeight="1" x14ac:dyDescent="0.2">
      <c r="A2211" s="39"/>
      <c r="B2211" s="36"/>
      <c r="C2211" s="37"/>
      <c r="D2211" s="37"/>
      <c r="E2211" s="37"/>
      <c r="F2211" s="37"/>
      <c r="G2211" s="37"/>
      <c r="H2211" s="37"/>
      <c r="I2211" s="35"/>
      <c r="J2211" s="37"/>
    </row>
    <row r="2212" spans="1:10" ht="15.95" customHeight="1" x14ac:dyDescent="0.2">
      <c r="A2212" s="39"/>
      <c r="B2212" s="36"/>
      <c r="C2212" s="37"/>
      <c r="D2212" s="37"/>
      <c r="E2212" s="37"/>
      <c r="F2212" s="37"/>
      <c r="G2212" s="37"/>
      <c r="H2212" s="37"/>
      <c r="I2212" s="35"/>
      <c r="J2212" s="37"/>
    </row>
    <row r="2213" spans="1:10" ht="15.95" customHeight="1" x14ac:dyDescent="0.2">
      <c r="A2213" s="39"/>
      <c r="B2213" s="36"/>
      <c r="C2213" s="37"/>
      <c r="D2213" s="37"/>
      <c r="E2213" s="37"/>
      <c r="F2213" s="37"/>
      <c r="G2213" s="37"/>
      <c r="H2213" s="37"/>
      <c r="I2213" s="35"/>
      <c r="J2213" s="37"/>
    </row>
    <row r="2214" spans="1:10" ht="15.95" customHeight="1" x14ac:dyDescent="0.2">
      <c r="A2214" s="39"/>
      <c r="B2214" s="36"/>
      <c r="C2214" s="37"/>
      <c r="D2214" s="37"/>
      <c r="E2214" s="37"/>
      <c r="F2214" s="37"/>
      <c r="G2214" s="37"/>
      <c r="H2214" s="37"/>
      <c r="I2214" s="35"/>
      <c r="J2214" s="37"/>
    </row>
    <row r="2215" spans="1:10" ht="15.95" customHeight="1" x14ac:dyDescent="0.2">
      <c r="A2215" s="39"/>
      <c r="B2215" s="36"/>
      <c r="C2215" s="37"/>
      <c r="D2215" s="37"/>
      <c r="E2215" s="37"/>
      <c r="F2215" s="37"/>
      <c r="G2215" s="37"/>
      <c r="H2215" s="37"/>
      <c r="I2215" s="35"/>
      <c r="J2215" s="37"/>
    </row>
    <row r="2216" spans="1:10" ht="15.95" customHeight="1" x14ac:dyDescent="0.2">
      <c r="A2216" s="39"/>
      <c r="B2216" s="36"/>
      <c r="C2216" s="37"/>
      <c r="D2216" s="37"/>
      <c r="E2216" s="37"/>
      <c r="F2216" s="37"/>
      <c r="G2216" s="37"/>
      <c r="H2216" s="37"/>
      <c r="I2216" s="35"/>
      <c r="J2216" s="37"/>
    </row>
    <row r="2217" spans="1:10" ht="15.95" customHeight="1" x14ac:dyDescent="0.2">
      <c r="A2217" s="39"/>
      <c r="B2217" s="36"/>
      <c r="C2217" s="37"/>
      <c r="D2217" s="37"/>
      <c r="E2217" s="37"/>
      <c r="F2217" s="37"/>
      <c r="G2217" s="37"/>
      <c r="H2217" s="37"/>
      <c r="I2217" s="35"/>
      <c r="J2217" s="37"/>
    </row>
    <row r="2218" spans="1:10" ht="15.95" customHeight="1" x14ac:dyDescent="0.2">
      <c r="A2218" s="39"/>
      <c r="B2218" s="36"/>
      <c r="C2218" s="37"/>
      <c r="D2218" s="37"/>
      <c r="E2218" s="37"/>
      <c r="F2218" s="37"/>
      <c r="G2218" s="37"/>
      <c r="H2218" s="37"/>
      <c r="I2218" s="35"/>
      <c r="J2218" s="37"/>
    </row>
    <row r="2219" spans="1:10" ht="15.95" customHeight="1" x14ac:dyDescent="0.2">
      <c r="A2219" s="39"/>
      <c r="B2219" s="36"/>
      <c r="C2219" s="37"/>
      <c r="D2219" s="37"/>
      <c r="E2219" s="37"/>
      <c r="F2219" s="37"/>
      <c r="G2219" s="37"/>
      <c r="H2219" s="37"/>
      <c r="I2219" s="35"/>
      <c r="J2219" s="37"/>
    </row>
    <row r="2220" spans="1:10" ht="15.95" customHeight="1" x14ac:dyDescent="0.2">
      <c r="A2220" s="39"/>
      <c r="B2220" s="36"/>
      <c r="C2220" s="37"/>
      <c r="D2220" s="37"/>
      <c r="E2220" s="37"/>
      <c r="F2220" s="37"/>
      <c r="G2220" s="37"/>
      <c r="H2220" s="37"/>
      <c r="I2220" s="35"/>
      <c r="J2220" s="37"/>
    </row>
    <row r="2221" spans="1:10" ht="15.95" customHeight="1" x14ac:dyDescent="0.2">
      <c r="A2221" s="39"/>
      <c r="B2221" s="36"/>
      <c r="C2221" s="37"/>
      <c r="D2221" s="37"/>
      <c r="E2221" s="37"/>
      <c r="F2221" s="37"/>
      <c r="G2221" s="37"/>
      <c r="H2221" s="37"/>
      <c r="I2221" s="35"/>
      <c r="J2221" s="37"/>
    </row>
    <row r="2222" spans="1:10" ht="15.95" customHeight="1" x14ac:dyDescent="0.2">
      <c r="A2222" s="39"/>
      <c r="B2222" s="36"/>
      <c r="C2222" s="37"/>
      <c r="D2222" s="37"/>
      <c r="E2222" s="37"/>
      <c r="F2222" s="37"/>
      <c r="G2222" s="37"/>
      <c r="H2222" s="37"/>
      <c r="I2222" s="35"/>
      <c r="J2222" s="37"/>
    </row>
    <row r="2223" spans="1:10" ht="15.95" customHeight="1" x14ac:dyDescent="0.2">
      <c r="A2223" s="39"/>
      <c r="B2223" s="36"/>
      <c r="C2223" s="37"/>
      <c r="D2223" s="37"/>
      <c r="E2223" s="37"/>
      <c r="F2223" s="37"/>
      <c r="G2223" s="37"/>
      <c r="H2223" s="37"/>
      <c r="I2223" s="35"/>
      <c r="J2223" s="37"/>
    </row>
    <row r="2224" spans="1:10" ht="15.95" customHeight="1" x14ac:dyDescent="0.2">
      <c r="A2224" s="39"/>
      <c r="B2224" s="36"/>
      <c r="C2224" s="37"/>
      <c r="D2224" s="37"/>
      <c r="E2224" s="37"/>
      <c r="F2224" s="37"/>
      <c r="G2224" s="37"/>
      <c r="H2224" s="37"/>
      <c r="I2224" s="35"/>
      <c r="J2224" s="37"/>
    </row>
    <row r="2225" spans="1:10" ht="15.95" customHeight="1" x14ac:dyDescent="0.2">
      <c r="A2225" s="39"/>
      <c r="B2225" s="36"/>
      <c r="C2225" s="37"/>
      <c r="D2225" s="37"/>
      <c r="E2225" s="37"/>
      <c r="F2225" s="37"/>
      <c r="G2225" s="37"/>
      <c r="H2225" s="37"/>
      <c r="I2225" s="35"/>
      <c r="J2225" s="37"/>
    </row>
    <row r="2226" spans="1:10" ht="15.95" customHeight="1" x14ac:dyDescent="0.2">
      <c r="A2226" s="39"/>
      <c r="B2226" s="36"/>
      <c r="C2226" s="37"/>
      <c r="D2226" s="37"/>
      <c r="E2226" s="37"/>
      <c r="F2226" s="37"/>
      <c r="G2226" s="37"/>
      <c r="H2226" s="37"/>
      <c r="I2226" s="35"/>
      <c r="J2226" s="37"/>
    </row>
    <row r="2227" spans="1:10" ht="15.95" customHeight="1" x14ac:dyDescent="0.2">
      <c r="A2227" s="39"/>
      <c r="B2227" s="36"/>
      <c r="C2227" s="37"/>
      <c r="D2227" s="37"/>
      <c r="E2227" s="37"/>
      <c r="F2227" s="37"/>
      <c r="G2227" s="37"/>
      <c r="H2227" s="37"/>
      <c r="I2227" s="35"/>
      <c r="J2227" s="37"/>
    </row>
    <row r="2228" spans="1:10" ht="15.95" customHeight="1" x14ac:dyDescent="0.2">
      <c r="A2228" s="39"/>
      <c r="B2228" s="36"/>
      <c r="C2228" s="37"/>
      <c r="D2228" s="37"/>
      <c r="E2228" s="37"/>
      <c r="F2228" s="37"/>
      <c r="G2228" s="37"/>
      <c r="H2228" s="37"/>
      <c r="I2228" s="35"/>
      <c r="J2228" s="37"/>
    </row>
    <row r="2229" spans="1:10" ht="15.95" customHeight="1" x14ac:dyDescent="0.2">
      <c r="A2229" s="39"/>
      <c r="B2229" s="36"/>
      <c r="C2229" s="37"/>
      <c r="D2229" s="37"/>
      <c r="E2229" s="37"/>
      <c r="F2229" s="37"/>
      <c r="G2229" s="37"/>
      <c r="H2229" s="37"/>
      <c r="I2229" s="35"/>
      <c r="J2229" s="37"/>
    </row>
    <row r="2230" spans="1:10" ht="15.95" customHeight="1" x14ac:dyDescent="0.2">
      <c r="A2230" s="39"/>
      <c r="B2230" s="36"/>
      <c r="C2230" s="37"/>
      <c r="D2230" s="37"/>
      <c r="E2230" s="37"/>
      <c r="F2230" s="37"/>
      <c r="G2230" s="37"/>
      <c r="H2230" s="37"/>
      <c r="I2230" s="35"/>
      <c r="J2230" s="37"/>
    </row>
    <row r="2231" spans="1:10" ht="15.95" customHeight="1" x14ac:dyDescent="0.2">
      <c r="A2231" s="39"/>
      <c r="B2231" s="36"/>
      <c r="C2231" s="37"/>
      <c r="D2231" s="37"/>
      <c r="E2231" s="37"/>
      <c r="F2231" s="37"/>
      <c r="G2231" s="37"/>
      <c r="H2231" s="37"/>
      <c r="I2231" s="35"/>
      <c r="J2231" s="37"/>
    </row>
    <row r="2232" spans="1:10" ht="15.95" customHeight="1" x14ac:dyDescent="0.2">
      <c r="A2232" s="39"/>
      <c r="B2232" s="36"/>
      <c r="C2232" s="37"/>
      <c r="D2232" s="37"/>
      <c r="E2232" s="37"/>
      <c r="F2232" s="37"/>
      <c r="G2232" s="37"/>
      <c r="H2232" s="37"/>
      <c r="I2232" s="35"/>
      <c r="J2232" s="37"/>
    </row>
    <row r="2233" spans="1:10" ht="15.95" customHeight="1" x14ac:dyDescent="0.2">
      <c r="A2233" s="39"/>
      <c r="B2233" s="36"/>
      <c r="C2233" s="37"/>
      <c r="D2233" s="37"/>
      <c r="E2233" s="37"/>
      <c r="F2233" s="37"/>
      <c r="G2233" s="37"/>
      <c r="H2233" s="37"/>
      <c r="I2233" s="35"/>
      <c r="J2233" s="37"/>
    </row>
    <row r="2234" spans="1:10" ht="15.95" customHeight="1" x14ac:dyDescent="0.2">
      <c r="A2234" s="39"/>
      <c r="B2234" s="36"/>
      <c r="C2234" s="37"/>
      <c r="D2234" s="37"/>
      <c r="E2234" s="37"/>
      <c r="F2234" s="37"/>
      <c r="G2234" s="37"/>
      <c r="H2234" s="37"/>
      <c r="I2234" s="35"/>
      <c r="J2234" s="37"/>
    </row>
    <row r="2235" spans="1:10" ht="15.95" customHeight="1" x14ac:dyDescent="0.2">
      <c r="A2235" s="39"/>
      <c r="B2235" s="36"/>
      <c r="C2235" s="37"/>
      <c r="D2235" s="37"/>
      <c r="E2235" s="37"/>
      <c r="F2235" s="37"/>
      <c r="G2235" s="37"/>
      <c r="H2235" s="37"/>
      <c r="I2235" s="35"/>
      <c r="J2235" s="37"/>
    </row>
    <row r="2236" spans="1:10" ht="15.95" customHeight="1" x14ac:dyDescent="0.2">
      <c r="A2236" s="39"/>
      <c r="B2236" s="36"/>
      <c r="C2236" s="37"/>
      <c r="D2236" s="37"/>
      <c r="E2236" s="37"/>
      <c r="F2236" s="37"/>
      <c r="G2236" s="37"/>
      <c r="H2236" s="37"/>
      <c r="I2236" s="35"/>
      <c r="J2236" s="37"/>
    </row>
    <row r="2237" spans="1:10" ht="15.95" customHeight="1" x14ac:dyDescent="0.2">
      <c r="A2237" s="39"/>
      <c r="B2237" s="36"/>
      <c r="C2237" s="37"/>
      <c r="D2237" s="37"/>
      <c r="E2237" s="37"/>
      <c r="F2237" s="37"/>
      <c r="G2237" s="37"/>
      <c r="H2237" s="37"/>
      <c r="I2237" s="35"/>
      <c r="J2237" s="37"/>
    </row>
    <row r="2238" spans="1:10" ht="15.95" customHeight="1" x14ac:dyDescent="0.2">
      <c r="A2238" s="39"/>
      <c r="B2238" s="36"/>
      <c r="C2238" s="37"/>
      <c r="D2238" s="37"/>
      <c r="E2238" s="37"/>
      <c r="F2238" s="37"/>
      <c r="G2238" s="37"/>
      <c r="H2238" s="37"/>
      <c r="I2238" s="35"/>
      <c r="J2238" s="37"/>
    </row>
    <row r="2239" spans="1:10" ht="15.95" customHeight="1" x14ac:dyDescent="0.2">
      <c r="A2239" s="39"/>
      <c r="B2239" s="36"/>
      <c r="C2239" s="37"/>
      <c r="D2239" s="37"/>
      <c r="E2239" s="37"/>
      <c r="F2239" s="37"/>
      <c r="G2239" s="37"/>
      <c r="H2239" s="37"/>
      <c r="I2239" s="35"/>
      <c r="J2239" s="37"/>
    </row>
    <row r="2240" spans="1:10" ht="15.95" customHeight="1" x14ac:dyDescent="0.2">
      <c r="A2240" s="39"/>
      <c r="B2240" s="36"/>
      <c r="C2240" s="37"/>
      <c r="D2240" s="37"/>
      <c r="E2240" s="37"/>
      <c r="F2240" s="37"/>
      <c r="G2240" s="37"/>
      <c r="H2240" s="37"/>
      <c r="I2240" s="35"/>
      <c r="J2240" s="37"/>
    </row>
    <row r="2241" spans="1:10" ht="15.95" customHeight="1" x14ac:dyDescent="0.2">
      <c r="A2241" s="39"/>
      <c r="B2241" s="36"/>
      <c r="C2241" s="37"/>
      <c r="D2241" s="37"/>
      <c r="E2241" s="37"/>
      <c r="F2241" s="37"/>
      <c r="G2241" s="37"/>
      <c r="H2241" s="37"/>
      <c r="I2241" s="35"/>
      <c r="J2241" s="37"/>
    </row>
    <row r="2242" spans="1:10" ht="15.95" customHeight="1" x14ac:dyDescent="0.2">
      <c r="A2242" s="39"/>
      <c r="B2242" s="36"/>
      <c r="C2242" s="37"/>
      <c r="D2242" s="37"/>
      <c r="E2242" s="37"/>
      <c r="F2242" s="37"/>
      <c r="G2242" s="37"/>
      <c r="H2242" s="37"/>
      <c r="I2242" s="35"/>
      <c r="J2242" s="37"/>
    </row>
    <row r="2243" spans="1:10" ht="15.95" customHeight="1" x14ac:dyDescent="0.2">
      <c r="A2243" s="39"/>
      <c r="B2243" s="36"/>
      <c r="C2243" s="37"/>
      <c r="D2243" s="37"/>
      <c r="E2243" s="37"/>
      <c r="F2243" s="37"/>
      <c r="G2243" s="37"/>
      <c r="H2243" s="37"/>
      <c r="I2243" s="35"/>
      <c r="J2243" s="37"/>
    </row>
    <row r="2244" spans="1:10" ht="15.95" customHeight="1" x14ac:dyDescent="0.2">
      <c r="A2244" s="39"/>
      <c r="B2244" s="36"/>
      <c r="C2244" s="37"/>
      <c r="D2244" s="37"/>
      <c r="E2244" s="37"/>
      <c r="F2244" s="37"/>
      <c r="G2244" s="37"/>
      <c r="H2244" s="37"/>
      <c r="I2244" s="35"/>
      <c r="J2244" s="37"/>
    </row>
    <row r="2245" spans="1:10" ht="15.95" customHeight="1" x14ac:dyDescent="0.2">
      <c r="A2245" s="39"/>
      <c r="B2245" s="36"/>
      <c r="C2245" s="37"/>
      <c r="D2245" s="37"/>
      <c r="E2245" s="37"/>
      <c r="F2245" s="37"/>
      <c r="G2245" s="37"/>
      <c r="H2245" s="37"/>
      <c r="I2245" s="35"/>
      <c r="J2245" s="37"/>
    </row>
    <row r="2246" spans="1:10" ht="15.95" customHeight="1" x14ac:dyDescent="0.2">
      <c r="A2246" s="39"/>
      <c r="B2246" s="36"/>
      <c r="C2246" s="37"/>
      <c r="D2246" s="37"/>
      <c r="E2246" s="37"/>
      <c r="F2246" s="37"/>
      <c r="G2246" s="37"/>
      <c r="H2246" s="37"/>
      <c r="I2246" s="35"/>
      <c r="J2246" s="37"/>
    </row>
    <row r="2247" spans="1:10" ht="15.95" customHeight="1" x14ac:dyDescent="0.2">
      <c r="A2247" s="39"/>
      <c r="B2247" s="36"/>
      <c r="C2247" s="37"/>
      <c r="D2247" s="37"/>
      <c r="E2247" s="37"/>
      <c r="F2247" s="37"/>
      <c r="G2247" s="37"/>
      <c r="H2247" s="37"/>
      <c r="I2247" s="35"/>
      <c r="J2247" s="37"/>
    </row>
    <row r="2248" spans="1:10" ht="15.95" customHeight="1" x14ac:dyDescent="0.2">
      <c r="A2248" s="39"/>
      <c r="B2248" s="36"/>
      <c r="C2248" s="37"/>
      <c r="D2248" s="37"/>
      <c r="E2248" s="37"/>
      <c r="F2248" s="37"/>
      <c r="G2248" s="37"/>
      <c r="H2248" s="37"/>
      <c r="I2248" s="35"/>
      <c r="J2248" s="37"/>
    </row>
    <row r="2249" spans="1:10" ht="15.95" customHeight="1" x14ac:dyDescent="0.2">
      <c r="A2249" s="39"/>
      <c r="B2249" s="36"/>
      <c r="C2249" s="37"/>
      <c r="D2249" s="37"/>
      <c r="E2249" s="37"/>
      <c r="F2249" s="37"/>
      <c r="G2249" s="37"/>
      <c r="H2249" s="37"/>
      <c r="I2249" s="35"/>
      <c r="J2249" s="37"/>
    </row>
    <row r="2250" spans="1:10" ht="15.95" customHeight="1" x14ac:dyDescent="0.2">
      <c r="A2250" s="39"/>
      <c r="B2250" s="36"/>
      <c r="C2250" s="37"/>
      <c r="D2250" s="37"/>
      <c r="E2250" s="37"/>
      <c r="F2250" s="37"/>
      <c r="G2250" s="37"/>
      <c r="H2250" s="37"/>
      <c r="I2250" s="35"/>
      <c r="J2250" s="37"/>
    </row>
    <row r="2251" spans="1:10" ht="15.95" customHeight="1" x14ac:dyDescent="0.2">
      <c r="A2251" s="39"/>
      <c r="B2251" s="36"/>
      <c r="C2251" s="37"/>
      <c r="D2251" s="37"/>
      <c r="E2251" s="37"/>
      <c r="F2251" s="37"/>
      <c r="G2251" s="37"/>
      <c r="H2251" s="37"/>
      <c r="I2251" s="35"/>
      <c r="J2251" s="37"/>
    </row>
    <row r="2252" spans="1:10" ht="15.95" customHeight="1" x14ac:dyDescent="0.2">
      <c r="A2252" s="39"/>
      <c r="B2252" s="36"/>
      <c r="C2252" s="37"/>
      <c r="D2252" s="37"/>
      <c r="E2252" s="37"/>
      <c r="F2252" s="37"/>
      <c r="G2252" s="37"/>
      <c r="H2252" s="37"/>
      <c r="I2252" s="35"/>
      <c r="J2252" s="37"/>
    </row>
    <row r="2253" spans="1:10" ht="15.95" customHeight="1" x14ac:dyDescent="0.2">
      <c r="A2253" s="39"/>
      <c r="B2253" s="36"/>
      <c r="C2253" s="37"/>
      <c r="D2253" s="37"/>
      <c r="E2253" s="37"/>
      <c r="F2253" s="37"/>
      <c r="G2253" s="37"/>
      <c r="H2253" s="37"/>
      <c r="I2253" s="35"/>
      <c r="J2253" s="37"/>
    </row>
    <row r="2254" spans="1:10" ht="15.95" customHeight="1" x14ac:dyDescent="0.2">
      <c r="A2254" s="39"/>
      <c r="B2254" s="36"/>
      <c r="C2254" s="37"/>
      <c r="D2254" s="37"/>
      <c r="E2254" s="37"/>
      <c r="F2254" s="37"/>
      <c r="G2254" s="37"/>
      <c r="H2254" s="37"/>
      <c r="I2254" s="35"/>
      <c r="J2254" s="37"/>
    </row>
    <row r="2255" spans="1:10" ht="15.95" customHeight="1" x14ac:dyDescent="0.2">
      <c r="A2255" s="39"/>
      <c r="B2255" s="36"/>
      <c r="C2255" s="37"/>
      <c r="D2255" s="37"/>
      <c r="E2255" s="37"/>
      <c r="F2255" s="37"/>
      <c r="G2255" s="37"/>
      <c r="H2255" s="37"/>
      <c r="I2255" s="35"/>
      <c r="J2255" s="37"/>
    </row>
    <row r="2256" spans="1:10" ht="15.95" customHeight="1" x14ac:dyDescent="0.2">
      <c r="A2256" s="39"/>
      <c r="B2256" s="36"/>
      <c r="C2256" s="37"/>
      <c r="D2256" s="37"/>
      <c r="E2256" s="37"/>
      <c r="F2256" s="37"/>
      <c r="G2256" s="37"/>
      <c r="H2256" s="37"/>
      <c r="I2256" s="35"/>
      <c r="J2256" s="37"/>
    </row>
    <row r="2257" spans="1:10" ht="15.95" customHeight="1" x14ac:dyDescent="0.2">
      <c r="A2257" s="39"/>
      <c r="B2257" s="36"/>
      <c r="C2257" s="37"/>
      <c r="D2257" s="37"/>
      <c r="E2257" s="37"/>
      <c r="F2257" s="37"/>
      <c r="G2257" s="37"/>
      <c r="H2257" s="37"/>
      <c r="I2257" s="35"/>
      <c r="J2257" s="37"/>
    </row>
    <row r="2258" spans="1:10" ht="15.95" customHeight="1" x14ac:dyDescent="0.2">
      <c r="A2258" s="39"/>
      <c r="B2258" s="36"/>
      <c r="C2258" s="37"/>
      <c r="D2258" s="37"/>
      <c r="E2258" s="37"/>
      <c r="F2258" s="37"/>
      <c r="G2258" s="37"/>
      <c r="H2258" s="37"/>
      <c r="I2258" s="35"/>
      <c r="J2258" s="37"/>
    </row>
    <row r="2259" spans="1:10" ht="15.95" customHeight="1" x14ac:dyDescent="0.2">
      <c r="A2259" s="39"/>
      <c r="B2259" s="36"/>
      <c r="C2259" s="37"/>
      <c r="D2259" s="37"/>
      <c r="E2259" s="37"/>
      <c r="F2259" s="37"/>
      <c r="G2259" s="37"/>
      <c r="H2259" s="37"/>
      <c r="I2259" s="35"/>
      <c r="J2259" s="37"/>
    </row>
    <row r="2260" spans="1:10" ht="15.95" customHeight="1" x14ac:dyDescent="0.2">
      <c r="A2260" s="39"/>
      <c r="B2260" s="36"/>
      <c r="C2260" s="37"/>
      <c r="D2260" s="37"/>
      <c r="E2260" s="37"/>
      <c r="F2260" s="37"/>
      <c r="G2260" s="37"/>
      <c r="H2260" s="37"/>
      <c r="I2260" s="35"/>
      <c r="J2260" s="37"/>
    </row>
    <row r="2261" spans="1:10" ht="15.95" customHeight="1" x14ac:dyDescent="0.2">
      <c r="A2261" s="39"/>
      <c r="B2261" s="36"/>
      <c r="C2261" s="37"/>
      <c r="D2261" s="37"/>
      <c r="E2261" s="37"/>
      <c r="F2261" s="37"/>
      <c r="G2261" s="37"/>
      <c r="H2261" s="37"/>
      <c r="I2261" s="35"/>
      <c r="J2261" s="37"/>
    </row>
    <row r="2262" spans="1:10" ht="15.95" customHeight="1" x14ac:dyDescent="0.2">
      <c r="A2262" s="39"/>
      <c r="B2262" s="36"/>
      <c r="C2262" s="37"/>
      <c r="D2262" s="37"/>
      <c r="E2262" s="37"/>
      <c r="F2262" s="37"/>
      <c r="G2262" s="37"/>
      <c r="H2262" s="37"/>
      <c r="I2262" s="35"/>
      <c r="J2262" s="37"/>
    </row>
    <row r="2263" spans="1:10" ht="15.95" customHeight="1" x14ac:dyDescent="0.2">
      <c r="A2263" s="39"/>
      <c r="B2263" s="36"/>
      <c r="C2263" s="37"/>
      <c r="D2263" s="37"/>
      <c r="E2263" s="37"/>
      <c r="F2263" s="37"/>
      <c r="G2263" s="37"/>
      <c r="H2263" s="37"/>
      <c r="I2263" s="35"/>
      <c r="J2263" s="37"/>
    </row>
    <row r="2264" spans="1:10" ht="15.95" customHeight="1" x14ac:dyDescent="0.2">
      <c r="A2264" s="39"/>
      <c r="B2264" s="36"/>
      <c r="C2264" s="37"/>
      <c r="D2264" s="37"/>
      <c r="E2264" s="37"/>
      <c r="F2264" s="37"/>
      <c r="G2264" s="37"/>
      <c r="H2264" s="37"/>
      <c r="I2264" s="35"/>
      <c r="J2264" s="37"/>
    </row>
    <row r="2265" spans="1:10" ht="15.95" customHeight="1" x14ac:dyDescent="0.2">
      <c r="A2265" s="39"/>
      <c r="B2265" s="36"/>
      <c r="C2265" s="37"/>
      <c r="D2265" s="37"/>
      <c r="E2265" s="37"/>
      <c r="F2265" s="37"/>
      <c r="G2265" s="37"/>
      <c r="H2265" s="37"/>
      <c r="I2265" s="35"/>
      <c r="J2265" s="37"/>
    </row>
    <row r="2266" spans="1:10" ht="15.95" customHeight="1" x14ac:dyDescent="0.2">
      <c r="A2266" s="39"/>
      <c r="B2266" s="36"/>
      <c r="C2266" s="37"/>
      <c r="D2266" s="37"/>
      <c r="E2266" s="37"/>
      <c r="F2266" s="37"/>
      <c r="G2266" s="37"/>
      <c r="H2266" s="37"/>
      <c r="I2266" s="35"/>
      <c r="J2266" s="37"/>
    </row>
    <row r="2267" spans="1:10" ht="15.95" customHeight="1" x14ac:dyDescent="0.2">
      <c r="A2267" s="39"/>
      <c r="B2267" s="36"/>
      <c r="C2267" s="37"/>
      <c r="D2267" s="37"/>
      <c r="E2267" s="37"/>
      <c r="F2267" s="37"/>
      <c r="G2267" s="37"/>
      <c r="H2267" s="37"/>
      <c r="I2267" s="35"/>
      <c r="J2267" s="37"/>
    </row>
    <row r="2268" spans="1:10" ht="15.95" customHeight="1" x14ac:dyDescent="0.2">
      <c r="A2268" s="39"/>
      <c r="B2268" s="36"/>
      <c r="C2268" s="37"/>
      <c r="D2268" s="37"/>
      <c r="E2268" s="37"/>
      <c r="F2268" s="37"/>
      <c r="G2268" s="37"/>
      <c r="H2268" s="37"/>
      <c r="I2268" s="35"/>
      <c r="J2268" s="37"/>
    </row>
    <row r="2269" spans="1:10" ht="15.95" customHeight="1" x14ac:dyDescent="0.2">
      <c r="A2269" s="39"/>
      <c r="B2269" s="36"/>
      <c r="C2269" s="37"/>
      <c r="D2269" s="37"/>
      <c r="E2269" s="37"/>
      <c r="F2269" s="37"/>
      <c r="G2269" s="37"/>
      <c r="H2269" s="37"/>
      <c r="I2269" s="35"/>
      <c r="J2269" s="37"/>
    </row>
    <row r="2270" spans="1:10" ht="15.95" customHeight="1" x14ac:dyDescent="0.2">
      <c r="A2270" s="39"/>
      <c r="B2270" s="36"/>
      <c r="C2270" s="37"/>
      <c r="D2270" s="37"/>
      <c r="E2270" s="37"/>
      <c r="F2270" s="37"/>
      <c r="G2270" s="37"/>
      <c r="H2270" s="37"/>
      <c r="I2270" s="35"/>
      <c r="J2270" s="37"/>
    </row>
    <row r="2271" spans="1:10" ht="15.95" customHeight="1" x14ac:dyDescent="0.2">
      <c r="A2271" s="39"/>
      <c r="B2271" s="36"/>
      <c r="C2271" s="37"/>
      <c r="D2271" s="37"/>
      <c r="E2271" s="37"/>
      <c r="F2271" s="37"/>
      <c r="G2271" s="37"/>
      <c r="H2271" s="37"/>
      <c r="I2271" s="35"/>
      <c r="J2271" s="37"/>
    </row>
    <row r="2272" spans="1:10" ht="15.95" customHeight="1" x14ac:dyDescent="0.2">
      <c r="A2272" s="39"/>
      <c r="B2272" s="36"/>
      <c r="C2272" s="37"/>
      <c r="D2272" s="37"/>
      <c r="E2272" s="37"/>
      <c r="F2272" s="37"/>
      <c r="G2272" s="37"/>
      <c r="H2272" s="37"/>
      <c r="I2272" s="35"/>
      <c r="J2272" s="37"/>
    </row>
    <row r="2273" spans="1:10" ht="15.95" customHeight="1" x14ac:dyDescent="0.2">
      <c r="A2273" s="39"/>
      <c r="B2273" s="36"/>
      <c r="C2273" s="37"/>
      <c r="D2273" s="37"/>
      <c r="E2273" s="37"/>
      <c r="F2273" s="37"/>
      <c r="G2273" s="37"/>
      <c r="H2273" s="37"/>
      <c r="I2273" s="35"/>
      <c r="J2273" s="37"/>
    </row>
    <row r="2274" spans="1:10" ht="15.95" customHeight="1" x14ac:dyDescent="0.2">
      <c r="A2274" s="39"/>
      <c r="B2274" s="36"/>
      <c r="C2274" s="37"/>
      <c r="D2274" s="37"/>
      <c r="E2274" s="37"/>
      <c r="F2274" s="37"/>
      <c r="G2274" s="37"/>
      <c r="H2274" s="37"/>
      <c r="I2274" s="35"/>
      <c r="J2274" s="37"/>
    </row>
    <row r="2275" spans="1:10" ht="15.95" customHeight="1" x14ac:dyDescent="0.2">
      <c r="A2275" s="39"/>
      <c r="B2275" s="36"/>
      <c r="C2275" s="37"/>
      <c r="D2275" s="37"/>
      <c r="E2275" s="37"/>
      <c r="F2275" s="37"/>
      <c r="G2275" s="37"/>
      <c r="H2275" s="37"/>
      <c r="I2275" s="35"/>
      <c r="J2275" s="37"/>
    </row>
    <row r="2276" spans="1:10" ht="15.95" customHeight="1" x14ac:dyDescent="0.2">
      <c r="A2276" s="39"/>
      <c r="B2276" s="36"/>
      <c r="C2276" s="37"/>
      <c r="D2276" s="37"/>
      <c r="E2276" s="37"/>
      <c r="F2276" s="37"/>
      <c r="G2276" s="37"/>
      <c r="H2276" s="37"/>
      <c r="I2276" s="35"/>
      <c r="J2276" s="37"/>
    </row>
    <row r="2277" spans="1:10" ht="15.95" customHeight="1" x14ac:dyDescent="0.2">
      <c r="A2277" s="39"/>
      <c r="B2277" s="36"/>
      <c r="C2277" s="37"/>
      <c r="D2277" s="37"/>
      <c r="E2277" s="37"/>
      <c r="F2277" s="37"/>
      <c r="G2277" s="37"/>
      <c r="H2277" s="37"/>
      <c r="I2277" s="35"/>
      <c r="J2277" s="37"/>
    </row>
    <row r="2278" spans="1:10" ht="15.95" customHeight="1" x14ac:dyDescent="0.2">
      <c r="A2278" s="39"/>
      <c r="B2278" s="36"/>
      <c r="C2278" s="37"/>
      <c r="D2278" s="37"/>
      <c r="E2278" s="37"/>
      <c r="F2278" s="37"/>
      <c r="G2278" s="37"/>
      <c r="H2278" s="37"/>
      <c r="I2278" s="35"/>
      <c r="J2278" s="37"/>
    </row>
    <row r="2279" spans="1:10" ht="15.95" customHeight="1" x14ac:dyDescent="0.2">
      <c r="A2279" s="39"/>
      <c r="B2279" s="36"/>
      <c r="C2279" s="37"/>
      <c r="D2279" s="37"/>
      <c r="E2279" s="37"/>
      <c r="F2279" s="37"/>
      <c r="G2279" s="37"/>
      <c r="H2279" s="37"/>
      <c r="I2279" s="35"/>
      <c r="J2279" s="37"/>
    </row>
    <row r="2280" spans="1:10" ht="15.95" customHeight="1" x14ac:dyDescent="0.2">
      <c r="A2280" s="39"/>
      <c r="B2280" s="36"/>
      <c r="C2280" s="37"/>
      <c r="D2280" s="37"/>
      <c r="E2280" s="37"/>
      <c r="F2280" s="37"/>
      <c r="G2280" s="37"/>
      <c r="H2280" s="37"/>
      <c r="I2280" s="35"/>
      <c r="J2280" s="37"/>
    </row>
    <row r="2281" spans="1:10" ht="15.95" customHeight="1" x14ac:dyDescent="0.2">
      <c r="A2281" s="39"/>
      <c r="B2281" s="36"/>
      <c r="C2281" s="37"/>
      <c r="D2281" s="37"/>
      <c r="E2281" s="37"/>
      <c r="F2281" s="37"/>
      <c r="G2281" s="37"/>
      <c r="H2281" s="37"/>
      <c r="I2281" s="35"/>
      <c r="J2281" s="37"/>
    </row>
    <row r="2282" spans="1:10" ht="15.95" customHeight="1" x14ac:dyDescent="0.2">
      <c r="A2282" s="39"/>
      <c r="B2282" s="36"/>
      <c r="C2282" s="37"/>
      <c r="D2282" s="37"/>
      <c r="E2282" s="37"/>
      <c r="F2282" s="37"/>
      <c r="G2282" s="37"/>
      <c r="H2282" s="37"/>
      <c r="I2282" s="35"/>
      <c r="J2282" s="37"/>
    </row>
    <row r="2283" spans="1:10" ht="15.95" customHeight="1" x14ac:dyDescent="0.2">
      <c r="A2283" s="39"/>
      <c r="B2283" s="36"/>
      <c r="C2283" s="37"/>
      <c r="D2283" s="37"/>
      <c r="E2283" s="37"/>
      <c r="F2283" s="37"/>
      <c r="G2283" s="37"/>
      <c r="H2283" s="37"/>
      <c r="I2283" s="35"/>
      <c r="J2283" s="37"/>
    </row>
    <row r="2284" spans="1:10" ht="15.95" customHeight="1" x14ac:dyDescent="0.2">
      <c r="A2284" s="39"/>
      <c r="B2284" s="36"/>
      <c r="C2284" s="37"/>
      <c r="D2284" s="37"/>
      <c r="E2284" s="37"/>
      <c r="F2284" s="37"/>
      <c r="G2284" s="37"/>
      <c r="H2284" s="37"/>
      <c r="I2284" s="35"/>
      <c r="J2284" s="37"/>
    </row>
    <row r="2285" spans="1:10" ht="15.95" customHeight="1" x14ac:dyDescent="0.2">
      <c r="A2285" s="39"/>
      <c r="B2285" s="36"/>
      <c r="C2285" s="37"/>
      <c r="D2285" s="37"/>
      <c r="E2285" s="37"/>
      <c r="F2285" s="37"/>
      <c r="G2285" s="37"/>
      <c r="H2285" s="37"/>
      <c r="I2285" s="35"/>
      <c r="J2285" s="37"/>
    </row>
    <row r="2286" spans="1:10" ht="15.95" customHeight="1" x14ac:dyDescent="0.2">
      <c r="A2286" s="39"/>
      <c r="B2286" s="36"/>
      <c r="C2286" s="37"/>
      <c r="D2286" s="37"/>
      <c r="E2286" s="37"/>
      <c r="F2286" s="37"/>
      <c r="G2286" s="37"/>
      <c r="H2286" s="37"/>
      <c r="I2286" s="35"/>
      <c r="J2286" s="37"/>
    </row>
    <row r="2287" spans="1:10" ht="15.95" customHeight="1" x14ac:dyDescent="0.2">
      <c r="A2287" s="39"/>
      <c r="B2287" s="36"/>
      <c r="C2287" s="37"/>
      <c r="D2287" s="37"/>
      <c r="E2287" s="37"/>
      <c r="F2287" s="37"/>
      <c r="G2287" s="37"/>
      <c r="H2287" s="37"/>
      <c r="I2287" s="35"/>
      <c r="J2287" s="37"/>
    </row>
    <row r="2288" spans="1:10" ht="15.95" customHeight="1" x14ac:dyDescent="0.2">
      <c r="A2288" s="39"/>
      <c r="B2288" s="36"/>
      <c r="C2288" s="37"/>
      <c r="D2288" s="37"/>
      <c r="E2288" s="37"/>
      <c r="F2288" s="37"/>
      <c r="G2288" s="37"/>
      <c r="H2288" s="37"/>
      <c r="I2288" s="35"/>
      <c r="J2288" s="37"/>
    </row>
    <row r="2289" spans="1:10" ht="15.95" customHeight="1" x14ac:dyDescent="0.2">
      <c r="A2289" s="39"/>
      <c r="B2289" s="36"/>
      <c r="C2289" s="37"/>
      <c r="D2289" s="37"/>
      <c r="E2289" s="37"/>
      <c r="F2289" s="37"/>
      <c r="G2289" s="37"/>
      <c r="H2289" s="37"/>
      <c r="I2289" s="35"/>
      <c r="J2289" s="37"/>
    </row>
    <row r="2290" spans="1:10" ht="15.95" customHeight="1" x14ac:dyDescent="0.2">
      <c r="A2290" s="39"/>
      <c r="B2290" s="36"/>
      <c r="C2290" s="37"/>
      <c r="D2290" s="37"/>
      <c r="E2290" s="37"/>
      <c r="F2290" s="37"/>
      <c r="G2290" s="37"/>
      <c r="H2290" s="37"/>
      <c r="I2290" s="35"/>
      <c r="J2290" s="37"/>
    </row>
    <row r="2291" spans="1:10" ht="15.95" customHeight="1" x14ac:dyDescent="0.2">
      <c r="A2291" s="39"/>
      <c r="B2291" s="36"/>
      <c r="C2291" s="37"/>
      <c r="D2291" s="37"/>
      <c r="E2291" s="37"/>
      <c r="F2291" s="37"/>
      <c r="G2291" s="37"/>
      <c r="H2291" s="37"/>
      <c r="I2291" s="35"/>
      <c r="J2291" s="37"/>
    </row>
    <row r="2292" spans="1:10" ht="15.95" customHeight="1" x14ac:dyDescent="0.2">
      <c r="A2292" s="39"/>
      <c r="B2292" s="36"/>
      <c r="C2292" s="37"/>
      <c r="D2292" s="37"/>
      <c r="E2292" s="37"/>
      <c r="F2292" s="37"/>
      <c r="G2292" s="37"/>
      <c r="H2292" s="37"/>
      <c r="I2292" s="35"/>
      <c r="J2292" s="37"/>
    </row>
    <row r="2293" spans="1:10" ht="15.95" customHeight="1" x14ac:dyDescent="0.2">
      <c r="A2293" s="39"/>
      <c r="B2293" s="36"/>
      <c r="C2293" s="37"/>
      <c r="D2293" s="37"/>
      <c r="E2293" s="37"/>
      <c r="F2293" s="37"/>
      <c r="G2293" s="37"/>
      <c r="H2293" s="37"/>
      <c r="I2293" s="35"/>
      <c r="J2293" s="37"/>
    </row>
    <row r="2294" spans="1:10" ht="15.95" customHeight="1" x14ac:dyDescent="0.2">
      <c r="A2294" s="39"/>
      <c r="B2294" s="36"/>
      <c r="C2294" s="37"/>
      <c r="D2294" s="37"/>
      <c r="E2294" s="37"/>
      <c r="F2294" s="37"/>
      <c r="G2294" s="37"/>
      <c r="H2294" s="37"/>
      <c r="I2294" s="35"/>
      <c r="J2294" s="37"/>
    </row>
    <row r="2295" spans="1:10" ht="15.95" customHeight="1" x14ac:dyDescent="0.2">
      <c r="A2295" s="39"/>
      <c r="B2295" s="36"/>
      <c r="C2295" s="37"/>
      <c r="D2295" s="37"/>
      <c r="E2295" s="37"/>
      <c r="F2295" s="37"/>
      <c r="G2295" s="37"/>
      <c r="H2295" s="37"/>
      <c r="I2295" s="35"/>
      <c r="J2295" s="37"/>
    </row>
    <row r="2296" spans="1:10" ht="15.95" customHeight="1" x14ac:dyDescent="0.2">
      <c r="A2296" s="39"/>
      <c r="B2296" s="36"/>
      <c r="C2296" s="37"/>
      <c r="D2296" s="37"/>
      <c r="E2296" s="37"/>
      <c r="F2296" s="37"/>
      <c r="G2296" s="37"/>
      <c r="H2296" s="37"/>
      <c r="I2296" s="35"/>
      <c r="J2296" s="37"/>
    </row>
    <row r="2297" spans="1:10" ht="15.95" customHeight="1" x14ac:dyDescent="0.2">
      <c r="A2297" s="39"/>
      <c r="B2297" s="36"/>
      <c r="C2297" s="37"/>
      <c r="D2297" s="37"/>
      <c r="E2297" s="37"/>
      <c r="F2297" s="37"/>
      <c r="G2297" s="37"/>
      <c r="H2297" s="37"/>
      <c r="I2297" s="35"/>
      <c r="J2297" s="37"/>
    </row>
    <row r="2298" spans="1:10" ht="15.95" customHeight="1" x14ac:dyDescent="0.2">
      <c r="A2298" s="39"/>
      <c r="B2298" s="36"/>
      <c r="C2298" s="37"/>
      <c r="D2298" s="37"/>
      <c r="E2298" s="37"/>
      <c r="F2298" s="37"/>
      <c r="G2298" s="37"/>
      <c r="H2298" s="37"/>
      <c r="I2298" s="35"/>
      <c r="J2298" s="37"/>
    </row>
    <row r="2299" spans="1:10" ht="15.95" customHeight="1" x14ac:dyDescent="0.2">
      <c r="A2299" s="39"/>
      <c r="B2299" s="36"/>
      <c r="C2299" s="37"/>
      <c r="D2299" s="37"/>
      <c r="E2299" s="37"/>
      <c r="F2299" s="37"/>
      <c r="G2299" s="37"/>
      <c r="H2299" s="37"/>
      <c r="I2299" s="35"/>
      <c r="J2299" s="37"/>
    </row>
    <row r="2300" spans="1:10" ht="15.95" customHeight="1" x14ac:dyDescent="0.2">
      <c r="A2300" s="39"/>
      <c r="B2300" s="36"/>
      <c r="C2300" s="37"/>
      <c r="D2300" s="37"/>
      <c r="E2300" s="37"/>
      <c r="F2300" s="37"/>
      <c r="G2300" s="37"/>
      <c r="H2300" s="37"/>
      <c r="I2300" s="35"/>
      <c r="J2300" s="37"/>
    </row>
    <row r="2301" spans="1:10" ht="15.95" customHeight="1" x14ac:dyDescent="0.2">
      <c r="A2301" s="39"/>
      <c r="B2301" s="36"/>
      <c r="C2301" s="37"/>
      <c r="D2301" s="37"/>
      <c r="E2301" s="37"/>
      <c r="F2301" s="37"/>
      <c r="G2301" s="37"/>
      <c r="H2301" s="37"/>
      <c r="I2301" s="35"/>
      <c r="J2301" s="37"/>
    </row>
    <row r="2302" spans="1:10" ht="15.95" customHeight="1" x14ac:dyDescent="0.2">
      <c r="A2302" s="39"/>
      <c r="B2302" s="36"/>
      <c r="C2302" s="37"/>
      <c r="D2302" s="37"/>
      <c r="E2302" s="37"/>
      <c r="F2302" s="37"/>
      <c r="G2302" s="37"/>
      <c r="H2302" s="37"/>
      <c r="I2302" s="35"/>
      <c r="J2302" s="37"/>
    </row>
    <row r="2303" spans="1:10" ht="15.95" customHeight="1" x14ac:dyDescent="0.2">
      <c r="A2303" s="39"/>
      <c r="B2303" s="36"/>
      <c r="C2303" s="37"/>
      <c r="D2303" s="37"/>
      <c r="E2303" s="37"/>
      <c r="F2303" s="37"/>
      <c r="G2303" s="37"/>
      <c r="H2303" s="37"/>
      <c r="I2303" s="35"/>
      <c r="J2303" s="37"/>
    </row>
    <row r="2304" spans="1:10" ht="15.95" customHeight="1" x14ac:dyDescent="0.2">
      <c r="A2304" s="39"/>
      <c r="B2304" s="36"/>
      <c r="C2304" s="37"/>
      <c r="D2304" s="37"/>
      <c r="E2304" s="37"/>
      <c r="F2304" s="37"/>
      <c r="G2304" s="37"/>
      <c r="H2304" s="37"/>
      <c r="I2304" s="35"/>
      <c r="J2304" s="37"/>
    </row>
    <row r="2305" spans="1:10" ht="15.95" customHeight="1" x14ac:dyDescent="0.2">
      <c r="A2305" s="39"/>
      <c r="B2305" s="36"/>
      <c r="C2305" s="37"/>
      <c r="D2305" s="37"/>
      <c r="E2305" s="37"/>
      <c r="F2305" s="37"/>
      <c r="G2305" s="37"/>
      <c r="H2305" s="37"/>
      <c r="I2305" s="35"/>
      <c r="J2305" s="37"/>
    </row>
    <row r="2306" spans="1:10" ht="15.95" customHeight="1" x14ac:dyDescent="0.2">
      <c r="A2306" s="39"/>
      <c r="B2306" s="36"/>
      <c r="C2306" s="37"/>
      <c r="D2306" s="37"/>
      <c r="E2306" s="37"/>
      <c r="F2306" s="37"/>
      <c r="G2306" s="37"/>
      <c r="H2306" s="37"/>
      <c r="I2306" s="35"/>
      <c r="J2306" s="37"/>
    </row>
    <row r="2307" spans="1:10" ht="15.95" customHeight="1" x14ac:dyDescent="0.2">
      <c r="A2307" s="39"/>
      <c r="B2307" s="36"/>
      <c r="C2307" s="37"/>
      <c r="D2307" s="37"/>
      <c r="E2307" s="37"/>
      <c r="F2307" s="37"/>
      <c r="G2307" s="37"/>
      <c r="H2307" s="37"/>
      <c r="I2307" s="35"/>
      <c r="J2307" s="37"/>
    </row>
    <row r="2308" spans="1:10" ht="15.95" customHeight="1" x14ac:dyDescent="0.2">
      <c r="A2308" s="39"/>
      <c r="B2308" s="36"/>
      <c r="C2308" s="37"/>
      <c r="D2308" s="37"/>
      <c r="E2308" s="37"/>
      <c r="F2308" s="37"/>
      <c r="G2308" s="37"/>
      <c r="H2308" s="37"/>
      <c r="I2308" s="35"/>
      <c r="J2308" s="37"/>
    </row>
    <row r="2309" spans="1:10" ht="15.95" customHeight="1" x14ac:dyDescent="0.2">
      <c r="A2309" s="39"/>
      <c r="B2309" s="36"/>
      <c r="C2309" s="37"/>
      <c r="D2309" s="37"/>
      <c r="E2309" s="37"/>
      <c r="F2309" s="37"/>
      <c r="G2309" s="37"/>
      <c r="H2309" s="37"/>
      <c r="I2309" s="35"/>
      <c r="J2309" s="37"/>
    </row>
    <row r="2310" spans="1:10" ht="15.95" customHeight="1" x14ac:dyDescent="0.2">
      <c r="A2310" s="39"/>
      <c r="B2310" s="36"/>
      <c r="C2310" s="37"/>
      <c r="D2310" s="37"/>
      <c r="E2310" s="37"/>
      <c r="F2310" s="37"/>
      <c r="G2310" s="37"/>
      <c r="H2310" s="37"/>
      <c r="I2310" s="35"/>
      <c r="J2310" s="37"/>
    </row>
    <row r="2311" spans="1:10" ht="15.95" customHeight="1" x14ac:dyDescent="0.2">
      <c r="A2311" s="39"/>
      <c r="B2311" s="36"/>
      <c r="C2311" s="37"/>
      <c r="D2311" s="37"/>
      <c r="E2311" s="37"/>
      <c r="F2311" s="37"/>
      <c r="G2311" s="37"/>
      <c r="H2311" s="37"/>
      <c r="I2311" s="35"/>
      <c r="J2311" s="37"/>
    </row>
    <row r="2312" spans="1:10" ht="15.95" customHeight="1" x14ac:dyDescent="0.2">
      <c r="A2312" s="39"/>
      <c r="B2312" s="36"/>
      <c r="C2312" s="37"/>
      <c r="D2312" s="37"/>
      <c r="E2312" s="37"/>
      <c r="F2312" s="37"/>
      <c r="G2312" s="37"/>
      <c r="H2312" s="37"/>
      <c r="I2312" s="35"/>
      <c r="J2312" s="37"/>
    </row>
    <row r="2313" spans="1:10" ht="15.95" customHeight="1" x14ac:dyDescent="0.2">
      <c r="A2313" s="39"/>
      <c r="B2313" s="36"/>
      <c r="C2313" s="37"/>
      <c r="D2313" s="37"/>
      <c r="E2313" s="37"/>
      <c r="F2313" s="37"/>
      <c r="G2313" s="37"/>
      <c r="H2313" s="37"/>
      <c r="I2313" s="35"/>
      <c r="J2313" s="37"/>
    </row>
    <row r="2314" spans="1:10" ht="15.95" customHeight="1" x14ac:dyDescent="0.2">
      <c r="A2314" s="39"/>
      <c r="B2314" s="36"/>
      <c r="C2314" s="37"/>
      <c r="D2314" s="37"/>
      <c r="E2314" s="37"/>
      <c r="F2314" s="37"/>
      <c r="G2314" s="37"/>
      <c r="H2314" s="37"/>
      <c r="I2314" s="35"/>
      <c r="J2314" s="37"/>
    </row>
    <row r="2315" spans="1:10" ht="15.95" customHeight="1" x14ac:dyDescent="0.2">
      <c r="A2315" s="39"/>
      <c r="B2315" s="36"/>
      <c r="C2315" s="37"/>
      <c r="D2315" s="37"/>
      <c r="E2315" s="37"/>
      <c r="F2315" s="37"/>
      <c r="G2315" s="37"/>
      <c r="H2315" s="37"/>
      <c r="I2315" s="35"/>
      <c r="J2315" s="37"/>
    </row>
    <row r="2316" spans="1:10" ht="15.95" customHeight="1" x14ac:dyDescent="0.2">
      <c r="A2316" s="39"/>
      <c r="B2316" s="36"/>
      <c r="C2316" s="37"/>
      <c r="D2316" s="37"/>
      <c r="E2316" s="37"/>
      <c r="F2316" s="37"/>
      <c r="G2316" s="37"/>
      <c r="H2316" s="37"/>
      <c r="I2316" s="35"/>
      <c r="J2316" s="37"/>
    </row>
    <row r="2317" spans="1:10" ht="15.95" customHeight="1" x14ac:dyDescent="0.2">
      <c r="A2317" s="39"/>
      <c r="B2317" s="36"/>
      <c r="C2317" s="37"/>
      <c r="D2317" s="37"/>
      <c r="E2317" s="37"/>
      <c r="F2317" s="37"/>
      <c r="G2317" s="37"/>
      <c r="H2317" s="37"/>
      <c r="I2317" s="35"/>
      <c r="J2317" s="37"/>
    </row>
    <row r="2318" spans="1:10" ht="15.95" customHeight="1" x14ac:dyDescent="0.2">
      <c r="A2318" s="39"/>
      <c r="B2318" s="36"/>
      <c r="C2318" s="37"/>
      <c r="D2318" s="37"/>
      <c r="E2318" s="37"/>
      <c r="F2318" s="37"/>
      <c r="G2318" s="37"/>
      <c r="H2318" s="37"/>
      <c r="I2318" s="35"/>
      <c r="J2318" s="37"/>
    </row>
    <row r="2319" spans="1:10" ht="15.95" customHeight="1" x14ac:dyDescent="0.2">
      <c r="A2319" s="39"/>
      <c r="B2319" s="36"/>
      <c r="C2319" s="37"/>
      <c r="D2319" s="37"/>
      <c r="E2319" s="37"/>
      <c r="F2319" s="37"/>
      <c r="G2319" s="37"/>
      <c r="H2319" s="37"/>
      <c r="I2319" s="35"/>
      <c r="J2319" s="37"/>
    </row>
    <row r="2320" spans="1:10" ht="15.95" customHeight="1" x14ac:dyDescent="0.2">
      <c r="A2320" s="39"/>
      <c r="B2320" s="36"/>
      <c r="C2320" s="37"/>
      <c r="D2320" s="37"/>
      <c r="E2320" s="37"/>
      <c r="F2320" s="37"/>
      <c r="G2320" s="37"/>
      <c r="H2320" s="37"/>
      <c r="I2320" s="35"/>
      <c r="J2320" s="37"/>
    </row>
    <row r="2321" spans="1:10" ht="15.95" customHeight="1" x14ac:dyDescent="0.2">
      <c r="A2321" s="39"/>
      <c r="B2321" s="36"/>
      <c r="C2321" s="37"/>
      <c r="D2321" s="37"/>
      <c r="E2321" s="37"/>
      <c r="F2321" s="37"/>
      <c r="G2321" s="37"/>
      <c r="H2321" s="37"/>
      <c r="I2321" s="35"/>
      <c r="J2321" s="37"/>
    </row>
    <row r="2322" spans="1:10" ht="15.95" customHeight="1" x14ac:dyDescent="0.2">
      <c r="A2322" s="39"/>
      <c r="B2322" s="36"/>
      <c r="C2322" s="37"/>
      <c r="D2322" s="37"/>
      <c r="E2322" s="37"/>
      <c r="F2322" s="37"/>
      <c r="G2322" s="37"/>
      <c r="H2322" s="37"/>
      <c r="I2322" s="35"/>
      <c r="J2322" s="37"/>
    </row>
    <row r="2323" spans="1:10" ht="15.95" customHeight="1" x14ac:dyDescent="0.2">
      <c r="A2323" s="39"/>
      <c r="B2323" s="36"/>
      <c r="C2323" s="37"/>
      <c r="D2323" s="37"/>
      <c r="E2323" s="37"/>
      <c r="F2323" s="37"/>
      <c r="G2323" s="37"/>
      <c r="H2323" s="37"/>
      <c r="I2323" s="35"/>
      <c r="J2323" s="37"/>
    </row>
    <row r="2324" spans="1:10" ht="15.95" customHeight="1" x14ac:dyDescent="0.2">
      <c r="A2324" s="39"/>
      <c r="B2324" s="36"/>
      <c r="C2324" s="37"/>
      <c r="D2324" s="37"/>
      <c r="E2324" s="37"/>
      <c r="F2324" s="37"/>
      <c r="G2324" s="37"/>
      <c r="H2324" s="37"/>
      <c r="I2324" s="35"/>
      <c r="J2324" s="37"/>
    </row>
    <row r="2325" spans="1:10" ht="15.95" customHeight="1" x14ac:dyDescent="0.2">
      <c r="A2325" s="39"/>
      <c r="B2325" s="36"/>
      <c r="C2325" s="37"/>
      <c r="D2325" s="37"/>
      <c r="E2325" s="37"/>
      <c r="F2325" s="37"/>
      <c r="G2325" s="37"/>
      <c r="H2325" s="37"/>
      <c r="I2325" s="35"/>
      <c r="J2325" s="37"/>
    </row>
    <row r="2326" spans="1:10" ht="15.95" customHeight="1" x14ac:dyDescent="0.2">
      <c r="A2326" s="39"/>
      <c r="B2326" s="36"/>
      <c r="C2326" s="37"/>
      <c r="D2326" s="37"/>
      <c r="E2326" s="37"/>
      <c r="F2326" s="37"/>
      <c r="G2326" s="37"/>
      <c r="H2326" s="37"/>
      <c r="I2326" s="35"/>
      <c r="J2326" s="37"/>
    </row>
    <row r="2327" spans="1:10" ht="15.95" customHeight="1" x14ac:dyDescent="0.2">
      <c r="A2327" s="39"/>
      <c r="B2327" s="36"/>
      <c r="C2327" s="37"/>
      <c r="D2327" s="37"/>
      <c r="E2327" s="37"/>
      <c r="F2327" s="37"/>
      <c r="G2327" s="37"/>
      <c r="H2327" s="37"/>
      <c r="I2327" s="35"/>
      <c r="J2327" s="37"/>
    </row>
    <row r="2328" spans="1:10" ht="15.95" customHeight="1" x14ac:dyDescent="0.2">
      <c r="A2328" s="39"/>
      <c r="B2328" s="36"/>
      <c r="C2328" s="37"/>
      <c r="D2328" s="37"/>
      <c r="E2328" s="37"/>
      <c r="F2328" s="37"/>
      <c r="G2328" s="37"/>
      <c r="H2328" s="37"/>
      <c r="I2328" s="35"/>
      <c r="J2328" s="37"/>
    </row>
    <row r="2329" spans="1:10" ht="15.95" customHeight="1" x14ac:dyDescent="0.2">
      <c r="A2329" s="39"/>
      <c r="B2329" s="36"/>
      <c r="C2329" s="37"/>
      <c r="D2329" s="37"/>
      <c r="E2329" s="37"/>
      <c r="F2329" s="37"/>
      <c r="G2329" s="37"/>
      <c r="H2329" s="37"/>
      <c r="I2329" s="35"/>
      <c r="J2329" s="37"/>
    </row>
    <row r="2330" spans="1:10" ht="15.95" customHeight="1" x14ac:dyDescent="0.2">
      <c r="A2330" s="39"/>
      <c r="B2330" s="36"/>
      <c r="C2330" s="37"/>
      <c r="D2330" s="37"/>
      <c r="E2330" s="37"/>
      <c r="F2330" s="37"/>
      <c r="G2330" s="37"/>
      <c r="H2330" s="37"/>
      <c r="I2330" s="35"/>
      <c r="J2330" s="37"/>
    </row>
    <row r="2331" spans="1:10" ht="15.95" customHeight="1" x14ac:dyDescent="0.2">
      <c r="A2331" s="39"/>
      <c r="B2331" s="36"/>
      <c r="C2331" s="37"/>
      <c r="D2331" s="37"/>
      <c r="E2331" s="37"/>
      <c r="F2331" s="37"/>
      <c r="G2331" s="37"/>
      <c r="H2331" s="37"/>
      <c r="I2331" s="35"/>
      <c r="J2331" s="37"/>
    </row>
    <row r="2332" spans="1:10" ht="15.95" customHeight="1" x14ac:dyDescent="0.2">
      <c r="A2332" s="39"/>
      <c r="B2332" s="36"/>
      <c r="C2332" s="37"/>
      <c r="D2332" s="37"/>
      <c r="E2332" s="37"/>
      <c r="F2332" s="37"/>
      <c r="G2332" s="37"/>
      <c r="H2332" s="37"/>
      <c r="I2332" s="35"/>
      <c r="J2332" s="37"/>
    </row>
    <row r="2333" spans="1:10" ht="15.95" customHeight="1" x14ac:dyDescent="0.2">
      <c r="A2333" s="39"/>
      <c r="B2333" s="36"/>
      <c r="C2333" s="37"/>
      <c r="D2333" s="37"/>
      <c r="E2333" s="37"/>
      <c r="F2333" s="37"/>
      <c r="G2333" s="37"/>
      <c r="H2333" s="37"/>
      <c r="I2333" s="35"/>
      <c r="J2333" s="37"/>
    </row>
    <row r="2334" spans="1:10" ht="15.95" customHeight="1" x14ac:dyDescent="0.2">
      <c r="A2334" s="39"/>
      <c r="B2334" s="36"/>
      <c r="C2334" s="37"/>
      <c r="D2334" s="37"/>
      <c r="E2334" s="37"/>
      <c r="F2334" s="37"/>
      <c r="G2334" s="37"/>
      <c r="H2334" s="37"/>
      <c r="I2334" s="35"/>
      <c r="J2334" s="37"/>
    </row>
    <row r="2335" spans="1:10" ht="15.95" customHeight="1" x14ac:dyDescent="0.2">
      <c r="A2335" s="39"/>
      <c r="B2335" s="36"/>
      <c r="C2335" s="37"/>
      <c r="D2335" s="37"/>
      <c r="E2335" s="37"/>
      <c r="F2335" s="37"/>
      <c r="G2335" s="37"/>
      <c r="H2335" s="37"/>
      <c r="I2335" s="35"/>
      <c r="J2335" s="37"/>
    </row>
    <row r="2336" spans="1:10" ht="15.95" customHeight="1" x14ac:dyDescent="0.2">
      <c r="A2336" s="39"/>
      <c r="B2336" s="36"/>
      <c r="C2336" s="37"/>
      <c r="D2336" s="37"/>
      <c r="E2336" s="37"/>
      <c r="F2336" s="37"/>
      <c r="G2336" s="37"/>
      <c r="H2336" s="37"/>
      <c r="I2336" s="35"/>
      <c r="J2336" s="37"/>
    </row>
    <row r="2337" spans="1:10" ht="15.95" customHeight="1" x14ac:dyDescent="0.2">
      <c r="A2337" s="39"/>
      <c r="B2337" s="36"/>
      <c r="C2337" s="37"/>
      <c r="D2337" s="37"/>
      <c r="E2337" s="37"/>
      <c r="F2337" s="37"/>
      <c r="G2337" s="37"/>
      <c r="H2337" s="37"/>
      <c r="I2337" s="35"/>
      <c r="J2337" s="37"/>
    </row>
    <row r="2338" spans="1:10" ht="15.95" customHeight="1" x14ac:dyDescent="0.2">
      <c r="A2338" s="39"/>
      <c r="B2338" s="36"/>
      <c r="C2338" s="37"/>
      <c r="D2338" s="37"/>
      <c r="E2338" s="37"/>
      <c r="F2338" s="37"/>
      <c r="G2338" s="37"/>
      <c r="H2338" s="37"/>
      <c r="I2338" s="35"/>
      <c r="J2338" s="37"/>
    </row>
    <row r="2339" spans="1:10" ht="15.95" customHeight="1" x14ac:dyDescent="0.2">
      <c r="A2339" s="39"/>
      <c r="B2339" s="36"/>
      <c r="C2339" s="37"/>
      <c r="D2339" s="37"/>
      <c r="E2339" s="37"/>
      <c r="F2339" s="37"/>
      <c r="G2339" s="37"/>
      <c r="H2339" s="37"/>
      <c r="I2339" s="35"/>
      <c r="J2339" s="37"/>
    </row>
    <row r="2340" spans="1:10" ht="15.95" customHeight="1" x14ac:dyDescent="0.2">
      <c r="A2340" s="39"/>
      <c r="B2340" s="36"/>
      <c r="C2340" s="37"/>
      <c r="D2340" s="37"/>
      <c r="E2340" s="37"/>
      <c r="F2340" s="37"/>
      <c r="G2340" s="37"/>
      <c r="H2340" s="37"/>
      <c r="I2340" s="35"/>
      <c r="J2340" s="37"/>
    </row>
    <row r="2341" spans="1:10" ht="15.95" customHeight="1" x14ac:dyDescent="0.2">
      <c r="A2341" s="39"/>
      <c r="B2341" s="36"/>
      <c r="C2341" s="37"/>
      <c r="D2341" s="37"/>
      <c r="E2341" s="37"/>
      <c r="F2341" s="37"/>
      <c r="G2341" s="37"/>
      <c r="H2341" s="37"/>
      <c r="I2341" s="35"/>
      <c r="J2341" s="37"/>
    </row>
    <row r="2342" spans="1:10" ht="15.95" customHeight="1" x14ac:dyDescent="0.2">
      <c r="A2342" s="39"/>
      <c r="B2342" s="36"/>
      <c r="C2342" s="37"/>
      <c r="D2342" s="37"/>
      <c r="E2342" s="37"/>
      <c r="F2342" s="37"/>
      <c r="G2342" s="37"/>
      <c r="H2342" s="37"/>
      <c r="I2342" s="35"/>
      <c r="J2342" s="37"/>
    </row>
    <row r="2343" spans="1:10" ht="15.95" customHeight="1" x14ac:dyDescent="0.2">
      <c r="A2343" s="39"/>
      <c r="B2343" s="36"/>
      <c r="C2343" s="37"/>
      <c r="D2343" s="37"/>
      <c r="E2343" s="37"/>
      <c r="F2343" s="37"/>
      <c r="G2343" s="37"/>
      <c r="H2343" s="37"/>
      <c r="I2343" s="35"/>
      <c r="J2343" s="37"/>
    </row>
    <row r="2344" spans="1:10" ht="15.95" customHeight="1" x14ac:dyDescent="0.2">
      <c r="A2344" s="39"/>
      <c r="B2344" s="36"/>
      <c r="C2344" s="37"/>
      <c r="D2344" s="37"/>
      <c r="E2344" s="37"/>
      <c r="F2344" s="37"/>
      <c r="G2344" s="37"/>
      <c r="H2344" s="37"/>
      <c r="I2344" s="35"/>
      <c r="J2344" s="37"/>
    </row>
    <row r="2345" spans="1:10" ht="15.95" customHeight="1" x14ac:dyDescent="0.2">
      <c r="A2345" s="39"/>
      <c r="B2345" s="36"/>
      <c r="C2345" s="37"/>
      <c r="D2345" s="37"/>
      <c r="E2345" s="37"/>
      <c r="F2345" s="37"/>
      <c r="G2345" s="37"/>
      <c r="H2345" s="37"/>
      <c r="I2345" s="35"/>
      <c r="J2345" s="37"/>
    </row>
    <row r="2346" spans="1:10" ht="15.95" customHeight="1" x14ac:dyDescent="0.2">
      <c r="A2346" s="39"/>
      <c r="B2346" s="36"/>
      <c r="C2346" s="37"/>
      <c r="D2346" s="37"/>
      <c r="E2346" s="37"/>
      <c r="F2346" s="37"/>
      <c r="G2346" s="37"/>
      <c r="H2346" s="37"/>
      <c r="I2346" s="35"/>
      <c r="J2346" s="37"/>
    </row>
    <row r="2347" spans="1:10" ht="15.95" customHeight="1" x14ac:dyDescent="0.2">
      <c r="A2347" s="39"/>
      <c r="B2347" s="36"/>
      <c r="C2347" s="37"/>
      <c r="D2347" s="37"/>
      <c r="E2347" s="37"/>
      <c r="F2347" s="37"/>
      <c r="G2347" s="37"/>
      <c r="H2347" s="37"/>
      <c r="I2347" s="35"/>
      <c r="J2347" s="37"/>
    </row>
    <row r="2348" spans="1:10" ht="15.95" customHeight="1" x14ac:dyDescent="0.2">
      <c r="A2348" s="39"/>
      <c r="B2348" s="36"/>
      <c r="C2348" s="37"/>
      <c r="D2348" s="37"/>
      <c r="E2348" s="37"/>
      <c r="F2348" s="37"/>
      <c r="G2348" s="37"/>
      <c r="H2348" s="37"/>
      <c r="I2348" s="35"/>
      <c r="J2348" s="37"/>
    </row>
    <row r="2349" spans="1:10" ht="15.95" customHeight="1" x14ac:dyDescent="0.2">
      <c r="A2349" s="39"/>
      <c r="B2349" s="36"/>
      <c r="C2349" s="37"/>
      <c r="D2349" s="37"/>
      <c r="E2349" s="37"/>
      <c r="F2349" s="37"/>
      <c r="G2349" s="37"/>
      <c r="H2349" s="37"/>
      <c r="I2349" s="35"/>
      <c r="J2349" s="37"/>
    </row>
    <row r="2350" spans="1:10" ht="15.95" customHeight="1" x14ac:dyDescent="0.2">
      <c r="A2350" s="39"/>
      <c r="B2350" s="36"/>
      <c r="C2350" s="37"/>
      <c r="D2350" s="37"/>
      <c r="E2350" s="37"/>
      <c r="F2350" s="37"/>
      <c r="G2350" s="37"/>
      <c r="H2350" s="37"/>
      <c r="I2350" s="35"/>
      <c r="J2350" s="37"/>
    </row>
    <row r="2351" spans="1:10" ht="15.95" customHeight="1" x14ac:dyDescent="0.2">
      <c r="A2351" s="39"/>
      <c r="B2351" s="36"/>
      <c r="C2351" s="37"/>
      <c r="D2351" s="37"/>
      <c r="E2351" s="37"/>
      <c r="F2351" s="37"/>
      <c r="G2351" s="37"/>
      <c r="H2351" s="37"/>
      <c r="I2351" s="35"/>
      <c r="J2351" s="37"/>
    </row>
    <row r="2352" spans="1:10" ht="15.95" customHeight="1" x14ac:dyDescent="0.2">
      <c r="A2352" s="39"/>
      <c r="B2352" s="36"/>
      <c r="C2352" s="37"/>
      <c r="D2352" s="37"/>
      <c r="E2352" s="37"/>
      <c r="F2352" s="37"/>
      <c r="G2352" s="37"/>
      <c r="H2352" s="37"/>
      <c r="I2352" s="35"/>
      <c r="J2352" s="37"/>
    </row>
    <row r="2353" spans="1:10" ht="15.95" customHeight="1" x14ac:dyDescent="0.2">
      <c r="A2353" s="39"/>
      <c r="B2353" s="36"/>
      <c r="C2353" s="37"/>
      <c r="D2353" s="37"/>
      <c r="E2353" s="37"/>
      <c r="F2353" s="37"/>
      <c r="G2353" s="37"/>
      <c r="H2353" s="37"/>
      <c r="I2353" s="35"/>
      <c r="J2353" s="37"/>
    </row>
    <row r="2354" spans="1:10" ht="15.95" customHeight="1" x14ac:dyDescent="0.2">
      <c r="A2354" s="39"/>
      <c r="B2354" s="36"/>
      <c r="C2354" s="37"/>
      <c r="D2354" s="37"/>
      <c r="E2354" s="37"/>
      <c r="F2354" s="37"/>
      <c r="G2354" s="37"/>
      <c r="H2354" s="37"/>
      <c r="I2354" s="35"/>
      <c r="J2354" s="37"/>
    </row>
    <row r="2355" spans="1:10" ht="15.95" customHeight="1" x14ac:dyDescent="0.2">
      <c r="A2355" s="39"/>
      <c r="B2355" s="36"/>
      <c r="C2355" s="37"/>
      <c r="D2355" s="37"/>
      <c r="E2355" s="37"/>
      <c r="F2355" s="37"/>
      <c r="G2355" s="37"/>
      <c r="H2355" s="37"/>
      <c r="I2355" s="35"/>
      <c r="J2355" s="37"/>
    </row>
    <row r="2356" spans="1:10" ht="15.95" customHeight="1" x14ac:dyDescent="0.2">
      <c r="A2356" s="39"/>
      <c r="B2356" s="36"/>
      <c r="C2356" s="37"/>
      <c r="D2356" s="37"/>
      <c r="E2356" s="37"/>
      <c r="F2356" s="37"/>
      <c r="G2356" s="37"/>
      <c r="H2356" s="37"/>
      <c r="I2356" s="35"/>
      <c r="J2356" s="37"/>
    </row>
    <row r="2357" spans="1:10" ht="15.95" customHeight="1" x14ac:dyDescent="0.2">
      <c r="A2357" s="39"/>
      <c r="B2357" s="36"/>
      <c r="C2357" s="37"/>
      <c r="D2357" s="37"/>
      <c r="E2357" s="37"/>
      <c r="F2357" s="37"/>
      <c r="G2357" s="37"/>
      <c r="H2357" s="37"/>
      <c r="I2357" s="35"/>
      <c r="J2357" s="37"/>
    </row>
    <row r="2358" spans="1:10" ht="15.95" customHeight="1" x14ac:dyDescent="0.2">
      <c r="A2358" s="39"/>
      <c r="B2358" s="36"/>
      <c r="C2358" s="37"/>
      <c r="D2358" s="37"/>
      <c r="E2358" s="37"/>
      <c r="F2358" s="37"/>
      <c r="G2358" s="37"/>
      <c r="H2358" s="37"/>
      <c r="I2358" s="35"/>
      <c r="J2358" s="37"/>
    </row>
    <row r="2359" spans="1:10" ht="15.95" customHeight="1" x14ac:dyDescent="0.2">
      <c r="A2359" s="39"/>
      <c r="B2359" s="36"/>
      <c r="C2359" s="37"/>
      <c r="D2359" s="37"/>
      <c r="E2359" s="37"/>
      <c r="F2359" s="37"/>
      <c r="G2359" s="37"/>
      <c r="H2359" s="37"/>
      <c r="I2359" s="35"/>
      <c r="J2359" s="37"/>
    </row>
    <row r="2360" spans="1:10" ht="15.95" customHeight="1" x14ac:dyDescent="0.2">
      <c r="A2360" s="39"/>
      <c r="B2360" s="36"/>
      <c r="C2360" s="37"/>
      <c r="D2360" s="37"/>
      <c r="E2360" s="37"/>
      <c r="F2360" s="37"/>
      <c r="G2360" s="37"/>
      <c r="H2360" s="37"/>
      <c r="I2360" s="35"/>
      <c r="J2360" s="37"/>
    </row>
    <row r="2361" spans="1:10" ht="15.95" customHeight="1" x14ac:dyDescent="0.2">
      <c r="A2361" s="39"/>
      <c r="B2361" s="36"/>
      <c r="C2361" s="37"/>
      <c r="D2361" s="37"/>
      <c r="E2361" s="37"/>
      <c r="F2361" s="37"/>
      <c r="G2361" s="37"/>
      <c r="H2361" s="37"/>
      <c r="I2361" s="35"/>
      <c r="J2361" s="37"/>
    </row>
    <row r="2362" spans="1:10" ht="15.95" customHeight="1" x14ac:dyDescent="0.2">
      <c r="A2362" s="39"/>
      <c r="B2362" s="36"/>
      <c r="C2362" s="37"/>
      <c r="D2362" s="37"/>
      <c r="E2362" s="37"/>
      <c r="F2362" s="37"/>
      <c r="G2362" s="37"/>
      <c r="H2362" s="37"/>
      <c r="I2362" s="35"/>
      <c r="J2362" s="37"/>
    </row>
    <row r="2363" spans="1:10" ht="15.95" customHeight="1" x14ac:dyDescent="0.2">
      <c r="A2363" s="39"/>
      <c r="B2363" s="36"/>
      <c r="C2363" s="37"/>
      <c r="D2363" s="37"/>
      <c r="E2363" s="37"/>
      <c r="F2363" s="37"/>
      <c r="G2363" s="37"/>
      <c r="H2363" s="37"/>
      <c r="I2363" s="35"/>
      <c r="J2363" s="37"/>
    </row>
    <row r="2364" spans="1:10" ht="15.95" customHeight="1" x14ac:dyDescent="0.2">
      <c r="A2364" s="39"/>
      <c r="B2364" s="36"/>
      <c r="C2364" s="37"/>
      <c r="D2364" s="37"/>
      <c r="E2364" s="37"/>
      <c r="F2364" s="37"/>
      <c r="G2364" s="37"/>
      <c r="H2364" s="37"/>
      <c r="I2364" s="35"/>
      <c r="J2364" s="37"/>
    </row>
    <row r="2365" spans="1:10" ht="15.95" customHeight="1" x14ac:dyDescent="0.2">
      <c r="A2365" s="39"/>
      <c r="B2365" s="36"/>
      <c r="C2365" s="37"/>
      <c r="D2365" s="37"/>
      <c r="E2365" s="37"/>
      <c r="F2365" s="37"/>
      <c r="G2365" s="37"/>
      <c r="H2365" s="37"/>
      <c r="I2365" s="35"/>
      <c r="J2365" s="37"/>
    </row>
    <row r="2366" spans="1:10" ht="15.95" customHeight="1" x14ac:dyDescent="0.2">
      <c r="A2366" s="39"/>
      <c r="B2366" s="36"/>
      <c r="C2366" s="37"/>
      <c r="D2366" s="37"/>
      <c r="E2366" s="37"/>
      <c r="F2366" s="37"/>
      <c r="G2366" s="37"/>
      <c r="H2366" s="37"/>
      <c r="I2366" s="35"/>
      <c r="J2366" s="37"/>
    </row>
    <row r="2367" spans="1:10" ht="15.95" customHeight="1" x14ac:dyDescent="0.2">
      <c r="A2367" s="39"/>
      <c r="B2367" s="36"/>
      <c r="C2367" s="37"/>
      <c r="D2367" s="37"/>
      <c r="E2367" s="37"/>
      <c r="F2367" s="37"/>
      <c r="G2367" s="37"/>
      <c r="H2367" s="37"/>
      <c r="I2367" s="35"/>
      <c r="J2367" s="37"/>
    </row>
    <row r="2368" spans="1:10" ht="15.95" customHeight="1" x14ac:dyDescent="0.2">
      <c r="A2368" s="39"/>
      <c r="B2368" s="36"/>
      <c r="C2368" s="37"/>
      <c r="D2368" s="37"/>
      <c r="E2368" s="37"/>
      <c r="F2368" s="37"/>
      <c r="G2368" s="37"/>
      <c r="H2368" s="37"/>
      <c r="I2368" s="35"/>
      <c r="J2368" s="37"/>
    </row>
    <row r="2369" spans="1:10" ht="15.95" customHeight="1" x14ac:dyDescent="0.2">
      <c r="A2369" s="39"/>
      <c r="B2369" s="36"/>
      <c r="C2369" s="37"/>
      <c r="D2369" s="37"/>
      <c r="E2369" s="37"/>
      <c r="F2369" s="37"/>
      <c r="G2369" s="37"/>
      <c r="H2369" s="37"/>
      <c r="I2369" s="35"/>
      <c r="J2369" s="37"/>
    </row>
    <row r="2370" spans="1:10" ht="15.95" customHeight="1" x14ac:dyDescent="0.2">
      <c r="A2370" s="39"/>
      <c r="B2370" s="36"/>
      <c r="C2370" s="37"/>
      <c r="D2370" s="37"/>
      <c r="E2370" s="37"/>
      <c r="F2370" s="37"/>
      <c r="G2370" s="37"/>
      <c r="H2370" s="37"/>
      <c r="I2370" s="35"/>
      <c r="J2370" s="37"/>
    </row>
    <row r="2371" spans="1:10" ht="15.95" customHeight="1" x14ac:dyDescent="0.2">
      <c r="A2371" s="39"/>
      <c r="B2371" s="36"/>
      <c r="C2371" s="37"/>
      <c r="D2371" s="37"/>
      <c r="E2371" s="37"/>
      <c r="F2371" s="37"/>
      <c r="G2371" s="37"/>
      <c r="H2371" s="37"/>
      <c r="I2371" s="35"/>
      <c r="J2371" s="37"/>
    </row>
    <row r="2372" spans="1:10" ht="15.95" customHeight="1" x14ac:dyDescent="0.2">
      <c r="A2372" s="39"/>
      <c r="B2372" s="36"/>
      <c r="C2372" s="37"/>
      <c r="D2372" s="37"/>
      <c r="E2372" s="37"/>
      <c r="F2372" s="37"/>
      <c r="G2372" s="37"/>
      <c r="H2372" s="37"/>
      <c r="I2372" s="35"/>
      <c r="J2372" s="37"/>
    </row>
    <row r="2373" spans="1:10" ht="15.95" customHeight="1" x14ac:dyDescent="0.2">
      <c r="A2373" s="39"/>
      <c r="B2373" s="36"/>
      <c r="C2373" s="37"/>
      <c r="D2373" s="37"/>
      <c r="E2373" s="37"/>
      <c r="F2373" s="37"/>
      <c r="G2373" s="37"/>
      <c r="H2373" s="37"/>
      <c r="I2373" s="35"/>
      <c r="J2373" s="37"/>
    </row>
    <row r="2374" spans="1:10" ht="15.95" customHeight="1" x14ac:dyDescent="0.2">
      <c r="A2374" s="39"/>
      <c r="B2374" s="36"/>
      <c r="C2374" s="37"/>
      <c r="D2374" s="37"/>
      <c r="E2374" s="37"/>
      <c r="F2374" s="37"/>
      <c r="G2374" s="37"/>
      <c r="H2374" s="37"/>
      <c r="I2374" s="35"/>
      <c r="J2374" s="37"/>
    </row>
    <row r="2375" spans="1:10" ht="15.95" customHeight="1" x14ac:dyDescent="0.2">
      <c r="A2375" s="39"/>
      <c r="B2375" s="36"/>
      <c r="C2375" s="37"/>
      <c r="D2375" s="37"/>
      <c r="E2375" s="37"/>
      <c r="F2375" s="37"/>
      <c r="G2375" s="37"/>
      <c r="H2375" s="37"/>
      <c r="I2375" s="35"/>
      <c r="J2375" s="37"/>
    </row>
    <row r="2376" spans="1:10" ht="15.95" customHeight="1" x14ac:dyDescent="0.2">
      <c r="A2376" s="39"/>
      <c r="B2376" s="36"/>
      <c r="C2376" s="37"/>
      <c r="D2376" s="37"/>
      <c r="E2376" s="37"/>
      <c r="F2376" s="37"/>
      <c r="G2376" s="37"/>
      <c r="H2376" s="37"/>
      <c r="I2376" s="35"/>
      <c r="J2376" s="37"/>
    </row>
    <row r="2377" spans="1:10" ht="15.95" customHeight="1" x14ac:dyDescent="0.2">
      <c r="A2377" s="39"/>
      <c r="B2377" s="36"/>
      <c r="C2377" s="37"/>
      <c r="D2377" s="37"/>
      <c r="E2377" s="37"/>
      <c r="F2377" s="37"/>
      <c r="G2377" s="37"/>
      <c r="H2377" s="37"/>
      <c r="I2377" s="35"/>
      <c r="J2377" s="37"/>
    </row>
    <row r="2378" spans="1:10" ht="15.95" customHeight="1" x14ac:dyDescent="0.2">
      <c r="A2378" s="39"/>
      <c r="B2378" s="36"/>
      <c r="C2378" s="37"/>
      <c r="D2378" s="37"/>
      <c r="E2378" s="37"/>
      <c r="F2378" s="37"/>
      <c r="G2378" s="37"/>
      <c r="H2378" s="37"/>
      <c r="I2378" s="35"/>
      <c r="J2378" s="37"/>
    </row>
    <row r="2379" spans="1:10" ht="15.95" customHeight="1" x14ac:dyDescent="0.2">
      <c r="A2379" s="39"/>
      <c r="B2379" s="36"/>
      <c r="C2379" s="37"/>
      <c r="D2379" s="37"/>
      <c r="E2379" s="37"/>
      <c r="F2379" s="37"/>
      <c r="G2379" s="37"/>
      <c r="H2379" s="37"/>
      <c r="I2379" s="35"/>
      <c r="J2379" s="37"/>
    </row>
    <row r="2380" spans="1:10" ht="15.95" customHeight="1" x14ac:dyDescent="0.2">
      <c r="A2380" s="39"/>
      <c r="B2380" s="36"/>
      <c r="C2380" s="37"/>
      <c r="D2380" s="37"/>
      <c r="E2380" s="37"/>
      <c r="F2380" s="37"/>
      <c r="G2380" s="37"/>
      <c r="H2380" s="37"/>
      <c r="I2380" s="35"/>
      <c r="J2380" s="37"/>
    </row>
    <row r="2381" spans="1:10" ht="15.95" customHeight="1" x14ac:dyDescent="0.2">
      <c r="A2381" s="39"/>
      <c r="B2381" s="36"/>
      <c r="C2381" s="37"/>
      <c r="D2381" s="37"/>
      <c r="E2381" s="37"/>
      <c r="F2381" s="37"/>
      <c r="G2381" s="37"/>
      <c r="H2381" s="37"/>
      <c r="I2381" s="35"/>
      <c r="J2381" s="37"/>
    </row>
    <row r="2382" spans="1:10" ht="15.95" customHeight="1" x14ac:dyDescent="0.2">
      <c r="A2382" s="39"/>
      <c r="B2382" s="36"/>
      <c r="C2382" s="37"/>
      <c r="D2382" s="37"/>
      <c r="E2382" s="37"/>
      <c r="F2382" s="37"/>
      <c r="G2382" s="37"/>
      <c r="H2382" s="37"/>
      <c r="I2382" s="35"/>
      <c r="J2382" s="37"/>
    </row>
    <row r="2383" spans="1:10" ht="15.95" customHeight="1" x14ac:dyDescent="0.2">
      <c r="A2383" s="39"/>
      <c r="B2383" s="36"/>
      <c r="C2383" s="37"/>
      <c r="D2383" s="37"/>
      <c r="E2383" s="37"/>
      <c r="F2383" s="37"/>
      <c r="G2383" s="37"/>
      <c r="H2383" s="37"/>
      <c r="I2383" s="35"/>
      <c r="J2383" s="37"/>
    </row>
    <row r="2384" spans="1:10" ht="15.95" customHeight="1" x14ac:dyDescent="0.2">
      <c r="A2384" s="39"/>
      <c r="B2384" s="36"/>
      <c r="C2384" s="37"/>
      <c r="D2384" s="37"/>
      <c r="E2384" s="37"/>
      <c r="F2384" s="37"/>
      <c r="G2384" s="37"/>
      <c r="H2384" s="37"/>
      <c r="I2384" s="35"/>
      <c r="J2384" s="37"/>
    </row>
    <row r="2385" spans="1:10" ht="15.95" customHeight="1" x14ac:dyDescent="0.2">
      <c r="A2385" s="39"/>
      <c r="B2385" s="36"/>
      <c r="C2385" s="37"/>
      <c r="D2385" s="37"/>
      <c r="E2385" s="37"/>
      <c r="F2385" s="37"/>
      <c r="G2385" s="37"/>
      <c r="H2385" s="37"/>
      <c r="I2385" s="35"/>
      <c r="J2385" s="37"/>
    </row>
    <row r="2386" spans="1:10" ht="15.95" customHeight="1" x14ac:dyDescent="0.2">
      <c r="A2386" s="39"/>
      <c r="B2386" s="36"/>
      <c r="C2386" s="37"/>
      <c r="D2386" s="37"/>
      <c r="E2386" s="37"/>
      <c r="F2386" s="37"/>
      <c r="G2386" s="37"/>
      <c r="H2386" s="37"/>
      <c r="I2386" s="35"/>
      <c r="J2386" s="37"/>
    </row>
    <row r="2387" spans="1:10" ht="15.95" customHeight="1" x14ac:dyDescent="0.2">
      <c r="A2387" s="39"/>
      <c r="B2387" s="36"/>
      <c r="C2387" s="37"/>
      <c r="D2387" s="37"/>
      <c r="E2387" s="37"/>
      <c r="F2387" s="37"/>
      <c r="G2387" s="37"/>
      <c r="H2387" s="37"/>
      <c r="I2387" s="35"/>
      <c r="J2387" s="37"/>
    </row>
    <row r="2388" spans="1:10" ht="15.95" customHeight="1" x14ac:dyDescent="0.2">
      <c r="A2388" s="39"/>
      <c r="B2388" s="36"/>
      <c r="C2388" s="37"/>
      <c r="D2388" s="37"/>
      <c r="E2388" s="37"/>
      <c r="F2388" s="37"/>
      <c r="G2388" s="37"/>
      <c r="H2388" s="37"/>
      <c r="I2388" s="35"/>
      <c r="J2388" s="37"/>
    </row>
    <row r="2389" spans="1:10" ht="15.95" customHeight="1" x14ac:dyDescent="0.2">
      <c r="A2389" s="39"/>
      <c r="B2389" s="36"/>
      <c r="C2389" s="37"/>
      <c r="D2389" s="37"/>
      <c r="E2389" s="37"/>
      <c r="F2389" s="37"/>
      <c r="G2389" s="37"/>
      <c r="H2389" s="37"/>
      <c r="I2389" s="35"/>
      <c r="J2389" s="37"/>
    </row>
    <row r="2390" spans="1:10" ht="15.95" customHeight="1" x14ac:dyDescent="0.2">
      <c r="A2390" s="39"/>
      <c r="B2390" s="36"/>
      <c r="C2390" s="37"/>
      <c r="D2390" s="37"/>
      <c r="E2390" s="37"/>
      <c r="F2390" s="37"/>
      <c r="G2390" s="37"/>
      <c r="H2390" s="37"/>
      <c r="I2390" s="35"/>
      <c r="J2390" s="37"/>
    </row>
    <row r="2391" spans="1:10" ht="15.95" customHeight="1" x14ac:dyDescent="0.2">
      <c r="A2391" s="39"/>
      <c r="B2391" s="36"/>
      <c r="C2391" s="37"/>
      <c r="D2391" s="37"/>
      <c r="E2391" s="37"/>
      <c r="F2391" s="37"/>
      <c r="G2391" s="37"/>
      <c r="H2391" s="37"/>
      <c r="I2391" s="35"/>
      <c r="J2391" s="37"/>
    </row>
    <row r="2392" spans="1:10" ht="15.95" customHeight="1" x14ac:dyDescent="0.2">
      <c r="A2392" s="39"/>
      <c r="B2392" s="36"/>
      <c r="C2392" s="37"/>
      <c r="D2392" s="37"/>
      <c r="E2392" s="37"/>
      <c r="F2392" s="37"/>
      <c r="G2392" s="37"/>
      <c r="H2392" s="37"/>
      <c r="I2392" s="35"/>
      <c r="J2392" s="37"/>
    </row>
    <row r="2393" spans="1:10" ht="15.95" customHeight="1" x14ac:dyDescent="0.2">
      <c r="A2393" s="39"/>
      <c r="B2393" s="36"/>
      <c r="C2393" s="37"/>
      <c r="D2393" s="37"/>
      <c r="E2393" s="37"/>
      <c r="F2393" s="37"/>
      <c r="G2393" s="37"/>
      <c r="H2393" s="37"/>
      <c r="I2393" s="35"/>
      <c r="J2393" s="37"/>
    </row>
    <row r="2394" spans="1:10" ht="15.95" customHeight="1" x14ac:dyDescent="0.2">
      <c r="A2394" s="39"/>
      <c r="B2394" s="36"/>
      <c r="C2394" s="37"/>
      <c r="D2394" s="37"/>
      <c r="E2394" s="37"/>
      <c r="F2394" s="37"/>
      <c r="G2394" s="37"/>
      <c r="H2394" s="37"/>
      <c r="I2394" s="35"/>
      <c r="J2394" s="37"/>
    </row>
    <row r="2395" spans="1:10" ht="15.95" customHeight="1" x14ac:dyDescent="0.2">
      <c r="A2395" s="39"/>
      <c r="B2395" s="36"/>
      <c r="C2395" s="37"/>
      <c r="D2395" s="37"/>
      <c r="E2395" s="37"/>
      <c r="F2395" s="37"/>
      <c r="G2395" s="37"/>
      <c r="H2395" s="37"/>
      <c r="I2395" s="35"/>
      <c r="J2395" s="37"/>
    </row>
    <row r="2396" spans="1:10" ht="15.95" customHeight="1" x14ac:dyDescent="0.2">
      <c r="A2396" s="39"/>
      <c r="B2396" s="36"/>
      <c r="C2396" s="37"/>
      <c r="D2396" s="37"/>
      <c r="E2396" s="37"/>
      <c r="F2396" s="37"/>
      <c r="G2396" s="37"/>
      <c r="H2396" s="37"/>
      <c r="I2396" s="35"/>
      <c r="J2396" s="37"/>
    </row>
    <row r="2397" spans="1:10" ht="15.95" customHeight="1" x14ac:dyDescent="0.2">
      <c r="A2397" s="39"/>
      <c r="B2397" s="36"/>
      <c r="C2397" s="37"/>
      <c r="D2397" s="37"/>
      <c r="E2397" s="37"/>
      <c r="F2397" s="37"/>
      <c r="G2397" s="37"/>
      <c r="H2397" s="37"/>
      <c r="I2397" s="35"/>
      <c r="J2397" s="37"/>
    </row>
    <row r="2398" spans="1:10" ht="15.95" customHeight="1" x14ac:dyDescent="0.2">
      <c r="A2398" s="39"/>
      <c r="B2398" s="36"/>
      <c r="C2398" s="37"/>
      <c r="D2398" s="37"/>
      <c r="E2398" s="37"/>
      <c r="F2398" s="37"/>
      <c r="G2398" s="37"/>
      <c r="H2398" s="37"/>
      <c r="I2398" s="35"/>
      <c r="J2398" s="37"/>
    </row>
    <row r="2399" spans="1:10" ht="15.95" customHeight="1" x14ac:dyDescent="0.2">
      <c r="A2399" s="39"/>
      <c r="B2399" s="36"/>
      <c r="C2399" s="37"/>
      <c r="D2399" s="37"/>
      <c r="E2399" s="37"/>
      <c r="F2399" s="37"/>
      <c r="G2399" s="37"/>
      <c r="H2399" s="37"/>
      <c r="I2399" s="35"/>
      <c r="J2399" s="37"/>
    </row>
    <row r="2400" spans="1:10" ht="15.95" customHeight="1" x14ac:dyDescent="0.2">
      <c r="A2400" s="39"/>
      <c r="B2400" s="36"/>
      <c r="C2400" s="37"/>
      <c r="D2400" s="37"/>
      <c r="E2400" s="37"/>
      <c r="F2400" s="37"/>
      <c r="G2400" s="37"/>
      <c r="H2400" s="37"/>
      <c r="I2400" s="35"/>
      <c r="J2400" s="37"/>
    </row>
    <row r="2401" spans="1:10" ht="15.95" customHeight="1" x14ac:dyDescent="0.2">
      <c r="A2401" s="39"/>
      <c r="B2401" s="36"/>
      <c r="C2401" s="37"/>
      <c r="D2401" s="37"/>
      <c r="E2401" s="37"/>
      <c r="F2401" s="37"/>
      <c r="G2401" s="37"/>
      <c r="H2401" s="37"/>
      <c r="I2401" s="35"/>
      <c r="J2401" s="37"/>
    </row>
    <row r="2402" spans="1:10" ht="15.95" customHeight="1" x14ac:dyDescent="0.2">
      <c r="A2402" s="39"/>
      <c r="B2402" s="36"/>
      <c r="C2402" s="37"/>
      <c r="D2402" s="37"/>
      <c r="E2402" s="37"/>
      <c r="F2402" s="37"/>
      <c r="G2402" s="37"/>
      <c r="H2402" s="37"/>
      <c r="I2402" s="35"/>
      <c r="J2402" s="37"/>
    </row>
    <row r="2403" spans="1:10" ht="15.95" customHeight="1" x14ac:dyDescent="0.2">
      <c r="A2403" s="39"/>
      <c r="B2403" s="36"/>
      <c r="C2403" s="37"/>
      <c r="D2403" s="37"/>
      <c r="E2403" s="37"/>
      <c r="F2403" s="37"/>
      <c r="G2403" s="37"/>
      <c r="H2403" s="37"/>
      <c r="I2403" s="35"/>
      <c r="J2403" s="37"/>
    </row>
    <row r="2404" spans="1:10" ht="15.95" customHeight="1" x14ac:dyDescent="0.2">
      <c r="A2404" s="39"/>
      <c r="B2404" s="36"/>
      <c r="C2404" s="37"/>
      <c r="D2404" s="37"/>
      <c r="E2404" s="37"/>
      <c r="F2404" s="37"/>
      <c r="G2404" s="37"/>
      <c r="H2404" s="37"/>
      <c r="I2404" s="35"/>
      <c r="J2404" s="37"/>
    </row>
    <row r="2405" spans="1:10" ht="15.95" customHeight="1" x14ac:dyDescent="0.2">
      <c r="A2405" s="39"/>
      <c r="B2405" s="36"/>
      <c r="C2405" s="37"/>
      <c r="D2405" s="37"/>
      <c r="E2405" s="37"/>
      <c r="F2405" s="37"/>
      <c r="G2405" s="37"/>
      <c r="H2405" s="37"/>
      <c r="I2405" s="35"/>
      <c r="J2405" s="37"/>
    </row>
    <row r="2406" spans="1:10" ht="15.95" customHeight="1" x14ac:dyDescent="0.2">
      <c r="A2406" s="39"/>
      <c r="B2406" s="36"/>
      <c r="C2406" s="37"/>
      <c r="D2406" s="37"/>
      <c r="E2406" s="37"/>
      <c r="F2406" s="37"/>
      <c r="G2406" s="37"/>
      <c r="H2406" s="37"/>
      <c r="I2406" s="35"/>
      <c r="J2406" s="37"/>
    </row>
    <row r="2407" spans="1:10" ht="15.95" customHeight="1" x14ac:dyDescent="0.2">
      <c r="A2407" s="39"/>
      <c r="B2407" s="36"/>
      <c r="C2407" s="37"/>
      <c r="D2407" s="37"/>
      <c r="E2407" s="37"/>
      <c r="F2407" s="37"/>
      <c r="G2407" s="37"/>
      <c r="H2407" s="37"/>
      <c r="I2407" s="35"/>
      <c r="J2407" s="37"/>
    </row>
    <row r="2408" spans="1:10" ht="15.95" customHeight="1" x14ac:dyDescent="0.2">
      <c r="A2408" s="39"/>
      <c r="B2408" s="36"/>
      <c r="C2408" s="37"/>
      <c r="D2408" s="37"/>
      <c r="E2408" s="37"/>
      <c r="F2408" s="37"/>
      <c r="G2408" s="37"/>
      <c r="H2408" s="37"/>
      <c r="I2408" s="35"/>
      <c r="J2408" s="37"/>
    </row>
    <row r="2409" spans="1:10" ht="15.95" customHeight="1" x14ac:dyDescent="0.2">
      <c r="A2409" s="39"/>
      <c r="B2409" s="36"/>
      <c r="C2409" s="37"/>
      <c r="D2409" s="37"/>
      <c r="E2409" s="37"/>
      <c r="F2409" s="37"/>
      <c r="G2409" s="37"/>
      <c r="H2409" s="37"/>
      <c r="I2409" s="35"/>
      <c r="J2409" s="37"/>
    </row>
    <row r="2410" spans="1:10" ht="15.95" customHeight="1" x14ac:dyDescent="0.2">
      <c r="A2410" s="39"/>
      <c r="B2410" s="36"/>
      <c r="C2410" s="37"/>
      <c r="D2410" s="37"/>
      <c r="E2410" s="37"/>
      <c r="F2410" s="37"/>
      <c r="G2410" s="37"/>
      <c r="H2410" s="37"/>
      <c r="I2410" s="35"/>
      <c r="J2410" s="37"/>
    </row>
    <row r="2411" spans="1:10" ht="15.95" customHeight="1" x14ac:dyDescent="0.2">
      <c r="A2411" s="39"/>
      <c r="B2411" s="36"/>
      <c r="C2411" s="37"/>
      <c r="D2411" s="37"/>
      <c r="E2411" s="37"/>
      <c r="F2411" s="37"/>
      <c r="G2411" s="37"/>
      <c r="H2411" s="37"/>
      <c r="I2411" s="35"/>
      <c r="J2411" s="37"/>
    </row>
    <row r="2412" spans="1:10" ht="15.95" customHeight="1" x14ac:dyDescent="0.2">
      <c r="A2412" s="39"/>
      <c r="B2412" s="36"/>
      <c r="C2412" s="37"/>
      <c r="D2412" s="37"/>
      <c r="E2412" s="37"/>
      <c r="F2412" s="37"/>
      <c r="G2412" s="37"/>
      <c r="H2412" s="37"/>
      <c r="I2412" s="35"/>
      <c r="J2412" s="37"/>
    </row>
    <row r="2413" spans="1:10" ht="15.95" customHeight="1" x14ac:dyDescent="0.2">
      <c r="A2413" s="39"/>
      <c r="B2413" s="36"/>
      <c r="C2413" s="37"/>
      <c r="D2413" s="37"/>
      <c r="E2413" s="37"/>
      <c r="F2413" s="37"/>
      <c r="G2413" s="37"/>
      <c r="H2413" s="37"/>
      <c r="I2413" s="35"/>
      <c r="J2413" s="37"/>
    </row>
    <row r="2414" spans="1:10" ht="15.95" customHeight="1" x14ac:dyDescent="0.2">
      <c r="A2414" s="39"/>
      <c r="B2414" s="36"/>
      <c r="C2414" s="37"/>
      <c r="D2414" s="37"/>
      <c r="E2414" s="37"/>
      <c r="F2414" s="37"/>
      <c r="G2414" s="37"/>
      <c r="H2414" s="37"/>
      <c r="I2414" s="35"/>
      <c r="J2414" s="37"/>
    </row>
    <row r="2415" spans="1:10" ht="15.95" customHeight="1" x14ac:dyDescent="0.2">
      <c r="A2415" s="39"/>
      <c r="B2415" s="36"/>
      <c r="C2415" s="37"/>
      <c r="D2415" s="37"/>
      <c r="E2415" s="37"/>
      <c r="F2415" s="37"/>
      <c r="G2415" s="37"/>
      <c r="H2415" s="37"/>
      <c r="I2415" s="35"/>
      <c r="J2415" s="37"/>
    </row>
    <row r="2416" spans="1:10" ht="15.95" customHeight="1" x14ac:dyDescent="0.2">
      <c r="A2416" s="39"/>
      <c r="B2416" s="36"/>
      <c r="C2416" s="37"/>
      <c r="D2416" s="37"/>
      <c r="E2416" s="37"/>
      <c r="F2416" s="37"/>
      <c r="G2416" s="37"/>
      <c r="H2416" s="37"/>
      <c r="I2416" s="35"/>
      <c r="J2416" s="37"/>
    </row>
    <row r="2417" spans="1:10" ht="15.95" customHeight="1" x14ac:dyDescent="0.2">
      <c r="A2417" s="39"/>
      <c r="B2417" s="36"/>
      <c r="C2417" s="37"/>
      <c r="D2417" s="37"/>
      <c r="E2417" s="37"/>
      <c r="F2417" s="37"/>
      <c r="G2417" s="37"/>
      <c r="H2417" s="37"/>
      <c r="I2417" s="35"/>
      <c r="J2417" s="37"/>
    </row>
    <row r="2418" spans="1:10" ht="15.95" customHeight="1" x14ac:dyDescent="0.2">
      <c r="A2418" s="39"/>
      <c r="B2418" s="36"/>
      <c r="C2418" s="37"/>
      <c r="D2418" s="37"/>
      <c r="E2418" s="37"/>
      <c r="F2418" s="37"/>
      <c r="G2418" s="37"/>
      <c r="H2418" s="37"/>
      <c r="I2418" s="35"/>
      <c r="J2418" s="37"/>
    </row>
    <row r="2419" spans="1:10" ht="15.95" customHeight="1" x14ac:dyDescent="0.2">
      <c r="A2419" s="39"/>
      <c r="B2419" s="36"/>
      <c r="C2419" s="37"/>
      <c r="D2419" s="37"/>
      <c r="E2419" s="37"/>
      <c r="F2419" s="37"/>
      <c r="G2419" s="37"/>
      <c r="H2419" s="37"/>
      <c r="I2419" s="35"/>
      <c r="J2419" s="37"/>
    </row>
    <row r="2420" spans="1:10" ht="15.95" customHeight="1" x14ac:dyDescent="0.2">
      <c r="A2420" s="39"/>
      <c r="B2420" s="36"/>
      <c r="C2420" s="37"/>
      <c r="D2420" s="37"/>
      <c r="E2420" s="37"/>
      <c r="F2420" s="37"/>
      <c r="G2420" s="37"/>
      <c r="H2420" s="37"/>
      <c r="I2420" s="35"/>
      <c r="J2420" s="37"/>
    </row>
    <row r="2421" spans="1:10" ht="15.95" customHeight="1" x14ac:dyDescent="0.2">
      <c r="A2421" s="39"/>
      <c r="B2421" s="36"/>
      <c r="C2421" s="37"/>
      <c r="D2421" s="37"/>
      <c r="E2421" s="37"/>
      <c r="F2421" s="37"/>
      <c r="G2421" s="37"/>
      <c r="H2421" s="37"/>
      <c r="I2421" s="35"/>
      <c r="J2421" s="37"/>
    </row>
    <row r="2422" spans="1:10" ht="15.95" customHeight="1" x14ac:dyDescent="0.2">
      <c r="A2422" s="39"/>
      <c r="B2422" s="36"/>
      <c r="C2422" s="37"/>
      <c r="D2422" s="37"/>
      <c r="E2422" s="37"/>
      <c r="F2422" s="37"/>
      <c r="G2422" s="37"/>
      <c r="H2422" s="37"/>
      <c r="I2422" s="35"/>
      <c r="J2422" s="37"/>
    </row>
    <row r="2423" spans="1:10" ht="15.95" customHeight="1" x14ac:dyDescent="0.2">
      <c r="A2423" s="39"/>
      <c r="B2423" s="36"/>
      <c r="C2423" s="37"/>
      <c r="D2423" s="37"/>
      <c r="E2423" s="37"/>
      <c r="F2423" s="37"/>
      <c r="G2423" s="37"/>
      <c r="H2423" s="37"/>
      <c r="I2423" s="35"/>
      <c r="J2423" s="37"/>
    </row>
    <row r="2424" spans="1:10" ht="15.95" customHeight="1" x14ac:dyDescent="0.2">
      <c r="A2424" s="39"/>
      <c r="B2424" s="36"/>
      <c r="C2424" s="37"/>
      <c r="D2424" s="37"/>
      <c r="E2424" s="37"/>
      <c r="F2424" s="37"/>
      <c r="G2424" s="37"/>
      <c r="H2424" s="37"/>
      <c r="I2424" s="35"/>
      <c r="J2424" s="37"/>
    </row>
    <row r="2425" spans="1:10" ht="15.95" customHeight="1" x14ac:dyDescent="0.2">
      <c r="A2425" s="39"/>
      <c r="B2425" s="36"/>
      <c r="C2425" s="37"/>
      <c r="D2425" s="37"/>
      <c r="E2425" s="37"/>
      <c r="F2425" s="37"/>
      <c r="G2425" s="37"/>
      <c r="H2425" s="37"/>
      <c r="I2425" s="35"/>
      <c r="J2425" s="37"/>
    </row>
    <row r="2426" spans="1:10" ht="15.95" customHeight="1" x14ac:dyDescent="0.2">
      <c r="A2426" s="39"/>
      <c r="B2426" s="36"/>
      <c r="C2426" s="37"/>
      <c r="D2426" s="37"/>
      <c r="E2426" s="37"/>
      <c r="F2426" s="37"/>
      <c r="G2426" s="37"/>
      <c r="H2426" s="37"/>
      <c r="I2426" s="35"/>
      <c r="J2426" s="37"/>
    </row>
    <row r="2427" spans="1:10" ht="15.95" customHeight="1" x14ac:dyDescent="0.2">
      <c r="A2427" s="39"/>
      <c r="B2427" s="36"/>
      <c r="C2427" s="37"/>
      <c r="D2427" s="37"/>
      <c r="E2427" s="37"/>
      <c r="F2427" s="37"/>
      <c r="G2427" s="37"/>
      <c r="H2427" s="37"/>
      <c r="I2427" s="35"/>
      <c r="J2427" s="37"/>
    </row>
    <row r="2428" spans="1:10" ht="15.95" customHeight="1" x14ac:dyDescent="0.2">
      <c r="A2428" s="39"/>
      <c r="B2428" s="36"/>
      <c r="C2428" s="37"/>
      <c r="D2428" s="37"/>
      <c r="E2428" s="37"/>
      <c r="F2428" s="37"/>
      <c r="G2428" s="37"/>
      <c r="H2428" s="37"/>
      <c r="I2428" s="35"/>
      <c r="J2428" s="37"/>
    </row>
    <row r="2429" spans="1:10" ht="15.95" customHeight="1" x14ac:dyDescent="0.2">
      <c r="A2429" s="39"/>
      <c r="B2429" s="36"/>
      <c r="C2429" s="37"/>
      <c r="D2429" s="37"/>
      <c r="E2429" s="37"/>
      <c r="F2429" s="37"/>
      <c r="G2429" s="37"/>
      <c r="H2429" s="37"/>
      <c r="I2429" s="35"/>
      <c r="J2429" s="37"/>
    </row>
    <row r="2430" spans="1:10" ht="15.95" customHeight="1" x14ac:dyDescent="0.2">
      <c r="A2430" s="39"/>
      <c r="B2430" s="36"/>
      <c r="C2430" s="37"/>
      <c r="D2430" s="37"/>
      <c r="E2430" s="37"/>
      <c r="F2430" s="37"/>
      <c r="G2430" s="37"/>
      <c r="H2430" s="37"/>
      <c r="I2430" s="35"/>
      <c r="J2430" s="37"/>
    </row>
    <row r="2431" spans="1:10" ht="15.95" customHeight="1" x14ac:dyDescent="0.2">
      <c r="A2431" s="39"/>
      <c r="B2431" s="36"/>
      <c r="C2431" s="37"/>
      <c r="D2431" s="37"/>
      <c r="E2431" s="37"/>
      <c r="F2431" s="37"/>
      <c r="G2431" s="37"/>
      <c r="H2431" s="37"/>
      <c r="I2431" s="35"/>
      <c r="J2431" s="37"/>
    </row>
    <row r="2432" spans="1:10" ht="15.95" customHeight="1" x14ac:dyDescent="0.2">
      <c r="A2432" s="39"/>
      <c r="B2432" s="36"/>
      <c r="C2432" s="37"/>
      <c r="D2432" s="37"/>
      <c r="E2432" s="37"/>
      <c r="F2432" s="37"/>
      <c r="G2432" s="37"/>
      <c r="H2432" s="37"/>
      <c r="I2432" s="35"/>
      <c r="J2432" s="37"/>
    </row>
    <row r="2433" spans="1:10" ht="15.95" customHeight="1" x14ac:dyDescent="0.2">
      <c r="A2433" s="39"/>
      <c r="B2433" s="36"/>
      <c r="C2433" s="37"/>
      <c r="D2433" s="37"/>
      <c r="E2433" s="37"/>
      <c r="F2433" s="37"/>
      <c r="G2433" s="37"/>
      <c r="H2433" s="37"/>
      <c r="I2433" s="35"/>
      <c r="J2433" s="37"/>
    </row>
    <row r="2434" spans="1:10" ht="15.95" customHeight="1" x14ac:dyDescent="0.2">
      <c r="A2434" s="39"/>
      <c r="B2434" s="36"/>
      <c r="C2434" s="37"/>
      <c r="D2434" s="37"/>
      <c r="E2434" s="37"/>
      <c r="F2434" s="37"/>
      <c r="G2434" s="37"/>
      <c r="H2434" s="37"/>
      <c r="I2434" s="35"/>
      <c r="J2434" s="37"/>
    </row>
    <row r="2435" spans="1:10" ht="15.95" customHeight="1" x14ac:dyDescent="0.2">
      <c r="A2435" s="39"/>
      <c r="B2435" s="36"/>
      <c r="C2435" s="37"/>
      <c r="D2435" s="37"/>
      <c r="E2435" s="37"/>
      <c r="F2435" s="37"/>
      <c r="G2435" s="37"/>
      <c r="H2435" s="37"/>
      <c r="I2435" s="35"/>
      <c r="J2435" s="37"/>
    </row>
    <row r="2436" spans="1:10" ht="15.95" customHeight="1" x14ac:dyDescent="0.2">
      <c r="A2436" s="39"/>
      <c r="B2436" s="36"/>
      <c r="C2436" s="37"/>
      <c r="D2436" s="37"/>
      <c r="E2436" s="37"/>
      <c r="F2436" s="37"/>
      <c r="G2436" s="37"/>
      <c r="H2436" s="37"/>
      <c r="I2436" s="35"/>
      <c r="J2436" s="37"/>
    </row>
    <row r="2437" spans="1:10" ht="15.95" customHeight="1" x14ac:dyDescent="0.2">
      <c r="A2437" s="39"/>
      <c r="B2437" s="36"/>
      <c r="C2437" s="37"/>
      <c r="D2437" s="37"/>
      <c r="E2437" s="37"/>
      <c r="F2437" s="37"/>
      <c r="G2437" s="37"/>
      <c r="H2437" s="37"/>
      <c r="I2437" s="35"/>
      <c r="J2437" s="37"/>
    </row>
    <row r="2438" spans="1:10" ht="15.95" customHeight="1" x14ac:dyDescent="0.2">
      <c r="A2438" s="39"/>
      <c r="B2438" s="36"/>
      <c r="C2438" s="37"/>
      <c r="D2438" s="37"/>
      <c r="E2438" s="37"/>
      <c r="F2438" s="37"/>
      <c r="G2438" s="37"/>
      <c r="H2438" s="37"/>
      <c r="I2438" s="35"/>
      <c r="J2438" s="37"/>
    </row>
    <row r="2439" spans="1:10" ht="15.95" customHeight="1" x14ac:dyDescent="0.2">
      <c r="A2439" s="39"/>
      <c r="B2439" s="36"/>
      <c r="C2439" s="37"/>
      <c r="D2439" s="37"/>
      <c r="E2439" s="37"/>
      <c r="F2439" s="37"/>
      <c r="G2439" s="37"/>
      <c r="H2439" s="37"/>
      <c r="I2439" s="35"/>
      <c r="J2439" s="37"/>
    </row>
    <row r="2440" spans="1:10" ht="15.95" customHeight="1" x14ac:dyDescent="0.2">
      <c r="A2440" s="39"/>
      <c r="B2440" s="36"/>
      <c r="C2440" s="37"/>
      <c r="D2440" s="37"/>
      <c r="E2440" s="37"/>
      <c r="F2440" s="37"/>
      <c r="G2440" s="37"/>
      <c r="H2440" s="37"/>
      <c r="I2440" s="35"/>
      <c r="J2440" s="37"/>
    </row>
    <row r="2441" spans="1:10" ht="15.95" customHeight="1" x14ac:dyDescent="0.2">
      <c r="A2441" s="39"/>
      <c r="B2441" s="36"/>
      <c r="C2441" s="37"/>
      <c r="D2441" s="37"/>
      <c r="E2441" s="37"/>
      <c r="F2441" s="37"/>
      <c r="G2441" s="37"/>
      <c r="H2441" s="37"/>
      <c r="I2441" s="35"/>
      <c r="J2441" s="37"/>
    </row>
    <row r="2442" spans="1:10" ht="15.95" customHeight="1" x14ac:dyDescent="0.2">
      <c r="A2442" s="39"/>
      <c r="B2442" s="36"/>
      <c r="C2442" s="37"/>
      <c r="D2442" s="37"/>
      <c r="E2442" s="37"/>
      <c r="F2442" s="37"/>
      <c r="G2442" s="37"/>
      <c r="H2442" s="37"/>
      <c r="I2442" s="35"/>
      <c r="J2442" s="37"/>
    </row>
    <row r="2443" spans="1:10" ht="15.95" customHeight="1" x14ac:dyDescent="0.2">
      <c r="A2443" s="39"/>
      <c r="B2443" s="36"/>
      <c r="C2443" s="37"/>
      <c r="D2443" s="37"/>
      <c r="E2443" s="37"/>
      <c r="F2443" s="37"/>
      <c r="G2443" s="37"/>
      <c r="H2443" s="37"/>
      <c r="I2443" s="35"/>
      <c r="J2443" s="37"/>
    </row>
    <row r="2444" spans="1:10" ht="15.95" customHeight="1" x14ac:dyDescent="0.2">
      <c r="A2444" s="39"/>
      <c r="B2444" s="36"/>
      <c r="C2444" s="37"/>
      <c r="D2444" s="37"/>
      <c r="E2444" s="37"/>
      <c r="F2444" s="37"/>
      <c r="G2444" s="37"/>
      <c r="H2444" s="37"/>
      <c r="I2444" s="35"/>
      <c r="J2444" s="37"/>
    </row>
    <row r="2445" spans="1:10" ht="15.95" customHeight="1" x14ac:dyDescent="0.2">
      <c r="A2445" s="39"/>
      <c r="B2445" s="36"/>
      <c r="C2445" s="37"/>
      <c r="D2445" s="37"/>
      <c r="E2445" s="37"/>
      <c r="F2445" s="37"/>
      <c r="G2445" s="37"/>
      <c r="H2445" s="37"/>
      <c r="I2445" s="35"/>
      <c r="J2445" s="37"/>
    </row>
    <row r="2446" spans="1:10" ht="15.95" customHeight="1" x14ac:dyDescent="0.2">
      <c r="A2446" s="39"/>
      <c r="B2446" s="36"/>
      <c r="C2446" s="37"/>
      <c r="D2446" s="37"/>
      <c r="E2446" s="37"/>
      <c r="F2446" s="37"/>
      <c r="G2446" s="37"/>
      <c r="H2446" s="37"/>
      <c r="I2446" s="35"/>
      <c r="J2446" s="37"/>
    </row>
    <row r="2447" spans="1:10" ht="15.95" customHeight="1" x14ac:dyDescent="0.2">
      <c r="A2447" s="39"/>
      <c r="B2447" s="36"/>
      <c r="C2447" s="37"/>
      <c r="D2447" s="37"/>
      <c r="E2447" s="37"/>
      <c r="F2447" s="37"/>
      <c r="G2447" s="37"/>
      <c r="H2447" s="37"/>
      <c r="I2447" s="35"/>
      <c r="J2447" s="37"/>
    </row>
    <row r="2448" spans="1:10" ht="15.95" customHeight="1" x14ac:dyDescent="0.2">
      <c r="A2448" s="39"/>
      <c r="B2448" s="36"/>
      <c r="C2448" s="37"/>
      <c r="D2448" s="37"/>
      <c r="E2448" s="37"/>
      <c r="F2448" s="37"/>
      <c r="G2448" s="37"/>
      <c r="H2448" s="37"/>
      <c r="I2448" s="35"/>
      <c r="J2448" s="37"/>
    </row>
    <row r="2449" spans="1:10" ht="15.95" customHeight="1" x14ac:dyDescent="0.2">
      <c r="A2449" s="39"/>
      <c r="B2449" s="36"/>
      <c r="C2449" s="37"/>
      <c r="D2449" s="37"/>
      <c r="E2449" s="37"/>
      <c r="F2449" s="37"/>
      <c r="G2449" s="37"/>
      <c r="H2449" s="37"/>
      <c r="I2449" s="35"/>
      <c r="J2449" s="37"/>
    </row>
    <row r="2450" spans="1:10" ht="15.95" customHeight="1" x14ac:dyDescent="0.2">
      <c r="A2450" s="39"/>
      <c r="B2450" s="36"/>
      <c r="C2450" s="37"/>
      <c r="D2450" s="37"/>
      <c r="E2450" s="37"/>
      <c r="F2450" s="37"/>
      <c r="G2450" s="37"/>
      <c r="H2450" s="37"/>
      <c r="I2450" s="35"/>
      <c r="J2450" s="37"/>
    </row>
    <row r="2451" spans="1:10" ht="15.95" customHeight="1" x14ac:dyDescent="0.2">
      <c r="A2451" s="39"/>
      <c r="B2451" s="36"/>
      <c r="C2451" s="37"/>
      <c r="D2451" s="37"/>
      <c r="E2451" s="37"/>
      <c r="F2451" s="37"/>
      <c r="G2451" s="37"/>
      <c r="H2451" s="37"/>
      <c r="I2451" s="35"/>
      <c r="J2451" s="37"/>
    </row>
    <row r="2452" spans="1:10" ht="15.95" customHeight="1" x14ac:dyDescent="0.2">
      <c r="A2452" s="39"/>
      <c r="B2452" s="36"/>
      <c r="C2452" s="37"/>
      <c r="D2452" s="37"/>
      <c r="E2452" s="37"/>
      <c r="F2452" s="37"/>
      <c r="G2452" s="37"/>
      <c r="H2452" s="37"/>
      <c r="I2452" s="35"/>
      <c r="J2452" s="37"/>
    </row>
    <row r="2453" spans="1:10" ht="15.95" customHeight="1" x14ac:dyDescent="0.2">
      <c r="A2453" s="39"/>
      <c r="B2453" s="36"/>
      <c r="C2453" s="37"/>
      <c r="D2453" s="37"/>
      <c r="E2453" s="37"/>
      <c r="F2453" s="37"/>
      <c r="G2453" s="37"/>
      <c r="H2453" s="37"/>
      <c r="I2453" s="35"/>
      <c r="J2453" s="37"/>
    </row>
    <row r="2454" spans="1:10" ht="15.95" customHeight="1" x14ac:dyDescent="0.2">
      <c r="A2454" s="39"/>
      <c r="B2454" s="36"/>
      <c r="C2454" s="37"/>
      <c r="D2454" s="37"/>
      <c r="E2454" s="37"/>
      <c r="F2454" s="37"/>
      <c r="G2454" s="37"/>
      <c r="H2454" s="37"/>
      <c r="I2454" s="35"/>
      <c r="J2454" s="37"/>
    </row>
    <row r="2455" spans="1:10" ht="15.95" customHeight="1" x14ac:dyDescent="0.2">
      <c r="A2455" s="39"/>
      <c r="B2455" s="36"/>
      <c r="C2455" s="37"/>
      <c r="D2455" s="37"/>
      <c r="E2455" s="37"/>
      <c r="F2455" s="37"/>
      <c r="G2455" s="37"/>
      <c r="H2455" s="37"/>
      <c r="I2455" s="35"/>
      <c r="J2455" s="37"/>
    </row>
    <row r="2456" spans="1:10" ht="15.95" customHeight="1" x14ac:dyDescent="0.2">
      <c r="A2456" s="39"/>
      <c r="B2456" s="36"/>
      <c r="C2456" s="37"/>
      <c r="D2456" s="37"/>
      <c r="E2456" s="37"/>
      <c r="F2456" s="37"/>
      <c r="G2456" s="37"/>
      <c r="H2456" s="37"/>
      <c r="I2456" s="35"/>
      <c r="J2456" s="37"/>
    </row>
    <row r="2457" spans="1:10" ht="15.95" customHeight="1" x14ac:dyDescent="0.2">
      <c r="A2457" s="39"/>
      <c r="B2457" s="36"/>
      <c r="C2457" s="37"/>
      <c r="D2457" s="37"/>
      <c r="E2457" s="37"/>
      <c r="F2457" s="37"/>
      <c r="G2457" s="37"/>
      <c r="H2457" s="37"/>
      <c r="I2457" s="35"/>
      <c r="J2457" s="37"/>
    </row>
    <row r="2458" spans="1:10" ht="15.95" customHeight="1" x14ac:dyDescent="0.2">
      <c r="A2458" s="39"/>
      <c r="B2458" s="36"/>
      <c r="C2458" s="37"/>
      <c r="D2458" s="37"/>
      <c r="E2458" s="37"/>
      <c r="F2458" s="37"/>
      <c r="G2458" s="37"/>
      <c r="H2458" s="37"/>
      <c r="I2458" s="35"/>
      <c r="J2458" s="37"/>
    </row>
    <row r="2459" spans="1:10" ht="15.95" customHeight="1" x14ac:dyDescent="0.2">
      <c r="A2459" s="39"/>
      <c r="B2459" s="36"/>
      <c r="C2459" s="37"/>
      <c r="D2459" s="37"/>
      <c r="E2459" s="37"/>
      <c r="F2459" s="37"/>
      <c r="G2459" s="37"/>
      <c r="H2459" s="37"/>
      <c r="I2459" s="35"/>
      <c r="J2459" s="37"/>
    </row>
    <row r="2460" spans="1:10" ht="15.95" customHeight="1" x14ac:dyDescent="0.2">
      <c r="A2460" s="39"/>
      <c r="B2460" s="36"/>
      <c r="C2460" s="37"/>
      <c r="D2460" s="37"/>
      <c r="E2460" s="37"/>
      <c r="F2460" s="37"/>
      <c r="G2460" s="37"/>
      <c r="H2460" s="37"/>
      <c r="I2460" s="35"/>
      <c r="J2460" s="37"/>
    </row>
    <row r="2461" spans="1:10" ht="15.95" customHeight="1" x14ac:dyDescent="0.2">
      <c r="A2461" s="39"/>
      <c r="B2461" s="36"/>
      <c r="C2461" s="37"/>
      <c r="D2461" s="37"/>
      <c r="E2461" s="37"/>
      <c r="F2461" s="37"/>
      <c r="G2461" s="37"/>
      <c r="H2461" s="37"/>
      <c r="I2461" s="35"/>
      <c r="J2461" s="37"/>
    </row>
    <row r="2462" spans="1:10" ht="15.95" customHeight="1" x14ac:dyDescent="0.2">
      <c r="A2462" s="39"/>
      <c r="B2462" s="36"/>
      <c r="C2462" s="37"/>
      <c r="D2462" s="37"/>
      <c r="E2462" s="37"/>
      <c r="F2462" s="37"/>
      <c r="G2462" s="37"/>
      <c r="H2462" s="37"/>
      <c r="I2462" s="35"/>
      <c r="J2462" s="37"/>
    </row>
    <row r="2463" spans="1:10" ht="15.95" customHeight="1" x14ac:dyDescent="0.2">
      <c r="A2463" s="39"/>
      <c r="B2463" s="36"/>
      <c r="C2463" s="37"/>
      <c r="D2463" s="37"/>
      <c r="E2463" s="37"/>
      <c r="F2463" s="37"/>
      <c r="G2463" s="37"/>
      <c r="H2463" s="37"/>
      <c r="I2463" s="35"/>
      <c r="J2463" s="37"/>
    </row>
    <row r="2464" spans="1:10" ht="15.95" customHeight="1" x14ac:dyDescent="0.2">
      <c r="A2464" s="39"/>
      <c r="B2464" s="36"/>
      <c r="C2464" s="37"/>
      <c r="D2464" s="37"/>
      <c r="E2464" s="37"/>
      <c r="F2464" s="37"/>
      <c r="G2464" s="37"/>
      <c r="H2464" s="37"/>
      <c r="I2464" s="35"/>
      <c r="J2464" s="37"/>
    </row>
    <row r="2465" spans="1:10" ht="15.95" customHeight="1" x14ac:dyDescent="0.2">
      <c r="A2465" s="39"/>
      <c r="B2465" s="36"/>
      <c r="C2465" s="37"/>
      <c r="D2465" s="37"/>
      <c r="E2465" s="37"/>
      <c r="F2465" s="37"/>
      <c r="G2465" s="37"/>
      <c r="H2465" s="37"/>
      <c r="I2465" s="35"/>
      <c r="J2465" s="37"/>
    </row>
    <row r="2466" spans="1:10" ht="15.95" customHeight="1" x14ac:dyDescent="0.2">
      <c r="A2466" s="39"/>
      <c r="B2466" s="36"/>
      <c r="C2466" s="37"/>
      <c r="D2466" s="37"/>
      <c r="E2466" s="37"/>
      <c r="F2466" s="37"/>
      <c r="G2466" s="37"/>
      <c r="H2466" s="37"/>
      <c r="I2466" s="35"/>
      <c r="J2466" s="37"/>
    </row>
    <row r="2467" spans="1:10" ht="15.95" customHeight="1" x14ac:dyDescent="0.2">
      <c r="A2467" s="39"/>
      <c r="B2467" s="36"/>
      <c r="C2467" s="37"/>
      <c r="D2467" s="37"/>
      <c r="E2467" s="37"/>
      <c r="F2467" s="37"/>
      <c r="G2467" s="37"/>
      <c r="H2467" s="37"/>
      <c r="I2467" s="35"/>
      <c r="J2467" s="37"/>
    </row>
    <row r="2468" spans="1:10" ht="15.95" customHeight="1" x14ac:dyDescent="0.2">
      <c r="A2468" s="39"/>
      <c r="B2468" s="36"/>
      <c r="C2468" s="37"/>
      <c r="D2468" s="37"/>
      <c r="E2468" s="37"/>
      <c r="F2468" s="37"/>
      <c r="G2468" s="37"/>
      <c r="H2468" s="37"/>
      <c r="I2468" s="35"/>
      <c r="J2468" s="37"/>
    </row>
    <row r="2469" spans="1:10" ht="15.95" customHeight="1" x14ac:dyDescent="0.2">
      <c r="A2469" s="39"/>
      <c r="B2469" s="36"/>
      <c r="C2469" s="37"/>
      <c r="D2469" s="37"/>
      <c r="E2469" s="37"/>
      <c r="F2469" s="37"/>
      <c r="G2469" s="37"/>
      <c r="H2469" s="37"/>
      <c r="I2469" s="35"/>
      <c r="J2469" s="37"/>
    </row>
    <row r="2470" spans="1:10" ht="15.95" customHeight="1" x14ac:dyDescent="0.2">
      <c r="A2470" s="39"/>
      <c r="B2470" s="36"/>
      <c r="C2470" s="37"/>
      <c r="D2470" s="37"/>
      <c r="E2470" s="37"/>
      <c r="F2470" s="37"/>
      <c r="G2470" s="37"/>
      <c r="H2470" s="37"/>
      <c r="I2470" s="35"/>
      <c r="J2470" s="37"/>
    </row>
    <row r="2471" spans="1:10" ht="15.95" customHeight="1" x14ac:dyDescent="0.2">
      <c r="A2471" s="39"/>
      <c r="B2471" s="36"/>
      <c r="C2471" s="37"/>
      <c r="D2471" s="37"/>
      <c r="E2471" s="37"/>
      <c r="F2471" s="37"/>
      <c r="G2471" s="37"/>
      <c r="H2471" s="37"/>
      <c r="I2471" s="35"/>
      <c r="J2471" s="37"/>
    </row>
    <row r="2472" spans="1:10" ht="15.95" customHeight="1" x14ac:dyDescent="0.2">
      <c r="A2472" s="39"/>
      <c r="B2472" s="36"/>
      <c r="C2472" s="37"/>
      <c r="D2472" s="37"/>
      <c r="E2472" s="37"/>
      <c r="F2472" s="37"/>
      <c r="G2472" s="37"/>
      <c r="H2472" s="37"/>
      <c r="I2472" s="35"/>
      <c r="J2472" s="37"/>
    </row>
    <row r="2473" spans="1:10" ht="15.95" customHeight="1" x14ac:dyDescent="0.2">
      <c r="A2473" s="39"/>
      <c r="B2473" s="36"/>
      <c r="C2473" s="37"/>
      <c r="D2473" s="37"/>
      <c r="E2473" s="37"/>
      <c r="F2473" s="37"/>
      <c r="G2473" s="37"/>
      <c r="H2473" s="37"/>
      <c r="I2473" s="35"/>
      <c r="J2473" s="37"/>
    </row>
    <row r="2474" spans="1:10" ht="15.95" customHeight="1" x14ac:dyDescent="0.2">
      <c r="A2474" s="39"/>
      <c r="B2474" s="36"/>
      <c r="C2474" s="37"/>
      <c r="D2474" s="37"/>
      <c r="E2474" s="37"/>
      <c r="F2474" s="37"/>
      <c r="G2474" s="37"/>
      <c r="H2474" s="37"/>
      <c r="I2474" s="35"/>
      <c r="J2474" s="37"/>
    </row>
    <row r="2475" spans="1:10" ht="15.95" customHeight="1" x14ac:dyDescent="0.2">
      <c r="A2475" s="39"/>
      <c r="B2475" s="36"/>
      <c r="C2475" s="37"/>
      <c r="D2475" s="37"/>
      <c r="E2475" s="37"/>
      <c r="F2475" s="37"/>
      <c r="G2475" s="37"/>
      <c r="H2475" s="37"/>
      <c r="I2475" s="35"/>
      <c r="J2475" s="37"/>
    </row>
    <row r="2476" spans="1:10" ht="15.95" customHeight="1" x14ac:dyDescent="0.2">
      <c r="A2476" s="39"/>
      <c r="B2476" s="36"/>
      <c r="C2476" s="37"/>
      <c r="D2476" s="37"/>
      <c r="E2476" s="37"/>
      <c r="F2476" s="37"/>
      <c r="G2476" s="37"/>
      <c r="H2476" s="37"/>
      <c r="I2476" s="35"/>
      <c r="J2476" s="37"/>
    </row>
    <row r="2477" spans="1:10" ht="15.95" customHeight="1" x14ac:dyDescent="0.2">
      <c r="A2477" s="39"/>
      <c r="B2477" s="36"/>
      <c r="C2477" s="37"/>
      <c r="D2477" s="37"/>
      <c r="E2477" s="37"/>
      <c r="F2477" s="37"/>
      <c r="G2477" s="37"/>
      <c r="H2477" s="37"/>
      <c r="I2477" s="35"/>
      <c r="J2477" s="37"/>
    </row>
    <row r="2478" spans="1:10" ht="15.95" customHeight="1" x14ac:dyDescent="0.2">
      <c r="A2478" s="39"/>
      <c r="B2478" s="36"/>
      <c r="C2478" s="37"/>
      <c r="D2478" s="37"/>
      <c r="E2478" s="37"/>
      <c r="F2478" s="37"/>
      <c r="G2478" s="37"/>
      <c r="H2478" s="37"/>
      <c r="I2478" s="35"/>
      <c r="J2478" s="37"/>
    </row>
    <row r="2479" spans="1:10" ht="15.95" customHeight="1" x14ac:dyDescent="0.2">
      <c r="A2479" s="39"/>
      <c r="B2479" s="36"/>
      <c r="C2479" s="37"/>
      <c r="D2479" s="37"/>
      <c r="E2479" s="37"/>
      <c r="F2479" s="37"/>
      <c r="G2479" s="37"/>
      <c r="H2479" s="37"/>
      <c r="I2479" s="35"/>
      <c r="J2479" s="37"/>
    </row>
    <row r="2480" spans="1:10" ht="15.95" customHeight="1" x14ac:dyDescent="0.2">
      <c r="A2480" s="39"/>
      <c r="B2480" s="36"/>
      <c r="C2480" s="37"/>
      <c r="D2480" s="37"/>
      <c r="E2480" s="37"/>
      <c r="F2480" s="37"/>
      <c r="G2480" s="37"/>
      <c r="H2480" s="37"/>
      <c r="I2480" s="35"/>
      <c r="J2480" s="37"/>
    </row>
    <row r="2481" spans="1:10" ht="15.95" customHeight="1" x14ac:dyDescent="0.2">
      <c r="A2481" s="39"/>
      <c r="B2481" s="36"/>
      <c r="C2481" s="37"/>
      <c r="D2481" s="37"/>
      <c r="E2481" s="37"/>
      <c r="F2481" s="37"/>
      <c r="G2481" s="37"/>
      <c r="H2481" s="37"/>
      <c r="I2481" s="35"/>
      <c r="J2481" s="37"/>
    </row>
    <row r="2482" spans="1:10" ht="15.95" customHeight="1" x14ac:dyDescent="0.2">
      <c r="A2482" s="39"/>
      <c r="B2482" s="36"/>
      <c r="C2482" s="37"/>
      <c r="D2482" s="37"/>
      <c r="E2482" s="37"/>
      <c r="F2482" s="37"/>
      <c r="G2482" s="37"/>
      <c r="H2482" s="37"/>
      <c r="I2482" s="35"/>
      <c r="J2482" s="37"/>
    </row>
    <row r="2483" spans="1:10" ht="15.95" customHeight="1" x14ac:dyDescent="0.2">
      <c r="A2483" s="39"/>
      <c r="B2483" s="36"/>
      <c r="C2483" s="37"/>
      <c r="D2483" s="37"/>
      <c r="E2483" s="37"/>
      <c r="F2483" s="37"/>
      <c r="G2483" s="37"/>
      <c r="H2483" s="37"/>
      <c r="I2483" s="35"/>
      <c r="J2483" s="37"/>
    </row>
    <row r="2484" spans="1:10" ht="15.95" customHeight="1" x14ac:dyDescent="0.2">
      <c r="A2484" s="39"/>
      <c r="B2484" s="36"/>
      <c r="C2484" s="37"/>
      <c r="D2484" s="37"/>
      <c r="E2484" s="37"/>
      <c r="F2484" s="37"/>
      <c r="G2484" s="37"/>
      <c r="H2484" s="37"/>
      <c r="I2484" s="35"/>
      <c r="J2484" s="37"/>
    </row>
    <row r="2485" spans="1:10" ht="15.95" customHeight="1" x14ac:dyDescent="0.2">
      <c r="A2485" s="39"/>
      <c r="B2485" s="36"/>
      <c r="C2485" s="37"/>
      <c r="D2485" s="37"/>
      <c r="E2485" s="37"/>
      <c r="F2485" s="37"/>
      <c r="G2485" s="37"/>
      <c r="H2485" s="37"/>
      <c r="I2485" s="35"/>
      <c r="J2485" s="37"/>
    </row>
    <row r="2486" spans="1:10" ht="15.95" customHeight="1" x14ac:dyDescent="0.2">
      <c r="A2486" s="39"/>
      <c r="B2486" s="36"/>
      <c r="C2486" s="37"/>
      <c r="D2486" s="37"/>
      <c r="E2486" s="37"/>
      <c r="F2486" s="37"/>
      <c r="G2486" s="37"/>
      <c r="H2486" s="37"/>
      <c r="I2486" s="35"/>
      <c r="J2486" s="37"/>
    </row>
    <row r="2487" spans="1:10" ht="15.95" customHeight="1" x14ac:dyDescent="0.2">
      <c r="A2487" s="39"/>
      <c r="B2487" s="36"/>
      <c r="C2487" s="37"/>
      <c r="D2487" s="37"/>
      <c r="E2487" s="37"/>
      <c r="F2487" s="37"/>
      <c r="G2487" s="37"/>
      <c r="H2487" s="37"/>
      <c r="I2487" s="35"/>
      <c r="J2487" s="37"/>
    </row>
    <row r="2488" spans="1:10" ht="15.95" customHeight="1" x14ac:dyDescent="0.2">
      <c r="A2488" s="39"/>
      <c r="B2488" s="36"/>
      <c r="C2488" s="37"/>
      <c r="D2488" s="37"/>
      <c r="E2488" s="37"/>
      <c r="F2488" s="37"/>
      <c r="G2488" s="37"/>
      <c r="H2488" s="37"/>
      <c r="I2488" s="35"/>
      <c r="J2488" s="37"/>
    </row>
    <row r="2489" spans="1:10" ht="15.95" customHeight="1" x14ac:dyDescent="0.2">
      <c r="A2489" s="39"/>
      <c r="B2489" s="36"/>
      <c r="C2489" s="37"/>
      <c r="D2489" s="37"/>
      <c r="E2489" s="37"/>
      <c r="F2489" s="37"/>
      <c r="G2489" s="37"/>
      <c r="H2489" s="37"/>
      <c r="I2489" s="35"/>
      <c r="J2489" s="37"/>
    </row>
    <row r="2490" spans="1:10" ht="15.95" customHeight="1" x14ac:dyDescent="0.2">
      <c r="A2490" s="39"/>
      <c r="B2490" s="36"/>
      <c r="C2490" s="37"/>
      <c r="D2490" s="37"/>
      <c r="E2490" s="37"/>
      <c r="F2490" s="37"/>
      <c r="G2490" s="37"/>
      <c r="H2490" s="37"/>
      <c r="I2490" s="35"/>
      <c r="J2490" s="37"/>
    </row>
    <row r="2491" spans="1:10" ht="15.95" customHeight="1" x14ac:dyDescent="0.2">
      <c r="A2491" s="39"/>
      <c r="B2491" s="36"/>
      <c r="C2491" s="37"/>
      <c r="D2491" s="37"/>
      <c r="E2491" s="37"/>
      <c r="F2491" s="37"/>
      <c r="G2491" s="37"/>
      <c r="H2491" s="37"/>
      <c r="I2491" s="35"/>
      <c r="J2491" s="37"/>
    </row>
    <row r="2492" spans="1:10" ht="15.95" customHeight="1" x14ac:dyDescent="0.2">
      <c r="A2492" s="39"/>
      <c r="B2492" s="36"/>
      <c r="C2492" s="37"/>
      <c r="D2492" s="37"/>
      <c r="E2492" s="37"/>
      <c r="F2492" s="37"/>
      <c r="G2492" s="37"/>
      <c r="H2492" s="37"/>
      <c r="I2492" s="35"/>
      <c r="J2492" s="37"/>
    </row>
    <row r="2493" spans="1:10" ht="15.95" customHeight="1" x14ac:dyDescent="0.2">
      <c r="A2493" s="39"/>
      <c r="B2493" s="36"/>
      <c r="C2493" s="37"/>
      <c r="D2493" s="37"/>
      <c r="E2493" s="37"/>
      <c r="F2493" s="37"/>
      <c r="G2493" s="37"/>
      <c r="H2493" s="37"/>
      <c r="I2493" s="35"/>
      <c r="J2493" s="37"/>
    </row>
    <row r="2494" spans="1:10" ht="15.95" customHeight="1" x14ac:dyDescent="0.2">
      <c r="A2494" s="39"/>
      <c r="B2494" s="36"/>
      <c r="C2494" s="37"/>
      <c r="D2494" s="37"/>
      <c r="E2494" s="37"/>
      <c r="F2494" s="37"/>
      <c r="G2494" s="37"/>
      <c r="H2494" s="37"/>
      <c r="I2494" s="35"/>
      <c r="J2494" s="37"/>
    </row>
    <row r="2495" spans="1:10" ht="15.95" customHeight="1" x14ac:dyDescent="0.2">
      <c r="A2495" s="39"/>
      <c r="B2495" s="36"/>
      <c r="C2495" s="37"/>
      <c r="D2495" s="37"/>
      <c r="E2495" s="37"/>
      <c r="F2495" s="37"/>
      <c r="G2495" s="37"/>
      <c r="H2495" s="37"/>
      <c r="I2495" s="35"/>
      <c r="J2495" s="37"/>
    </row>
    <row r="2496" spans="1:10" ht="15.95" customHeight="1" x14ac:dyDescent="0.2">
      <c r="A2496" s="39"/>
      <c r="B2496" s="36"/>
      <c r="C2496" s="37"/>
      <c r="D2496" s="37"/>
      <c r="E2496" s="37"/>
      <c r="F2496" s="37"/>
      <c r="G2496" s="37"/>
      <c r="H2496" s="37"/>
      <c r="I2496" s="35"/>
      <c r="J2496" s="37"/>
    </row>
    <row r="2497" spans="1:10" ht="15.95" customHeight="1" x14ac:dyDescent="0.2">
      <c r="A2497" s="39"/>
      <c r="B2497" s="36"/>
      <c r="C2497" s="37"/>
      <c r="D2497" s="37"/>
      <c r="E2497" s="37"/>
      <c r="F2497" s="37"/>
      <c r="G2497" s="37"/>
      <c r="H2497" s="37"/>
      <c r="I2497" s="35"/>
      <c r="J2497" s="37"/>
    </row>
    <row r="2498" spans="1:10" ht="15.95" customHeight="1" x14ac:dyDescent="0.2">
      <c r="A2498" s="39"/>
      <c r="B2498" s="36"/>
      <c r="C2498" s="37"/>
      <c r="D2498" s="37"/>
      <c r="E2498" s="37"/>
      <c r="F2498" s="37"/>
      <c r="G2498" s="37"/>
      <c r="H2498" s="37"/>
      <c r="I2498" s="35"/>
      <c r="J2498" s="37"/>
    </row>
    <row r="2499" spans="1:10" ht="15.95" customHeight="1" x14ac:dyDescent="0.2">
      <c r="A2499" s="39"/>
      <c r="B2499" s="36"/>
      <c r="C2499" s="37"/>
      <c r="D2499" s="37"/>
      <c r="E2499" s="37"/>
      <c r="F2499" s="37"/>
      <c r="G2499" s="37"/>
      <c r="H2499" s="37"/>
      <c r="I2499" s="35"/>
      <c r="J2499" s="37"/>
    </row>
    <row r="2500" spans="1:10" ht="15.95" customHeight="1" x14ac:dyDescent="0.2">
      <c r="A2500" s="39"/>
      <c r="B2500" s="36"/>
      <c r="C2500" s="37"/>
      <c r="D2500" s="37"/>
      <c r="E2500" s="37"/>
      <c r="F2500" s="37"/>
      <c r="G2500" s="37"/>
      <c r="H2500" s="37"/>
      <c r="I2500" s="35"/>
      <c r="J2500" s="37"/>
    </row>
    <row r="2501" spans="1:10" ht="15.95" customHeight="1" x14ac:dyDescent="0.2">
      <c r="A2501" s="39"/>
      <c r="B2501" s="36"/>
      <c r="C2501" s="37"/>
      <c r="D2501" s="37"/>
      <c r="E2501" s="37"/>
      <c r="F2501" s="37"/>
      <c r="G2501" s="37"/>
      <c r="H2501" s="37"/>
      <c r="I2501" s="35"/>
      <c r="J2501" s="37"/>
    </row>
    <row r="2502" spans="1:10" ht="15.95" customHeight="1" x14ac:dyDescent="0.2">
      <c r="A2502" s="39"/>
      <c r="B2502" s="36"/>
      <c r="C2502" s="37"/>
      <c r="D2502" s="37"/>
      <c r="E2502" s="37"/>
      <c r="F2502" s="37"/>
      <c r="G2502" s="37"/>
      <c r="H2502" s="37"/>
      <c r="I2502" s="35"/>
      <c r="J2502" s="37"/>
    </row>
    <row r="2503" spans="1:10" ht="15.95" customHeight="1" x14ac:dyDescent="0.2">
      <c r="A2503" s="39"/>
      <c r="B2503" s="36"/>
      <c r="C2503" s="37"/>
      <c r="D2503" s="37"/>
      <c r="E2503" s="37"/>
      <c r="F2503" s="37"/>
      <c r="G2503" s="37"/>
      <c r="H2503" s="37"/>
      <c r="I2503" s="35"/>
      <c r="J2503" s="37"/>
    </row>
    <row r="2504" spans="1:10" ht="15.95" customHeight="1" x14ac:dyDescent="0.2">
      <c r="A2504" s="39"/>
      <c r="B2504" s="36"/>
      <c r="C2504" s="37"/>
      <c r="D2504" s="37"/>
      <c r="E2504" s="37"/>
      <c r="F2504" s="37"/>
      <c r="G2504" s="37"/>
      <c r="H2504" s="37"/>
      <c r="I2504" s="35"/>
      <c r="J2504" s="37"/>
    </row>
    <row r="2505" spans="1:10" ht="15.95" customHeight="1" x14ac:dyDescent="0.2">
      <c r="A2505" s="39"/>
      <c r="B2505" s="36"/>
      <c r="C2505" s="37"/>
      <c r="D2505" s="37"/>
      <c r="E2505" s="37"/>
      <c r="F2505" s="37"/>
      <c r="G2505" s="37"/>
      <c r="H2505" s="37"/>
      <c r="I2505" s="35"/>
      <c r="J2505" s="37"/>
    </row>
    <row r="2506" spans="1:10" ht="15.95" customHeight="1" x14ac:dyDescent="0.2">
      <c r="A2506" s="39"/>
      <c r="B2506" s="36"/>
      <c r="C2506" s="37"/>
      <c r="D2506" s="37"/>
      <c r="E2506" s="37"/>
      <c r="F2506" s="37"/>
      <c r="G2506" s="37"/>
      <c r="H2506" s="37"/>
      <c r="I2506" s="35"/>
      <c r="J2506" s="37"/>
    </row>
    <row r="2507" spans="1:10" ht="15.95" customHeight="1" x14ac:dyDescent="0.2">
      <c r="A2507" s="39"/>
      <c r="B2507" s="36"/>
      <c r="C2507" s="37"/>
      <c r="D2507" s="37"/>
      <c r="E2507" s="37"/>
      <c r="F2507" s="37"/>
      <c r="G2507" s="37"/>
      <c r="H2507" s="37"/>
      <c r="I2507" s="35"/>
      <c r="J2507" s="37"/>
    </row>
    <row r="2508" spans="1:10" ht="15.95" customHeight="1" x14ac:dyDescent="0.2">
      <c r="A2508" s="39"/>
      <c r="B2508" s="36"/>
      <c r="C2508" s="37"/>
      <c r="D2508" s="37"/>
      <c r="E2508" s="37"/>
      <c r="F2508" s="37"/>
      <c r="G2508" s="37"/>
      <c r="H2508" s="37"/>
      <c r="I2508" s="35"/>
      <c r="J2508" s="37"/>
    </row>
    <row r="2509" spans="1:10" ht="15.95" customHeight="1" x14ac:dyDescent="0.2">
      <c r="A2509" s="39"/>
      <c r="B2509" s="36"/>
      <c r="C2509" s="37"/>
      <c r="D2509" s="37"/>
      <c r="E2509" s="37"/>
      <c r="F2509" s="37"/>
      <c r="G2509" s="37"/>
      <c r="H2509" s="37"/>
      <c r="I2509" s="35"/>
      <c r="J2509" s="37"/>
    </row>
    <row r="2510" spans="1:10" ht="15.95" customHeight="1" x14ac:dyDescent="0.2">
      <c r="A2510" s="39"/>
      <c r="B2510" s="36"/>
      <c r="C2510" s="37"/>
      <c r="D2510" s="37"/>
      <c r="E2510" s="37"/>
      <c r="F2510" s="37"/>
      <c r="G2510" s="37"/>
      <c r="H2510" s="37"/>
      <c r="I2510" s="35"/>
      <c r="J2510" s="37"/>
    </row>
    <row r="2511" spans="1:10" ht="15.95" customHeight="1" x14ac:dyDescent="0.2">
      <c r="A2511" s="39"/>
      <c r="B2511" s="36"/>
      <c r="C2511" s="37"/>
      <c r="D2511" s="37"/>
      <c r="E2511" s="37"/>
      <c r="F2511" s="37"/>
      <c r="G2511" s="37"/>
      <c r="H2511" s="37"/>
      <c r="I2511" s="35"/>
      <c r="J2511" s="37"/>
    </row>
    <row r="2512" spans="1:10" ht="15.95" customHeight="1" x14ac:dyDescent="0.2">
      <c r="A2512" s="39"/>
      <c r="B2512" s="36"/>
      <c r="C2512" s="37"/>
      <c r="D2512" s="37"/>
      <c r="E2512" s="37"/>
      <c r="F2512" s="37"/>
      <c r="G2512" s="37"/>
      <c r="H2512" s="37"/>
      <c r="I2512" s="35"/>
      <c r="J2512" s="37"/>
    </row>
    <row r="2513" spans="1:10" ht="15.95" customHeight="1" x14ac:dyDescent="0.2">
      <c r="A2513" s="39"/>
      <c r="B2513" s="36"/>
      <c r="C2513" s="37"/>
      <c r="D2513" s="37"/>
      <c r="E2513" s="37"/>
      <c r="F2513" s="37"/>
      <c r="G2513" s="37"/>
      <c r="H2513" s="37"/>
      <c r="I2513" s="35"/>
      <c r="J2513" s="37"/>
    </row>
    <row r="2514" spans="1:10" ht="15.95" customHeight="1" x14ac:dyDescent="0.2">
      <c r="A2514" s="39"/>
      <c r="B2514" s="36"/>
      <c r="C2514" s="37"/>
      <c r="D2514" s="37"/>
      <c r="E2514" s="37"/>
      <c r="F2514" s="37"/>
      <c r="G2514" s="37"/>
      <c r="H2514" s="37"/>
      <c r="I2514" s="35"/>
      <c r="J2514" s="37"/>
    </row>
    <row r="2515" spans="1:10" ht="15.95" customHeight="1" x14ac:dyDescent="0.2">
      <c r="A2515" s="39"/>
      <c r="B2515" s="36"/>
      <c r="C2515" s="37"/>
      <c r="D2515" s="37"/>
      <c r="E2515" s="37"/>
      <c r="F2515" s="37"/>
      <c r="G2515" s="37"/>
      <c r="H2515" s="37"/>
      <c r="I2515" s="35"/>
      <c r="J2515" s="37"/>
    </row>
    <row r="2516" spans="1:10" ht="15.95" customHeight="1" x14ac:dyDescent="0.2">
      <c r="A2516" s="39"/>
      <c r="B2516" s="36"/>
      <c r="C2516" s="37"/>
      <c r="D2516" s="37"/>
      <c r="E2516" s="37"/>
      <c r="F2516" s="37"/>
      <c r="G2516" s="37"/>
      <c r="H2516" s="37"/>
      <c r="I2516" s="35"/>
      <c r="J2516" s="37"/>
    </row>
    <row r="2517" spans="1:10" ht="15.95" customHeight="1" x14ac:dyDescent="0.2">
      <c r="A2517" s="39"/>
      <c r="B2517" s="36"/>
      <c r="C2517" s="37"/>
      <c r="D2517" s="37"/>
      <c r="E2517" s="37"/>
      <c r="F2517" s="37"/>
      <c r="G2517" s="37"/>
      <c r="H2517" s="37"/>
      <c r="I2517" s="35"/>
      <c r="J2517" s="37"/>
    </row>
    <row r="2518" spans="1:10" ht="15.95" customHeight="1" x14ac:dyDescent="0.2">
      <c r="A2518" s="39"/>
      <c r="B2518" s="36"/>
      <c r="C2518" s="37"/>
      <c r="D2518" s="37"/>
      <c r="E2518" s="37"/>
      <c r="F2518" s="37"/>
      <c r="G2518" s="37"/>
      <c r="H2518" s="37"/>
      <c r="I2518" s="35"/>
      <c r="J2518" s="37"/>
    </row>
    <row r="2519" spans="1:10" ht="15.95" customHeight="1" x14ac:dyDescent="0.2">
      <c r="A2519" s="39"/>
      <c r="B2519" s="36"/>
      <c r="C2519" s="37"/>
      <c r="D2519" s="37"/>
      <c r="E2519" s="37"/>
      <c r="F2519" s="37"/>
      <c r="G2519" s="37"/>
      <c r="H2519" s="37"/>
      <c r="I2519" s="35"/>
      <c r="J2519" s="37"/>
    </row>
    <row r="2520" spans="1:10" ht="15.95" customHeight="1" x14ac:dyDescent="0.2">
      <c r="A2520" s="39"/>
      <c r="B2520" s="36"/>
      <c r="C2520" s="37"/>
      <c r="D2520" s="37"/>
      <c r="E2520" s="37"/>
      <c r="F2520" s="37"/>
      <c r="G2520" s="37"/>
      <c r="H2520" s="37"/>
      <c r="I2520" s="35"/>
      <c r="J2520" s="37"/>
    </row>
    <row r="2521" spans="1:10" ht="15.95" customHeight="1" x14ac:dyDescent="0.2">
      <c r="A2521" s="39"/>
      <c r="B2521" s="36"/>
      <c r="C2521" s="37"/>
      <c r="D2521" s="37"/>
      <c r="E2521" s="37"/>
      <c r="F2521" s="37"/>
      <c r="G2521" s="37"/>
      <c r="H2521" s="37"/>
      <c r="I2521" s="35"/>
      <c r="J2521" s="37"/>
    </row>
    <row r="2522" spans="1:10" ht="15.95" customHeight="1" x14ac:dyDescent="0.2">
      <c r="A2522" s="39"/>
      <c r="B2522" s="36"/>
      <c r="C2522" s="37"/>
      <c r="D2522" s="37"/>
      <c r="E2522" s="37"/>
      <c r="F2522" s="37"/>
      <c r="G2522" s="37"/>
      <c r="H2522" s="37"/>
      <c r="I2522" s="35"/>
      <c r="J2522" s="37"/>
    </row>
    <row r="2523" spans="1:10" ht="15.95" customHeight="1" x14ac:dyDescent="0.2">
      <c r="A2523" s="39"/>
      <c r="B2523" s="36"/>
      <c r="C2523" s="37"/>
      <c r="D2523" s="37"/>
      <c r="E2523" s="37"/>
      <c r="F2523" s="37"/>
      <c r="G2523" s="37"/>
      <c r="H2523" s="37"/>
      <c r="I2523" s="35"/>
      <c r="J2523" s="37"/>
    </row>
    <row r="2524" spans="1:10" ht="15.95" customHeight="1" x14ac:dyDescent="0.2">
      <c r="A2524" s="39"/>
      <c r="B2524" s="36"/>
      <c r="C2524" s="37"/>
      <c r="D2524" s="37"/>
      <c r="E2524" s="37"/>
      <c r="F2524" s="37"/>
      <c r="G2524" s="37"/>
      <c r="H2524" s="37"/>
      <c r="I2524" s="35"/>
      <c r="J2524" s="37"/>
    </row>
    <row r="2525" spans="1:10" ht="15.95" customHeight="1" x14ac:dyDescent="0.2">
      <c r="A2525" s="39"/>
      <c r="B2525" s="36"/>
      <c r="C2525" s="37"/>
      <c r="D2525" s="37"/>
      <c r="E2525" s="37"/>
      <c r="F2525" s="37"/>
      <c r="G2525" s="37"/>
      <c r="H2525" s="37"/>
      <c r="I2525" s="35"/>
      <c r="J2525" s="37"/>
    </row>
    <row r="2526" spans="1:10" ht="15.95" customHeight="1" x14ac:dyDescent="0.2">
      <c r="A2526" s="39"/>
      <c r="B2526" s="36"/>
      <c r="C2526" s="37"/>
      <c r="D2526" s="37"/>
      <c r="E2526" s="37"/>
      <c r="F2526" s="37"/>
      <c r="G2526" s="37"/>
      <c r="H2526" s="37"/>
      <c r="I2526" s="35"/>
      <c r="J2526" s="37"/>
    </row>
    <row r="2527" spans="1:10" ht="15.95" customHeight="1" x14ac:dyDescent="0.2">
      <c r="A2527" s="39"/>
      <c r="B2527" s="36"/>
      <c r="C2527" s="37"/>
      <c r="D2527" s="37"/>
      <c r="E2527" s="37"/>
      <c r="F2527" s="37"/>
      <c r="G2527" s="37"/>
      <c r="H2527" s="37"/>
      <c r="I2527" s="35"/>
      <c r="J2527" s="37"/>
    </row>
    <row r="2528" spans="1:10" ht="15.95" customHeight="1" x14ac:dyDescent="0.2">
      <c r="A2528" s="39"/>
      <c r="B2528" s="36"/>
      <c r="C2528" s="37"/>
      <c r="D2528" s="37"/>
      <c r="E2528" s="37"/>
      <c r="F2528" s="37"/>
      <c r="G2528" s="37"/>
      <c r="H2528" s="37"/>
      <c r="I2528" s="35"/>
      <c r="J2528" s="37"/>
    </row>
    <row r="2529" spans="1:10" ht="15.95" customHeight="1" x14ac:dyDescent="0.2">
      <c r="A2529" s="39"/>
      <c r="B2529" s="36"/>
      <c r="C2529" s="37"/>
      <c r="D2529" s="37"/>
      <c r="E2529" s="37"/>
      <c r="F2529" s="37"/>
      <c r="G2529" s="37"/>
      <c r="H2529" s="37"/>
      <c r="I2529" s="35"/>
      <c r="J2529" s="37"/>
    </row>
    <row r="2530" spans="1:10" ht="15.95" customHeight="1" x14ac:dyDescent="0.2">
      <c r="A2530" s="39"/>
      <c r="B2530" s="36"/>
      <c r="C2530" s="37"/>
      <c r="D2530" s="37"/>
      <c r="E2530" s="37"/>
      <c r="F2530" s="37"/>
      <c r="G2530" s="37"/>
      <c r="H2530" s="37"/>
      <c r="I2530" s="35"/>
      <c r="J2530" s="37"/>
    </row>
    <row r="2531" spans="1:10" ht="15.95" customHeight="1" x14ac:dyDescent="0.2">
      <c r="A2531" s="39"/>
      <c r="B2531" s="36"/>
      <c r="C2531" s="37"/>
      <c r="D2531" s="37"/>
      <c r="E2531" s="37"/>
      <c r="F2531" s="37"/>
      <c r="G2531" s="37"/>
      <c r="H2531" s="37"/>
      <c r="I2531" s="35"/>
      <c r="J2531" s="37"/>
    </row>
    <row r="2532" spans="1:10" ht="15.95" customHeight="1" x14ac:dyDescent="0.2">
      <c r="A2532" s="39"/>
      <c r="B2532" s="36"/>
      <c r="C2532" s="37"/>
      <c r="D2532" s="37"/>
      <c r="E2532" s="37"/>
      <c r="F2532" s="37"/>
      <c r="G2532" s="37"/>
      <c r="H2532" s="37"/>
      <c r="I2532" s="35"/>
      <c r="J2532" s="37"/>
    </row>
    <row r="2533" spans="1:10" ht="15.95" customHeight="1" x14ac:dyDescent="0.2">
      <c r="A2533" s="39"/>
      <c r="B2533" s="36"/>
      <c r="C2533" s="37"/>
      <c r="D2533" s="37"/>
      <c r="E2533" s="37"/>
      <c r="F2533" s="37"/>
      <c r="G2533" s="37"/>
      <c r="H2533" s="37"/>
      <c r="I2533" s="35"/>
      <c r="J2533" s="37"/>
    </row>
    <row r="2534" spans="1:10" ht="15.95" customHeight="1" x14ac:dyDescent="0.2">
      <c r="A2534" s="39"/>
      <c r="B2534" s="36"/>
      <c r="C2534" s="37"/>
      <c r="D2534" s="37"/>
      <c r="E2534" s="37"/>
      <c r="F2534" s="37"/>
      <c r="G2534" s="37"/>
      <c r="H2534" s="37"/>
      <c r="I2534" s="35"/>
      <c r="J2534" s="37"/>
    </row>
    <row r="2535" spans="1:10" ht="15.95" customHeight="1" x14ac:dyDescent="0.2">
      <c r="A2535" s="39"/>
      <c r="B2535" s="36"/>
      <c r="C2535" s="37"/>
      <c r="D2535" s="37"/>
      <c r="E2535" s="37"/>
      <c r="F2535" s="37"/>
      <c r="G2535" s="37"/>
      <c r="H2535" s="37"/>
      <c r="I2535" s="35"/>
      <c r="J2535" s="37"/>
    </row>
    <row r="2536" spans="1:10" ht="15.95" customHeight="1" x14ac:dyDescent="0.2">
      <c r="A2536" s="39"/>
      <c r="B2536" s="36"/>
      <c r="C2536" s="37"/>
      <c r="D2536" s="37"/>
      <c r="E2536" s="37"/>
      <c r="F2536" s="37"/>
      <c r="G2536" s="37"/>
      <c r="H2536" s="37"/>
      <c r="I2536" s="35"/>
      <c r="J2536" s="37"/>
    </row>
    <row r="2537" spans="1:10" ht="15.95" customHeight="1" x14ac:dyDescent="0.2">
      <c r="A2537" s="39"/>
      <c r="B2537" s="36"/>
      <c r="C2537" s="37"/>
      <c r="D2537" s="37"/>
      <c r="E2537" s="37"/>
      <c r="F2537" s="37"/>
      <c r="G2537" s="37"/>
      <c r="H2537" s="37"/>
      <c r="I2537" s="35"/>
      <c r="J2537" s="37"/>
    </row>
    <row r="2538" spans="1:10" ht="15.95" customHeight="1" x14ac:dyDescent="0.2">
      <c r="A2538" s="39"/>
      <c r="B2538" s="36"/>
      <c r="C2538" s="37"/>
      <c r="D2538" s="37"/>
      <c r="E2538" s="37"/>
      <c r="F2538" s="37"/>
      <c r="G2538" s="37"/>
      <c r="H2538" s="37"/>
      <c r="I2538" s="35"/>
      <c r="J2538" s="37"/>
    </row>
    <row r="2539" spans="1:10" ht="15.95" customHeight="1" x14ac:dyDescent="0.2">
      <c r="A2539" s="39"/>
      <c r="B2539" s="36"/>
      <c r="C2539" s="37"/>
      <c r="D2539" s="37"/>
      <c r="E2539" s="37"/>
      <c r="F2539" s="37"/>
      <c r="G2539" s="37"/>
      <c r="H2539" s="37"/>
      <c r="I2539" s="35"/>
      <c r="J2539" s="37"/>
    </row>
    <row r="2540" spans="1:10" ht="15.95" customHeight="1" x14ac:dyDescent="0.2">
      <c r="A2540" s="39"/>
      <c r="B2540" s="36"/>
      <c r="C2540" s="37"/>
      <c r="D2540" s="37"/>
      <c r="E2540" s="37"/>
      <c r="F2540" s="37"/>
      <c r="G2540" s="37"/>
      <c r="H2540" s="37"/>
      <c r="I2540" s="35"/>
      <c r="J2540" s="37"/>
    </row>
    <row r="2541" spans="1:10" ht="15.95" customHeight="1" x14ac:dyDescent="0.2">
      <c r="A2541" s="39"/>
      <c r="B2541" s="36"/>
      <c r="C2541" s="37"/>
      <c r="D2541" s="37"/>
      <c r="E2541" s="37"/>
      <c r="F2541" s="37"/>
      <c r="G2541" s="37"/>
      <c r="H2541" s="37"/>
      <c r="I2541" s="35"/>
      <c r="J2541" s="37"/>
    </row>
    <row r="2542" spans="1:10" ht="15.95" customHeight="1" x14ac:dyDescent="0.2">
      <c r="A2542" s="39"/>
      <c r="B2542" s="36"/>
      <c r="C2542" s="37"/>
      <c r="D2542" s="37"/>
      <c r="E2542" s="37"/>
      <c r="F2542" s="37"/>
      <c r="G2542" s="37"/>
      <c r="H2542" s="37"/>
      <c r="I2542" s="35"/>
      <c r="J2542" s="37"/>
    </row>
    <row r="2543" spans="1:10" ht="15.95" customHeight="1" x14ac:dyDescent="0.2">
      <c r="A2543" s="39"/>
      <c r="B2543" s="36"/>
      <c r="C2543" s="37"/>
      <c r="D2543" s="37"/>
      <c r="E2543" s="37"/>
      <c r="F2543" s="37"/>
      <c r="G2543" s="37"/>
      <c r="H2543" s="37"/>
      <c r="I2543" s="35"/>
      <c r="J2543" s="37"/>
    </row>
    <row r="2544" spans="1:10" ht="15.95" customHeight="1" x14ac:dyDescent="0.2">
      <c r="A2544" s="39"/>
      <c r="B2544" s="36"/>
      <c r="C2544" s="37"/>
      <c r="D2544" s="37"/>
      <c r="E2544" s="37"/>
      <c r="F2544" s="37"/>
      <c r="G2544" s="37"/>
      <c r="H2544" s="37"/>
      <c r="I2544" s="35"/>
      <c r="J2544" s="37"/>
    </row>
    <row r="2545" spans="1:10" ht="15.95" customHeight="1" x14ac:dyDescent="0.2">
      <c r="A2545" s="39"/>
      <c r="B2545" s="36"/>
      <c r="C2545" s="37"/>
      <c r="D2545" s="37"/>
      <c r="E2545" s="37"/>
      <c r="F2545" s="37"/>
      <c r="G2545" s="37"/>
      <c r="H2545" s="37"/>
      <c r="I2545" s="35"/>
      <c r="J2545" s="37"/>
    </row>
    <row r="2546" spans="1:10" ht="15.95" customHeight="1" x14ac:dyDescent="0.2">
      <c r="A2546" s="39"/>
      <c r="B2546" s="36"/>
      <c r="C2546" s="37"/>
      <c r="D2546" s="37"/>
      <c r="E2546" s="37"/>
      <c r="F2546" s="37"/>
      <c r="G2546" s="37"/>
      <c r="H2546" s="37"/>
      <c r="I2546" s="35"/>
      <c r="J2546" s="37"/>
    </row>
    <row r="2547" spans="1:10" ht="15.95" customHeight="1" x14ac:dyDescent="0.2">
      <c r="A2547" s="39"/>
      <c r="B2547" s="36"/>
      <c r="C2547" s="37"/>
      <c r="D2547" s="37"/>
      <c r="E2547" s="37"/>
      <c r="F2547" s="37"/>
      <c r="G2547" s="37"/>
      <c r="H2547" s="37"/>
      <c r="I2547" s="35"/>
      <c r="J2547" s="37"/>
    </row>
    <row r="2548" spans="1:10" ht="15.95" customHeight="1" x14ac:dyDescent="0.2">
      <c r="A2548" s="39"/>
      <c r="B2548" s="36"/>
      <c r="C2548" s="37"/>
      <c r="D2548" s="37"/>
      <c r="E2548" s="37"/>
      <c r="F2548" s="37"/>
      <c r="G2548" s="37"/>
      <c r="H2548" s="37"/>
      <c r="I2548" s="35"/>
      <c r="J2548" s="37"/>
    </row>
    <row r="2549" spans="1:10" ht="15.95" customHeight="1" x14ac:dyDescent="0.2">
      <c r="A2549" s="39"/>
      <c r="B2549" s="36"/>
      <c r="C2549" s="37"/>
      <c r="D2549" s="37"/>
      <c r="E2549" s="37"/>
      <c r="F2549" s="37"/>
      <c r="G2549" s="37"/>
      <c r="H2549" s="37"/>
      <c r="I2549" s="35"/>
      <c r="J2549" s="37"/>
    </row>
    <row r="2550" spans="1:10" ht="15.95" customHeight="1" x14ac:dyDescent="0.2">
      <c r="A2550" s="39"/>
      <c r="B2550" s="36"/>
      <c r="C2550" s="37"/>
      <c r="D2550" s="37"/>
      <c r="E2550" s="37"/>
      <c r="F2550" s="37"/>
      <c r="G2550" s="37"/>
      <c r="H2550" s="37"/>
      <c r="I2550" s="35"/>
      <c r="J2550" s="37"/>
    </row>
    <row r="2551" spans="1:10" ht="15.95" customHeight="1" x14ac:dyDescent="0.2">
      <c r="A2551" s="39"/>
      <c r="B2551" s="36"/>
      <c r="C2551" s="37"/>
      <c r="D2551" s="37"/>
      <c r="E2551" s="37"/>
      <c r="F2551" s="37"/>
      <c r="G2551" s="37"/>
      <c r="H2551" s="37"/>
      <c r="I2551" s="35"/>
      <c r="J2551" s="37"/>
    </row>
    <row r="2552" spans="1:10" ht="15.95" customHeight="1" x14ac:dyDescent="0.2">
      <c r="A2552" s="39"/>
      <c r="B2552" s="36"/>
      <c r="C2552" s="37"/>
      <c r="D2552" s="37"/>
      <c r="E2552" s="37"/>
      <c r="F2552" s="37"/>
      <c r="G2552" s="37"/>
      <c r="H2552" s="37"/>
      <c r="I2552" s="35"/>
      <c r="J2552" s="37"/>
    </row>
    <row r="2553" spans="1:10" ht="15.95" customHeight="1" x14ac:dyDescent="0.2">
      <c r="A2553" s="39"/>
      <c r="B2553" s="36"/>
      <c r="C2553" s="37"/>
      <c r="D2553" s="37"/>
      <c r="E2553" s="37"/>
      <c r="F2553" s="37"/>
      <c r="G2553" s="37"/>
      <c r="H2553" s="37"/>
      <c r="I2553" s="35"/>
      <c r="J2553" s="37"/>
    </row>
    <row r="2554" spans="1:10" ht="15.95" customHeight="1" x14ac:dyDescent="0.2">
      <c r="A2554" s="39"/>
      <c r="B2554" s="36"/>
      <c r="C2554" s="37"/>
      <c r="D2554" s="37"/>
      <c r="E2554" s="37"/>
      <c r="F2554" s="37"/>
      <c r="G2554" s="37"/>
      <c r="H2554" s="37"/>
      <c r="I2554" s="35"/>
      <c r="J2554" s="37"/>
    </row>
    <row r="2555" spans="1:10" ht="15.95" customHeight="1" x14ac:dyDescent="0.2">
      <c r="A2555" s="39"/>
      <c r="B2555" s="36"/>
      <c r="C2555" s="37"/>
      <c r="D2555" s="37"/>
      <c r="E2555" s="37"/>
      <c r="F2555" s="37"/>
      <c r="G2555" s="37"/>
      <c r="H2555" s="37"/>
      <c r="I2555" s="35"/>
      <c r="J2555" s="37"/>
    </row>
    <row r="2556" spans="1:10" ht="15.95" customHeight="1" x14ac:dyDescent="0.2">
      <c r="A2556" s="39"/>
      <c r="B2556" s="36"/>
      <c r="C2556" s="37"/>
      <c r="D2556" s="37"/>
      <c r="E2556" s="37"/>
      <c r="F2556" s="37"/>
      <c r="G2556" s="37"/>
      <c r="H2556" s="37"/>
      <c r="I2556" s="35"/>
      <c r="J2556" s="37"/>
    </row>
    <row r="2557" spans="1:10" ht="15.95" customHeight="1" x14ac:dyDescent="0.2">
      <c r="A2557" s="39"/>
      <c r="B2557" s="36"/>
      <c r="C2557" s="37"/>
      <c r="D2557" s="37"/>
      <c r="E2557" s="37"/>
      <c r="F2557" s="37"/>
      <c r="G2557" s="37"/>
      <c r="H2557" s="37"/>
      <c r="I2557" s="35"/>
      <c r="J2557" s="37"/>
    </row>
    <row r="2558" spans="1:10" ht="15.95" customHeight="1" x14ac:dyDescent="0.2">
      <c r="A2558" s="39"/>
      <c r="B2558" s="36"/>
      <c r="C2558" s="37"/>
      <c r="D2558" s="37"/>
      <c r="E2558" s="37"/>
      <c r="F2558" s="37"/>
      <c r="G2558" s="37"/>
      <c r="H2558" s="37"/>
      <c r="I2558" s="35"/>
      <c r="J2558" s="37"/>
    </row>
    <row r="2559" spans="1:10" ht="15.95" customHeight="1" x14ac:dyDescent="0.2">
      <c r="A2559" s="39"/>
      <c r="B2559" s="36"/>
      <c r="C2559" s="37"/>
      <c r="D2559" s="37"/>
      <c r="E2559" s="37"/>
      <c r="F2559" s="37"/>
      <c r="G2559" s="37"/>
      <c r="H2559" s="37"/>
      <c r="I2559" s="35"/>
      <c r="J2559" s="37"/>
    </row>
    <row r="2560" spans="1:10" ht="15.95" customHeight="1" x14ac:dyDescent="0.2">
      <c r="A2560" s="39"/>
      <c r="B2560" s="36"/>
      <c r="C2560" s="37"/>
      <c r="D2560" s="37"/>
      <c r="E2560" s="37"/>
      <c r="F2560" s="37"/>
      <c r="G2560" s="37"/>
      <c r="H2560" s="37"/>
      <c r="I2560" s="35"/>
      <c r="J2560" s="37"/>
    </row>
    <row r="2561" spans="1:10" ht="15.95" customHeight="1" x14ac:dyDescent="0.2">
      <c r="A2561" s="39"/>
      <c r="B2561" s="36"/>
      <c r="C2561" s="37"/>
      <c r="D2561" s="37"/>
      <c r="E2561" s="37"/>
      <c r="F2561" s="37"/>
      <c r="G2561" s="37"/>
      <c r="H2561" s="37"/>
      <c r="I2561" s="35"/>
      <c r="J2561" s="37"/>
    </row>
    <row r="2562" spans="1:10" ht="15.95" customHeight="1" x14ac:dyDescent="0.2">
      <c r="A2562" s="39"/>
      <c r="B2562" s="36"/>
      <c r="C2562" s="37"/>
      <c r="D2562" s="37"/>
      <c r="E2562" s="37"/>
      <c r="F2562" s="37"/>
      <c r="G2562" s="37"/>
      <c r="H2562" s="37"/>
      <c r="I2562" s="35"/>
      <c r="J2562" s="37"/>
    </row>
    <row r="2563" spans="1:10" ht="15.95" customHeight="1" x14ac:dyDescent="0.2">
      <c r="A2563" s="39"/>
      <c r="B2563" s="36"/>
      <c r="C2563" s="37"/>
      <c r="D2563" s="37"/>
      <c r="E2563" s="37"/>
      <c r="F2563" s="37"/>
      <c r="G2563" s="37"/>
      <c r="H2563" s="37"/>
      <c r="I2563" s="35"/>
      <c r="J2563" s="37"/>
    </row>
    <row r="2564" spans="1:10" ht="15.95" customHeight="1" x14ac:dyDescent="0.2">
      <c r="A2564" s="39"/>
      <c r="B2564" s="36"/>
      <c r="C2564" s="37"/>
      <c r="D2564" s="37"/>
      <c r="E2564" s="37"/>
      <c r="F2564" s="37"/>
      <c r="G2564" s="37"/>
      <c r="H2564" s="37"/>
      <c r="I2564" s="35"/>
      <c r="J2564" s="37"/>
    </row>
    <row r="2565" spans="1:10" ht="15.95" customHeight="1" x14ac:dyDescent="0.2">
      <c r="A2565" s="39"/>
      <c r="B2565" s="36"/>
      <c r="C2565" s="37"/>
      <c r="D2565" s="37"/>
      <c r="E2565" s="37"/>
      <c r="F2565" s="37"/>
      <c r="G2565" s="37"/>
      <c r="H2565" s="37"/>
      <c r="I2565" s="35"/>
      <c r="J2565" s="37"/>
    </row>
    <row r="2566" spans="1:10" ht="15.95" customHeight="1" x14ac:dyDescent="0.2">
      <c r="A2566" s="39"/>
      <c r="B2566" s="36"/>
      <c r="C2566" s="37"/>
      <c r="D2566" s="37"/>
      <c r="E2566" s="37"/>
      <c r="F2566" s="37"/>
      <c r="G2566" s="37"/>
      <c r="H2566" s="37"/>
      <c r="I2566" s="35"/>
      <c r="J2566" s="37"/>
    </row>
    <row r="2567" spans="1:10" ht="15.95" customHeight="1" x14ac:dyDescent="0.2">
      <c r="A2567" s="39"/>
      <c r="B2567" s="36"/>
      <c r="C2567" s="37"/>
      <c r="D2567" s="37"/>
      <c r="E2567" s="37"/>
      <c r="F2567" s="37"/>
      <c r="G2567" s="37"/>
      <c r="H2567" s="37"/>
      <c r="I2567" s="35"/>
      <c r="J2567" s="37"/>
    </row>
    <row r="2568" spans="1:10" ht="15.95" customHeight="1" x14ac:dyDescent="0.2">
      <c r="A2568" s="39"/>
      <c r="B2568" s="36"/>
      <c r="C2568" s="37"/>
      <c r="D2568" s="37"/>
      <c r="E2568" s="37"/>
      <c r="F2568" s="37"/>
      <c r="G2568" s="37"/>
      <c r="H2568" s="37"/>
      <c r="I2568" s="35"/>
      <c r="J2568" s="37"/>
    </row>
    <row r="2569" spans="1:10" ht="15.95" customHeight="1" x14ac:dyDescent="0.2">
      <c r="A2569" s="39"/>
      <c r="B2569" s="36"/>
      <c r="C2569" s="37"/>
      <c r="D2569" s="37"/>
      <c r="E2569" s="37"/>
      <c r="F2569" s="37"/>
      <c r="G2569" s="37"/>
      <c r="H2569" s="37"/>
      <c r="I2569" s="35"/>
      <c r="J2569" s="37"/>
    </row>
    <row r="2570" spans="1:10" ht="15.95" customHeight="1" x14ac:dyDescent="0.2">
      <c r="A2570" s="39"/>
      <c r="B2570" s="36"/>
      <c r="C2570" s="37"/>
      <c r="D2570" s="37"/>
      <c r="E2570" s="37"/>
      <c r="F2570" s="37"/>
      <c r="G2570" s="37"/>
      <c r="H2570" s="37"/>
      <c r="I2570" s="35"/>
      <c r="J2570" s="37"/>
    </row>
    <row r="2571" spans="1:10" ht="15.95" customHeight="1" x14ac:dyDescent="0.2">
      <c r="A2571" s="39"/>
      <c r="B2571" s="36"/>
      <c r="C2571" s="37"/>
      <c r="D2571" s="37"/>
      <c r="E2571" s="37"/>
      <c r="F2571" s="37"/>
      <c r="G2571" s="37"/>
      <c r="H2571" s="37"/>
      <c r="I2571" s="35"/>
      <c r="J2571" s="37"/>
    </row>
    <row r="2572" spans="1:10" ht="15.95" customHeight="1" x14ac:dyDescent="0.2">
      <c r="A2572" s="39"/>
      <c r="B2572" s="36"/>
      <c r="C2572" s="37"/>
      <c r="D2572" s="37"/>
      <c r="E2572" s="37"/>
      <c r="F2572" s="37"/>
      <c r="G2572" s="37"/>
      <c r="H2572" s="37"/>
      <c r="I2572" s="35"/>
      <c r="J2572" s="37"/>
    </row>
    <row r="2573" spans="1:10" ht="15.95" customHeight="1" x14ac:dyDescent="0.2">
      <c r="A2573" s="39"/>
      <c r="B2573" s="36"/>
      <c r="C2573" s="37"/>
      <c r="D2573" s="37"/>
      <c r="E2573" s="37"/>
      <c r="F2573" s="37"/>
      <c r="G2573" s="37"/>
      <c r="H2573" s="37"/>
      <c r="I2573" s="35"/>
      <c r="J2573" s="37"/>
    </row>
    <row r="2574" spans="1:10" ht="15.95" customHeight="1" x14ac:dyDescent="0.2">
      <c r="A2574" s="39"/>
      <c r="B2574" s="36"/>
      <c r="C2574" s="37"/>
      <c r="D2574" s="37"/>
      <c r="E2574" s="37"/>
      <c r="F2574" s="37"/>
      <c r="G2574" s="37"/>
      <c r="H2574" s="37"/>
      <c r="I2574" s="35"/>
      <c r="J2574" s="37"/>
    </row>
    <row r="2575" spans="1:10" ht="15.95" customHeight="1" x14ac:dyDescent="0.2">
      <c r="A2575" s="39"/>
      <c r="B2575" s="36"/>
      <c r="C2575" s="37"/>
      <c r="D2575" s="37"/>
      <c r="E2575" s="37"/>
      <c r="F2575" s="37"/>
      <c r="G2575" s="37"/>
      <c r="H2575" s="37"/>
      <c r="I2575" s="35"/>
      <c r="J2575" s="37"/>
    </row>
    <row r="2576" spans="1:10" ht="15.95" customHeight="1" x14ac:dyDescent="0.2">
      <c r="A2576" s="39"/>
      <c r="B2576" s="36"/>
      <c r="C2576" s="37"/>
      <c r="D2576" s="37"/>
      <c r="E2576" s="37"/>
      <c r="F2576" s="37"/>
      <c r="G2576" s="37"/>
      <c r="H2576" s="37"/>
      <c r="I2576" s="35"/>
      <c r="J2576" s="37"/>
    </row>
    <row r="2577" spans="1:10" ht="15.95" customHeight="1" x14ac:dyDescent="0.2">
      <c r="A2577" s="39"/>
      <c r="B2577" s="36"/>
      <c r="C2577" s="37"/>
      <c r="D2577" s="37"/>
      <c r="E2577" s="37"/>
      <c r="F2577" s="37"/>
      <c r="G2577" s="37"/>
      <c r="H2577" s="37"/>
      <c r="I2577" s="35"/>
      <c r="J2577" s="37"/>
    </row>
    <row r="2578" spans="1:10" ht="15.95" customHeight="1" x14ac:dyDescent="0.2">
      <c r="A2578" s="39"/>
      <c r="B2578" s="36"/>
      <c r="C2578" s="37"/>
      <c r="D2578" s="37"/>
      <c r="E2578" s="37"/>
      <c r="F2578" s="37"/>
      <c r="G2578" s="37"/>
      <c r="H2578" s="37"/>
      <c r="I2578" s="35"/>
      <c r="J2578" s="37"/>
    </row>
    <row r="2579" spans="1:10" ht="15.95" customHeight="1" x14ac:dyDescent="0.2">
      <c r="A2579" s="39"/>
      <c r="B2579" s="36"/>
      <c r="C2579" s="37"/>
      <c r="D2579" s="37"/>
      <c r="E2579" s="37"/>
      <c r="F2579" s="37"/>
      <c r="G2579" s="37"/>
      <c r="H2579" s="37"/>
      <c r="I2579" s="35"/>
      <c r="J2579" s="37"/>
    </row>
    <row r="2580" spans="1:10" ht="15.95" customHeight="1" x14ac:dyDescent="0.2">
      <c r="A2580" s="39"/>
      <c r="B2580" s="36"/>
      <c r="C2580" s="37"/>
      <c r="D2580" s="37"/>
      <c r="E2580" s="37"/>
      <c r="F2580" s="37"/>
      <c r="G2580" s="37"/>
      <c r="H2580" s="37"/>
      <c r="I2580" s="35"/>
      <c r="J2580" s="37"/>
    </row>
    <row r="2581" spans="1:10" ht="15.95" customHeight="1" x14ac:dyDescent="0.2">
      <c r="A2581" s="39"/>
      <c r="B2581" s="36"/>
      <c r="C2581" s="37"/>
      <c r="D2581" s="37"/>
      <c r="E2581" s="37"/>
      <c r="F2581" s="37"/>
      <c r="G2581" s="37"/>
      <c r="H2581" s="37"/>
      <c r="I2581" s="35"/>
      <c r="J2581" s="37"/>
    </row>
    <row r="2582" spans="1:10" ht="15.95" customHeight="1" x14ac:dyDescent="0.2">
      <c r="A2582" s="39"/>
      <c r="B2582" s="36"/>
      <c r="C2582" s="37"/>
      <c r="D2582" s="37"/>
      <c r="E2582" s="37"/>
      <c r="F2582" s="37"/>
      <c r="G2582" s="37"/>
      <c r="H2582" s="37"/>
      <c r="I2582" s="35"/>
      <c r="J2582" s="37"/>
    </row>
    <row r="2583" spans="1:10" ht="15.95" customHeight="1" x14ac:dyDescent="0.2">
      <c r="A2583" s="39"/>
      <c r="B2583" s="36"/>
      <c r="C2583" s="37"/>
      <c r="D2583" s="37"/>
      <c r="E2583" s="37"/>
      <c r="F2583" s="37"/>
      <c r="G2583" s="37"/>
      <c r="H2583" s="37"/>
      <c r="I2583" s="35"/>
      <c r="J2583" s="37"/>
    </row>
    <row r="2584" spans="1:10" ht="15.95" customHeight="1" x14ac:dyDescent="0.2">
      <c r="A2584" s="39"/>
      <c r="B2584" s="36"/>
      <c r="C2584" s="37"/>
      <c r="D2584" s="37"/>
      <c r="E2584" s="37"/>
      <c r="F2584" s="37"/>
      <c r="G2584" s="37"/>
      <c r="H2584" s="37"/>
      <c r="I2584" s="35"/>
      <c r="J2584" s="37"/>
    </row>
    <row r="2585" spans="1:10" ht="15.95" customHeight="1" x14ac:dyDescent="0.2">
      <c r="A2585" s="39"/>
      <c r="B2585" s="36"/>
      <c r="C2585" s="37"/>
      <c r="D2585" s="37"/>
      <c r="E2585" s="37"/>
      <c r="F2585" s="37"/>
      <c r="G2585" s="37"/>
      <c r="H2585" s="37"/>
      <c r="I2585" s="35"/>
      <c r="J2585" s="37"/>
    </row>
    <row r="2586" spans="1:10" ht="15.95" customHeight="1" x14ac:dyDescent="0.2">
      <c r="A2586" s="39"/>
      <c r="B2586" s="36"/>
      <c r="C2586" s="37"/>
      <c r="D2586" s="37"/>
      <c r="E2586" s="37"/>
      <c r="F2586" s="37"/>
      <c r="G2586" s="37"/>
      <c r="H2586" s="37"/>
      <c r="I2586" s="35"/>
      <c r="J2586" s="37"/>
    </row>
    <row r="2587" spans="1:10" ht="15.95" customHeight="1" x14ac:dyDescent="0.2">
      <c r="A2587" s="39"/>
      <c r="B2587" s="36"/>
      <c r="C2587" s="37"/>
      <c r="D2587" s="37"/>
      <c r="E2587" s="37"/>
      <c r="F2587" s="37"/>
      <c r="G2587" s="37"/>
      <c r="H2587" s="37"/>
      <c r="I2587" s="35"/>
      <c r="J2587" s="37"/>
    </row>
    <row r="2588" spans="1:10" ht="15.95" customHeight="1" x14ac:dyDescent="0.2">
      <c r="A2588" s="39"/>
      <c r="B2588" s="36"/>
      <c r="C2588" s="37"/>
      <c r="D2588" s="37"/>
      <c r="E2588" s="37"/>
      <c r="F2588" s="37"/>
      <c r="G2588" s="37"/>
      <c r="H2588" s="37"/>
      <c r="I2588" s="35"/>
      <c r="J2588" s="37"/>
    </row>
    <row r="2589" spans="1:10" ht="15.95" customHeight="1" x14ac:dyDescent="0.2">
      <c r="A2589" s="39"/>
      <c r="B2589" s="36"/>
      <c r="C2589" s="37"/>
      <c r="D2589" s="37"/>
      <c r="E2589" s="37"/>
      <c r="F2589" s="37"/>
      <c r="G2589" s="37"/>
      <c r="H2589" s="37"/>
      <c r="I2589" s="35"/>
      <c r="J2589" s="37"/>
    </row>
    <row r="2590" spans="1:10" ht="15.95" customHeight="1" x14ac:dyDescent="0.2">
      <c r="A2590" s="39"/>
      <c r="B2590" s="36"/>
      <c r="C2590" s="37"/>
      <c r="D2590" s="37"/>
      <c r="E2590" s="37"/>
      <c r="F2590" s="37"/>
      <c r="G2590" s="37"/>
      <c r="H2590" s="37"/>
      <c r="I2590" s="35"/>
      <c r="J2590" s="37"/>
    </row>
    <row r="2591" spans="1:10" ht="15.95" customHeight="1" x14ac:dyDescent="0.2">
      <c r="A2591" s="39"/>
      <c r="B2591" s="36"/>
      <c r="C2591" s="37"/>
      <c r="D2591" s="37"/>
      <c r="E2591" s="37"/>
      <c r="F2591" s="37"/>
      <c r="G2591" s="37"/>
      <c r="H2591" s="37"/>
      <c r="I2591" s="35"/>
      <c r="J2591" s="37"/>
    </row>
    <row r="2592" spans="1:10" ht="15.95" customHeight="1" x14ac:dyDescent="0.2">
      <c r="A2592" s="39"/>
      <c r="B2592" s="36"/>
      <c r="C2592" s="37"/>
      <c r="D2592" s="37"/>
      <c r="E2592" s="37"/>
      <c r="F2592" s="37"/>
      <c r="G2592" s="37"/>
      <c r="H2592" s="37"/>
      <c r="I2592" s="35"/>
      <c r="J2592" s="37"/>
    </row>
    <row r="2593" spans="1:10" ht="15.95" customHeight="1" x14ac:dyDescent="0.2">
      <c r="A2593" s="39"/>
      <c r="B2593" s="36"/>
      <c r="C2593" s="37"/>
      <c r="D2593" s="37"/>
      <c r="E2593" s="37"/>
      <c r="F2593" s="37"/>
      <c r="G2593" s="37"/>
      <c r="H2593" s="37"/>
      <c r="I2593" s="35"/>
      <c r="J2593" s="37"/>
    </row>
    <row r="2594" spans="1:10" ht="15.95" customHeight="1" x14ac:dyDescent="0.2">
      <c r="A2594" s="39"/>
      <c r="B2594" s="36"/>
      <c r="C2594" s="37"/>
      <c r="D2594" s="37"/>
      <c r="E2594" s="37"/>
      <c r="F2594" s="37"/>
      <c r="G2594" s="37"/>
      <c r="H2594" s="37"/>
      <c r="I2594" s="35"/>
      <c r="J2594" s="37"/>
    </row>
    <row r="2595" spans="1:10" ht="15.95" customHeight="1" x14ac:dyDescent="0.2">
      <c r="A2595" s="39"/>
      <c r="B2595" s="36"/>
      <c r="C2595" s="37"/>
      <c r="D2595" s="37"/>
      <c r="E2595" s="37"/>
      <c r="F2595" s="37"/>
      <c r="G2595" s="37"/>
      <c r="H2595" s="37"/>
      <c r="I2595" s="35"/>
      <c r="J2595" s="37"/>
    </row>
    <row r="2596" spans="1:10" ht="15.95" customHeight="1" x14ac:dyDescent="0.2">
      <c r="A2596" s="39"/>
      <c r="B2596" s="36"/>
      <c r="C2596" s="37"/>
      <c r="D2596" s="37"/>
      <c r="E2596" s="37"/>
      <c r="F2596" s="37"/>
      <c r="G2596" s="37"/>
      <c r="H2596" s="37"/>
      <c r="I2596" s="35"/>
      <c r="J2596" s="37"/>
    </row>
    <row r="2597" spans="1:10" ht="15.95" customHeight="1" x14ac:dyDescent="0.2">
      <c r="A2597" s="39"/>
      <c r="B2597" s="36"/>
      <c r="C2597" s="37"/>
      <c r="D2597" s="37"/>
      <c r="E2597" s="37"/>
      <c r="F2597" s="37"/>
      <c r="G2597" s="37"/>
      <c r="H2597" s="37"/>
      <c r="I2597" s="35"/>
      <c r="J2597" s="37"/>
    </row>
    <row r="2598" spans="1:10" ht="15.95" customHeight="1" x14ac:dyDescent="0.2">
      <c r="A2598" s="39"/>
      <c r="B2598" s="36"/>
      <c r="C2598" s="37"/>
      <c r="D2598" s="37"/>
      <c r="E2598" s="37"/>
      <c r="F2598" s="37"/>
      <c r="G2598" s="37"/>
      <c r="H2598" s="37"/>
      <c r="I2598" s="35"/>
      <c r="J2598" s="37"/>
    </row>
    <row r="2599" spans="1:10" ht="15.95" customHeight="1" x14ac:dyDescent="0.2">
      <c r="A2599" s="39"/>
      <c r="B2599" s="36"/>
      <c r="C2599" s="37"/>
      <c r="D2599" s="37"/>
      <c r="E2599" s="37"/>
      <c r="F2599" s="37"/>
      <c r="G2599" s="37"/>
      <c r="H2599" s="37"/>
      <c r="I2599" s="35"/>
      <c r="J2599" s="37"/>
    </row>
    <row r="2600" spans="1:10" ht="15.95" customHeight="1" x14ac:dyDescent="0.2">
      <c r="A2600" s="39"/>
      <c r="B2600" s="36"/>
      <c r="C2600" s="37"/>
      <c r="D2600" s="37"/>
      <c r="E2600" s="37"/>
      <c r="F2600" s="37"/>
      <c r="G2600" s="37"/>
      <c r="H2600" s="37"/>
      <c r="I2600" s="35"/>
      <c r="J2600" s="37"/>
    </row>
    <row r="2601" spans="1:10" ht="15.95" customHeight="1" x14ac:dyDescent="0.2">
      <c r="A2601" s="39"/>
      <c r="B2601" s="36"/>
      <c r="C2601" s="37"/>
      <c r="D2601" s="37"/>
      <c r="E2601" s="37"/>
      <c r="F2601" s="37"/>
      <c r="G2601" s="37"/>
      <c r="H2601" s="37"/>
      <c r="I2601" s="35"/>
      <c r="J2601" s="37"/>
    </row>
    <row r="2602" spans="1:10" ht="15.95" customHeight="1" x14ac:dyDescent="0.2">
      <c r="A2602" s="39"/>
      <c r="B2602" s="36"/>
      <c r="C2602" s="37"/>
      <c r="D2602" s="37"/>
      <c r="E2602" s="37"/>
      <c r="F2602" s="37"/>
      <c r="G2602" s="37"/>
      <c r="H2602" s="37"/>
      <c r="I2602" s="35"/>
      <c r="J2602" s="37"/>
    </row>
    <row r="2603" spans="1:10" ht="15.95" customHeight="1" x14ac:dyDescent="0.2">
      <c r="A2603" s="39"/>
      <c r="B2603" s="36"/>
      <c r="C2603" s="37"/>
      <c r="D2603" s="37"/>
      <c r="E2603" s="37"/>
      <c r="F2603" s="37"/>
      <c r="G2603" s="37"/>
      <c r="H2603" s="37"/>
      <c r="I2603" s="35"/>
      <c r="J2603" s="37"/>
    </row>
    <row r="2604" spans="1:10" ht="15.95" customHeight="1" x14ac:dyDescent="0.2">
      <c r="A2604" s="39"/>
      <c r="B2604" s="36"/>
      <c r="C2604" s="37"/>
      <c r="D2604" s="37"/>
      <c r="E2604" s="37"/>
      <c r="F2604" s="37"/>
      <c r="G2604" s="37"/>
      <c r="H2604" s="37"/>
      <c r="I2604" s="35"/>
      <c r="J2604" s="37"/>
    </row>
    <row r="2605" spans="1:10" ht="15.95" customHeight="1" x14ac:dyDescent="0.2">
      <c r="A2605" s="39"/>
      <c r="B2605" s="36"/>
      <c r="C2605" s="37"/>
      <c r="D2605" s="37"/>
      <c r="E2605" s="37"/>
      <c r="F2605" s="37"/>
      <c r="G2605" s="37"/>
      <c r="H2605" s="37"/>
      <c r="I2605" s="35"/>
      <c r="J2605" s="37"/>
    </row>
    <row r="2606" spans="1:10" ht="15.95" customHeight="1" x14ac:dyDescent="0.2">
      <c r="A2606" s="39"/>
      <c r="B2606" s="36"/>
      <c r="C2606" s="37"/>
      <c r="D2606" s="37"/>
      <c r="E2606" s="37"/>
      <c r="F2606" s="37"/>
      <c r="G2606" s="37"/>
      <c r="H2606" s="37"/>
      <c r="I2606" s="35"/>
      <c r="J2606" s="37"/>
    </row>
    <row r="2607" spans="1:10" ht="15.95" customHeight="1" x14ac:dyDescent="0.2">
      <c r="A2607" s="39"/>
      <c r="B2607" s="36"/>
      <c r="C2607" s="37"/>
      <c r="D2607" s="37"/>
      <c r="E2607" s="37"/>
      <c r="F2607" s="37"/>
      <c r="G2607" s="37"/>
      <c r="H2607" s="37"/>
      <c r="I2607" s="35"/>
      <c r="J2607" s="37"/>
    </row>
    <row r="2608" spans="1:10" ht="15.95" customHeight="1" x14ac:dyDescent="0.2">
      <c r="A2608" s="39"/>
      <c r="B2608" s="36"/>
      <c r="C2608" s="37"/>
      <c r="D2608" s="37"/>
      <c r="E2608" s="37"/>
      <c r="F2608" s="37"/>
      <c r="G2608" s="37"/>
      <c r="H2608" s="37"/>
      <c r="I2608" s="35"/>
      <c r="J2608" s="37"/>
    </row>
    <row r="2609" spans="1:10" ht="15.95" customHeight="1" x14ac:dyDescent="0.2">
      <c r="A2609" s="39"/>
      <c r="B2609" s="36"/>
      <c r="C2609" s="37"/>
      <c r="D2609" s="37"/>
      <c r="E2609" s="37"/>
      <c r="F2609" s="37"/>
      <c r="G2609" s="37"/>
      <c r="H2609" s="37"/>
      <c r="I2609" s="35"/>
      <c r="J2609" s="37"/>
    </row>
    <row r="2610" spans="1:10" ht="15.95" customHeight="1" x14ac:dyDescent="0.2">
      <c r="A2610" s="39"/>
      <c r="B2610" s="36"/>
      <c r="C2610" s="37"/>
      <c r="D2610" s="37"/>
      <c r="E2610" s="37"/>
      <c r="F2610" s="37"/>
      <c r="G2610" s="37"/>
      <c r="H2610" s="37"/>
      <c r="I2610" s="35"/>
      <c r="J2610" s="37"/>
    </row>
    <row r="2611" spans="1:10" ht="15.95" customHeight="1" x14ac:dyDescent="0.2">
      <c r="A2611" s="39"/>
      <c r="B2611" s="36"/>
      <c r="C2611" s="37"/>
      <c r="D2611" s="37"/>
      <c r="E2611" s="37"/>
      <c r="F2611" s="37"/>
      <c r="G2611" s="37"/>
      <c r="H2611" s="37"/>
      <c r="I2611" s="35"/>
      <c r="J2611" s="37"/>
    </row>
    <row r="2612" spans="1:10" ht="15.95" customHeight="1" x14ac:dyDescent="0.2">
      <c r="A2612" s="39"/>
      <c r="B2612" s="36"/>
      <c r="C2612" s="37"/>
      <c r="D2612" s="37"/>
      <c r="E2612" s="37"/>
      <c r="F2612" s="37"/>
      <c r="G2612" s="37"/>
      <c r="H2612" s="37"/>
      <c r="I2612" s="35"/>
      <c r="J2612" s="37"/>
    </row>
    <row r="2613" spans="1:10" ht="15.95" customHeight="1" x14ac:dyDescent="0.2">
      <c r="A2613" s="39"/>
      <c r="B2613" s="36"/>
      <c r="C2613" s="37"/>
      <c r="D2613" s="37"/>
      <c r="E2613" s="37"/>
      <c r="F2613" s="37"/>
      <c r="G2613" s="37"/>
      <c r="H2613" s="37"/>
      <c r="I2613" s="35"/>
      <c r="J2613" s="37"/>
    </row>
    <row r="2614" spans="1:10" ht="15.95" customHeight="1" x14ac:dyDescent="0.2">
      <c r="A2614" s="39"/>
      <c r="B2614" s="36"/>
      <c r="C2614" s="37"/>
      <c r="D2614" s="37"/>
      <c r="E2614" s="37"/>
      <c r="F2614" s="37"/>
      <c r="G2614" s="37"/>
      <c r="H2614" s="37"/>
      <c r="I2614" s="35"/>
      <c r="J2614" s="37"/>
    </row>
    <row r="2615" spans="1:10" ht="15.95" customHeight="1" x14ac:dyDescent="0.2">
      <c r="A2615" s="39"/>
      <c r="B2615" s="36"/>
      <c r="C2615" s="37"/>
      <c r="D2615" s="37"/>
      <c r="E2615" s="37"/>
      <c r="F2615" s="37"/>
      <c r="G2615" s="37"/>
      <c r="H2615" s="37"/>
      <c r="I2615" s="35"/>
      <c r="J2615" s="37"/>
    </row>
    <row r="2616" spans="1:10" ht="15.95" customHeight="1" x14ac:dyDescent="0.2">
      <c r="A2616" s="39"/>
      <c r="B2616" s="36"/>
      <c r="C2616" s="37"/>
      <c r="D2616" s="37"/>
      <c r="E2616" s="37"/>
      <c r="F2616" s="37"/>
      <c r="G2616" s="37"/>
      <c r="H2616" s="37"/>
      <c r="I2616" s="35"/>
      <c r="J2616" s="37"/>
    </row>
    <row r="2617" spans="1:10" ht="15.95" customHeight="1" x14ac:dyDescent="0.2">
      <c r="A2617" s="39"/>
      <c r="B2617" s="36"/>
      <c r="C2617" s="37"/>
      <c r="D2617" s="37"/>
      <c r="E2617" s="37"/>
      <c r="F2617" s="37"/>
      <c r="G2617" s="37"/>
      <c r="H2617" s="37"/>
      <c r="I2617" s="35"/>
      <c r="J2617" s="37"/>
    </row>
    <row r="2618" spans="1:10" ht="15.95" customHeight="1" x14ac:dyDescent="0.2">
      <c r="A2618" s="39"/>
      <c r="B2618" s="36"/>
      <c r="C2618" s="37"/>
      <c r="D2618" s="37"/>
      <c r="E2618" s="37"/>
      <c r="F2618" s="37"/>
      <c r="G2618" s="37"/>
      <c r="H2618" s="37"/>
      <c r="I2618" s="35"/>
      <c r="J2618" s="37"/>
    </row>
    <row r="2619" spans="1:10" ht="15.95" customHeight="1" x14ac:dyDescent="0.2">
      <c r="A2619" s="39"/>
      <c r="B2619" s="36"/>
      <c r="C2619" s="37"/>
      <c r="D2619" s="37"/>
      <c r="E2619" s="37"/>
      <c r="F2619" s="37"/>
      <c r="G2619" s="37"/>
      <c r="H2619" s="37"/>
      <c r="I2619" s="35"/>
      <c r="J2619" s="37"/>
    </row>
    <row r="2620" spans="1:10" ht="15.95" customHeight="1" x14ac:dyDescent="0.2">
      <c r="A2620" s="39"/>
      <c r="B2620" s="36"/>
      <c r="C2620" s="37"/>
      <c r="D2620" s="37"/>
      <c r="E2620" s="37"/>
      <c r="F2620" s="37"/>
      <c r="G2620" s="37"/>
      <c r="H2620" s="37"/>
      <c r="I2620" s="35"/>
      <c r="J2620" s="37"/>
    </row>
    <row r="2621" spans="1:10" ht="15.95" customHeight="1" x14ac:dyDescent="0.2">
      <c r="A2621" s="39"/>
      <c r="B2621" s="36"/>
      <c r="C2621" s="37"/>
      <c r="D2621" s="37"/>
      <c r="E2621" s="37"/>
      <c r="F2621" s="37"/>
      <c r="G2621" s="37"/>
      <c r="H2621" s="37"/>
      <c r="I2621" s="35"/>
      <c r="J2621" s="37"/>
    </row>
    <row r="2622" spans="1:10" ht="15.95" customHeight="1" x14ac:dyDescent="0.2">
      <c r="A2622" s="39"/>
      <c r="B2622" s="36"/>
      <c r="C2622" s="37"/>
      <c r="D2622" s="37"/>
      <c r="E2622" s="37"/>
      <c r="F2622" s="37"/>
      <c r="G2622" s="37"/>
      <c r="H2622" s="37"/>
      <c r="I2622" s="35"/>
      <c r="J2622" s="37"/>
    </row>
    <row r="2623" spans="1:10" ht="15.95" customHeight="1" x14ac:dyDescent="0.2">
      <c r="A2623" s="39"/>
      <c r="B2623" s="36"/>
      <c r="C2623" s="37"/>
      <c r="D2623" s="37"/>
      <c r="E2623" s="37"/>
      <c r="F2623" s="37"/>
      <c r="G2623" s="37"/>
      <c r="H2623" s="37"/>
      <c r="I2623" s="35"/>
      <c r="J2623" s="37"/>
    </row>
    <row r="2624" spans="1:10" ht="15.95" customHeight="1" x14ac:dyDescent="0.2">
      <c r="A2624" s="39"/>
      <c r="B2624" s="36"/>
      <c r="C2624" s="37"/>
      <c r="D2624" s="37"/>
      <c r="E2624" s="37"/>
      <c r="F2624" s="37"/>
      <c r="G2624" s="37"/>
      <c r="H2624" s="37"/>
      <c r="I2624" s="35"/>
      <c r="J2624" s="37"/>
    </row>
    <row r="2625" spans="1:10" ht="15.95" customHeight="1" x14ac:dyDescent="0.2">
      <c r="A2625" s="39"/>
      <c r="B2625" s="36"/>
      <c r="C2625" s="37"/>
      <c r="D2625" s="37"/>
      <c r="E2625" s="37"/>
      <c r="F2625" s="37"/>
      <c r="G2625" s="37"/>
      <c r="H2625" s="37"/>
      <c r="I2625" s="35"/>
      <c r="J2625" s="37"/>
    </row>
    <row r="2626" spans="1:10" ht="15.95" customHeight="1" x14ac:dyDescent="0.2">
      <c r="A2626" s="39"/>
      <c r="B2626" s="36"/>
      <c r="C2626" s="37"/>
      <c r="D2626" s="37"/>
      <c r="E2626" s="37"/>
      <c r="F2626" s="37"/>
      <c r="G2626" s="37"/>
      <c r="H2626" s="37"/>
      <c r="I2626" s="35"/>
      <c r="J2626" s="37"/>
    </row>
    <row r="2627" spans="1:10" ht="15.95" customHeight="1" x14ac:dyDescent="0.2">
      <c r="A2627" s="39"/>
      <c r="B2627" s="36"/>
      <c r="C2627" s="37"/>
      <c r="D2627" s="37"/>
      <c r="E2627" s="37"/>
      <c r="F2627" s="37"/>
      <c r="G2627" s="37"/>
      <c r="H2627" s="37"/>
      <c r="I2627" s="35"/>
      <c r="J2627" s="37"/>
    </row>
    <row r="2628" spans="1:10" ht="15.95" customHeight="1" x14ac:dyDescent="0.2">
      <c r="A2628" s="39"/>
      <c r="B2628" s="36"/>
      <c r="C2628" s="37"/>
      <c r="D2628" s="37"/>
      <c r="E2628" s="37"/>
      <c r="F2628" s="37"/>
      <c r="G2628" s="37"/>
      <c r="H2628" s="37"/>
      <c r="I2628" s="35"/>
      <c r="J2628" s="37"/>
    </row>
    <row r="2629" spans="1:10" ht="15.95" customHeight="1" x14ac:dyDescent="0.2">
      <c r="A2629" s="39"/>
      <c r="B2629" s="36"/>
      <c r="C2629" s="37"/>
      <c r="D2629" s="37"/>
      <c r="E2629" s="37"/>
      <c r="F2629" s="37"/>
      <c r="G2629" s="37"/>
      <c r="H2629" s="37"/>
      <c r="I2629" s="35"/>
      <c r="J2629" s="37"/>
    </row>
    <row r="2630" spans="1:10" ht="15.95" customHeight="1" x14ac:dyDescent="0.2">
      <c r="A2630" s="39"/>
      <c r="B2630" s="36"/>
      <c r="C2630" s="37"/>
      <c r="D2630" s="37"/>
      <c r="E2630" s="37"/>
      <c r="F2630" s="37"/>
      <c r="G2630" s="37"/>
      <c r="H2630" s="37"/>
      <c r="I2630" s="35"/>
      <c r="J2630" s="37"/>
    </row>
    <row r="2631" spans="1:10" ht="15.95" customHeight="1" x14ac:dyDescent="0.2">
      <c r="A2631" s="39"/>
      <c r="B2631" s="36"/>
      <c r="C2631" s="37"/>
      <c r="D2631" s="37"/>
      <c r="E2631" s="37"/>
      <c r="F2631" s="37"/>
      <c r="G2631" s="37"/>
      <c r="H2631" s="37"/>
      <c r="I2631" s="35"/>
      <c r="J2631" s="37"/>
    </row>
    <row r="2632" spans="1:10" ht="15.95" customHeight="1" x14ac:dyDescent="0.2">
      <c r="A2632" s="39"/>
      <c r="B2632" s="36"/>
      <c r="C2632" s="37"/>
      <c r="D2632" s="37"/>
      <c r="E2632" s="37"/>
      <c r="F2632" s="37"/>
      <c r="G2632" s="37"/>
      <c r="H2632" s="37"/>
      <c r="I2632" s="35"/>
      <c r="J2632" s="37"/>
    </row>
    <row r="2633" spans="1:10" ht="15.95" customHeight="1" x14ac:dyDescent="0.2">
      <c r="A2633" s="39"/>
      <c r="B2633" s="36"/>
      <c r="C2633" s="37"/>
      <c r="D2633" s="37"/>
      <c r="E2633" s="37"/>
      <c r="F2633" s="37"/>
      <c r="G2633" s="37"/>
      <c r="H2633" s="37"/>
      <c r="I2633" s="35"/>
      <c r="J2633" s="37"/>
    </row>
    <row r="2634" spans="1:10" ht="15.95" customHeight="1" x14ac:dyDescent="0.2">
      <c r="A2634" s="39"/>
      <c r="B2634" s="36"/>
      <c r="C2634" s="37"/>
      <c r="D2634" s="37"/>
      <c r="E2634" s="37"/>
      <c r="F2634" s="37"/>
      <c r="G2634" s="37"/>
      <c r="H2634" s="37"/>
      <c r="I2634" s="35"/>
      <c r="J2634" s="37"/>
    </row>
    <row r="2635" spans="1:10" ht="15.95" customHeight="1" x14ac:dyDescent="0.2">
      <c r="A2635" s="39"/>
      <c r="B2635" s="36"/>
      <c r="C2635" s="37"/>
      <c r="D2635" s="37"/>
      <c r="E2635" s="37"/>
      <c r="F2635" s="37"/>
      <c r="G2635" s="37"/>
      <c r="H2635" s="37"/>
      <c r="I2635" s="35"/>
      <c r="J2635" s="37"/>
    </row>
    <row r="2636" spans="1:10" ht="15.95" customHeight="1" x14ac:dyDescent="0.2">
      <c r="A2636" s="39"/>
      <c r="B2636" s="36"/>
      <c r="C2636" s="37"/>
      <c r="D2636" s="37"/>
      <c r="E2636" s="37"/>
      <c r="F2636" s="37"/>
      <c r="G2636" s="37"/>
      <c r="H2636" s="37"/>
      <c r="I2636" s="35"/>
      <c r="J2636" s="37"/>
    </row>
    <row r="2637" spans="1:10" ht="15.95" customHeight="1" x14ac:dyDescent="0.2">
      <c r="A2637" s="39"/>
      <c r="B2637" s="36"/>
      <c r="C2637" s="37"/>
      <c r="D2637" s="37"/>
      <c r="E2637" s="37"/>
      <c r="F2637" s="37"/>
      <c r="G2637" s="37"/>
      <c r="H2637" s="37"/>
      <c r="I2637" s="35"/>
      <c r="J2637" s="37"/>
    </row>
    <row r="2638" spans="1:10" ht="15.95" customHeight="1" x14ac:dyDescent="0.2">
      <c r="A2638" s="39"/>
      <c r="B2638" s="36"/>
      <c r="C2638" s="37"/>
      <c r="D2638" s="37"/>
      <c r="E2638" s="37"/>
      <c r="F2638" s="37"/>
      <c r="G2638" s="37"/>
      <c r="H2638" s="37"/>
      <c r="I2638" s="35"/>
      <c r="J2638" s="37"/>
    </row>
    <row r="2639" spans="1:10" ht="15.95" customHeight="1" x14ac:dyDescent="0.2">
      <c r="A2639" s="39"/>
      <c r="B2639" s="36"/>
      <c r="C2639" s="37"/>
      <c r="D2639" s="37"/>
      <c r="E2639" s="37"/>
      <c r="F2639" s="37"/>
      <c r="G2639" s="37"/>
      <c r="H2639" s="37"/>
      <c r="I2639" s="35"/>
      <c r="J2639" s="37"/>
    </row>
    <row r="2640" spans="1:10" ht="15.95" customHeight="1" x14ac:dyDescent="0.2">
      <c r="A2640" s="39"/>
      <c r="B2640" s="36"/>
      <c r="C2640" s="37"/>
      <c r="D2640" s="37"/>
      <c r="E2640" s="37"/>
      <c r="F2640" s="37"/>
      <c r="G2640" s="37"/>
      <c r="H2640" s="37"/>
      <c r="I2640" s="35"/>
      <c r="J2640" s="37"/>
    </row>
    <row r="2641" spans="1:10" ht="15.95" customHeight="1" x14ac:dyDescent="0.2">
      <c r="A2641" s="39"/>
      <c r="B2641" s="36"/>
      <c r="C2641" s="37"/>
      <c r="D2641" s="37"/>
      <c r="E2641" s="37"/>
      <c r="F2641" s="37"/>
      <c r="G2641" s="37"/>
      <c r="H2641" s="37"/>
      <c r="I2641" s="35"/>
      <c r="J2641" s="37"/>
    </row>
    <row r="2642" spans="1:10" ht="15.95" customHeight="1" x14ac:dyDescent="0.2">
      <c r="A2642" s="39"/>
      <c r="B2642" s="36"/>
      <c r="C2642" s="37"/>
      <c r="D2642" s="37"/>
      <c r="E2642" s="37"/>
      <c r="F2642" s="37"/>
      <c r="G2642" s="37"/>
      <c r="H2642" s="37"/>
      <c r="I2642" s="35"/>
      <c r="J2642" s="37"/>
    </row>
    <row r="2643" spans="1:10" ht="15.95" customHeight="1" x14ac:dyDescent="0.2">
      <c r="A2643" s="39"/>
      <c r="B2643" s="36"/>
      <c r="C2643" s="37"/>
      <c r="D2643" s="37"/>
      <c r="E2643" s="37"/>
      <c r="F2643" s="37"/>
      <c r="G2643" s="37"/>
      <c r="H2643" s="37"/>
      <c r="I2643" s="35"/>
      <c r="J2643" s="37"/>
    </row>
    <row r="2644" spans="1:10" ht="15.95" customHeight="1" x14ac:dyDescent="0.2">
      <c r="A2644" s="39"/>
      <c r="B2644" s="36"/>
      <c r="C2644" s="37"/>
      <c r="D2644" s="37"/>
      <c r="E2644" s="37"/>
      <c r="F2644" s="37"/>
      <c r="G2644" s="37"/>
      <c r="H2644" s="37"/>
      <c r="I2644" s="35"/>
      <c r="J2644" s="37"/>
    </row>
    <row r="2645" spans="1:10" ht="15.95" customHeight="1" x14ac:dyDescent="0.2">
      <c r="A2645" s="39"/>
      <c r="B2645" s="36"/>
      <c r="C2645" s="37"/>
      <c r="D2645" s="37"/>
      <c r="E2645" s="37"/>
      <c r="F2645" s="37"/>
      <c r="G2645" s="37"/>
      <c r="H2645" s="37"/>
      <c r="I2645" s="35"/>
      <c r="J2645" s="37"/>
    </row>
    <row r="2646" spans="1:10" ht="15.95" customHeight="1" x14ac:dyDescent="0.2">
      <c r="A2646" s="39"/>
      <c r="B2646" s="36"/>
      <c r="C2646" s="37"/>
      <c r="D2646" s="37"/>
      <c r="E2646" s="37"/>
      <c r="F2646" s="37"/>
      <c r="G2646" s="37"/>
      <c r="H2646" s="37"/>
      <c r="I2646" s="35"/>
      <c r="J2646" s="37"/>
    </row>
    <row r="2647" spans="1:10" ht="15.95" customHeight="1" x14ac:dyDescent="0.2">
      <c r="A2647" s="39"/>
      <c r="B2647" s="36"/>
      <c r="C2647" s="37"/>
      <c r="D2647" s="37"/>
      <c r="E2647" s="37"/>
      <c r="F2647" s="37"/>
      <c r="G2647" s="37"/>
      <c r="H2647" s="37"/>
      <c r="I2647" s="35"/>
      <c r="J2647" s="37"/>
    </row>
    <row r="2648" spans="1:10" ht="15.95" customHeight="1" x14ac:dyDescent="0.2">
      <c r="A2648" s="39"/>
      <c r="B2648" s="36"/>
      <c r="C2648" s="37"/>
      <c r="D2648" s="37"/>
      <c r="E2648" s="37"/>
      <c r="F2648" s="37"/>
      <c r="G2648" s="37"/>
      <c r="H2648" s="37"/>
      <c r="I2648" s="35"/>
      <c r="J2648" s="37"/>
    </row>
    <row r="2649" spans="1:10" ht="15.95" customHeight="1" x14ac:dyDescent="0.2">
      <c r="A2649" s="39"/>
      <c r="B2649" s="36"/>
      <c r="C2649" s="37"/>
      <c r="D2649" s="37"/>
      <c r="E2649" s="37"/>
      <c r="F2649" s="37"/>
      <c r="G2649" s="37"/>
      <c r="H2649" s="37"/>
      <c r="I2649" s="35"/>
      <c r="J2649" s="37"/>
    </row>
    <row r="2650" spans="1:10" ht="15.95" customHeight="1" x14ac:dyDescent="0.2">
      <c r="A2650" s="39"/>
      <c r="B2650" s="36"/>
      <c r="C2650" s="37"/>
      <c r="D2650" s="37"/>
      <c r="E2650" s="37"/>
      <c r="F2650" s="37"/>
      <c r="G2650" s="37"/>
      <c r="H2650" s="37"/>
      <c r="I2650" s="35"/>
      <c r="J2650" s="37"/>
    </row>
    <row r="2651" spans="1:10" ht="15.95" customHeight="1" x14ac:dyDescent="0.2">
      <c r="A2651" s="39"/>
      <c r="B2651" s="36"/>
      <c r="C2651" s="37"/>
      <c r="D2651" s="37"/>
      <c r="E2651" s="37"/>
      <c r="F2651" s="37"/>
      <c r="G2651" s="37"/>
      <c r="H2651" s="37"/>
      <c r="I2651" s="35"/>
      <c r="J2651" s="37"/>
    </row>
    <row r="2652" spans="1:10" ht="15.95" customHeight="1" x14ac:dyDescent="0.2">
      <c r="A2652" s="39"/>
      <c r="B2652" s="36"/>
      <c r="C2652" s="37"/>
      <c r="D2652" s="37"/>
      <c r="E2652" s="37"/>
      <c r="F2652" s="37"/>
      <c r="G2652" s="37"/>
      <c r="H2652" s="37"/>
      <c r="I2652" s="35"/>
      <c r="J2652" s="37"/>
    </row>
    <row r="2653" spans="1:10" ht="15.95" customHeight="1" x14ac:dyDescent="0.2">
      <c r="A2653" s="39"/>
      <c r="B2653" s="36"/>
      <c r="C2653" s="37"/>
      <c r="D2653" s="37"/>
      <c r="E2653" s="37"/>
      <c r="F2653" s="37"/>
      <c r="G2653" s="37"/>
      <c r="H2653" s="37"/>
      <c r="I2653" s="35"/>
      <c r="J2653" s="37"/>
    </row>
    <row r="2654" spans="1:10" ht="15.95" customHeight="1" x14ac:dyDescent="0.2">
      <c r="A2654" s="39"/>
      <c r="B2654" s="36"/>
      <c r="C2654" s="37"/>
      <c r="D2654" s="37"/>
      <c r="E2654" s="37"/>
      <c r="F2654" s="37"/>
      <c r="G2654" s="37"/>
      <c r="H2654" s="37"/>
      <c r="I2654" s="35"/>
      <c r="J2654" s="37"/>
    </row>
    <row r="2655" spans="1:10" ht="15.95" customHeight="1" x14ac:dyDescent="0.2">
      <c r="A2655" s="39"/>
      <c r="B2655" s="36"/>
      <c r="C2655" s="37"/>
      <c r="D2655" s="37"/>
      <c r="E2655" s="37"/>
      <c r="F2655" s="37"/>
      <c r="G2655" s="37"/>
      <c r="H2655" s="37"/>
      <c r="I2655" s="35"/>
      <c r="J2655" s="37"/>
    </row>
    <row r="2656" spans="1:10" ht="15.95" customHeight="1" x14ac:dyDescent="0.2">
      <c r="A2656" s="39"/>
      <c r="B2656" s="36"/>
      <c r="C2656" s="37"/>
      <c r="D2656" s="37"/>
      <c r="E2656" s="37"/>
      <c r="F2656" s="37"/>
      <c r="G2656" s="37"/>
      <c r="H2656" s="37"/>
      <c r="I2656" s="35"/>
      <c r="J2656" s="37"/>
    </row>
    <row r="2657" spans="1:10" ht="15.95" customHeight="1" x14ac:dyDescent="0.2">
      <c r="A2657" s="39"/>
      <c r="B2657" s="36"/>
      <c r="C2657" s="37"/>
      <c r="D2657" s="37"/>
      <c r="E2657" s="37"/>
      <c r="F2657" s="37"/>
      <c r="G2657" s="37"/>
      <c r="H2657" s="37"/>
      <c r="I2657" s="35"/>
      <c r="J2657" s="37"/>
    </row>
    <row r="2658" spans="1:10" ht="15.95" customHeight="1" x14ac:dyDescent="0.2">
      <c r="A2658" s="39"/>
      <c r="B2658" s="36"/>
      <c r="C2658" s="37"/>
      <c r="D2658" s="37"/>
      <c r="E2658" s="37"/>
      <c r="F2658" s="37"/>
      <c r="G2658" s="37"/>
      <c r="H2658" s="37"/>
      <c r="I2658" s="35"/>
      <c r="J2658" s="37"/>
    </row>
    <row r="2659" spans="1:10" ht="15.95" customHeight="1" x14ac:dyDescent="0.2">
      <c r="A2659" s="39"/>
      <c r="B2659" s="36"/>
      <c r="C2659" s="37"/>
      <c r="D2659" s="37"/>
      <c r="E2659" s="37"/>
      <c r="F2659" s="37"/>
      <c r="G2659" s="37"/>
      <c r="H2659" s="37"/>
      <c r="I2659" s="35"/>
      <c r="J2659" s="37"/>
    </row>
    <row r="2660" spans="1:10" ht="15.95" customHeight="1" x14ac:dyDescent="0.2">
      <c r="A2660" s="39"/>
      <c r="B2660" s="36"/>
      <c r="C2660" s="37"/>
      <c r="D2660" s="37"/>
      <c r="E2660" s="37"/>
      <c r="F2660" s="37"/>
      <c r="G2660" s="37"/>
      <c r="H2660" s="37"/>
      <c r="I2660" s="35"/>
      <c r="J2660" s="37"/>
    </row>
    <row r="2661" spans="1:10" ht="15.95" customHeight="1" x14ac:dyDescent="0.2">
      <c r="A2661" s="39"/>
      <c r="B2661" s="36"/>
      <c r="C2661" s="37"/>
      <c r="D2661" s="37"/>
      <c r="E2661" s="37"/>
      <c r="F2661" s="37"/>
      <c r="G2661" s="37"/>
      <c r="H2661" s="37"/>
      <c r="I2661" s="35"/>
      <c r="J2661" s="37"/>
    </row>
    <row r="2662" spans="1:10" ht="15.95" customHeight="1" x14ac:dyDescent="0.2">
      <c r="A2662" s="39"/>
      <c r="B2662" s="36"/>
      <c r="C2662" s="37"/>
      <c r="D2662" s="37"/>
      <c r="E2662" s="37"/>
      <c r="F2662" s="37"/>
      <c r="G2662" s="37"/>
      <c r="H2662" s="37"/>
      <c r="I2662" s="35"/>
      <c r="J2662" s="37"/>
    </row>
    <row r="2663" spans="1:10" ht="15.95" customHeight="1" x14ac:dyDescent="0.2">
      <c r="A2663" s="39"/>
      <c r="B2663" s="36"/>
      <c r="C2663" s="37"/>
      <c r="D2663" s="37"/>
      <c r="E2663" s="37"/>
      <c r="F2663" s="37"/>
      <c r="G2663" s="37"/>
      <c r="H2663" s="37"/>
      <c r="I2663" s="35"/>
      <c r="J2663" s="37"/>
    </row>
    <row r="2664" spans="1:10" ht="15.95" customHeight="1" x14ac:dyDescent="0.2">
      <c r="A2664" s="39"/>
      <c r="B2664" s="36"/>
      <c r="C2664" s="37"/>
      <c r="D2664" s="37"/>
      <c r="E2664" s="37"/>
      <c r="F2664" s="37"/>
      <c r="G2664" s="37"/>
      <c r="H2664" s="37"/>
      <c r="I2664" s="35"/>
      <c r="J2664" s="37"/>
    </row>
    <row r="2665" spans="1:10" ht="15.95" customHeight="1" x14ac:dyDescent="0.2">
      <c r="A2665" s="39"/>
      <c r="B2665" s="36"/>
      <c r="C2665" s="37"/>
      <c r="D2665" s="37"/>
      <c r="E2665" s="37"/>
      <c r="F2665" s="37"/>
      <c r="G2665" s="37"/>
      <c r="H2665" s="37"/>
      <c r="I2665" s="35"/>
      <c r="J2665" s="37"/>
    </row>
    <row r="2666" spans="1:10" ht="15.95" customHeight="1" x14ac:dyDescent="0.2">
      <c r="A2666" s="39"/>
      <c r="B2666" s="36"/>
      <c r="C2666" s="37"/>
      <c r="D2666" s="37"/>
      <c r="E2666" s="37"/>
      <c r="F2666" s="37"/>
      <c r="G2666" s="37"/>
      <c r="H2666" s="37"/>
      <c r="I2666" s="35"/>
      <c r="J2666" s="37"/>
    </row>
    <row r="2667" spans="1:10" ht="15.95" customHeight="1" x14ac:dyDescent="0.2">
      <c r="A2667" s="39"/>
      <c r="B2667" s="36"/>
      <c r="C2667" s="37"/>
      <c r="D2667" s="37"/>
      <c r="E2667" s="37"/>
      <c r="F2667" s="37"/>
      <c r="G2667" s="37"/>
      <c r="H2667" s="37"/>
      <c r="I2667" s="35"/>
      <c r="J2667" s="37"/>
    </row>
    <row r="2668" spans="1:10" ht="15.95" customHeight="1" x14ac:dyDescent="0.2">
      <c r="A2668" s="39"/>
      <c r="B2668" s="36"/>
      <c r="C2668" s="37"/>
      <c r="D2668" s="37"/>
      <c r="E2668" s="37"/>
      <c r="F2668" s="37"/>
      <c r="G2668" s="37"/>
      <c r="H2668" s="37"/>
      <c r="I2668" s="35"/>
      <c r="J2668" s="37"/>
    </row>
    <row r="2669" spans="1:10" ht="15.95" customHeight="1" x14ac:dyDescent="0.2">
      <c r="A2669" s="39"/>
      <c r="B2669" s="36"/>
      <c r="C2669" s="37"/>
      <c r="D2669" s="37"/>
      <c r="E2669" s="37"/>
      <c r="F2669" s="37"/>
      <c r="G2669" s="37"/>
      <c r="H2669" s="37"/>
      <c r="I2669" s="35"/>
      <c r="J2669" s="37"/>
    </row>
    <row r="2670" spans="1:10" ht="15.95" customHeight="1" x14ac:dyDescent="0.2">
      <c r="A2670" s="39"/>
      <c r="B2670" s="36"/>
      <c r="C2670" s="37"/>
      <c r="D2670" s="37"/>
      <c r="E2670" s="37"/>
      <c r="F2670" s="37"/>
      <c r="G2670" s="37"/>
      <c r="H2670" s="37"/>
      <c r="I2670" s="35"/>
      <c r="J2670" s="37"/>
    </row>
    <row r="2671" spans="1:10" ht="15.95" customHeight="1" x14ac:dyDescent="0.2">
      <c r="A2671" s="39"/>
      <c r="B2671" s="36"/>
      <c r="C2671" s="37"/>
      <c r="D2671" s="37"/>
      <c r="E2671" s="37"/>
      <c r="F2671" s="37"/>
      <c r="G2671" s="37"/>
      <c r="H2671" s="37"/>
      <c r="I2671" s="35"/>
      <c r="J2671" s="37"/>
    </row>
    <row r="2672" spans="1:10" ht="15.95" customHeight="1" x14ac:dyDescent="0.2">
      <c r="A2672" s="39"/>
      <c r="B2672" s="36"/>
      <c r="C2672" s="37"/>
      <c r="D2672" s="37"/>
      <c r="E2672" s="37"/>
      <c r="F2672" s="37"/>
      <c r="G2672" s="37"/>
      <c r="H2672" s="37"/>
      <c r="I2672" s="35"/>
      <c r="J2672" s="37"/>
    </row>
    <row r="2673" spans="1:10" ht="15.95" customHeight="1" x14ac:dyDescent="0.2">
      <c r="A2673" s="39"/>
      <c r="B2673" s="36"/>
      <c r="C2673" s="37"/>
      <c r="D2673" s="37"/>
      <c r="E2673" s="37"/>
      <c r="F2673" s="37"/>
      <c r="G2673" s="37"/>
      <c r="H2673" s="37"/>
      <c r="I2673" s="35"/>
      <c r="J2673" s="37"/>
    </row>
    <row r="2674" spans="1:10" ht="15.95" customHeight="1" x14ac:dyDescent="0.2">
      <c r="A2674" s="39"/>
      <c r="B2674" s="36"/>
      <c r="C2674" s="37"/>
      <c r="D2674" s="37"/>
      <c r="E2674" s="37"/>
      <c r="F2674" s="37"/>
      <c r="G2674" s="37"/>
      <c r="H2674" s="37"/>
      <c r="I2674" s="35"/>
      <c r="J2674" s="37"/>
    </row>
    <row r="2675" spans="1:10" ht="15.95" customHeight="1" x14ac:dyDescent="0.2">
      <c r="A2675" s="39"/>
      <c r="B2675" s="36"/>
      <c r="C2675" s="37"/>
      <c r="D2675" s="37"/>
      <c r="E2675" s="37"/>
      <c r="F2675" s="37"/>
      <c r="G2675" s="37"/>
      <c r="H2675" s="37"/>
      <c r="I2675" s="35"/>
      <c r="J2675" s="37"/>
    </row>
    <row r="2676" spans="1:10" ht="15.95" customHeight="1" x14ac:dyDescent="0.2">
      <c r="A2676" s="39"/>
      <c r="B2676" s="36"/>
      <c r="C2676" s="37"/>
      <c r="D2676" s="37"/>
      <c r="E2676" s="37"/>
      <c r="F2676" s="37"/>
      <c r="G2676" s="37"/>
      <c r="H2676" s="37"/>
      <c r="I2676" s="35"/>
      <c r="J2676" s="37"/>
    </row>
    <row r="2677" spans="1:10" ht="15.95" customHeight="1" x14ac:dyDescent="0.2">
      <c r="A2677" s="39"/>
      <c r="B2677" s="36"/>
      <c r="C2677" s="37"/>
      <c r="D2677" s="37"/>
      <c r="E2677" s="37"/>
      <c r="F2677" s="37"/>
      <c r="G2677" s="37"/>
      <c r="H2677" s="37"/>
      <c r="I2677" s="35"/>
      <c r="J2677" s="37"/>
    </row>
    <row r="2678" spans="1:10" ht="15.95" customHeight="1" x14ac:dyDescent="0.2">
      <c r="A2678" s="39"/>
      <c r="B2678" s="36"/>
      <c r="C2678" s="37"/>
      <c r="D2678" s="37"/>
      <c r="E2678" s="37"/>
      <c r="F2678" s="37"/>
      <c r="G2678" s="37"/>
      <c r="H2678" s="37"/>
      <c r="I2678" s="35"/>
      <c r="J2678" s="37"/>
    </row>
    <row r="2679" spans="1:10" ht="15.95" customHeight="1" x14ac:dyDescent="0.2">
      <c r="A2679" s="39"/>
      <c r="B2679" s="36"/>
      <c r="C2679" s="37"/>
      <c r="D2679" s="37"/>
      <c r="E2679" s="37"/>
      <c r="F2679" s="37"/>
      <c r="G2679" s="37"/>
      <c r="H2679" s="37"/>
      <c r="I2679" s="35"/>
      <c r="J2679" s="37"/>
    </row>
    <row r="2680" spans="1:10" ht="15.95" customHeight="1" x14ac:dyDescent="0.2">
      <c r="A2680" s="39"/>
      <c r="B2680" s="36"/>
      <c r="C2680" s="37"/>
      <c r="D2680" s="37"/>
      <c r="E2680" s="37"/>
      <c r="F2680" s="37"/>
      <c r="G2680" s="37"/>
      <c r="H2680" s="37"/>
      <c r="I2680" s="35"/>
      <c r="J2680" s="37"/>
    </row>
    <row r="2681" spans="1:10" ht="15.95" customHeight="1" x14ac:dyDescent="0.2">
      <c r="A2681" s="39"/>
      <c r="B2681" s="36"/>
      <c r="C2681" s="37"/>
      <c r="D2681" s="37"/>
      <c r="E2681" s="37"/>
      <c r="F2681" s="37"/>
      <c r="G2681" s="37"/>
      <c r="H2681" s="37"/>
      <c r="I2681" s="35"/>
      <c r="J2681" s="37"/>
    </row>
    <row r="2682" spans="1:10" ht="15.95" customHeight="1" x14ac:dyDescent="0.2">
      <c r="A2682" s="39"/>
      <c r="B2682" s="36"/>
      <c r="C2682" s="37"/>
      <c r="D2682" s="37"/>
      <c r="E2682" s="37"/>
      <c r="F2682" s="37"/>
      <c r="G2682" s="37"/>
      <c r="H2682" s="37"/>
      <c r="I2682" s="35"/>
      <c r="J2682" s="37"/>
    </row>
    <row r="2683" spans="1:10" ht="15.95" customHeight="1" x14ac:dyDescent="0.2">
      <c r="A2683" s="39"/>
      <c r="B2683" s="36"/>
      <c r="C2683" s="37"/>
      <c r="D2683" s="37"/>
      <c r="E2683" s="37"/>
      <c r="F2683" s="37"/>
      <c r="G2683" s="37"/>
      <c r="H2683" s="37"/>
      <c r="I2683" s="35"/>
      <c r="J2683" s="37"/>
    </row>
    <row r="2684" spans="1:10" ht="15.95" customHeight="1" x14ac:dyDescent="0.2">
      <c r="A2684" s="39"/>
      <c r="B2684" s="36"/>
      <c r="C2684" s="37"/>
      <c r="D2684" s="37"/>
      <c r="E2684" s="37"/>
      <c r="F2684" s="37"/>
      <c r="G2684" s="37"/>
      <c r="H2684" s="37"/>
      <c r="I2684" s="35"/>
      <c r="J2684" s="37"/>
    </row>
    <row r="2685" spans="1:10" ht="15.95" customHeight="1" x14ac:dyDescent="0.2">
      <c r="A2685" s="39"/>
      <c r="B2685" s="36"/>
      <c r="C2685" s="37"/>
      <c r="D2685" s="37"/>
      <c r="E2685" s="37"/>
      <c r="F2685" s="37"/>
      <c r="G2685" s="37"/>
      <c r="H2685" s="37"/>
      <c r="I2685" s="35"/>
      <c r="J2685" s="37"/>
    </row>
    <row r="2686" spans="1:10" ht="15.95" customHeight="1" x14ac:dyDescent="0.2">
      <c r="A2686" s="39"/>
      <c r="B2686" s="36"/>
      <c r="C2686" s="37"/>
      <c r="D2686" s="37"/>
      <c r="E2686" s="37"/>
      <c r="F2686" s="37"/>
      <c r="G2686" s="37"/>
      <c r="H2686" s="37"/>
      <c r="I2686" s="35"/>
      <c r="J2686" s="37"/>
    </row>
    <row r="2687" spans="1:10" ht="15.95" customHeight="1" x14ac:dyDescent="0.2">
      <c r="A2687" s="39"/>
      <c r="B2687" s="36"/>
      <c r="C2687" s="37"/>
      <c r="D2687" s="37"/>
      <c r="E2687" s="37"/>
      <c r="F2687" s="37"/>
      <c r="G2687" s="37"/>
      <c r="H2687" s="37"/>
      <c r="I2687" s="35"/>
      <c r="J2687" s="37"/>
    </row>
    <row r="2688" spans="1:10" ht="15.95" customHeight="1" x14ac:dyDescent="0.2">
      <c r="A2688" s="39"/>
      <c r="B2688" s="36"/>
      <c r="C2688" s="37"/>
      <c r="D2688" s="37"/>
      <c r="E2688" s="37"/>
      <c r="F2688" s="37"/>
      <c r="G2688" s="37"/>
      <c r="H2688" s="37"/>
      <c r="I2688" s="35"/>
      <c r="J2688" s="37"/>
    </row>
    <row r="2689" spans="1:10" ht="15.95" customHeight="1" x14ac:dyDescent="0.2">
      <c r="A2689" s="39"/>
      <c r="B2689" s="36"/>
      <c r="C2689" s="37"/>
      <c r="D2689" s="37"/>
      <c r="E2689" s="37"/>
      <c r="F2689" s="37"/>
      <c r="G2689" s="37"/>
      <c r="H2689" s="37"/>
      <c r="I2689" s="35"/>
      <c r="J2689" s="37"/>
    </row>
    <row r="2690" spans="1:10" ht="15.95" customHeight="1" x14ac:dyDescent="0.2">
      <c r="A2690" s="39"/>
      <c r="B2690" s="36"/>
      <c r="C2690" s="37"/>
      <c r="D2690" s="37"/>
      <c r="E2690" s="37"/>
      <c r="F2690" s="37"/>
      <c r="G2690" s="37"/>
      <c r="H2690" s="37"/>
      <c r="I2690" s="35"/>
      <c r="J2690" s="37"/>
    </row>
    <row r="2691" spans="1:10" ht="15.95" customHeight="1" x14ac:dyDescent="0.2">
      <c r="A2691" s="39"/>
      <c r="B2691" s="36"/>
      <c r="C2691" s="37"/>
      <c r="D2691" s="37"/>
      <c r="E2691" s="37"/>
      <c r="F2691" s="37"/>
      <c r="G2691" s="37"/>
      <c r="H2691" s="37"/>
      <c r="I2691" s="35"/>
      <c r="J2691" s="37"/>
    </row>
    <row r="2692" spans="1:10" ht="15.95" customHeight="1" x14ac:dyDescent="0.2">
      <c r="A2692" s="39"/>
      <c r="B2692" s="36"/>
      <c r="C2692" s="37"/>
      <c r="D2692" s="37"/>
      <c r="E2692" s="37"/>
      <c r="F2692" s="37"/>
      <c r="G2692" s="37"/>
      <c r="H2692" s="37"/>
      <c r="I2692" s="35"/>
      <c r="J2692" s="37"/>
    </row>
    <row r="2693" spans="1:10" ht="15.95" customHeight="1" x14ac:dyDescent="0.2">
      <c r="A2693" s="39"/>
      <c r="B2693" s="36"/>
      <c r="C2693" s="37"/>
      <c r="D2693" s="37"/>
      <c r="E2693" s="37"/>
      <c r="F2693" s="37"/>
      <c r="G2693" s="37"/>
      <c r="H2693" s="37"/>
      <c r="I2693" s="35"/>
      <c r="J2693" s="37"/>
    </row>
    <row r="2694" spans="1:10" ht="15.95" customHeight="1" x14ac:dyDescent="0.2">
      <c r="A2694" s="39"/>
      <c r="B2694" s="36"/>
      <c r="C2694" s="37"/>
      <c r="D2694" s="37"/>
      <c r="E2694" s="37"/>
      <c r="F2694" s="37"/>
      <c r="G2694" s="37"/>
      <c r="H2694" s="37"/>
      <c r="I2694" s="35"/>
      <c r="J2694" s="37"/>
    </row>
    <row r="2695" spans="1:10" ht="15.95" customHeight="1" x14ac:dyDescent="0.2">
      <c r="A2695" s="39"/>
      <c r="B2695" s="36"/>
      <c r="C2695" s="37"/>
      <c r="D2695" s="37"/>
      <c r="E2695" s="37"/>
      <c r="F2695" s="37"/>
      <c r="G2695" s="37"/>
      <c r="H2695" s="37"/>
      <c r="I2695" s="35"/>
      <c r="J2695" s="37"/>
    </row>
    <row r="2696" spans="1:10" ht="15.95" customHeight="1" x14ac:dyDescent="0.2">
      <c r="A2696" s="39"/>
      <c r="B2696" s="36"/>
      <c r="C2696" s="37"/>
      <c r="D2696" s="37"/>
      <c r="E2696" s="37"/>
      <c r="F2696" s="37"/>
      <c r="G2696" s="37"/>
      <c r="H2696" s="37"/>
      <c r="I2696" s="35"/>
      <c r="J2696" s="37"/>
    </row>
    <row r="2697" spans="1:10" ht="15.95" customHeight="1" x14ac:dyDescent="0.2">
      <c r="A2697" s="39"/>
      <c r="B2697" s="36"/>
      <c r="C2697" s="37"/>
      <c r="D2697" s="37"/>
      <c r="E2697" s="37"/>
      <c r="F2697" s="37"/>
      <c r="G2697" s="37"/>
      <c r="H2697" s="37"/>
      <c r="I2697" s="35"/>
      <c r="J2697" s="37"/>
    </row>
    <row r="2698" spans="1:10" ht="15.95" customHeight="1" x14ac:dyDescent="0.2">
      <c r="A2698" s="39"/>
      <c r="B2698" s="36"/>
      <c r="C2698" s="37"/>
      <c r="D2698" s="37"/>
      <c r="E2698" s="37"/>
      <c r="F2698" s="37"/>
      <c r="G2698" s="37"/>
      <c r="H2698" s="37"/>
      <c r="I2698" s="35"/>
      <c r="J2698" s="37"/>
    </row>
    <row r="2699" spans="1:10" ht="15.95" customHeight="1" x14ac:dyDescent="0.2">
      <c r="A2699" s="39"/>
      <c r="B2699" s="36"/>
      <c r="C2699" s="37"/>
      <c r="D2699" s="37"/>
      <c r="E2699" s="37"/>
      <c r="F2699" s="37"/>
      <c r="G2699" s="37"/>
      <c r="H2699" s="37"/>
      <c r="I2699" s="35"/>
      <c r="J2699" s="37"/>
    </row>
    <row r="2700" spans="1:10" ht="15.95" customHeight="1" x14ac:dyDescent="0.2">
      <c r="A2700" s="39"/>
      <c r="B2700" s="36"/>
      <c r="C2700" s="37"/>
      <c r="D2700" s="37"/>
      <c r="E2700" s="37"/>
      <c r="F2700" s="37"/>
      <c r="G2700" s="37"/>
      <c r="H2700" s="37"/>
      <c r="I2700" s="35"/>
      <c r="J2700" s="37"/>
    </row>
    <row r="2701" spans="1:10" ht="15.95" customHeight="1" x14ac:dyDescent="0.2">
      <c r="A2701" s="39"/>
      <c r="B2701" s="36"/>
      <c r="C2701" s="37"/>
      <c r="D2701" s="37"/>
      <c r="E2701" s="37"/>
      <c r="F2701" s="37"/>
      <c r="G2701" s="37"/>
      <c r="H2701" s="37"/>
      <c r="I2701" s="35"/>
      <c r="J2701" s="37"/>
    </row>
    <row r="2702" spans="1:10" ht="15.95" customHeight="1" x14ac:dyDescent="0.2">
      <c r="A2702" s="39"/>
      <c r="B2702" s="36"/>
      <c r="C2702" s="37"/>
      <c r="D2702" s="37"/>
      <c r="E2702" s="37"/>
      <c r="F2702" s="37"/>
      <c r="G2702" s="37"/>
      <c r="H2702" s="37"/>
      <c r="I2702" s="35"/>
      <c r="J2702" s="37"/>
    </row>
    <row r="2703" spans="1:10" ht="15.95" customHeight="1" x14ac:dyDescent="0.2">
      <c r="A2703" s="39"/>
      <c r="B2703" s="36"/>
      <c r="C2703" s="37"/>
      <c r="D2703" s="37"/>
      <c r="E2703" s="37"/>
      <c r="F2703" s="37"/>
      <c r="G2703" s="37"/>
      <c r="H2703" s="37"/>
      <c r="I2703" s="35"/>
      <c r="J2703" s="37"/>
    </row>
    <row r="2704" spans="1:10" ht="15.95" customHeight="1" x14ac:dyDescent="0.2">
      <c r="A2704" s="39"/>
      <c r="B2704" s="36"/>
      <c r="C2704" s="37"/>
      <c r="D2704" s="37"/>
      <c r="E2704" s="37"/>
      <c r="F2704" s="37"/>
      <c r="G2704" s="37"/>
      <c r="H2704" s="37"/>
      <c r="I2704" s="35"/>
      <c r="J2704" s="37"/>
    </row>
    <row r="2705" spans="1:10" ht="15.95" customHeight="1" x14ac:dyDescent="0.2">
      <c r="A2705" s="39"/>
      <c r="B2705" s="36"/>
      <c r="C2705" s="37"/>
      <c r="D2705" s="37"/>
      <c r="E2705" s="37"/>
      <c r="F2705" s="37"/>
      <c r="G2705" s="37"/>
      <c r="H2705" s="37"/>
      <c r="I2705" s="35"/>
      <c r="J2705" s="37"/>
    </row>
    <row r="2706" spans="1:10" ht="15.95" customHeight="1" x14ac:dyDescent="0.2">
      <c r="A2706" s="39"/>
      <c r="B2706" s="36"/>
      <c r="C2706" s="37"/>
      <c r="D2706" s="37"/>
      <c r="E2706" s="37"/>
      <c r="F2706" s="37"/>
      <c r="G2706" s="37"/>
      <c r="H2706" s="37"/>
      <c r="I2706" s="35"/>
      <c r="J2706" s="37"/>
    </row>
    <row r="2707" spans="1:10" ht="15.95" customHeight="1" x14ac:dyDescent="0.2">
      <c r="A2707" s="39"/>
      <c r="B2707" s="36"/>
      <c r="C2707" s="37"/>
      <c r="D2707" s="37"/>
      <c r="E2707" s="37"/>
      <c r="F2707" s="37"/>
      <c r="G2707" s="37"/>
      <c r="H2707" s="37"/>
      <c r="I2707" s="35"/>
      <c r="J2707" s="37"/>
    </row>
    <row r="2708" spans="1:10" ht="15.95" customHeight="1" x14ac:dyDescent="0.2">
      <c r="A2708" s="39"/>
      <c r="B2708" s="36"/>
      <c r="C2708" s="37"/>
      <c r="D2708" s="37"/>
      <c r="E2708" s="37"/>
      <c r="F2708" s="37"/>
      <c r="G2708" s="37"/>
      <c r="H2708" s="37"/>
      <c r="I2708" s="35"/>
      <c r="J2708" s="37"/>
    </row>
    <row r="2709" spans="1:10" ht="15.95" customHeight="1" x14ac:dyDescent="0.2">
      <c r="A2709" s="39"/>
      <c r="B2709" s="36"/>
      <c r="C2709" s="37"/>
      <c r="D2709" s="37"/>
      <c r="E2709" s="37"/>
      <c r="F2709" s="37"/>
      <c r="G2709" s="37"/>
      <c r="H2709" s="37"/>
      <c r="I2709" s="35"/>
      <c r="J2709" s="37"/>
    </row>
    <row r="2710" spans="1:10" ht="15.95" customHeight="1" x14ac:dyDescent="0.2">
      <c r="A2710" s="39"/>
      <c r="B2710" s="36"/>
      <c r="C2710" s="37"/>
      <c r="D2710" s="37"/>
      <c r="E2710" s="37"/>
      <c r="F2710" s="37"/>
      <c r="G2710" s="37"/>
      <c r="H2710" s="37"/>
      <c r="I2710" s="35"/>
      <c r="J2710" s="37"/>
    </row>
    <row r="2711" spans="1:10" ht="15.95" customHeight="1" x14ac:dyDescent="0.2">
      <c r="A2711" s="39"/>
      <c r="B2711" s="36"/>
      <c r="C2711" s="37"/>
      <c r="D2711" s="37"/>
      <c r="E2711" s="37"/>
      <c r="F2711" s="37"/>
      <c r="G2711" s="37"/>
      <c r="H2711" s="37"/>
      <c r="I2711" s="35"/>
      <c r="J2711" s="37"/>
    </row>
    <row r="2712" spans="1:10" ht="15.95" customHeight="1" x14ac:dyDescent="0.2">
      <c r="A2712" s="39"/>
      <c r="B2712" s="36"/>
      <c r="C2712" s="37"/>
      <c r="D2712" s="37"/>
      <c r="E2712" s="37"/>
      <c r="F2712" s="37"/>
      <c r="G2712" s="37"/>
      <c r="H2712" s="37"/>
      <c r="I2712" s="35"/>
      <c r="J2712" s="37"/>
    </row>
    <row r="2713" spans="1:10" ht="15.95" customHeight="1" x14ac:dyDescent="0.2">
      <c r="A2713" s="39"/>
      <c r="B2713" s="36"/>
      <c r="C2713" s="37"/>
      <c r="D2713" s="37"/>
      <c r="E2713" s="37"/>
      <c r="F2713" s="37"/>
      <c r="G2713" s="37"/>
      <c r="H2713" s="37"/>
      <c r="I2713" s="35"/>
      <c r="J2713" s="37"/>
    </row>
    <row r="2714" spans="1:10" ht="15.95" customHeight="1" x14ac:dyDescent="0.2">
      <c r="A2714" s="39"/>
      <c r="B2714" s="36"/>
      <c r="C2714" s="37"/>
      <c r="D2714" s="37"/>
      <c r="E2714" s="37"/>
      <c r="F2714" s="37"/>
      <c r="G2714" s="37"/>
      <c r="H2714" s="37"/>
      <c r="I2714" s="35"/>
      <c r="J2714" s="37"/>
    </row>
    <row r="2715" spans="1:10" ht="15.95" customHeight="1" x14ac:dyDescent="0.2">
      <c r="A2715" s="39"/>
      <c r="B2715" s="36"/>
      <c r="C2715" s="37"/>
      <c r="D2715" s="37"/>
      <c r="E2715" s="37"/>
      <c r="F2715" s="37"/>
      <c r="G2715" s="37"/>
      <c r="H2715" s="37"/>
      <c r="I2715" s="35"/>
      <c r="J2715" s="37"/>
    </row>
    <row r="2716" spans="1:10" ht="15.95" customHeight="1" x14ac:dyDescent="0.2">
      <c r="A2716" s="39"/>
      <c r="B2716" s="36"/>
      <c r="C2716" s="37"/>
      <c r="D2716" s="37"/>
      <c r="E2716" s="37"/>
      <c r="F2716" s="37"/>
      <c r="G2716" s="37"/>
      <c r="H2716" s="37"/>
      <c r="I2716" s="35"/>
      <c r="J2716" s="37"/>
    </row>
    <row r="2717" spans="1:10" ht="15.95" customHeight="1" x14ac:dyDescent="0.2">
      <c r="A2717" s="39"/>
      <c r="B2717" s="36"/>
      <c r="C2717" s="37"/>
      <c r="D2717" s="37"/>
      <c r="E2717" s="37"/>
      <c r="F2717" s="37"/>
      <c r="G2717" s="37"/>
      <c r="H2717" s="37"/>
      <c r="I2717" s="35"/>
      <c r="J2717" s="37"/>
    </row>
    <row r="2718" spans="1:10" ht="15.95" customHeight="1" x14ac:dyDescent="0.2">
      <c r="A2718" s="39"/>
      <c r="B2718" s="36"/>
      <c r="C2718" s="37"/>
      <c r="D2718" s="37"/>
      <c r="E2718" s="37"/>
      <c r="F2718" s="37"/>
      <c r="G2718" s="37"/>
      <c r="H2718" s="37"/>
      <c r="I2718" s="35"/>
      <c r="J2718" s="37"/>
    </row>
    <row r="2719" spans="1:10" ht="15.95" customHeight="1" x14ac:dyDescent="0.2">
      <c r="A2719" s="39"/>
      <c r="B2719" s="36"/>
      <c r="C2719" s="37"/>
      <c r="D2719" s="37"/>
      <c r="E2719" s="37"/>
      <c r="F2719" s="37"/>
      <c r="G2719" s="37"/>
      <c r="H2719" s="37"/>
      <c r="I2719" s="35"/>
      <c r="J2719" s="37"/>
    </row>
    <row r="2720" spans="1:10" ht="15.95" customHeight="1" x14ac:dyDescent="0.2">
      <c r="A2720" s="39"/>
      <c r="B2720" s="36"/>
      <c r="C2720" s="37"/>
      <c r="D2720" s="37"/>
      <c r="E2720" s="37"/>
      <c r="F2720" s="37"/>
      <c r="G2720" s="37"/>
      <c r="H2720" s="37"/>
      <c r="I2720" s="35"/>
      <c r="J2720" s="37"/>
    </row>
    <row r="2721" spans="1:10" ht="15.95" customHeight="1" x14ac:dyDescent="0.2">
      <c r="A2721" s="39"/>
      <c r="B2721" s="36"/>
      <c r="C2721" s="37"/>
      <c r="D2721" s="37"/>
      <c r="E2721" s="37"/>
      <c r="F2721" s="37"/>
      <c r="G2721" s="37"/>
      <c r="H2721" s="37"/>
      <c r="I2721" s="35"/>
      <c r="J2721" s="37"/>
    </row>
    <row r="2722" spans="1:10" ht="15.95" customHeight="1" x14ac:dyDescent="0.2">
      <c r="A2722" s="39"/>
      <c r="B2722" s="36"/>
      <c r="C2722" s="37"/>
      <c r="D2722" s="37"/>
      <c r="E2722" s="37"/>
      <c r="F2722" s="37"/>
      <c r="G2722" s="37"/>
      <c r="H2722" s="37"/>
      <c r="I2722" s="35"/>
      <c r="J2722" s="37"/>
    </row>
    <row r="2723" spans="1:10" ht="15.95" customHeight="1" x14ac:dyDescent="0.2">
      <c r="A2723" s="39"/>
      <c r="B2723" s="36"/>
      <c r="C2723" s="37"/>
      <c r="D2723" s="37"/>
      <c r="E2723" s="37"/>
      <c r="F2723" s="37"/>
      <c r="G2723" s="37"/>
      <c r="H2723" s="37"/>
      <c r="I2723" s="35"/>
      <c r="J2723" s="37"/>
    </row>
    <row r="2724" spans="1:10" ht="15.95" customHeight="1" x14ac:dyDescent="0.2">
      <c r="A2724" s="39"/>
      <c r="B2724" s="36"/>
      <c r="C2724" s="37"/>
      <c r="D2724" s="37"/>
      <c r="E2724" s="37"/>
      <c r="F2724" s="37"/>
      <c r="G2724" s="37"/>
      <c r="H2724" s="37"/>
      <c r="I2724" s="35"/>
      <c r="J2724" s="37"/>
    </row>
    <row r="2725" spans="1:10" ht="15.95" customHeight="1" x14ac:dyDescent="0.2">
      <c r="A2725" s="39"/>
      <c r="B2725" s="36"/>
      <c r="C2725" s="37"/>
      <c r="D2725" s="37"/>
      <c r="E2725" s="37"/>
      <c r="F2725" s="37"/>
      <c r="G2725" s="37"/>
      <c r="H2725" s="37"/>
      <c r="I2725" s="35"/>
      <c r="J2725" s="37"/>
    </row>
    <row r="2726" spans="1:10" ht="15.95" customHeight="1" x14ac:dyDescent="0.2">
      <c r="A2726" s="39"/>
      <c r="B2726" s="36"/>
      <c r="C2726" s="37"/>
      <c r="D2726" s="37"/>
      <c r="E2726" s="37"/>
      <c r="F2726" s="37"/>
      <c r="G2726" s="37"/>
      <c r="H2726" s="37"/>
      <c r="I2726" s="35"/>
      <c r="J2726" s="37"/>
    </row>
    <row r="2727" spans="1:10" ht="15.95" customHeight="1" x14ac:dyDescent="0.2">
      <c r="A2727" s="39"/>
      <c r="B2727" s="36"/>
      <c r="C2727" s="37"/>
      <c r="D2727" s="37"/>
      <c r="E2727" s="37"/>
      <c r="F2727" s="37"/>
      <c r="G2727" s="37"/>
      <c r="H2727" s="37"/>
      <c r="I2727" s="35"/>
      <c r="J2727" s="37"/>
    </row>
    <row r="2728" spans="1:10" ht="15.95" customHeight="1" x14ac:dyDescent="0.2">
      <c r="A2728" s="39"/>
      <c r="B2728" s="36"/>
      <c r="C2728" s="37"/>
      <c r="D2728" s="37"/>
      <c r="E2728" s="37"/>
      <c r="F2728" s="37"/>
      <c r="G2728" s="37"/>
      <c r="H2728" s="37"/>
      <c r="I2728" s="35"/>
      <c r="J2728" s="37"/>
    </row>
    <row r="2729" spans="1:10" ht="15.95" customHeight="1" x14ac:dyDescent="0.2">
      <c r="A2729" s="39"/>
      <c r="B2729" s="36"/>
      <c r="C2729" s="37"/>
      <c r="D2729" s="37"/>
      <c r="E2729" s="37"/>
      <c r="F2729" s="37"/>
      <c r="G2729" s="37"/>
      <c r="H2729" s="37"/>
      <c r="I2729" s="35"/>
      <c r="J2729" s="37"/>
    </row>
    <row r="2730" spans="1:10" ht="15.95" customHeight="1" x14ac:dyDescent="0.2">
      <c r="A2730" s="39"/>
      <c r="B2730" s="36"/>
      <c r="C2730" s="37"/>
      <c r="D2730" s="37"/>
      <c r="E2730" s="37"/>
      <c r="F2730" s="37"/>
      <c r="G2730" s="37"/>
      <c r="H2730" s="37"/>
      <c r="I2730" s="35"/>
      <c r="J2730" s="37"/>
    </row>
    <row r="2731" spans="1:10" ht="15.95" customHeight="1" x14ac:dyDescent="0.2">
      <c r="A2731" s="39"/>
      <c r="B2731" s="36"/>
      <c r="C2731" s="37"/>
      <c r="D2731" s="37"/>
      <c r="E2731" s="37"/>
      <c r="F2731" s="37"/>
      <c r="G2731" s="37"/>
      <c r="H2731" s="37"/>
      <c r="I2731" s="35"/>
      <c r="J2731" s="37"/>
    </row>
    <row r="2732" spans="1:10" ht="15.95" customHeight="1" x14ac:dyDescent="0.2">
      <c r="A2732" s="39"/>
      <c r="B2732" s="36"/>
      <c r="C2732" s="37"/>
      <c r="D2732" s="37"/>
      <c r="E2732" s="37"/>
      <c r="F2732" s="37"/>
      <c r="G2732" s="37"/>
      <c r="H2732" s="37"/>
      <c r="I2732" s="35"/>
      <c r="J2732" s="37"/>
    </row>
    <row r="2733" spans="1:10" ht="15.95" customHeight="1" x14ac:dyDescent="0.2">
      <c r="A2733" s="39"/>
      <c r="B2733" s="36"/>
      <c r="C2733" s="37"/>
      <c r="D2733" s="37"/>
      <c r="E2733" s="37"/>
      <c r="F2733" s="37"/>
      <c r="G2733" s="37"/>
      <c r="H2733" s="37"/>
      <c r="I2733" s="35"/>
      <c r="J2733" s="37"/>
    </row>
    <row r="2734" spans="1:10" ht="15.95" customHeight="1" x14ac:dyDescent="0.2">
      <c r="A2734" s="39"/>
      <c r="B2734" s="36"/>
      <c r="C2734" s="37"/>
      <c r="D2734" s="37"/>
      <c r="E2734" s="37"/>
      <c r="F2734" s="37"/>
      <c r="G2734" s="37"/>
      <c r="H2734" s="37"/>
      <c r="I2734" s="35"/>
      <c r="J2734" s="37"/>
    </row>
    <row r="2735" spans="1:10" ht="15.95" customHeight="1" x14ac:dyDescent="0.2">
      <c r="A2735" s="39"/>
      <c r="B2735" s="36"/>
      <c r="C2735" s="37"/>
      <c r="D2735" s="37"/>
      <c r="E2735" s="37"/>
      <c r="F2735" s="37"/>
      <c r="G2735" s="37"/>
      <c r="H2735" s="37"/>
      <c r="I2735" s="35"/>
      <c r="J2735" s="37"/>
    </row>
    <row r="2736" spans="1:10" ht="15.95" customHeight="1" x14ac:dyDescent="0.2">
      <c r="A2736" s="39"/>
      <c r="B2736" s="36"/>
      <c r="C2736" s="37"/>
      <c r="D2736" s="37"/>
      <c r="E2736" s="37"/>
      <c r="F2736" s="37"/>
      <c r="G2736" s="37"/>
      <c r="H2736" s="37"/>
      <c r="I2736" s="35"/>
      <c r="J2736" s="37"/>
    </row>
    <row r="2737" spans="1:10" ht="15.95" customHeight="1" x14ac:dyDescent="0.2">
      <c r="A2737" s="39"/>
      <c r="B2737" s="36"/>
      <c r="C2737" s="37"/>
      <c r="D2737" s="37"/>
      <c r="E2737" s="37"/>
      <c r="F2737" s="37"/>
      <c r="G2737" s="37"/>
      <c r="H2737" s="37"/>
      <c r="I2737" s="35"/>
      <c r="J2737" s="37"/>
    </row>
    <row r="2738" spans="1:10" ht="15.95" customHeight="1" x14ac:dyDescent="0.2">
      <c r="A2738" s="39"/>
      <c r="B2738" s="36"/>
      <c r="C2738" s="37"/>
      <c r="D2738" s="37"/>
      <c r="E2738" s="37"/>
      <c r="F2738" s="37"/>
      <c r="G2738" s="37"/>
      <c r="H2738" s="37"/>
      <c r="I2738" s="35"/>
      <c r="J2738" s="37"/>
    </row>
    <row r="2739" spans="1:10" ht="15.95" customHeight="1" x14ac:dyDescent="0.2">
      <c r="A2739" s="39"/>
      <c r="B2739" s="36"/>
      <c r="C2739" s="37"/>
      <c r="D2739" s="37"/>
      <c r="E2739" s="37"/>
      <c r="F2739" s="37"/>
      <c r="G2739" s="37"/>
      <c r="H2739" s="37"/>
      <c r="I2739" s="35"/>
      <c r="J2739" s="37"/>
    </row>
    <row r="2740" spans="1:10" ht="15.95" customHeight="1" x14ac:dyDescent="0.2">
      <c r="A2740" s="39"/>
      <c r="B2740" s="36"/>
      <c r="C2740" s="37"/>
      <c r="D2740" s="37"/>
      <c r="E2740" s="37"/>
      <c r="F2740" s="37"/>
      <c r="G2740" s="37"/>
      <c r="H2740" s="37"/>
      <c r="I2740" s="35"/>
      <c r="J2740" s="37"/>
    </row>
    <row r="2741" spans="1:10" ht="15.95" customHeight="1" x14ac:dyDescent="0.2">
      <c r="A2741" s="39"/>
      <c r="B2741" s="36"/>
      <c r="C2741" s="37"/>
      <c r="D2741" s="37"/>
      <c r="E2741" s="37"/>
      <c r="F2741" s="37"/>
      <c r="G2741" s="37"/>
      <c r="H2741" s="37"/>
      <c r="I2741" s="35"/>
      <c r="J2741" s="37"/>
    </row>
    <row r="2742" spans="1:10" ht="15.95" customHeight="1" x14ac:dyDescent="0.2">
      <c r="A2742" s="39"/>
      <c r="B2742" s="36"/>
      <c r="C2742" s="37"/>
      <c r="D2742" s="37"/>
      <c r="E2742" s="37"/>
      <c r="F2742" s="37"/>
      <c r="G2742" s="37"/>
      <c r="H2742" s="37"/>
      <c r="I2742" s="35"/>
      <c r="J2742" s="37"/>
    </row>
    <row r="2743" spans="1:10" ht="15.95" customHeight="1" x14ac:dyDescent="0.2">
      <c r="A2743" s="39"/>
      <c r="B2743" s="36"/>
      <c r="C2743" s="37"/>
      <c r="D2743" s="37"/>
      <c r="E2743" s="37"/>
      <c r="F2743" s="37"/>
      <c r="G2743" s="37"/>
      <c r="H2743" s="37"/>
      <c r="I2743" s="35"/>
      <c r="J2743" s="37"/>
    </row>
    <row r="2744" spans="1:10" ht="15.95" customHeight="1" x14ac:dyDescent="0.2">
      <c r="A2744" s="39"/>
      <c r="B2744" s="36"/>
      <c r="C2744" s="37"/>
      <c r="D2744" s="37"/>
      <c r="E2744" s="37"/>
      <c r="F2744" s="37"/>
      <c r="G2744" s="37"/>
      <c r="H2744" s="37"/>
      <c r="I2744" s="35"/>
      <c r="J2744" s="37"/>
    </row>
    <row r="2745" spans="1:10" ht="15.95" customHeight="1" x14ac:dyDescent="0.2">
      <c r="A2745" s="39"/>
      <c r="B2745" s="36"/>
      <c r="C2745" s="37"/>
      <c r="D2745" s="37"/>
      <c r="E2745" s="37"/>
      <c r="F2745" s="37"/>
      <c r="G2745" s="37"/>
      <c r="H2745" s="37"/>
      <c r="I2745" s="35"/>
      <c r="J2745" s="37"/>
    </row>
    <row r="2746" spans="1:10" ht="15.95" customHeight="1" x14ac:dyDescent="0.2">
      <c r="A2746" s="39"/>
      <c r="B2746" s="36"/>
      <c r="C2746" s="37"/>
      <c r="D2746" s="37"/>
      <c r="E2746" s="37"/>
      <c r="F2746" s="37"/>
      <c r="G2746" s="37"/>
      <c r="H2746" s="37"/>
      <c r="I2746" s="35"/>
      <c r="J2746" s="37"/>
    </row>
    <row r="2747" spans="1:10" ht="15.95" customHeight="1" x14ac:dyDescent="0.2">
      <c r="A2747" s="39"/>
      <c r="B2747" s="36"/>
      <c r="C2747" s="37"/>
      <c r="D2747" s="37"/>
      <c r="E2747" s="37"/>
      <c r="F2747" s="37"/>
      <c r="G2747" s="37"/>
      <c r="H2747" s="37"/>
      <c r="I2747" s="35"/>
      <c r="J2747" s="37"/>
    </row>
    <row r="2748" spans="1:10" ht="15.95" customHeight="1" x14ac:dyDescent="0.2">
      <c r="A2748" s="39"/>
      <c r="B2748" s="36"/>
      <c r="C2748" s="37"/>
      <c r="D2748" s="37"/>
      <c r="E2748" s="37"/>
      <c r="F2748" s="37"/>
      <c r="G2748" s="37"/>
      <c r="H2748" s="37"/>
      <c r="I2748" s="35"/>
      <c r="J2748" s="37"/>
    </row>
    <row r="2749" spans="1:10" ht="15.95" customHeight="1" x14ac:dyDescent="0.2">
      <c r="A2749" s="39"/>
      <c r="B2749" s="36"/>
      <c r="C2749" s="37"/>
      <c r="D2749" s="37"/>
      <c r="E2749" s="37"/>
      <c r="F2749" s="37"/>
      <c r="G2749" s="37"/>
      <c r="H2749" s="37"/>
      <c r="I2749" s="35"/>
      <c r="J2749" s="37"/>
    </row>
    <row r="2750" spans="1:10" ht="15.95" customHeight="1" x14ac:dyDescent="0.2">
      <c r="A2750" s="39"/>
      <c r="B2750" s="36"/>
      <c r="C2750" s="37"/>
      <c r="D2750" s="37"/>
      <c r="E2750" s="37"/>
      <c r="F2750" s="37"/>
      <c r="G2750" s="37"/>
      <c r="H2750" s="37"/>
      <c r="I2750" s="35"/>
      <c r="J2750" s="37"/>
    </row>
    <row r="2751" spans="1:10" ht="15.95" customHeight="1" x14ac:dyDescent="0.2">
      <c r="A2751" s="39"/>
      <c r="B2751" s="36"/>
      <c r="C2751" s="37"/>
      <c r="D2751" s="37"/>
      <c r="E2751" s="37"/>
      <c r="F2751" s="37"/>
      <c r="G2751" s="37"/>
      <c r="H2751" s="37"/>
      <c r="I2751" s="35"/>
      <c r="J2751" s="37"/>
    </row>
    <row r="2752" spans="1:10" ht="15.95" customHeight="1" x14ac:dyDescent="0.2">
      <c r="A2752" s="39"/>
      <c r="B2752" s="36"/>
      <c r="C2752" s="37"/>
      <c r="D2752" s="37"/>
      <c r="E2752" s="37"/>
      <c r="F2752" s="37"/>
      <c r="G2752" s="37"/>
      <c r="H2752" s="37"/>
      <c r="I2752" s="35"/>
      <c r="J2752" s="37"/>
    </row>
    <row r="2753" spans="1:10" ht="15.95" customHeight="1" x14ac:dyDescent="0.2">
      <c r="A2753" s="39"/>
      <c r="B2753" s="36"/>
      <c r="C2753" s="37"/>
      <c r="D2753" s="37"/>
      <c r="E2753" s="37"/>
      <c r="F2753" s="37"/>
      <c r="G2753" s="37"/>
      <c r="H2753" s="37"/>
      <c r="I2753" s="35"/>
      <c r="J2753" s="37"/>
    </row>
    <row r="2754" spans="1:10" ht="15.95" customHeight="1" x14ac:dyDescent="0.2">
      <c r="A2754" s="39"/>
      <c r="B2754" s="36"/>
      <c r="C2754" s="37"/>
      <c r="D2754" s="37"/>
      <c r="E2754" s="37"/>
      <c r="F2754" s="37"/>
      <c r="G2754" s="37"/>
      <c r="H2754" s="37"/>
      <c r="I2754" s="35"/>
      <c r="J2754" s="37"/>
    </row>
    <row r="2755" spans="1:10" ht="15.95" customHeight="1" x14ac:dyDescent="0.2">
      <c r="A2755" s="39"/>
      <c r="B2755" s="36"/>
      <c r="C2755" s="37"/>
      <c r="D2755" s="37"/>
      <c r="E2755" s="37"/>
      <c r="F2755" s="37"/>
      <c r="G2755" s="37"/>
      <c r="H2755" s="37"/>
      <c r="I2755" s="35"/>
      <c r="J2755" s="37"/>
    </row>
    <row r="2756" spans="1:10" ht="15.95" customHeight="1" x14ac:dyDescent="0.2">
      <c r="A2756" s="39"/>
      <c r="B2756" s="36"/>
      <c r="C2756" s="37"/>
      <c r="D2756" s="37"/>
      <c r="E2756" s="37"/>
      <c r="F2756" s="37"/>
      <c r="G2756" s="37"/>
      <c r="H2756" s="37"/>
      <c r="I2756" s="35"/>
      <c r="J2756" s="37"/>
    </row>
    <row r="2757" spans="1:10" ht="15.95" customHeight="1" x14ac:dyDescent="0.2">
      <c r="A2757" s="39"/>
      <c r="B2757" s="36"/>
      <c r="C2757" s="37"/>
      <c r="D2757" s="37"/>
      <c r="E2757" s="37"/>
      <c r="F2757" s="37"/>
      <c r="G2757" s="37"/>
      <c r="H2757" s="37"/>
      <c r="I2757" s="35"/>
      <c r="J2757" s="37"/>
    </row>
    <row r="2758" spans="1:10" ht="15.95" customHeight="1" x14ac:dyDescent="0.2">
      <c r="A2758" s="39"/>
      <c r="B2758" s="36"/>
      <c r="C2758" s="37"/>
      <c r="D2758" s="37"/>
      <c r="E2758" s="37"/>
      <c r="F2758" s="37"/>
      <c r="G2758" s="37"/>
      <c r="H2758" s="37"/>
      <c r="I2758" s="35"/>
      <c r="J2758" s="37"/>
    </row>
    <row r="2759" spans="1:10" ht="15.95" customHeight="1" x14ac:dyDescent="0.2">
      <c r="A2759" s="39"/>
      <c r="B2759" s="36"/>
      <c r="C2759" s="37"/>
      <c r="D2759" s="37"/>
      <c r="E2759" s="37"/>
      <c r="F2759" s="37"/>
      <c r="G2759" s="37"/>
      <c r="H2759" s="37"/>
      <c r="I2759" s="35"/>
      <c r="J2759" s="37"/>
    </row>
    <row r="2760" spans="1:10" ht="15.95" customHeight="1" x14ac:dyDescent="0.2">
      <c r="A2760" s="39"/>
      <c r="B2760" s="36"/>
      <c r="C2760" s="37"/>
      <c r="D2760" s="37"/>
      <c r="E2760" s="37"/>
      <c r="F2760" s="37"/>
      <c r="G2760" s="37"/>
      <c r="H2760" s="37"/>
      <c r="I2760" s="35"/>
      <c r="J2760" s="37"/>
    </row>
    <row r="2761" spans="1:10" ht="15.95" customHeight="1" x14ac:dyDescent="0.2">
      <c r="A2761" s="39"/>
      <c r="B2761" s="36"/>
      <c r="C2761" s="37"/>
      <c r="D2761" s="37"/>
      <c r="E2761" s="37"/>
      <c r="F2761" s="37"/>
      <c r="G2761" s="37"/>
      <c r="H2761" s="37"/>
      <c r="I2761" s="35"/>
      <c r="J2761" s="37"/>
    </row>
    <row r="2762" spans="1:10" ht="15.95" customHeight="1" x14ac:dyDescent="0.2">
      <c r="A2762" s="39"/>
      <c r="B2762" s="36"/>
      <c r="C2762" s="37"/>
      <c r="D2762" s="37"/>
      <c r="E2762" s="37"/>
      <c r="F2762" s="37"/>
      <c r="G2762" s="37"/>
      <c r="H2762" s="37"/>
      <c r="I2762" s="35"/>
      <c r="J2762" s="37"/>
    </row>
    <row r="2763" spans="1:10" ht="15.95" customHeight="1" x14ac:dyDescent="0.2">
      <c r="A2763" s="39"/>
      <c r="B2763" s="36"/>
      <c r="C2763" s="37"/>
      <c r="D2763" s="37"/>
      <c r="E2763" s="37"/>
      <c r="F2763" s="37"/>
      <c r="G2763" s="37"/>
      <c r="H2763" s="37"/>
      <c r="I2763" s="35"/>
      <c r="J2763" s="37"/>
    </row>
    <row r="2764" spans="1:10" ht="15.95" customHeight="1" x14ac:dyDescent="0.2">
      <c r="A2764" s="39"/>
      <c r="B2764" s="36"/>
      <c r="C2764" s="37"/>
      <c r="D2764" s="37"/>
      <c r="E2764" s="37"/>
      <c r="F2764" s="37"/>
      <c r="G2764" s="37"/>
      <c r="H2764" s="37"/>
      <c r="I2764" s="35"/>
      <c r="J2764" s="37"/>
    </row>
    <row r="2765" spans="1:10" ht="15.95" customHeight="1" x14ac:dyDescent="0.2">
      <c r="A2765" s="39"/>
      <c r="B2765" s="36"/>
      <c r="C2765" s="37"/>
      <c r="D2765" s="37"/>
      <c r="E2765" s="37"/>
      <c r="F2765" s="37"/>
      <c r="G2765" s="37"/>
      <c r="H2765" s="37"/>
      <c r="I2765" s="35"/>
      <c r="J2765" s="37"/>
    </row>
    <row r="2766" spans="1:10" ht="15.95" customHeight="1" x14ac:dyDescent="0.2">
      <c r="A2766" s="39"/>
      <c r="B2766" s="36"/>
      <c r="C2766" s="37"/>
      <c r="D2766" s="37"/>
      <c r="E2766" s="37"/>
      <c r="F2766" s="37"/>
      <c r="G2766" s="37"/>
      <c r="H2766" s="37"/>
      <c r="I2766" s="35"/>
      <c r="J2766" s="37"/>
    </row>
    <row r="2767" spans="1:10" ht="15.95" customHeight="1" x14ac:dyDescent="0.2">
      <c r="A2767" s="39"/>
      <c r="B2767" s="36"/>
      <c r="C2767" s="37"/>
      <c r="D2767" s="37"/>
      <c r="E2767" s="37"/>
      <c r="F2767" s="37"/>
      <c r="G2767" s="37"/>
      <c r="H2767" s="37"/>
      <c r="I2767" s="35"/>
      <c r="J2767" s="37"/>
    </row>
    <row r="2768" spans="1:10" ht="15.95" customHeight="1" x14ac:dyDescent="0.2">
      <c r="A2768" s="39"/>
      <c r="B2768" s="36"/>
      <c r="C2768" s="37"/>
      <c r="D2768" s="37"/>
      <c r="E2768" s="37"/>
      <c r="F2768" s="37"/>
      <c r="G2768" s="37"/>
      <c r="H2768" s="37"/>
      <c r="I2768" s="35"/>
      <c r="J2768" s="37"/>
    </row>
    <row r="2769" spans="1:10" ht="15.95" customHeight="1" x14ac:dyDescent="0.2">
      <c r="A2769" s="39"/>
      <c r="B2769" s="36"/>
      <c r="C2769" s="37"/>
      <c r="D2769" s="37"/>
      <c r="E2769" s="37"/>
      <c r="F2769" s="37"/>
      <c r="G2769" s="37"/>
      <c r="H2769" s="37"/>
      <c r="I2769" s="35"/>
      <c r="J2769" s="37"/>
    </row>
    <row r="2770" spans="1:10" ht="15.95" customHeight="1" x14ac:dyDescent="0.2">
      <c r="A2770" s="39"/>
      <c r="B2770" s="36"/>
      <c r="C2770" s="37"/>
      <c r="D2770" s="37"/>
      <c r="E2770" s="37"/>
      <c r="F2770" s="37"/>
      <c r="G2770" s="37"/>
      <c r="H2770" s="37"/>
      <c r="I2770" s="35"/>
      <c r="J2770" s="37"/>
    </row>
    <row r="2771" spans="1:10" ht="15.95" customHeight="1" x14ac:dyDescent="0.2">
      <c r="A2771" s="39"/>
      <c r="B2771" s="36"/>
      <c r="C2771" s="37"/>
      <c r="D2771" s="37"/>
      <c r="E2771" s="37"/>
      <c r="F2771" s="37"/>
      <c r="G2771" s="37"/>
      <c r="H2771" s="37"/>
      <c r="I2771" s="35"/>
      <c r="J2771" s="37"/>
    </row>
    <row r="2772" spans="1:10" ht="15.95" customHeight="1" x14ac:dyDescent="0.2">
      <c r="A2772" s="39"/>
      <c r="B2772" s="36"/>
      <c r="C2772" s="37"/>
      <c r="D2772" s="37"/>
      <c r="E2772" s="37"/>
      <c r="F2772" s="37"/>
      <c r="G2772" s="37"/>
      <c r="H2772" s="37"/>
      <c r="I2772" s="35"/>
      <c r="J2772" s="37"/>
    </row>
    <row r="2773" spans="1:10" ht="15.95" customHeight="1" x14ac:dyDescent="0.2">
      <c r="A2773" s="39"/>
      <c r="B2773" s="36"/>
      <c r="C2773" s="37"/>
      <c r="D2773" s="37"/>
      <c r="E2773" s="37"/>
      <c r="F2773" s="37"/>
      <c r="G2773" s="37"/>
      <c r="H2773" s="37"/>
      <c r="I2773" s="35"/>
      <c r="J2773" s="37"/>
    </row>
    <row r="2774" spans="1:10" ht="15.95" customHeight="1" x14ac:dyDescent="0.2">
      <c r="A2774" s="39"/>
      <c r="B2774" s="36"/>
      <c r="C2774" s="37"/>
      <c r="D2774" s="37"/>
      <c r="E2774" s="37"/>
      <c r="F2774" s="37"/>
      <c r="G2774" s="37"/>
      <c r="H2774" s="37"/>
      <c r="I2774" s="35"/>
      <c r="J2774" s="37"/>
    </row>
    <row r="2775" spans="1:10" ht="15.95" customHeight="1" x14ac:dyDescent="0.2">
      <c r="A2775" s="39"/>
      <c r="B2775" s="36"/>
      <c r="C2775" s="37"/>
      <c r="D2775" s="37"/>
      <c r="E2775" s="37"/>
      <c r="F2775" s="37"/>
      <c r="G2775" s="37"/>
      <c r="H2775" s="37"/>
      <c r="I2775" s="35"/>
      <c r="J2775" s="37"/>
    </row>
    <row r="2776" spans="1:10" ht="15.95" customHeight="1" x14ac:dyDescent="0.2">
      <c r="A2776" s="39"/>
      <c r="B2776" s="36"/>
      <c r="C2776" s="37"/>
      <c r="D2776" s="37"/>
      <c r="E2776" s="37"/>
      <c r="F2776" s="37"/>
      <c r="G2776" s="37"/>
      <c r="H2776" s="37"/>
      <c r="I2776" s="35"/>
      <c r="J2776" s="37"/>
    </row>
    <row r="2777" spans="1:10" ht="15.95" customHeight="1" x14ac:dyDescent="0.2">
      <c r="A2777" s="39"/>
      <c r="B2777" s="36"/>
      <c r="C2777" s="37"/>
      <c r="D2777" s="37"/>
      <c r="E2777" s="37"/>
      <c r="F2777" s="37"/>
      <c r="G2777" s="37"/>
      <c r="H2777" s="37"/>
      <c r="I2777" s="35"/>
      <c r="J2777" s="37"/>
    </row>
    <row r="2778" spans="1:10" ht="15.95" customHeight="1" x14ac:dyDescent="0.2">
      <c r="A2778" s="39"/>
      <c r="B2778" s="36"/>
      <c r="C2778" s="37"/>
      <c r="D2778" s="37"/>
      <c r="E2778" s="37"/>
      <c r="F2778" s="37"/>
      <c r="G2778" s="37"/>
      <c r="H2778" s="37"/>
      <c r="I2778" s="35"/>
      <c r="J2778" s="37"/>
    </row>
    <row r="2779" spans="1:10" ht="15.95" customHeight="1" x14ac:dyDescent="0.2">
      <c r="A2779" s="39"/>
      <c r="B2779" s="36"/>
      <c r="C2779" s="37"/>
      <c r="D2779" s="37"/>
      <c r="E2779" s="37"/>
      <c r="F2779" s="37"/>
      <c r="G2779" s="37"/>
      <c r="H2779" s="37"/>
      <c r="I2779" s="35"/>
      <c r="J2779" s="37"/>
    </row>
    <row r="2780" spans="1:10" ht="15.95" customHeight="1" x14ac:dyDescent="0.2">
      <c r="A2780" s="39"/>
      <c r="B2780" s="36"/>
      <c r="C2780" s="37"/>
      <c r="D2780" s="37"/>
      <c r="E2780" s="37"/>
      <c r="F2780" s="37"/>
      <c r="G2780" s="37"/>
      <c r="H2780" s="37"/>
      <c r="I2780" s="35"/>
      <c r="J2780" s="37"/>
    </row>
    <row r="2781" spans="1:10" ht="15.95" customHeight="1" x14ac:dyDescent="0.2">
      <c r="A2781" s="39"/>
      <c r="B2781" s="36"/>
      <c r="C2781" s="37"/>
      <c r="D2781" s="37"/>
      <c r="E2781" s="37"/>
      <c r="F2781" s="37"/>
      <c r="G2781" s="37"/>
      <c r="H2781" s="37"/>
      <c r="I2781" s="35"/>
      <c r="J2781" s="37"/>
    </row>
    <row r="2782" spans="1:10" ht="15.95" customHeight="1" x14ac:dyDescent="0.2">
      <c r="A2782" s="39"/>
      <c r="B2782" s="36"/>
      <c r="C2782" s="37"/>
      <c r="D2782" s="37"/>
      <c r="E2782" s="37"/>
      <c r="F2782" s="37"/>
      <c r="G2782" s="37"/>
      <c r="H2782" s="37"/>
      <c r="I2782" s="35"/>
      <c r="J2782" s="37"/>
    </row>
    <row r="2783" spans="1:10" ht="15.95" customHeight="1" x14ac:dyDescent="0.2">
      <c r="A2783" s="39"/>
      <c r="B2783" s="36"/>
      <c r="C2783" s="37"/>
      <c r="D2783" s="37"/>
      <c r="E2783" s="37"/>
      <c r="F2783" s="37"/>
      <c r="G2783" s="37"/>
      <c r="H2783" s="37"/>
      <c r="I2783" s="35"/>
      <c r="J2783" s="37"/>
    </row>
    <row r="2784" spans="1:10" ht="15.95" customHeight="1" x14ac:dyDescent="0.2">
      <c r="A2784" s="39"/>
      <c r="B2784" s="36"/>
      <c r="C2784" s="37"/>
      <c r="D2784" s="37"/>
      <c r="E2784" s="37"/>
      <c r="F2784" s="37"/>
      <c r="G2784" s="37"/>
      <c r="H2784" s="37"/>
      <c r="I2784" s="35"/>
      <c r="J2784" s="37"/>
    </row>
    <row r="2785" spans="1:10" ht="15.95" customHeight="1" x14ac:dyDescent="0.2">
      <c r="A2785" s="39"/>
      <c r="B2785" s="36"/>
      <c r="C2785" s="37"/>
      <c r="D2785" s="37"/>
      <c r="E2785" s="37"/>
      <c r="F2785" s="37"/>
      <c r="G2785" s="37"/>
      <c r="H2785" s="37"/>
      <c r="I2785" s="35"/>
      <c r="J2785" s="37"/>
    </row>
    <row r="2786" spans="1:10" ht="15.95" customHeight="1" x14ac:dyDescent="0.2">
      <c r="A2786" s="39"/>
      <c r="B2786" s="36"/>
      <c r="C2786" s="37"/>
      <c r="D2786" s="37"/>
      <c r="E2786" s="37"/>
      <c r="F2786" s="37"/>
      <c r="G2786" s="37"/>
      <c r="H2786" s="37"/>
      <c r="I2786" s="35"/>
      <c r="J2786" s="37"/>
    </row>
    <row r="2787" spans="1:10" ht="15.95" customHeight="1" x14ac:dyDescent="0.2">
      <c r="A2787" s="39"/>
      <c r="B2787" s="36"/>
      <c r="C2787" s="37"/>
      <c r="D2787" s="37"/>
      <c r="E2787" s="37"/>
      <c r="F2787" s="37"/>
      <c r="G2787" s="37"/>
      <c r="H2787" s="37"/>
      <c r="I2787" s="35"/>
      <c r="J2787" s="37"/>
    </row>
    <row r="2788" spans="1:10" ht="15.95" customHeight="1" x14ac:dyDescent="0.2">
      <c r="A2788" s="39"/>
      <c r="B2788" s="36"/>
      <c r="C2788" s="37"/>
      <c r="D2788" s="37"/>
      <c r="E2788" s="37"/>
      <c r="F2788" s="37"/>
      <c r="G2788" s="37"/>
      <c r="H2788" s="37"/>
      <c r="I2788" s="35"/>
      <c r="J2788" s="37"/>
    </row>
    <row r="2789" spans="1:10" ht="15.95" customHeight="1" x14ac:dyDescent="0.2">
      <c r="A2789" s="39"/>
      <c r="B2789" s="36"/>
      <c r="C2789" s="37"/>
      <c r="D2789" s="37"/>
      <c r="E2789" s="37"/>
      <c r="F2789" s="37"/>
      <c r="G2789" s="37"/>
      <c r="H2789" s="37"/>
      <c r="I2789" s="35"/>
      <c r="J2789" s="37"/>
    </row>
    <row r="2790" spans="1:10" ht="15.95" customHeight="1" x14ac:dyDescent="0.2">
      <c r="A2790" s="39"/>
      <c r="B2790" s="36"/>
      <c r="C2790" s="37"/>
      <c r="D2790" s="37"/>
      <c r="E2790" s="37"/>
      <c r="F2790" s="37"/>
      <c r="G2790" s="37"/>
      <c r="H2790" s="37"/>
      <c r="I2790" s="35"/>
      <c r="J2790" s="37"/>
    </row>
    <row r="2791" spans="1:10" ht="15.95" customHeight="1" x14ac:dyDescent="0.2">
      <c r="A2791" s="39"/>
      <c r="B2791" s="36"/>
      <c r="C2791" s="37"/>
      <c r="D2791" s="37"/>
      <c r="E2791" s="37"/>
      <c r="F2791" s="37"/>
      <c r="G2791" s="37"/>
      <c r="H2791" s="37"/>
      <c r="I2791" s="35"/>
      <c r="J2791" s="37"/>
    </row>
    <row r="2792" spans="1:10" ht="15.95" customHeight="1" x14ac:dyDescent="0.2">
      <c r="A2792" s="39"/>
      <c r="B2792" s="36"/>
      <c r="C2792" s="37"/>
      <c r="D2792" s="37"/>
      <c r="E2792" s="37"/>
      <c r="F2792" s="37"/>
      <c r="G2792" s="37"/>
      <c r="H2792" s="37"/>
      <c r="I2792" s="35"/>
      <c r="J2792" s="37"/>
    </row>
    <row r="2793" spans="1:10" ht="15.95" customHeight="1" x14ac:dyDescent="0.2">
      <c r="A2793" s="39"/>
      <c r="B2793" s="36"/>
      <c r="C2793" s="37"/>
      <c r="D2793" s="37"/>
      <c r="E2793" s="37"/>
      <c r="F2793" s="37"/>
      <c r="G2793" s="37"/>
      <c r="H2793" s="37"/>
      <c r="I2793" s="35"/>
      <c r="J2793" s="37"/>
    </row>
    <row r="2794" spans="1:10" ht="15.95" customHeight="1" x14ac:dyDescent="0.2">
      <c r="A2794" s="39"/>
      <c r="B2794" s="36"/>
      <c r="C2794" s="37"/>
      <c r="D2794" s="37"/>
      <c r="E2794" s="37"/>
      <c r="F2794" s="37"/>
      <c r="G2794" s="37"/>
      <c r="H2794" s="37"/>
      <c r="I2794" s="35"/>
      <c r="J2794" s="37"/>
    </row>
    <row r="2795" spans="1:10" ht="15.95" customHeight="1" x14ac:dyDescent="0.2">
      <c r="A2795" s="39"/>
      <c r="B2795" s="36"/>
      <c r="C2795" s="37"/>
      <c r="D2795" s="37"/>
      <c r="E2795" s="37"/>
      <c r="F2795" s="37"/>
      <c r="G2795" s="37"/>
      <c r="H2795" s="37"/>
      <c r="I2795" s="35"/>
      <c r="J2795" s="37"/>
    </row>
    <row r="2796" spans="1:10" ht="15.95" customHeight="1" x14ac:dyDescent="0.2">
      <c r="A2796" s="39"/>
      <c r="B2796" s="36"/>
      <c r="C2796" s="37"/>
      <c r="D2796" s="37"/>
      <c r="E2796" s="37"/>
      <c r="F2796" s="37"/>
      <c r="G2796" s="37"/>
      <c r="H2796" s="37"/>
      <c r="I2796" s="35"/>
      <c r="J2796" s="37"/>
    </row>
    <row r="2797" spans="1:10" ht="15.95" customHeight="1" x14ac:dyDescent="0.2">
      <c r="A2797" s="39"/>
      <c r="B2797" s="36"/>
      <c r="C2797" s="37"/>
      <c r="D2797" s="37"/>
      <c r="E2797" s="37"/>
      <c r="F2797" s="37"/>
      <c r="G2797" s="37"/>
      <c r="H2797" s="37"/>
      <c r="I2797" s="35"/>
      <c r="J2797" s="37"/>
    </row>
    <row r="2798" spans="1:10" ht="15.95" customHeight="1" x14ac:dyDescent="0.2">
      <c r="A2798" s="39"/>
      <c r="B2798" s="36"/>
      <c r="C2798" s="37"/>
      <c r="D2798" s="37"/>
      <c r="E2798" s="37"/>
      <c r="F2798" s="37"/>
      <c r="G2798" s="37"/>
      <c r="H2798" s="37"/>
      <c r="I2798" s="35"/>
      <c r="J2798" s="37"/>
    </row>
    <row r="2799" spans="1:10" ht="15.95" customHeight="1" x14ac:dyDescent="0.2">
      <c r="A2799" s="39"/>
      <c r="B2799" s="36"/>
      <c r="C2799" s="37"/>
      <c r="D2799" s="37"/>
      <c r="E2799" s="37"/>
      <c r="F2799" s="37"/>
      <c r="G2799" s="37"/>
      <c r="H2799" s="37"/>
      <c r="I2799" s="35"/>
      <c r="J2799" s="37"/>
    </row>
    <row r="2800" spans="1:10" ht="15.95" customHeight="1" x14ac:dyDescent="0.2">
      <c r="A2800" s="39"/>
      <c r="B2800" s="36"/>
      <c r="C2800" s="37"/>
      <c r="D2800" s="37"/>
      <c r="E2800" s="37"/>
      <c r="F2800" s="37"/>
      <c r="G2800" s="37"/>
      <c r="H2800" s="37"/>
      <c r="I2800" s="35"/>
      <c r="J2800" s="37"/>
    </row>
    <row r="2801" spans="1:10" ht="15.95" customHeight="1" x14ac:dyDescent="0.2">
      <c r="A2801" s="39"/>
      <c r="B2801" s="36"/>
      <c r="C2801" s="37"/>
      <c r="D2801" s="37"/>
      <c r="E2801" s="37"/>
      <c r="F2801" s="37"/>
      <c r="G2801" s="37"/>
      <c r="H2801" s="37"/>
      <c r="I2801" s="35"/>
      <c r="J2801" s="37"/>
    </row>
    <row r="2802" spans="1:10" ht="15.95" customHeight="1" x14ac:dyDescent="0.2">
      <c r="A2802" s="39"/>
      <c r="B2802" s="36"/>
      <c r="C2802" s="37"/>
      <c r="D2802" s="37"/>
      <c r="E2802" s="37"/>
      <c r="F2802" s="37"/>
      <c r="G2802" s="37"/>
      <c r="H2802" s="37"/>
      <c r="I2802" s="35"/>
      <c r="J2802" s="37"/>
    </row>
    <row r="2803" spans="1:10" ht="15.95" customHeight="1" x14ac:dyDescent="0.2">
      <c r="A2803" s="39"/>
      <c r="B2803" s="36"/>
      <c r="C2803" s="37"/>
      <c r="D2803" s="37"/>
      <c r="E2803" s="37"/>
      <c r="F2803" s="37"/>
      <c r="G2803" s="37"/>
      <c r="H2803" s="37"/>
      <c r="I2803" s="35"/>
      <c r="J2803" s="37"/>
    </row>
    <row r="2804" spans="1:10" ht="15.95" customHeight="1" x14ac:dyDescent="0.2">
      <c r="A2804" s="39"/>
      <c r="B2804" s="36"/>
      <c r="C2804" s="37"/>
      <c r="D2804" s="37"/>
      <c r="E2804" s="37"/>
      <c r="F2804" s="37"/>
      <c r="G2804" s="37"/>
      <c r="H2804" s="37"/>
      <c r="I2804" s="35"/>
      <c r="J2804" s="37"/>
    </row>
    <row r="2805" spans="1:10" ht="15.95" customHeight="1" x14ac:dyDescent="0.2">
      <c r="A2805" s="39"/>
      <c r="B2805" s="36"/>
      <c r="C2805" s="37"/>
      <c r="D2805" s="37"/>
      <c r="E2805" s="37"/>
      <c r="F2805" s="37"/>
      <c r="G2805" s="37"/>
      <c r="H2805" s="37"/>
      <c r="I2805" s="35"/>
      <c r="J2805" s="37"/>
    </row>
    <row r="2806" spans="1:10" ht="15.95" customHeight="1" x14ac:dyDescent="0.2">
      <c r="A2806" s="39"/>
      <c r="B2806" s="36"/>
      <c r="C2806" s="37"/>
      <c r="D2806" s="37"/>
      <c r="E2806" s="37"/>
      <c r="F2806" s="37"/>
      <c r="G2806" s="37"/>
      <c r="H2806" s="37"/>
      <c r="I2806" s="35"/>
      <c r="J2806" s="37"/>
    </row>
    <row r="2807" spans="1:10" ht="15.95" customHeight="1" x14ac:dyDescent="0.2">
      <c r="A2807" s="39"/>
      <c r="B2807" s="36"/>
      <c r="C2807" s="37"/>
      <c r="D2807" s="37"/>
      <c r="E2807" s="37"/>
      <c r="F2807" s="37"/>
      <c r="G2807" s="37"/>
      <c r="H2807" s="37"/>
      <c r="I2807" s="35"/>
      <c r="J2807" s="37"/>
    </row>
    <row r="2808" spans="1:10" ht="15.95" customHeight="1" x14ac:dyDescent="0.2">
      <c r="A2808" s="39"/>
      <c r="B2808" s="36"/>
      <c r="C2808" s="37"/>
      <c r="D2808" s="37"/>
      <c r="E2808" s="37"/>
      <c r="F2808" s="37"/>
      <c r="G2808" s="37"/>
      <c r="H2808" s="37"/>
      <c r="I2808" s="35"/>
      <c r="J2808" s="37"/>
    </row>
    <row r="2809" spans="1:10" ht="15.95" customHeight="1" x14ac:dyDescent="0.2">
      <c r="A2809" s="39"/>
      <c r="B2809" s="36"/>
      <c r="C2809" s="37"/>
      <c r="D2809" s="37"/>
      <c r="E2809" s="37"/>
      <c r="F2809" s="37"/>
      <c r="G2809" s="37"/>
      <c r="H2809" s="37"/>
      <c r="I2809" s="35"/>
      <c r="J2809" s="37"/>
    </row>
    <row r="2810" spans="1:10" ht="15.95" customHeight="1" x14ac:dyDescent="0.2">
      <c r="A2810" s="39"/>
      <c r="B2810" s="36"/>
      <c r="C2810" s="37"/>
      <c r="D2810" s="37"/>
      <c r="E2810" s="37"/>
      <c r="F2810" s="37"/>
      <c r="G2810" s="37"/>
      <c r="H2810" s="37"/>
      <c r="I2810" s="35"/>
      <c r="J2810" s="37"/>
    </row>
    <row r="2811" spans="1:10" ht="15.95" customHeight="1" x14ac:dyDescent="0.2">
      <c r="A2811" s="39"/>
      <c r="B2811" s="36"/>
      <c r="C2811" s="37"/>
      <c r="D2811" s="37"/>
      <c r="E2811" s="37"/>
      <c r="F2811" s="37"/>
      <c r="G2811" s="37"/>
      <c r="H2811" s="37"/>
      <c r="I2811" s="35"/>
      <c r="J2811" s="37"/>
    </row>
    <row r="2812" spans="1:10" ht="15.95" customHeight="1" x14ac:dyDescent="0.2">
      <c r="A2812" s="39"/>
      <c r="B2812" s="36"/>
      <c r="C2812" s="37"/>
      <c r="D2812" s="37"/>
      <c r="E2812" s="37"/>
      <c r="F2812" s="37"/>
      <c r="G2812" s="37"/>
      <c r="H2812" s="37"/>
      <c r="I2812" s="35"/>
      <c r="J2812" s="37"/>
    </row>
    <row r="2813" spans="1:10" ht="15.95" customHeight="1" x14ac:dyDescent="0.2">
      <c r="A2813" s="39"/>
      <c r="B2813" s="36"/>
      <c r="C2813" s="37"/>
      <c r="D2813" s="37"/>
      <c r="E2813" s="37"/>
      <c r="F2813" s="37"/>
      <c r="G2813" s="37"/>
      <c r="H2813" s="37"/>
      <c r="I2813" s="35"/>
      <c r="J2813" s="37"/>
    </row>
    <row r="2814" spans="1:10" ht="15.95" customHeight="1" x14ac:dyDescent="0.2">
      <c r="A2814" s="39"/>
      <c r="B2814" s="36"/>
      <c r="C2814" s="37"/>
      <c r="D2814" s="37"/>
      <c r="E2814" s="37"/>
      <c r="F2814" s="37"/>
      <c r="G2814" s="37"/>
      <c r="H2814" s="37"/>
      <c r="I2814" s="35"/>
      <c r="J2814" s="37"/>
    </row>
    <row r="2815" spans="1:10" ht="15.95" customHeight="1" x14ac:dyDescent="0.2">
      <c r="A2815" s="39"/>
      <c r="B2815" s="36"/>
      <c r="C2815" s="37"/>
      <c r="D2815" s="37"/>
      <c r="E2815" s="37"/>
      <c r="F2815" s="37"/>
      <c r="G2815" s="37"/>
      <c r="H2815" s="37"/>
      <c r="I2815" s="35"/>
      <c r="J2815" s="37"/>
    </row>
    <row r="2816" spans="1:10" ht="15.95" customHeight="1" x14ac:dyDescent="0.2">
      <c r="A2816" s="39"/>
      <c r="B2816" s="36"/>
      <c r="C2816" s="37"/>
      <c r="D2816" s="37"/>
      <c r="E2816" s="37"/>
      <c r="F2816" s="37"/>
      <c r="G2816" s="37"/>
      <c r="H2816" s="37"/>
      <c r="I2816" s="35"/>
      <c r="J2816" s="37"/>
    </row>
    <row r="2817" spans="1:10" ht="15.95" customHeight="1" x14ac:dyDescent="0.2">
      <c r="A2817" s="39"/>
      <c r="B2817" s="36"/>
      <c r="C2817" s="37"/>
      <c r="D2817" s="37"/>
      <c r="E2817" s="37"/>
      <c r="F2817" s="37"/>
      <c r="G2817" s="37"/>
      <c r="H2817" s="37"/>
      <c r="I2817" s="35"/>
      <c r="J2817" s="37"/>
    </row>
    <row r="2818" spans="1:10" ht="15.95" customHeight="1" x14ac:dyDescent="0.2">
      <c r="A2818" s="39"/>
      <c r="B2818" s="36"/>
      <c r="C2818" s="37"/>
      <c r="D2818" s="37"/>
      <c r="E2818" s="37"/>
      <c r="F2818" s="37"/>
      <c r="G2818" s="37"/>
      <c r="H2818" s="37"/>
      <c r="I2818" s="35"/>
      <c r="J2818" s="37"/>
    </row>
    <row r="2819" spans="1:10" ht="15.95" customHeight="1" x14ac:dyDescent="0.2">
      <c r="A2819" s="39"/>
      <c r="B2819" s="36"/>
      <c r="C2819" s="37"/>
      <c r="D2819" s="37"/>
      <c r="E2819" s="37"/>
      <c r="F2819" s="37"/>
      <c r="G2819" s="37"/>
      <c r="H2819" s="37"/>
      <c r="I2819" s="35"/>
      <c r="J2819" s="37"/>
    </row>
    <row r="2820" spans="1:10" ht="15.95" customHeight="1" x14ac:dyDescent="0.2">
      <c r="A2820" s="39"/>
      <c r="B2820" s="36"/>
      <c r="C2820" s="37"/>
      <c r="D2820" s="37"/>
      <c r="E2820" s="37"/>
      <c r="F2820" s="37"/>
      <c r="G2820" s="37"/>
      <c r="H2820" s="37"/>
      <c r="I2820" s="35"/>
      <c r="J2820" s="37"/>
    </row>
    <row r="2821" spans="1:10" ht="15.95" customHeight="1" x14ac:dyDescent="0.2">
      <c r="A2821" s="39"/>
      <c r="B2821" s="36"/>
      <c r="C2821" s="37"/>
      <c r="D2821" s="37"/>
      <c r="E2821" s="37"/>
      <c r="F2821" s="37"/>
      <c r="G2821" s="37"/>
      <c r="H2821" s="37"/>
      <c r="I2821" s="35"/>
      <c r="J2821" s="37"/>
    </row>
    <row r="2822" spans="1:10" ht="15.95" customHeight="1" x14ac:dyDescent="0.2">
      <c r="A2822" s="39"/>
      <c r="B2822" s="36"/>
      <c r="C2822" s="37"/>
      <c r="D2822" s="37"/>
      <c r="E2822" s="37"/>
      <c r="F2822" s="37"/>
      <c r="G2822" s="37"/>
      <c r="H2822" s="37"/>
      <c r="I2822" s="35"/>
      <c r="J2822" s="37"/>
    </row>
    <row r="2823" spans="1:10" ht="15.95" customHeight="1" x14ac:dyDescent="0.2">
      <c r="A2823" s="39"/>
      <c r="B2823" s="36"/>
      <c r="C2823" s="37"/>
      <c r="D2823" s="37"/>
      <c r="E2823" s="37"/>
      <c r="F2823" s="37"/>
      <c r="G2823" s="37"/>
      <c r="H2823" s="37"/>
      <c r="I2823" s="35"/>
      <c r="J2823" s="37"/>
    </row>
    <row r="2824" spans="1:10" ht="15.95" customHeight="1" x14ac:dyDescent="0.2">
      <c r="A2824" s="39"/>
      <c r="B2824" s="36"/>
      <c r="C2824" s="37"/>
      <c r="D2824" s="37"/>
      <c r="E2824" s="37"/>
      <c r="F2824" s="37"/>
      <c r="G2824" s="37"/>
      <c r="H2824" s="37"/>
      <c r="I2824" s="35"/>
      <c r="J2824" s="37"/>
    </row>
    <row r="2825" spans="1:10" ht="15.95" customHeight="1" x14ac:dyDescent="0.2">
      <c r="A2825" s="39"/>
      <c r="B2825" s="36"/>
      <c r="C2825" s="37"/>
      <c r="D2825" s="37"/>
      <c r="E2825" s="37"/>
      <c r="F2825" s="37"/>
      <c r="G2825" s="37"/>
      <c r="H2825" s="37"/>
      <c r="I2825" s="35"/>
      <c r="J2825" s="37"/>
    </row>
    <row r="2826" spans="1:10" ht="15.95" customHeight="1" x14ac:dyDescent="0.2">
      <c r="A2826" s="39"/>
      <c r="B2826" s="36"/>
      <c r="C2826" s="37"/>
      <c r="D2826" s="37"/>
      <c r="E2826" s="37"/>
      <c r="F2826" s="37"/>
      <c r="G2826" s="37"/>
      <c r="H2826" s="37"/>
      <c r="I2826" s="35"/>
      <c r="J2826" s="37"/>
    </row>
    <row r="2827" spans="1:10" ht="15.95" customHeight="1" x14ac:dyDescent="0.2">
      <c r="A2827" s="39"/>
      <c r="B2827" s="36"/>
      <c r="C2827" s="37"/>
      <c r="D2827" s="37"/>
      <c r="E2827" s="37"/>
      <c r="F2827" s="37"/>
      <c r="G2827" s="37"/>
      <c r="H2827" s="37"/>
      <c r="I2827" s="35"/>
      <c r="J2827" s="37"/>
    </row>
    <row r="2828" spans="1:10" ht="15.95" customHeight="1" x14ac:dyDescent="0.2">
      <c r="A2828" s="39"/>
      <c r="B2828" s="36"/>
      <c r="C2828" s="37"/>
      <c r="D2828" s="37"/>
      <c r="E2828" s="37"/>
      <c r="F2828" s="37"/>
      <c r="G2828" s="37"/>
      <c r="H2828" s="37"/>
      <c r="I2828" s="35"/>
      <c r="J2828" s="37"/>
    </row>
    <row r="2829" spans="1:10" ht="15.95" customHeight="1" x14ac:dyDescent="0.2">
      <c r="A2829" s="39"/>
      <c r="B2829" s="36"/>
      <c r="C2829" s="37"/>
      <c r="D2829" s="37"/>
      <c r="E2829" s="37"/>
      <c r="F2829" s="37"/>
      <c r="G2829" s="37"/>
      <c r="H2829" s="37"/>
      <c r="I2829" s="35"/>
      <c r="J2829" s="37"/>
    </row>
    <row r="2830" spans="1:10" ht="15.95" customHeight="1" x14ac:dyDescent="0.2">
      <c r="A2830" s="39"/>
      <c r="B2830" s="36"/>
      <c r="C2830" s="37"/>
      <c r="D2830" s="37"/>
      <c r="E2830" s="37"/>
      <c r="F2830" s="37"/>
      <c r="G2830" s="37"/>
      <c r="H2830" s="37"/>
      <c r="I2830" s="35"/>
      <c r="J2830" s="37"/>
    </row>
    <row r="2831" spans="1:10" ht="15.95" customHeight="1" x14ac:dyDescent="0.2">
      <c r="A2831" s="39"/>
      <c r="B2831" s="36"/>
      <c r="C2831" s="37"/>
      <c r="D2831" s="37"/>
      <c r="E2831" s="37"/>
      <c r="F2831" s="37"/>
      <c r="G2831" s="37"/>
      <c r="H2831" s="37"/>
      <c r="I2831" s="35"/>
      <c r="J2831" s="37"/>
    </row>
    <row r="2832" spans="1:10" ht="15.95" customHeight="1" x14ac:dyDescent="0.2">
      <c r="A2832" s="39"/>
      <c r="B2832" s="36"/>
      <c r="C2832" s="37"/>
      <c r="D2832" s="37"/>
      <c r="E2832" s="37"/>
      <c r="F2832" s="37"/>
      <c r="G2832" s="37"/>
      <c r="H2832" s="37"/>
      <c r="I2832" s="35"/>
      <c r="J2832" s="37"/>
    </row>
    <row r="2833" spans="1:10" ht="15.95" customHeight="1" x14ac:dyDescent="0.2">
      <c r="A2833" s="39"/>
      <c r="B2833" s="36"/>
      <c r="C2833" s="37"/>
      <c r="D2833" s="37"/>
      <c r="E2833" s="37"/>
      <c r="F2833" s="37"/>
      <c r="G2833" s="37"/>
      <c r="H2833" s="37"/>
      <c r="I2833" s="35"/>
      <c r="J2833" s="37"/>
    </row>
    <row r="2834" spans="1:10" ht="15.95" customHeight="1" x14ac:dyDescent="0.2">
      <c r="A2834" s="39"/>
      <c r="B2834" s="36"/>
      <c r="C2834" s="37"/>
      <c r="D2834" s="37"/>
      <c r="E2834" s="37"/>
      <c r="F2834" s="37"/>
      <c r="G2834" s="37"/>
      <c r="H2834" s="37"/>
      <c r="I2834" s="35"/>
      <c r="J2834" s="37"/>
    </row>
    <row r="2835" spans="1:10" ht="15.95" customHeight="1" x14ac:dyDescent="0.2">
      <c r="A2835" s="39"/>
      <c r="B2835" s="36"/>
      <c r="C2835" s="37"/>
      <c r="D2835" s="37"/>
      <c r="E2835" s="37"/>
      <c r="F2835" s="37"/>
      <c r="G2835" s="37"/>
      <c r="H2835" s="37"/>
      <c r="I2835" s="35"/>
      <c r="J2835" s="37"/>
    </row>
    <row r="2836" spans="1:10" ht="15.95" customHeight="1" x14ac:dyDescent="0.2">
      <c r="A2836" s="39"/>
      <c r="B2836" s="36"/>
      <c r="C2836" s="37"/>
      <c r="D2836" s="37"/>
      <c r="E2836" s="37"/>
      <c r="F2836" s="37"/>
      <c r="G2836" s="37"/>
      <c r="H2836" s="37"/>
      <c r="I2836" s="35"/>
      <c r="J2836" s="37"/>
    </row>
    <row r="2837" spans="1:10" ht="15.95" customHeight="1" x14ac:dyDescent="0.2">
      <c r="A2837" s="39"/>
      <c r="B2837" s="36"/>
      <c r="C2837" s="37"/>
      <c r="D2837" s="37"/>
      <c r="E2837" s="37"/>
      <c r="F2837" s="37"/>
      <c r="G2837" s="37"/>
      <c r="H2837" s="37"/>
      <c r="I2837" s="35"/>
      <c r="J2837" s="37"/>
    </row>
    <row r="2838" spans="1:10" ht="15.95" customHeight="1" x14ac:dyDescent="0.2">
      <c r="A2838" s="39"/>
      <c r="B2838" s="36"/>
      <c r="C2838" s="37"/>
      <c r="D2838" s="37"/>
      <c r="E2838" s="37"/>
      <c r="F2838" s="37"/>
      <c r="G2838" s="37"/>
      <c r="H2838" s="37"/>
      <c r="I2838" s="35"/>
      <c r="J2838" s="37"/>
    </row>
    <row r="2839" spans="1:10" ht="15.95" customHeight="1" x14ac:dyDescent="0.2">
      <c r="A2839" s="39"/>
      <c r="B2839" s="36"/>
      <c r="C2839" s="37"/>
      <c r="D2839" s="37"/>
      <c r="E2839" s="37"/>
      <c r="F2839" s="37"/>
      <c r="G2839" s="37"/>
      <c r="H2839" s="37"/>
      <c r="I2839" s="35"/>
      <c r="J2839" s="37"/>
    </row>
    <row r="2840" spans="1:10" ht="15.95" customHeight="1" x14ac:dyDescent="0.2">
      <c r="A2840" s="39"/>
      <c r="B2840" s="36"/>
      <c r="C2840" s="37"/>
      <c r="D2840" s="37"/>
      <c r="E2840" s="37"/>
      <c r="F2840" s="37"/>
      <c r="G2840" s="37"/>
      <c r="H2840" s="37"/>
      <c r="I2840" s="35"/>
      <c r="J2840" s="37"/>
    </row>
    <row r="2841" spans="1:10" ht="15.95" customHeight="1" x14ac:dyDescent="0.2">
      <c r="A2841" s="39"/>
      <c r="B2841" s="36"/>
      <c r="C2841" s="37"/>
      <c r="D2841" s="37"/>
      <c r="E2841" s="37"/>
      <c r="F2841" s="37"/>
      <c r="G2841" s="37"/>
      <c r="H2841" s="37"/>
      <c r="I2841" s="35"/>
      <c r="J2841" s="37"/>
    </row>
    <row r="2842" spans="1:10" ht="15.95" customHeight="1" x14ac:dyDescent="0.2">
      <c r="A2842" s="39"/>
      <c r="B2842" s="36"/>
      <c r="C2842" s="37"/>
      <c r="D2842" s="37"/>
      <c r="E2842" s="37"/>
      <c r="F2842" s="37"/>
      <c r="G2842" s="37"/>
      <c r="H2842" s="37"/>
      <c r="I2842" s="35"/>
      <c r="J2842" s="37"/>
    </row>
    <row r="2843" spans="1:10" ht="15.95" customHeight="1" x14ac:dyDescent="0.2">
      <c r="A2843" s="39"/>
      <c r="B2843" s="36"/>
      <c r="C2843" s="37"/>
      <c r="D2843" s="37"/>
      <c r="E2843" s="37"/>
      <c r="F2843" s="37"/>
      <c r="G2843" s="37"/>
      <c r="H2843" s="37"/>
      <c r="I2843" s="35"/>
      <c r="J2843" s="37"/>
    </row>
    <row r="2844" spans="1:10" ht="15.95" customHeight="1" x14ac:dyDescent="0.2">
      <c r="A2844" s="39"/>
      <c r="B2844" s="36"/>
      <c r="C2844" s="37"/>
      <c r="D2844" s="37"/>
      <c r="E2844" s="37"/>
      <c r="F2844" s="37"/>
      <c r="G2844" s="37"/>
      <c r="H2844" s="37"/>
      <c r="I2844" s="35"/>
      <c r="J2844" s="37"/>
    </row>
    <row r="2845" spans="1:10" ht="15.95" customHeight="1" x14ac:dyDescent="0.2">
      <c r="A2845" s="39"/>
      <c r="B2845" s="36"/>
      <c r="C2845" s="37"/>
      <c r="D2845" s="37"/>
      <c r="E2845" s="37"/>
      <c r="F2845" s="37"/>
      <c r="G2845" s="37"/>
      <c r="H2845" s="37"/>
      <c r="I2845" s="35"/>
      <c r="J2845" s="37"/>
    </row>
    <row r="2846" spans="1:10" ht="15.95" customHeight="1" x14ac:dyDescent="0.2">
      <c r="A2846" s="39"/>
      <c r="B2846" s="36"/>
      <c r="C2846" s="37"/>
      <c r="D2846" s="37"/>
      <c r="E2846" s="37"/>
      <c r="F2846" s="37"/>
      <c r="G2846" s="37"/>
      <c r="H2846" s="37"/>
      <c r="I2846" s="35"/>
      <c r="J2846" s="37"/>
    </row>
    <row r="2847" spans="1:10" ht="15.95" customHeight="1" x14ac:dyDescent="0.2">
      <c r="A2847" s="39"/>
      <c r="B2847" s="36"/>
      <c r="C2847" s="37"/>
      <c r="D2847" s="37"/>
      <c r="E2847" s="37"/>
      <c r="F2847" s="37"/>
      <c r="G2847" s="37"/>
      <c r="H2847" s="37"/>
      <c r="I2847" s="35"/>
      <c r="J2847" s="37"/>
    </row>
    <row r="2848" spans="1:10" ht="15.95" customHeight="1" x14ac:dyDescent="0.2">
      <c r="A2848" s="39"/>
      <c r="B2848" s="36"/>
      <c r="C2848" s="37"/>
      <c r="D2848" s="37"/>
      <c r="E2848" s="37"/>
      <c r="F2848" s="37"/>
      <c r="G2848" s="37"/>
      <c r="H2848" s="37"/>
      <c r="I2848" s="35"/>
      <c r="J2848" s="37"/>
    </row>
    <row r="2849" spans="1:10" ht="15.95" customHeight="1" x14ac:dyDescent="0.2">
      <c r="A2849" s="39"/>
      <c r="B2849" s="36"/>
      <c r="C2849" s="37"/>
      <c r="D2849" s="37"/>
      <c r="E2849" s="37"/>
      <c r="F2849" s="37"/>
      <c r="G2849" s="37"/>
      <c r="H2849" s="37"/>
      <c r="I2849" s="35"/>
      <c r="J2849" s="37"/>
    </row>
    <row r="2850" spans="1:10" ht="15.95" customHeight="1" x14ac:dyDescent="0.2">
      <c r="A2850" s="39"/>
      <c r="B2850" s="36"/>
      <c r="C2850" s="37"/>
      <c r="D2850" s="37"/>
      <c r="E2850" s="37"/>
      <c r="F2850" s="37"/>
      <c r="G2850" s="37"/>
      <c r="H2850" s="37"/>
      <c r="I2850" s="35"/>
      <c r="J2850" s="37"/>
    </row>
    <row r="2851" spans="1:10" ht="15.95" customHeight="1" x14ac:dyDescent="0.2">
      <c r="A2851" s="39"/>
      <c r="B2851" s="36"/>
      <c r="C2851" s="37"/>
      <c r="D2851" s="37"/>
      <c r="E2851" s="37"/>
      <c r="F2851" s="37"/>
      <c r="G2851" s="37"/>
      <c r="H2851" s="37"/>
      <c r="I2851" s="35"/>
      <c r="J2851" s="37"/>
    </row>
    <row r="2852" spans="1:10" ht="15.95" customHeight="1" x14ac:dyDescent="0.2">
      <c r="A2852" s="39"/>
      <c r="B2852" s="36"/>
      <c r="C2852" s="37"/>
      <c r="D2852" s="37"/>
      <c r="E2852" s="37"/>
      <c r="F2852" s="37"/>
      <c r="G2852" s="37"/>
      <c r="H2852" s="37"/>
      <c r="I2852" s="35"/>
      <c r="J2852" s="37"/>
    </row>
    <row r="2853" spans="1:10" ht="15.95" customHeight="1" x14ac:dyDescent="0.2">
      <c r="A2853" s="39"/>
      <c r="B2853" s="36"/>
      <c r="C2853" s="37"/>
      <c r="D2853" s="37"/>
      <c r="E2853" s="37"/>
      <c r="F2853" s="37"/>
      <c r="G2853" s="37"/>
      <c r="H2853" s="37"/>
      <c r="I2853" s="35"/>
      <c r="J2853" s="37"/>
    </row>
    <row r="2854" spans="1:10" ht="15.95" customHeight="1" x14ac:dyDescent="0.2">
      <c r="A2854" s="39"/>
      <c r="B2854" s="36"/>
      <c r="C2854" s="37"/>
      <c r="D2854" s="37"/>
      <c r="E2854" s="37"/>
      <c r="F2854" s="37"/>
      <c r="G2854" s="37"/>
      <c r="H2854" s="37"/>
      <c r="I2854" s="35"/>
      <c r="J2854" s="37"/>
    </row>
    <row r="2855" spans="1:10" ht="15.95" customHeight="1" x14ac:dyDescent="0.2">
      <c r="A2855" s="39"/>
      <c r="B2855" s="36"/>
      <c r="C2855" s="37"/>
      <c r="D2855" s="37"/>
      <c r="E2855" s="37"/>
      <c r="F2855" s="37"/>
      <c r="G2855" s="37"/>
      <c r="H2855" s="37"/>
      <c r="I2855" s="35"/>
      <c r="J2855" s="37"/>
    </row>
    <row r="2856" spans="1:10" ht="15.95" customHeight="1" x14ac:dyDescent="0.2">
      <c r="A2856" s="39"/>
      <c r="B2856" s="36"/>
      <c r="C2856" s="37"/>
      <c r="D2856" s="37"/>
      <c r="E2856" s="37"/>
      <c r="F2856" s="37"/>
      <c r="G2856" s="37"/>
      <c r="H2856" s="37"/>
      <c r="I2856" s="35"/>
      <c r="J2856" s="37"/>
    </row>
    <row r="2857" spans="1:10" ht="15.95" customHeight="1" x14ac:dyDescent="0.2">
      <c r="A2857" s="39"/>
      <c r="B2857" s="36"/>
      <c r="C2857" s="37"/>
      <c r="D2857" s="37"/>
      <c r="E2857" s="37"/>
      <c r="F2857" s="37"/>
      <c r="G2857" s="37"/>
      <c r="H2857" s="37"/>
      <c r="I2857" s="35"/>
      <c r="J2857" s="37"/>
    </row>
    <row r="2858" spans="1:10" ht="15.95" customHeight="1" x14ac:dyDescent="0.2">
      <c r="A2858" s="39"/>
      <c r="B2858" s="36"/>
      <c r="C2858" s="37"/>
      <c r="D2858" s="37"/>
      <c r="E2858" s="37"/>
      <c r="F2858" s="37"/>
      <c r="G2858" s="37"/>
      <c r="H2858" s="37"/>
      <c r="I2858" s="35"/>
      <c r="J2858" s="37"/>
    </row>
    <row r="2859" spans="1:10" ht="15.95" customHeight="1" x14ac:dyDescent="0.2">
      <c r="A2859" s="39"/>
      <c r="B2859" s="36"/>
      <c r="C2859" s="37"/>
      <c r="D2859" s="37"/>
      <c r="E2859" s="37"/>
      <c r="F2859" s="37"/>
      <c r="G2859" s="37"/>
      <c r="H2859" s="37"/>
      <c r="I2859" s="35"/>
      <c r="J2859" s="37"/>
    </row>
    <row r="2860" spans="1:10" ht="15.95" customHeight="1" x14ac:dyDescent="0.2">
      <c r="A2860" s="39"/>
      <c r="B2860" s="36"/>
      <c r="C2860" s="37"/>
      <c r="D2860" s="37"/>
      <c r="E2860" s="37"/>
      <c r="F2860" s="37"/>
      <c r="G2860" s="37"/>
      <c r="H2860" s="37"/>
      <c r="I2860" s="35"/>
      <c r="J2860" s="37"/>
    </row>
    <row r="2861" spans="1:10" ht="15.95" customHeight="1" x14ac:dyDescent="0.2">
      <c r="A2861" s="39"/>
      <c r="B2861" s="36"/>
      <c r="C2861" s="37"/>
      <c r="D2861" s="37"/>
      <c r="E2861" s="37"/>
      <c r="F2861" s="37"/>
      <c r="G2861" s="37"/>
      <c r="H2861" s="37"/>
      <c r="I2861" s="35"/>
      <c r="J2861" s="37"/>
    </row>
    <row r="2862" spans="1:10" ht="15.95" customHeight="1" x14ac:dyDescent="0.2">
      <c r="A2862" s="39"/>
      <c r="B2862" s="36"/>
      <c r="C2862" s="37"/>
      <c r="D2862" s="37"/>
      <c r="E2862" s="37"/>
      <c r="F2862" s="37"/>
      <c r="G2862" s="37"/>
      <c r="H2862" s="37"/>
      <c r="I2862" s="35"/>
      <c r="J2862" s="37"/>
    </row>
    <row r="2863" spans="1:10" ht="15.95" customHeight="1" x14ac:dyDescent="0.2">
      <c r="A2863" s="39"/>
      <c r="B2863" s="36"/>
      <c r="C2863" s="37"/>
      <c r="D2863" s="37"/>
      <c r="E2863" s="37"/>
      <c r="F2863" s="37"/>
      <c r="G2863" s="37"/>
      <c r="H2863" s="37"/>
      <c r="I2863" s="35"/>
      <c r="J2863" s="37"/>
    </row>
    <row r="2864" spans="1:10" ht="15.95" customHeight="1" x14ac:dyDescent="0.2">
      <c r="A2864" s="39"/>
      <c r="B2864" s="36"/>
      <c r="C2864" s="37"/>
      <c r="D2864" s="37"/>
      <c r="E2864" s="37"/>
      <c r="F2864" s="37"/>
      <c r="G2864" s="37"/>
      <c r="H2864" s="37"/>
      <c r="I2864" s="35"/>
      <c r="J2864" s="37"/>
    </row>
    <row r="2865" spans="1:10" ht="15.95" customHeight="1" x14ac:dyDescent="0.2">
      <c r="A2865" s="39"/>
      <c r="B2865" s="36"/>
      <c r="C2865" s="37"/>
      <c r="D2865" s="37"/>
      <c r="E2865" s="37"/>
      <c r="F2865" s="37"/>
      <c r="G2865" s="37"/>
      <c r="H2865" s="37"/>
      <c r="I2865" s="35"/>
      <c r="J2865" s="37"/>
    </row>
    <row r="2866" spans="1:10" ht="15.95" customHeight="1" x14ac:dyDescent="0.2">
      <c r="A2866" s="39"/>
      <c r="B2866" s="36"/>
      <c r="C2866" s="37"/>
      <c r="D2866" s="37"/>
      <c r="E2866" s="37"/>
      <c r="F2866" s="37"/>
      <c r="G2866" s="37"/>
      <c r="H2866" s="37"/>
      <c r="I2866" s="35"/>
      <c r="J2866" s="37"/>
    </row>
    <row r="2867" spans="1:10" ht="15.95" customHeight="1" x14ac:dyDescent="0.2">
      <c r="A2867" s="39"/>
      <c r="B2867" s="36"/>
      <c r="C2867" s="37"/>
      <c r="D2867" s="37"/>
      <c r="E2867" s="37"/>
      <c r="F2867" s="37"/>
      <c r="G2867" s="37"/>
      <c r="H2867" s="37"/>
      <c r="I2867" s="35"/>
      <c r="J2867" s="37"/>
    </row>
    <row r="2868" spans="1:10" ht="15.95" customHeight="1" x14ac:dyDescent="0.2">
      <c r="A2868" s="39"/>
      <c r="B2868" s="36"/>
      <c r="C2868" s="37"/>
      <c r="D2868" s="37"/>
      <c r="E2868" s="37"/>
      <c r="F2868" s="37"/>
      <c r="G2868" s="37"/>
      <c r="H2868" s="37"/>
      <c r="I2868" s="35"/>
      <c r="J2868" s="37"/>
    </row>
    <row r="2869" spans="1:10" ht="15.95" customHeight="1" x14ac:dyDescent="0.2">
      <c r="A2869" s="39"/>
      <c r="B2869" s="36"/>
      <c r="C2869" s="37"/>
      <c r="D2869" s="37"/>
      <c r="E2869" s="37"/>
      <c r="F2869" s="37"/>
      <c r="G2869" s="37"/>
      <c r="H2869" s="37"/>
      <c r="I2869" s="35"/>
      <c r="J2869" s="37"/>
    </row>
    <row r="2870" spans="1:10" ht="15.95" customHeight="1" x14ac:dyDescent="0.2">
      <c r="A2870" s="39"/>
      <c r="B2870" s="36"/>
      <c r="C2870" s="37"/>
      <c r="D2870" s="37"/>
      <c r="E2870" s="37"/>
      <c r="F2870" s="37"/>
      <c r="G2870" s="37"/>
      <c r="H2870" s="37"/>
      <c r="I2870" s="35"/>
      <c r="J2870" s="37"/>
    </row>
    <row r="2871" spans="1:10" ht="15.95" customHeight="1" x14ac:dyDescent="0.2">
      <c r="A2871" s="39"/>
      <c r="B2871" s="36"/>
      <c r="C2871" s="37"/>
      <c r="D2871" s="37"/>
      <c r="E2871" s="37"/>
      <c r="F2871" s="37"/>
      <c r="G2871" s="37"/>
      <c r="H2871" s="37"/>
      <c r="I2871" s="35"/>
      <c r="J2871" s="37"/>
    </row>
    <row r="2872" spans="1:10" ht="15.95" customHeight="1" x14ac:dyDescent="0.2">
      <c r="A2872" s="39"/>
      <c r="B2872" s="36"/>
      <c r="C2872" s="37"/>
      <c r="D2872" s="37"/>
      <c r="E2872" s="37"/>
      <c r="F2872" s="37"/>
      <c r="G2872" s="37"/>
      <c r="H2872" s="37"/>
      <c r="I2872" s="35"/>
      <c r="J2872" s="37"/>
    </row>
    <row r="2873" spans="1:10" ht="15.95" customHeight="1" x14ac:dyDescent="0.2">
      <c r="A2873" s="39"/>
      <c r="B2873" s="36"/>
      <c r="C2873" s="37"/>
      <c r="D2873" s="37"/>
      <c r="E2873" s="37"/>
      <c r="F2873" s="37"/>
      <c r="G2873" s="37"/>
      <c r="H2873" s="37"/>
      <c r="I2873" s="35"/>
      <c r="J2873" s="37"/>
    </row>
    <row r="2874" spans="1:10" ht="15.95" customHeight="1" x14ac:dyDescent="0.2">
      <c r="A2874" s="39"/>
      <c r="B2874" s="36"/>
      <c r="C2874" s="37"/>
      <c r="D2874" s="37"/>
      <c r="E2874" s="37"/>
      <c r="F2874" s="37"/>
      <c r="G2874" s="37"/>
      <c r="H2874" s="37"/>
      <c r="I2874" s="35"/>
      <c r="J2874" s="37"/>
    </row>
    <row r="2875" spans="1:10" ht="15.95" customHeight="1" x14ac:dyDescent="0.2">
      <c r="A2875" s="39"/>
      <c r="B2875" s="36"/>
      <c r="C2875" s="37"/>
      <c r="D2875" s="37"/>
      <c r="E2875" s="37"/>
      <c r="F2875" s="37"/>
      <c r="G2875" s="37"/>
      <c r="H2875" s="37"/>
      <c r="I2875" s="35"/>
      <c r="J2875" s="37"/>
    </row>
    <row r="2876" spans="1:10" ht="15.95" customHeight="1" x14ac:dyDescent="0.2">
      <c r="A2876" s="39"/>
      <c r="B2876" s="36"/>
      <c r="C2876" s="37"/>
      <c r="D2876" s="37"/>
      <c r="E2876" s="37"/>
      <c r="F2876" s="37"/>
      <c r="G2876" s="37"/>
      <c r="H2876" s="37"/>
      <c r="I2876" s="35"/>
      <c r="J2876" s="37"/>
    </row>
    <row r="2877" spans="1:10" ht="15.95" customHeight="1" x14ac:dyDescent="0.2">
      <c r="A2877" s="39"/>
      <c r="B2877" s="36"/>
      <c r="C2877" s="37"/>
      <c r="D2877" s="37"/>
      <c r="E2877" s="37"/>
      <c r="F2877" s="37"/>
      <c r="G2877" s="37"/>
      <c r="H2877" s="37"/>
      <c r="I2877" s="35"/>
      <c r="J2877" s="37"/>
    </row>
    <row r="2878" spans="1:10" ht="15.95" customHeight="1" x14ac:dyDescent="0.2">
      <c r="A2878" s="39"/>
      <c r="B2878" s="36"/>
      <c r="C2878" s="37"/>
      <c r="D2878" s="37"/>
      <c r="E2878" s="37"/>
      <c r="F2878" s="37"/>
      <c r="G2878" s="37"/>
      <c r="H2878" s="37"/>
      <c r="I2878" s="35"/>
      <c r="J2878" s="37"/>
    </row>
    <row r="2879" spans="1:10" ht="15.95" customHeight="1" x14ac:dyDescent="0.2">
      <c r="A2879" s="39"/>
      <c r="B2879" s="36"/>
      <c r="C2879" s="37"/>
      <c r="D2879" s="37"/>
      <c r="E2879" s="37"/>
      <c r="F2879" s="37"/>
      <c r="G2879" s="37"/>
      <c r="H2879" s="37"/>
      <c r="I2879" s="35"/>
      <c r="J2879" s="37"/>
    </row>
    <row r="2880" spans="1:10" ht="15.95" customHeight="1" x14ac:dyDescent="0.2">
      <c r="A2880" s="39"/>
      <c r="B2880" s="36"/>
      <c r="C2880" s="37"/>
      <c r="D2880" s="37"/>
      <c r="E2880" s="37"/>
      <c r="F2880" s="37"/>
      <c r="G2880" s="37"/>
      <c r="H2880" s="37"/>
      <c r="I2880" s="35"/>
      <c r="J2880" s="37"/>
    </row>
    <row r="2881" spans="1:10" ht="15.95" customHeight="1" x14ac:dyDescent="0.2">
      <c r="A2881" s="39"/>
      <c r="B2881" s="36"/>
      <c r="C2881" s="37"/>
      <c r="D2881" s="37"/>
      <c r="E2881" s="37"/>
      <c r="F2881" s="37"/>
      <c r="G2881" s="37"/>
      <c r="H2881" s="37"/>
      <c r="I2881" s="35"/>
      <c r="J2881" s="37"/>
    </row>
    <row r="2882" spans="1:10" ht="15.95" customHeight="1" x14ac:dyDescent="0.2">
      <c r="A2882" s="39"/>
      <c r="B2882" s="36"/>
      <c r="C2882" s="37"/>
      <c r="D2882" s="37"/>
      <c r="E2882" s="37"/>
      <c r="F2882" s="37"/>
      <c r="G2882" s="37"/>
      <c r="H2882" s="37"/>
      <c r="I2882" s="35"/>
      <c r="J2882" s="37"/>
    </row>
    <row r="2883" spans="1:10" ht="15.95" customHeight="1" x14ac:dyDescent="0.2">
      <c r="A2883" s="39"/>
      <c r="B2883" s="36"/>
      <c r="C2883" s="37"/>
      <c r="D2883" s="37"/>
      <c r="E2883" s="37"/>
      <c r="F2883" s="37"/>
      <c r="G2883" s="37"/>
      <c r="H2883" s="37"/>
      <c r="I2883" s="35"/>
      <c r="J2883" s="37"/>
    </row>
    <row r="2884" spans="1:10" ht="15.95" customHeight="1" x14ac:dyDescent="0.2">
      <c r="A2884" s="39"/>
      <c r="B2884" s="36"/>
      <c r="C2884" s="37"/>
      <c r="D2884" s="37"/>
      <c r="E2884" s="37"/>
      <c r="F2884" s="37"/>
      <c r="G2884" s="37"/>
      <c r="H2884" s="37"/>
      <c r="I2884" s="35"/>
      <c r="J2884" s="37"/>
    </row>
    <row r="2885" spans="1:10" ht="15.95" customHeight="1" x14ac:dyDescent="0.2">
      <c r="A2885" s="39"/>
      <c r="B2885" s="36"/>
      <c r="C2885" s="37"/>
      <c r="D2885" s="37"/>
      <c r="E2885" s="37"/>
      <c r="F2885" s="37"/>
      <c r="G2885" s="37"/>
      <c r="H2885" s="37"/>
      <c r="I2885" s="35"/>
      <c r="J2885" s="37"/>
    </row>
    <row r="2886" spans="1:10" ht="15.95" customHeight="1" x14ac:dyDescent="0.2">
      <c r="A2886" s="39"/>
      <c r="B2886" s="36"/>
      <c r="C2886" s="37"/>
      <c r="D2886" s="37"/>
      <c r="E2886" s="37"/>
      <c r="F2886" s="37"/>
      <c r="G2886" s="37"/>
      <c r="H2886" s="37"/>
      <c r="I2886" s="35"/>
      <c r="J2886" s="37"/>
    </row>
    <row r="2887" spans="1:10" ht="15.95" customHeight="1" x14ac:dyDescent="0.2">
      <c r="A2887" s="39"/>
      <c r="B2887" s="36"/>
      <c r="C2887" s="37"/>
      <c r="D2887" s="37"/>
      <c r="E2887" s="37"/>
      <c r="F2887" s="37"/>
      <c r="G2887" s="37"/>
      <c r="H2887" s="37"/>
      <c r="I2887" s="35"/>
      <c r="J2887" s="37"/>
    </row>
    <row r="2888" spans="1:10" ht="15.95" customHeight="1" x14ac:dyDescent="0.2">
      <c r="A2888" s="39"/>
      <c r="B2888" s="36"/>
      <c r="C2888" s="37"/>
      <c r="D2888" s="37"/>
      <c r="E2888" s="37"/>
      <c r="F2888" s="37"/>
      <c r="G2888" s="37"/>
      <c r="H2888" s="37"/>
      <c r="I2888" s="35"/>
      <c r="J2888" s="37"/>
    </row>
    <row r="2889" spans="1:10" ht="15.95" customHeight="1" x14ac:dyDescent="0.2">
      <c r="A2889" s="39"/>
      <c r="B2889" s="36"/>
      <c r="C2889" s="37"/>
      <c r="D2889" s="37"/>
      <c r="E2889" s="37"/>
      <c r="F2889" s="37"/>
      <c r="G2889" s="37"/>
      <c r="H2889" s="37"/>
      <c r="I2889" s="35"/>
      <c r="J2889" s="37"/>
    </row>
    <row r="2890" spans="1:10" ht="15.95" customHeight="1" x14ac:dyDescent="0.2">
      <c r="A2890" s="39"/>
      <c r="B2890" s="36"/>
      <c r="C2890" s="37"/>
      <c r="D2890" s="37"/>
      <c r="E2890" s="37"/>
      <c r="F2890" s="37"/>
      <c r="G2890" s="37"/>
      <c r="H2890" s="37"/>
      <c r="I2890" s="35"/>
      <c r="J2890" s="37"/>
    </row>
    <row r="2891" spans="1:10" ht="15.95" customHeight="1" x14ac:dyDescent="0.2">
      <c r="A2891" s="39"/>
      <c r="B2891" s="36"/>
      <c r="C2891" s="37"/>
      <c r="D2891" s="37"/>
      <c r="E2891" s="37"/>
      <c r="F2891" s="37"/>
      <c r="G2891" s="37"/>
      <c r="H2891" s="37"/>
      <c r="I2891" s="35"/>
      <c r="J2891" s="37"/>
    </row>
    <row r="2892" spans="1:10" ht="15.95" customHeight="1" x14ac:dyDescent="0.2">
      <c r="A2892" s="39"/>
      <c r="B2892" s="36"/>
      <c r="C2892" s="37"/>
      <c r="D2892" s="37"/>
      <c r="E2892" s="37"/>
      <c r="F2892" s="37"/>
      <c r="G2892" s="37"/>
      <c r="H2892" s="37"/>
      <c r="I2892" s="35"/>
      <c r="J2892" s="37"/>
    </row>
    <row r="2893" spans="1:10" ht="15.95" customHeight="1" x14ac:dyDescent="0.2">
      <c r="A2893" s="39"/>
      <c r="B2893" s="36"/>
      <c r="C2893" s="37"/>
      <c r="D2893" s="37"/>
      <c r="E2893" s="37"/>
      <c r="F2893" s="37"/>
      <c r="G2893" s="37"/>
      <c r="H2893" s="37"/>
      <c r="I2893" s="35"/>
      <c r="J2893" s="37"/>
    </row>
    <row r="2894" spans="1:10" ht="15.95" customHeight="1" x14ac:dyDescent="0.2">
      <c r="A2894" s="39"/>
      <c r="B2894" s="36"/>
      <c r="C2894" s="37"/>
      <c r="D2894" s="37"/>
      <c r="E2894" s="37"/>
      <c r="F2894" s="37"/>
      <c r="G2894" s="37"/>
      <c r="H2894" s="37"/>
      <c r="I2894" s="35"/>
      <c r="J2894" s="37"/>
    </row>
    <row r="2895" spans="1:10" ht="15.95" customHeight="1" x14ac:dyDescent="0.2">
      <c r="A2895" s="39"/>
      <c r="B2895" s="36"/>
      <c r="C2895" s="37"/>
      <c r="D2895" s="37"/>
      <c r="E2895" s="37"/>
      <c r="F2895" s="37"/>
      <c r="G2895" s="37"/>
      <c r="H2895" s="37"/>
      <c r="I2895" s="35"/>
      <c r="J2895" s="37"/>
    </row>
    <row r="2896" spans="1:10" ht="15.95" customHeight="1" x14ac:dyDescent="0.2">
      <c r="A2896" s="39"/>
      <c r="B2896" s="36"/>
      <c r="C2896" s="37"/>
      <c r="D2896" s="37"/>
      <c r="E2896" s="37"/>
      <c r="F2896" s="37"/>
      <c r="G2896" s="37"/>
      <c r="H2896" s="37"/>
      <c r="I2896" s="35"/>
      <c r="J2896" s="37"/>
    </row>
    <row r="2897" spans="1:10" ht="15.95" customHeight="1" x14ac:dyDescent="0.2">
      <c r="A2897" s="39"/>
      <c r="B2897" s="36"/>
      <c r="C2897" s="37"/>
      <c r="D2897" s="37"/>
      <c r="E2897" s="37"/>
      <c r="F2897" s="37"/>
      <c r="G2897" s="37"/>
      <c r="H2897" s="37"/>
      <c r="I2897" s="35"/>
      <c r="J2897" s="37"/>
    </row>
    <row r="2898" spans="1:10" ht="15.95" customHeight="1" x14ac:dyDescent="0.2">
      <c r="A2898" s="39"/>
      <c r="B2898" s="36"/>
      <c r="C2898" s="37"/>
      <c r="D2898" s="37"/>
      <c r="E2898" s="37"/>
      <c r="F2898" s="37"/>
      <c r="G2898" s="37"/>
      <c r="H2898" s="37"/>
      <c r="I2898" s="35"/>
      <c r="J2898" s="37"/>
    </row>
    <row r="2899" spans="1:10" ht="15.95" customHeight="1" x14ac:dyDescent="0.2">
      <c r="A2899" s="39"/>
      <c r="B2899" s="36"/>
      <c r="C2899" s="37"/>
      <c r="D2899" s="37"/>
      <c r="E2899" s="37"/>
      <c r="F2899" s="37"/>
      <c r="G2899" s="37"/>
      <c r="H2899" s="37"/>
      <c r="I2899" s="35"/>
      <c r="J2899" s="37"/>
    </row>
    <row r="2900" spans="1:10" ht="15.95" customHeight="1" x14ac:dyDescent="0.2">
      <c r="A2900" s="39"/>
      <c r="B2900" s="36"/>
      <c r="C2900" s="37"/>
      <c r="D2900" s="37"/>
      <c r="E2900" s="37"/>
      <c r="F2900" s="37"/>
      <c r="G2900" s="37"/>
      <c r="H2900" s="37"/>
      <c r="I2900" s="35"/>
      <c r="J2900" s="37"/>
    </row>
    <row r="2901" spans="1:10" ht="15.95" customHeight="1" x14ac:dyDescent="0.2">
      <c r="A2901" s="39"/>
      <c r="B2901" s="36"/>
      <c r="C2901" s="37"/>
      <c r="D2901" s="37"/>
      <c r="E2901" s="37"/>
      <c r="F2901" s="37"/>
      <c r="G2901" s="37"/>
      <c r="H2901" s="37"/>
      <c r="I2901" s="35"/>
      <c r="J2901" s="37"/>
    </row>
    <row r="2902" spans="1:10" ht="15.95" customHeight="1" x14ac:dyDescent="0.2">
      <c r="A2902" s="39"/>
      <c r="B2902" s="36"/>
      <c r="C2902" s="37"/>
      <c r="D2902" s="37"/>
      <c r="E2902" s="37"/>
      <c r="F2902" s="37"/>
      <c r="G2902" s="37"/>
      <c r="H2902" s="37"/>
      <c r="I2902" s="35"/>
      <c r="J2902" s="37"/>
    </row>
    <row r="2903" spans="1:10" ht="15.95" customHeight="1" x14ac:dyDescent="0.2">
      <c r="A2903" s="39"/>
      <c r="B2903" s="36"/>
      <c r="C2903" s="37"/>
      <c r="D2903" s="37"/>
      <c r="E2903" s="37"/>
      <c r="F2903" s="37"/>
      <c r="G2903" s="37"/>
      <c r="H2903" s="37"/>
      <c r="I2903" s="35"/>
      <c r="J2903" s="37"/>
    </row>
    <row r="2904" spans="1:10" ht="15.95" customHeight="1" x14ac:dyDescent="0.2">
      <c r="A2904" s="39"/>
      <c r="B2904" s="36"/>
      <c r="C2904" s="37"/>
      <c r="D2904" s="37"/>
      <c r="E2904" s="37"/>
      <c r="F2904" s="37"/>
      <c r="G2904" s="37"/>
      <c r="H2904" s="37"/>
      <c r="I2904" s="35"/>
      <c r="J2904" s="37"/>
    </row>
    <row r="2905" spans="1:10" ht="15.95" customHeight="1" x14ac:dyDescent="0.2">
      <c r="A2905" s="39"/>
      <c r="B2905" s="36"/>
      <c r="C2905" s="37"/>
      <c r="D2905" s="37"/>
      <c r="E2905" s="37"/>
      <c r="F2905" s="37"/>
      <c r="G2905" s="37"/>
      <c r="H2905" s="37"/>
      <c r="I2905" s="35"/>
      <c r="J2905" s="37"/>
    </row>
    <row r="2906" spans="1:10" ht="15.95" customHeight="1" x14ac:dyDescent="0.2">
      <c r="A2906" s="39"/>
      <c r="B2906" s="36"/>
      <c r="C2906" s="37"/>
      <c r="D2906" s="37"/>
      <c r="E2906" s="37"/>
      <c r="F2906" s="37"/>
      <c r="G2906" s="37"/>
      <c r="H2906" s="37"/>
      <c r="I2906" s="35"/>
      <c r="J2906" s="37"/>
    </row>
    <row r="2907" spans="1:10" ht="15.95" customHeight="1" x14ac:dyDescent="0.2">
      <c r="A2907" s="39"/>
      <c r="B2907" s="36"/>
      <c r="C2907" s="37"/>
      <c r="D2907" s="37"/>
      <c r="E2907" s="37"/>
      <c r="F2907" s="37"/>
      <c r="G2907" s="37"/>
      <c r="H2907" s="37"/>
      <c r="I2907" s="35"/>
      <c r="J2907" s="37"/>
    </row>
    <row r="2908" spans="1:10" ht="15.95" customHeight="1" x14ac:dyDescent="0.2">
      <c r="A2908" s="39"/>
      <c r="B2908" s="36"/>
      <c r="C2908" s="37"/>
      <c r="D2908" s="37"/>
      <c r="E2908" s="37"/>
      <c r="F2908" s="37"/>
      <c r="G2908" s="37"/>
      <c r="H2908" s="37"/>
      <c r="I2908" s="35"/>
      <c r="J2908" s="37"/>
    </row>
    <row r="2909" spans="1:10" ht="15.95" customHeight="1" x14ac:dyDescent="0.2">
      <c r="A2909" s="39"/>
      <c r="B2909" s="36"/>
      <c r="C2909" s="37"/>
      <c r="D2909" s="37"/>
      <c r="E2909" s="37"/>
      <c r="F2909" s="37"/>
      <c r="G2909" s="37"/>
      <c r="H2909" s="37"/>
      <c r="I2909" s="35"/>
      <c r="J2909" s="37"/>
    </row>
    <row r="2910" spans="1:10" ht="15.95" customHeight="1" x14ac:dyDescent="0.2">
      <c r="A2910" s="39"/>
      <c r="B2910" s="36"/>
      <c r="C2910" s="37"/>
      <c r="D2910" s="37"/>
      <c r="E2910" s="37"/>
      <c r="F2910" s="37"/>
      <c r="G2910" s="37"/>
      <c r="H2910" s="37"/>
      <c r="I2910" s="35"/>
      <c r="J2910" s="37"/>
    </row>
    <row r="2911" spans="1:10" ht="15.95" customHeight="1" x14ac:dyDescent="0.2">
      <c r="A2911" s="39"/>
      <c r="B2911" s="36"/>
      <c r="C2911" s="37"/>
      <c r="D2911" s="37"/>
      <c r="E2911" s="37"/>
      <c r="F2911" s="37"/>
      <c r="G2911" s="37"/>
      <c r="H2911" s="37"/>
      <c r="I2911" s="35"/>
      <c r="J2911" s="37"/>
    </row>
    <row r="2912" spans="1:10" ht="15.95" customHeight="1" x14ac:dyDescent="0.2">
      <c r="A2912" s="39"/>
      <c r="B2912" s="36"/>
      <c r="C2912" s="37"/>
      <c r="D2912" s="37"/>
      <c r="E2912" s="37"/>
      <c r="F2912" s="37"/>
      <c r="G2912" s="37"/>
      <c r="H2912" s="37"/>
      <c r="I2912" s="35"/>
      <c r="J2912" s="37"/>
    </row>
    <row r="2913" spans="1:10" ht="15.95" customHeight="1" x14ac:dyDescent="0.2">
      <c r="A2913" s="39"/>
      <c r="B2913" s="36"/>
      <c r="C2913" s="37"/>
      <c r="D2913" s="37"/>
      <c r="E2913" s="37"/>
      <c r="F2913" s="37"/>
      <c r="G2913" s="37"/>
      <c r="H2913" s="37"/>
      <c r="I2913" s="35"/>
      <c r="J2913" s="37"/>
    </row>
    <row r="2914" spans="1:10" ht="15.95" customHeight="1" x14ac:dyDescent="0.2">
      <c r="A2914" s="39"/>
      <c r="B2914" s="36"/>
      <c r="C2914" s="37"/>
      <c r="D2914" s="37"/>
      <c r="E2914" s="37"/>
      <c r="F2914" s="37"/>
      <c r="G2914" s="37"/>
      <c r="H2914" s="37"/>
      <c r="I2914" s="35"/>
      <c r="J2914" s="37"/>
    </row>
    <row r="2915" spans="1:10" ht="15.95" customHeight="1" x14ac:dyDescent="0.2">
      <c r="A2915" s="39"/>
      <c r="B2915" s="36"/>
      <c r="C2915" s="37"/>
      <c r="D2915" s="37"/>
      <c r="E2915" s="37"/>
      <c r="F2915" s="37"/>
      <c r="G2915" s="37"/>
      <c r="H2915" s="37"/>
      <c r="I2915" s="35"/>
      <c r="J2915" s="37"/>
    </row>
    <row r="2916" spans="1:10" ht="15.95" customHeight="1" x14ac:dyDescent="0.2">
      <c r="A2916" s="39"/>
      <c r="B2916" s="36"/>
      <c r="C2916" s="37"/>
      <c r="D2916" s="37"/>
      <c r="E2916" s="37"/>
      <c r="F2916" s="37"/>
      <c r="G2916" s="37"/>
      <c r="H2916" s="37"/>
      <c r="I2916" s="35"/>
      <c r="J2916" s="37"/>
    </row>
    <row r="2917" spans="1:10" ht="15.95" customHeight="1" x14ac:dyDescent="0.2">
      <c r="A2917" s="39"/>
      <c r="B2917" s="36"/>
      <c r="C2917" s="37"/>
      <c r="D2917" s="37"/>
      <c r="E2917" s="37"/>
      <c r="F2917" s="37"/>
      <c r="G2917" s="37"/>
      <c r="H2917" s="37"/>
      <c r="I2917" s="35"/>
      <c r="J2917" s="37"/>
    </row>
    <row r="2918" spans="1:10" ht="15.95" customHeight="1" x14ac:dyDescent="0.2">
      <c r="A2918" s="39"/>
      <c r="B2918" s="36"/>
      <c r="C2918" s="37"/>
      <c r="D2918" s="37"/>
      <c r="E2918" s="37"/>
      <c r="F2918" s="37"/>
      <c r="G2918" s="37"/>
      <c r="H2918" s="37"/>
      <c r="I2918" s="35"/>
      <c r="J2918" s="37"/>
    </row>
    <row r="2919" spans="1:10" ht="15.95" customHeight="1" x14ac:dyDescent="0.2">
      <c r="A2919" s="39"/>
      <c r="B2919" s="36"/>
      <c r="C2919" s="37"/>
      <c r="D2919" s="37"/>
      <c r="E2919" s="37"/>
      <c r="F2919" s="37"/>
      <c r="G2919" s="37"/>
      <c r="H2919" s="37"/>
      <c r="I2919" s="35"/>
      <c r="J2919" s="37"/>
    </row>
    <row r="2920" spans="1:10" ht="15.95" customHeight="1" x14ac:dyDescent="0.2">
      <c r="A2920" s="39"/>
      <c r="B2920" s="36"/>
      <c r="C2920" s="37"/>
      <c r="D2920" s="37"/>
      <c r="E2920" s="37"/>
      <c r="F2920" s="37"/>
      <c r="G2920" s="37"/>
      <c r="H2920" s="37"/>
      <c r="I2920" s="35"/>
      <c r="J2920" s="37"/>
    </row>
    <row r="2921" spans="1:10" ht="15.95" customHeight="1" x14ac:dyDescent="0.2">
      <c r="A2921" s="39"/>
      <c r="B2921" s="36"/>
      <c r="C2921" s="37"/>
      <c r="D2921" s="37"/>
      <c r="E2921" s="37"/>
      <c r="F2921" s="37"/>
      <c r="G2921" s="37"/>
      <c r="H2921" s="37"/>
      <c r="I2921" s="35"/>
      <c r="J2921" s="37"/>
    </row>
    <row r="2922" spans="1:10" ht="15.95" customHeight="1" x14ac:dyDescent="0.2">
      <c r="A2922" s="39"/>
      <c r="B2922" s="36"/>
      <c r="C2922" s="37"/>
      <c r="D2922" s="37"/>
      <c r="E2922" s="37"/>
      <c r="F2922" s="37"/>
      <c r="G2922" s="37"/>
      <c r="H2922" s="37"/>
      <c r="I2922" s="35"/>
      <c r="J2922" s="37"/>
    </row>
    <row r="2923" spans="1:10" ht="15.95" customHeight="1" x14ac:dyDescent="0.2">
      <c r="A2923" s="39"/>
      <c r="B2923" s="36"/>
      <c r="C2923" s="37"/>
      <c r="D2923" s="37"/>
      <c r="E2923" s="37"/>
      <c r="F2923" s="37"/>
      <c r="G2923" s="37"/>
      <c r="H2923" s="37"/>
      <c r="I2923" s="35"/>
      <c r="J2923" s="37"/>
    </row>
    <row r="2924" spans="1:10" ht="15.95" customHeight="1" x14ac:dyDescent="0.2">
      <c r="A2924" s="39"/>
      <c r="B2924" s="36"/>
      <c r="C2924" s="37"/>
      <c r="D2924" s="37"/>
      <c r="E2924" s="37"/>
      <c r="F2924" s="37"/>
      <c r="G2924" s="37"/>
      <c r="H2924" s="37"/>
      <c r="I2924" s="35"/>
      <c r="J2924" s="37"/>
    </row>
    <row r="2925" spans="1:10" ht="15.95" customHeight="1" x14ac:dyDescent="0.2">
      <c r="A2925" s="39"/>
      <c r="B2925" s="36"/>
      <c r="C2925" s="37"/>
      <c r="D2925" s="37"/>
      <c r="E2925" s="37"/>
      <c r="F2925" s="37"/>
      <c r="G2925" s="37"/>
      <c r="H2925" s="37"/>
      <c r="I2925" s="35"/>
      <c r="J2925" s="37"/>
    </row>
    <row r="2926" spans="1:10" ht="15.95" customHeight="1" x14ac:dyDescent="0.2">
      <c r="A2926" s="39"/>
      <c r="B2926" s="36"/>
      <c r="C2926" s="37"/>
      <c r="D2926" s="37"/>
      <c r="E2926" s="37"/>
      <c r="F2926" s="37"/>
      <c r="G2926" s="37"/>
      <c r="H2926" s="37"/>
      <c r="I2926" s="35"/>
      <c r="J2926" s="37"/>
    </row>
    <row r="2927" spans="1:10" ht="15.95" customHeight="1" x14ac:dyDescent="0.2">
      <c r="A2927" s="39"/>
      <c r="B2927" s="36"/>
      <c r="C2927" s="37"/>
      <c r="D2927" s="37"/>
      <c r="E2927" s="37"/>
      <c r="F2927" s="37"/>
      <c r="G2927" s="37"/>
      <c r="H2927" s="37"/>
      <c r="I2927" s="35"/>
      <c r="J2927" s="37"/>
    </row>
    <row r="2928" spans="1:10" ht="15.95" customHeight="1" x14ac:dyDescent="0.2">
      <c r="A2928" s="39"/>
      <c r="B2928" s="36"/>
      <c r="C2928" s="37"/>
      <c r="D2928" s="37"/>
      <c r="E2928" s="37"/>
      <c r="F2928" s="37"/>
      <c r="G2928" s="37"/>
      <c r="H2928" s="37"/>
      <c r="I2928" s="35"/>
      <c r="J2928" s="37"/>
    </row>
    <row r="2929" spans="1:10" ht="15.95" customHeight="1" x14ac:dyDescent="0.2">
      <c r="A2929" s="39"/>
      <c r="B2929" s="36"/>
      <c r="C2929" s="37"/>
      <c r="D2929" s="37"/>
      <c r="E2929" s="37"/>
      <c r="F2929" s="37"/>
      <c r="G2929" s="37"/>
      <c r="H2929" s="37"/>
      <c r="I2929" s="35"/>
      <c r="J2929" s="37"/>
    </row>
    <row r="2930" spans="1:10" ht="15.95" customHeight="1" x14ac:dyDescent="0.2">
      <c r="A2930" s="39"/>
      <c r="B2930" s="36"/>
      <c r="C2930" s="37"/>
      <c r="D2930" s="37"/>
      <c r="E2930" s="37"/>
      <c r="F2930" s="37"/>
      <c r="G2930" s="37"/>
      <c r="H2930" s="37"/>
      <c r="I2930" s="35"/>
      <c r="J2930" s="37"/>
    </row>
    <row r="2931" spans="1:10" ht="15.95" customHeight="1" x14ac:dyDescent="0.2">
      <c r="A2931" s="39"/>
      <c r="B2931" s="36"/>
      <c r="C2931" s="37"/>
      <c r="D2931" s="37"/>
      <c r="E2931" s="37"/>
      <c r="F2931" s="37"/>
      <c r="G2931" s="37"/>
      <c r="H2931" s="37"/>
      <c r="I2931" s="35"/>
      <c r="J2931" s="37"/>
    </row>
    <row r="2932" spans="1:10" ht="15.95" customHeight="1" x14ac:dyDescent="0.2">
      <c r="A2932" s="39"/>
      <c r="B2932" s="36"/>
      <c r="C2932" s="37"/>
      <c r="D2932" s="37"/>
      <c r="E2932" s="37"/>
      <c r="F2932" s="37"/>
      <c r="G2932" s="37"/>
      <c r="H2932" s="37"/>
      <c r="I2932" s="35"/>
      <c r="J2932" s="37"/>
    </row>
    <row r="2933" spans="1:10" ht="15.95" customHeight="1" x14ac:dyDescent="0.2">
      <c r="A2933" s="39"/>
      <c r="B2933" s="36"/>
      <c r="C2933" s="37"/>
      <c r="D2933" s="37"/>
      <c r="E2933" s="37"/>
      <c r="F2933" s="37"/>
      <c r="G2933" s="37"/>
      <c r="H2933" s="37"/>
      <c r="I2933" s="35"/>
      <c r="J2933" s="37"/>
    </row>
    <row r="2934" spans="1:10" ht="15.95" customHeight="1" x14ac:dyDescent="0.2">
      <c r="A2934" s="39"/>
      <c r="B2934" s="36"/>
      <c r="C2934" s="37"/>
      <c r="D2934" s="37"/>
      <c r="E2934" s="37"/>
      <c r="F2934" s="37"/>
      <c r="G2934" s="37"/>
      <c r="H2934" s="37"/>
      <c r="I2934" s="35"/>
      <c r="J2934" s="37"/>
    </row>
    <row r="2935" spans="1:10" ht="15.95" customHeight="1" x14ac:dyDescent="0.2">
      <c r="A2935" s="39"/>
      <c r="B2935" s="36"/>
      <c r="C2935" s="37"/>
      <c r="D2935" s="37"/>
      <c r="E2935" s="37"/>
      <c r="F2935" s="37"/>
      <c r="G2935" s="37"/>
      <c r="H2935" s="37"/>
      <c r="I2935" s="35"/>
      <c r="J2935" s="37"/>
    </row>
    <row r="2936" spans="1:10" ht="15.95" customHeight="1" x14ac:dyDescent="0.2">
      <c r="A2936" s="39"/>
      <c r="B2936" s="36"/>
      <c r="C2936" s="37"/>
      <c r="D2936" s="37"/>
      <c r="E2936" s="37"/>
      <c r="F2936" s="37"/>
      <c r="G2936" s="37"/>
      <c r="H2936" s="37"/>
      <c r="I2936" s="35"/>
      <c r="J2936" s="37"/>
    </row>
    <row r="2937" spans="1:10" ht="15.95" customHeight="1" x14ac:dyDescent="0.2">
      <c r="A2937" s="39"/>
      <c r="B2937" s="36"/>
      <c r="C2937" s="37"/>
      <c r="D2937" s="37"/>
      <c r="E2937" s="37"/>
      <c r="F2937" s="37"/>
      <c r="G2937" s="37"/>
      <c r="H2937" s="37"/>
      <c r="I2937" s="35"/>
      <c r="J2937" s="37"/>
    </row>
    <row r="2938" spans="1:10" ht="15.95" customHeight="1" x14ac:dyDescent="0.2">
      <c r="A2938" s="39"/>
      <c r="B2938" s="36"/>
      <c r="C2938" s="37"/>
      <c r="D2938" s="37"/>
      <c r="E2938" s="37"/>
      <c r="F2938" s="37"/>
      <c r="G2938" s="37"/>
      <c r="H2938" s="37"/>
      <c r="I2938" s="35"/>
      <c r="J2938" s="37"/>
    </row>
    <row r="2939" spans="1:10" ht="15.95" customHeight="1" x14ac:dyDescent="0.2">
      <c r="A2939" s="39"/>
      <c r="B2939" s="36"/>
      <c r="C2939" s="37"/>
      <c r="D2939" s="37"/>
      <c r="E2939" s="37"/>
      <c r="F2939" s="37"/>
      <c r="G2939" s="37"/>
      <c r="H2939" s="37"/>
      <c r="I2939" s="35"/>
      <c r="J2939" s="37"/>
    </row>
    <row r="2940" spans="1:10" ht="15.95" customHeight="1" x14ac:dyDescent="0.2">
      <c r="A2940" s="39"/>
      <c r="B2940" s="36"/>
      <c r="C2940" s="37"/>
      <c r="D2940" s="37"/>
      <c r="E2940" s="37"/>
      <c r="F2940" s="37"/>
      <c r="G2940" s="37"/>
      <c r="H2940" s="37"/>
      <c r="I2940" s="35"/>
      <c r="J2940" s="37"/>
    </row>
    <row r="2941" spans="1:10" ht="15.95" customHeight="1" x14ac:dyDescent="0.2">
      <c r="A2941" s="39"/>
      <c r="B2941" s="36"/>
      <c r="C2941" s="37"/>
      <c r="D2941" s="37"/>
      <c r="E2941" s="37"/>
      <c r="F2941" s="37"/>
      <c r="G2941" s="37"/>
      <c r="H2941" s="37"/>
      <c r="I2941" s="35"/>
      <c r="J2941" s="37"/>
    </row>
    <row r="2942" spans="1:10" ht="15.95" customHeight="1" x14ac:dyDescent="0.2">
      <c r="A2942" s="39"/>
      <c r="B2942" s="36"/>
      <c r="C2942" s="37"/>
      <c r="D2942" s="37"/>
      <c r="E2942" s="37"/>
      <c r="F2942" s="37"/>
      <c r="G2942" s="37"/>
      <c r="H2942" s="37"/>
      <c r="I2942" s="35"/>
      <c r="J2942" s="37"/>
    </row>
    <row r="2943" spans="1:10" ht="15.95" customHeight="1" x14ac:dyDescent="0.2">
      <c r="A2943" s="39"/>
      <c r="B2943" s="36"/>
      <c r="C2943" s="37"/>
      <c r="D2943" s="37"/>
      <c r="E2943" s="37"/>
      <c r="F2943" s="37"/>
      <c r="G2943" s="37"/>
      <c r="H2943" s="37"/>
      <c r="I2943" s="35"/>
      <c r="J2943" s="37"/>
    </row>
    <row r="2944" spans="1:10" ht="15.95" customHeight="1" x14ac:dyDescent="0.2">
      <c r="A2944" s="39"/>
      <c r="B2944" s="36"/>
      <c r="C2944" s="37"/>
      <c r="D2944" s="37"/>
      <c r="E2944" s="37"/>
      <c r="F2944" s="37"/>
      <c r="G2944" s="37"/>
      <c r="H2944" s="37"/>
      <c r="I2944" s="35"/>
      <c r="J2944" s="37"/>
    </row>
    <row r="2945" spans="1:10" ht="15.95" customHeight="1" x14ac:dyDescent="0.2">
      <c r="A2945" s="39"/>
      <c r="B2945" s="36"/>
      <c r="C2945" s="37"/>
      <c r="D2945" s="37"/>
      <c r="E2945" s="37"/>
      <c r="F2945" s="37"/>
      <c r="G2945" s="37"/>
      <c r="H2945" s="37"/>
      <c r="I2945" s="35"/>
      <c r="J2945" s="37"/>
    </row>
    <row r="2946" spans="1:10" ht="15.95" customHeight="1" x14ac:dyDescent="0.2">
      <c r="A2946" s="39"/>
      <c r="B2946" s="36"/>
      <c r="C2946" s="37"/>
      <c r="D2946" s="37"/>
      <c r="E2946" s="37"/>
      <c r="F2946" s="37"/>
      <c r="G2946" s="37"/>
      <c r="H2946" s="37"/>
      <c r="I2946" s="35"/>
      <c r="J2946" s="37"/>
    </row>
    <row r="2947" spans="1:10" ht="15.95" customHeight="1" x14ac:dyDescent="0.2">
      <c r="A2947" s="39"/>
      <c r="B2947" s="36"/>
      <c r="C2947" s="37"/>
      <c r="D2947" s="37"/>
      <c r="E2947" s="37"/>
      <c r="F2947" s="37"/>
      <c r="G2947" s="37"/>
      <c r="H2947" s="37"/>
      <c r="I2947" s="35"/>
      <c r="J2947" s="37"/>
    </row>
    <row r="2948" spans="1:10" ht="15.95" customHeight="1" x14ac:dyDescent="0.2">
      <c r="A2948" s="39"/>
      <c r="B2948" s="36"/>
      <c r="C2948" s="37"/>
      <c r="D2948" s="37"/>
      <c r="E2948" s="37"/>
      <c r="F2948" s="37"/>
      <c r="G2948" s="37"/>
      <c r="H2948" s="37"/>
      <c r="I2948" s="35"/>
      <c r="J2948" s="37"/>
    </row>
    <row r="2949" spans="1:10" ht="15.95" customHeight="1" x14ac:dyDescent="0.2">
      <c r="A2949" s="39"/>
      <c r="B2949" s="36"/>
      <c r="C2949" s="37"/>
      <c r="D2949" s="37"/>
      <c r="E2949" s="37"/>
      <c r="F2949" s="37"/>
      <c r="G2949" s="37"/>
      <c r="H2949" s="37"/>
      <c r="I2949" s="35"/>
      <c r="J2949" s="37"/>
    </row>
    <row r="2950" spans="1:10" ht="15.95" customHeight="1" x14ac:dyDescent="0.2">
      <c r="A2950" s="39"/>
      <c r="B2950" s="36"/>
      <c r="C2950" s="37"/>
      <c r="D2950" s="37"/>
      <c r="E2950" s="37"/>
      <c r="F2950" s="37"/>
      <c r="G2950" s="37"/>
      <c r="H2950" s="37"/>
      <c r="I2950" s="35"/>
      <c r="J2950" s="37"/>
    </row>
    <row r="2951" spans="1:10" ht="15.95" customHeight="1" x14ac:dyDescent="0.2">
      <c r="A2951" s="39"/>
      <c r="B2951" s="36"/>
      <c r="C2951" s="37"/>
      <c r="D2951" s="37"/>
      <c r="E2951" s="37"/>
      <c r="F2951" s="37"/>
      <c r="G2951" s="37"/>
      <c r="H2951" s="37"/>
      <c r="I2951" s="35"/>
      <c r="J2951" s="37"/>
    </row>
    <row r="2952" spans="1:10" ht="15.95" customHeight="1" x14ac:dyDescent="0.2">
      <c r="A2952" s="39"/>
      <c r="B2952" s="36"/>
      <c r="C2952" s="37"/>
      <c r="D2952" s="37"/>
      <c r="E2952" s="37"/>
      <c r="F2952" s="37"/>
      <c r="G2952" s="37"/>
      <c r="H2952" s="37"/>
      <c r="I2952" s="35"/>
      <c r="J2952" s="37"/>
    </row>
    <row r="2953" spans="1:10" ht="15.95" customHeight="1" x14ac:dyDescent="0.2">
      <c r="A2953" s="39"/>
      <c r="B2953" s="36"/>
      <c r="C2953" s="37"/>
      <c r="D2953" s="37"/>
      <c r="E2953" s="37"/>
      <c r="F2953" s="37"/>
      <c r="G2953" s="37"/>
      <c r="H2953" s="37"/>
      <c r="I2953" s="35"/>
      <c r="J2953" s="37"/>
    </row>
    <row r="2954" spans="1:10" ht="15.95" customHeight="1" x14ac:dyDescent="0.2">
      <c r="A2954" s="39"/>
      <c r="B2954" s="36"/>
      <c r="C2954" s="37"/>
      <c r="D2954" s="37"/>
      <c r="E2954" s="37"/>
      <c r="F2954" s="37"/>
      <c r="G2954" s="37"/>
      <c r="H2954" s="37"/>
      <c r="I2954" s="35"/>
      <c r="J2954" s="37"/>
    </row>
    <row r="2955" spans="1:10" ht="15.95" customHeight="1" x14ac:dyDescent="0.2">
      <c r="A2955" s="39"/>
      <c r="B2955" s="36"/>
      <c r="C2955" s="37"/>
      <c r="D2955" s="37"/>
      <c r="E2955" s="37"/>
      <c r="F2955" s="37"/>
      <c r="G2955" s="37"/>
      <c r="H2955" s="37"/>
      <c r="I2955" s="35"/>
      <c r="J2955" s="37"/>
    </row>
    <row r="2956" spans="1:10" ht="15.95" customHeight="1" x14ac:dyDescent="0.2">
      <c r="A2956" s="39"/>
      <c r="B2956" s="36"/>
      <c r="C2956" s="37"/>
      <c r="D2956" s="37"/>
      <c r="E2956" s="37"/>
      <c r="F2956" s="37"/>
      <c r="G2956" s="37"/>
      <c r="H2956" s="37"/>
      <c r="I2956" s="35"/>
      <c r="J2956" s="37"/>
    </row>
    <row r="2957" spans="1:10" ht="15.95" customHeight="1" x14ac:dyDescent="0.2">
      <c r="A2957" s="39"/>
      <c r="B2957" s="36"/>
      <c r="C2957" s="37"/>
      <c r="D2957" s="37"/>
      <c r="E2957" s="37"/>
      <c r="F2957" s="37"/>
      <c r="G2957" s="37"/>
      <c r="H2957" s="37"/>
      <c r="I2957" s="35"/>
      <c r="J2957" s="37"/>
    </row>
    <row r="2958" spans="1:10" ht="15.95" customHeight="1" x14ac:dyDescent="0.2">
      <c r="A2958" s="39"/>
      <c r="B2958" s="36"/>
      <c r="C2958" s="37"/>
      <c r="D2958" s="37"/>
      <c r="E2958" s="37"/>
      <c r="F2958" s="37"/>
      <c r="G2958" s="37"/>
      <c r="H2958" s="37"/>
      <c r="I2958" s="35"/>
      <c r="J2958" s="37"/>
    </row>
    <row r="2959" spans="1:10" ht="15.95" customHeight="1" x14ac:dyDescent="0.2">
      <c r="A2959" s="39"/>
      <c r="B2959" s="36"/>
      <c r="C2959" s="37"/>
      <c r="D2959" s="37"/>
      <c r="E2959" s="37"/>
      <c r="F2959" s="37"/>
      <c r="G2959" s="37"/>
      <c r="H2959" s="37"/>
      <c r="I2959" s="35"/>
      <c r="J2959" s="37"/>
    </row>
    <row r="2960" spans="1:10" ht="15.95" customHeight="1" x14ac:dyDescent="0.2">
      <c r="A2960" s="39"/>
      <c r="B2960" s="36"/>
      <c r="C2960" s="37"/>
      <c r="D2960" s="37"/>
      <c r="E2960" s="37"/>
      <c r="F2960" s="37"/>
      <c r="G2960" s="37"/>
      <c r="H2960" s="37"/>
      <c r="I2960" s="35"/>
      <c r="J2960" s="37"/>
    </row>
    <row r="2961" spans="1:10" ht="15.95" customHeight="1" x14ac:dyDescent="0.2">
      <c r="A2961" s="39"/>
      <c r="B2961" s="36"/>
      <c r="C2961" s="37"/>
      <c r="D2961" s="37"/>
      <c r="E2961" s="37"/>
      <c r="F2961" s="37"/>
      <c r="G2961" s="37"/>
      <c r="H2961" s="37"/>
      <c r="I2961" s="35"/>
      <c r="J2961" s="37"/>
    </row>
    <row r="2962" spans="1:10" ht="15.95" customHeight="1" x14ac:dyDescent="0.2">
      <c r="A2962" s="39"/>
      <c r="B2962" s="36"/>
      <c r="C2962" s="37"/>
      <c r="D2962" s="37"/>
      <c r="E2962" s="37"/>
      <c r="F2962" s="37"/>
      <c r="G2962" s="37"/>
      <c r="H2962" s="37"/>
      <c r="I2962" s="35"/>
      <c r="J2962" s="37"/>
    </row>
    <row r="2963" spans="1:10" ht="15.95" customHeight="1" x14ac:dyDescent="0.2">
      <c r="A2963" s="39"/>
      <c r="B2963" s="36"/>
      <c r="C2963" s="37"/>
      <c r="D2963" s="37"/>
      <c r="E2963" s="37"/>
      <c r="F2963" s="37"/>
      <c r="G2963" s="37"/>
      <c r="H2963" s="37"/>
      <c r="I2963" s="35"/>
      <c r="J2963" s="37"/>
    </row>
    <row r="2964" spans="1:10" ht="15.95" customHeight="1" x14ac:dyDescent="0.2">
      <c r="A2964" s="39"/>
      <c r="B2964" s="36"/>
      <c r="C2964" s="37"/>
      <c r="D2964" s="37"/>
      <c r="E2964" s="37"/>
      <c r="F2964" s="37"/>
      <c r="G2964" s="37"/>
      <c r="H2964" s="37"/>
      <c r="I2964" s="35"/>
      <c r="J2964" s="37"/>
    </row>
    <row r="2965" spans="1:10" ht="15.95" customHeight="1" x14ac:dyDescent="0.2">
      <c r="A2965" s="39"/>
      <c r="B2965" s="36"/>
      <c r="C2965" s="37"/>
      <c r="D2965" s="37"/>
      <c r="E2965" s="37"/>
      <c r="F2965" s="37"/>
      <c r="G2965" s="37"/>
      <c r="H2965" s="37"/>
      <c r="I2965" s="35"/>
      <c r="J2965" s="37"/>
    </row>
    <row r="2966" spans="1:10" ht="15.95" customHeight="1" x14ac:dyDescent="0.2">
      <c r="A2966" s="39"/>
      <c r="B2966" s="36"/>
      <c r="C2966" s="37"/>
      <c r="D2966" s="37"/>
      <c r="E2966" s="37"/>
      <c r="F2966" s="37"/>
      <c r="G2966" s="37"/>
      <c r="H2966" s="37"/>
      <c r="I2966" s="35"/>
      <c r="J2966" s="37"/>
    </row>
    <row r="2967" spans="1:10" ht="15.95" customHeight="1" x14ac:dyDescent="0.2">
      <c r="A2967" s="39"/>
      <c r="B2967" s="36"/>
      <c r="C2967" s="37"/>
      <c r="D2967" s="37"/>
      <c r="E2967" s="37"/>
      <c r="F2967" s="37"/>
      <c r="G2967" s="37"/>
      <c r="H2967" s="37"/>
      <c r="I2967" s="35"/>
      <c r="J2967" s="37"/>
    </row>
    <row r="2968" spans="1:10" ht="15.95" customHeight="1" x14ac:dyDescent="0.2">
      <c r="A2968" s="39"/>
      <c r="B2968" s="36"/>
      <c r="C2968" s="37"/>
      <c r="D2968" s="37"/>
      <c r="E2968" s="37"/>
      <c r="F2968" s="37"/>
      <c r="G2968" s="37"/>
      <c r="H2968" s="37"/>
      <c r="I2968" s="35"/>
      <c r="J2968" s="37"/>
    </row>
    <row r="2969" spans="1:10" ht="15.95" customHeight="1" x14ac:dyDescent="0.2">
      <c r="A2969" s="39"/>
      <c r="B2969" s="36"/>
      <c r="C2969" s="37"/>
      <c r="D2969" s="37"/>
      <c r="E2969" s="37"/>
      <c r="F2969" s="37"/>
      <c r="G2969" s="37"/>
      <c r="H2969" s="37"/>
      <c r="I2969" s="35"/>
      <c r="J2969" s="37"/>
    </row>
    <row r="2970" spans="1:10" ht="15.95" customHeight="1" x14ac:dyDescent="0.2">
      <c r="A2970" s="39"/>
      <c r="B2970" s="36"/>
      <c r="C2970" s="37"/>
      <c r="D2970" s="37"/>
      <c r="E2970" s="37"/>
      <c r="F2970" s="37"/>
      <c r="G2970" s="37"/>
      <c r="H2970" s="37"/>
      <c r="I2970" s="35"/>
      <c r="J2970" s="37"/>
    </row>
    <row r="2971" spans="1:10" ht="15.95" customHeight="1" x14ac:dyDescent="0.2">
      <c r="A2971" s="39"/>
      <c r="B2971" s="36"/>
      <c r="C2971" s="37"/>
      <c r="D2971" s="37"/>
      <c r="E2971" s="37"/>
      <c r="F2971" s="37"/>
      <c r="G2971" s="37"/>
      <c r="H2971" s="37"/>
      <c r="I2971" s="35"/>
      <c r="J2971" s="37"/>
    </row>
    <row r="2972" spans="1:10" ht="15.95" customHeight="1" x14ac:dyDescent="0.2">
      <c r="A2972" s="39"/>
      <c r="B2972" s="36"/>
      <c r="C2972" s="37"/>
      <c r="D2972" s="37"/>
      <c r="E2972" s="37"/>
      <c r="F2972" s="37"/>
      <c r="G2972" s="37"/>
      <c r="H2972" s="37"/>
      <c r="I2972" s="35"/>
      <c r="J2972" s="37"/>
    </row>
    <row r="2973" spans="1:10" ht="15.95" customHeight="1" x14ac:dyDescent="0.2">
      <c r="A2973" s="39"/>
      <c r="B2973" s="36"/>
      <c r="C2973" s="37"/>
      <c r="D2973" s="37"/>
      <c r="E2973" s="37"/>
      <c r="F2973" s="37"/>
      <c r="G2973" s="37"/>
      <c r="H2973" s="37"/>
      <c r="I2973" s="35"/>
      <c r="J2973" s="37"/>
    </row>
    <row r="2974" spans="1:10" ht="15.95" customHeight="1" x14ac:dyDescent="0.2">
      <c r="A2974" s="39"/>
      <c r="B2974" s="36"/>
      <c r="C2974" s="37"/>
      <c r="D2974" s="37"/>
      <c r="E2974" s="37"/>
      <c r="F2974" s="37"/>
      <c r="G2974" s="37"/>
      <c r="H2974" s="37"/>
      <c r="I2974" s="35"/>
      <c r="J2974" s="37"/>
    </row>
    <row r="2975" spans="1:10" ht="15.95" customHeight="1" x14ac:dyDescent="0.2">
      <c r="A2975" s="39"/>
      <c r="B2975" s="36"/>
      <c r="C2975" s="37"/>
      <c r="D2975" s="37"/>
      <c r="E2975" s="37"/>
      <c r="F2975" s="37"/>
      <c r="G2975" s="37"/>
      <c r="H2975" s="37"/>
      <c r="I2975" s="35"/>
      <c r="J2975" s="37"/>
    </row>
    <row r="2976" spans="1:10" ht="15.95" customHeight="1" x14ac:dyDescent="0.2">
      <c r="A2976" s="39"/>
      <c r="B2976" s="36"/>
      <c r="C2976" s="37"/>
      <c r="D2976" s="37"/>
      <c r="E2976" s="37"/>
      <c r="F2976" s="37"/>
      <c r="G2976" s="37"/>
      <c r="H2976" s="37"/>
      <c r="I2976" s="35"/>
      <c r="J2976" s="37"/>
    </row>
    <row r="2977" spans="1:10" ht="15.95" customHeight="1" x14ac:dyDescent="0.2">
      <c r="A2977" s="39"/>
      <c r="B2977" s="36"/>
      <c r="C2977" s="37"/>
      <c r="D2977" s="37"/>
      <c r="E2977" s="37"/>
      <c r="F2977" s="37"/>
      <c r="G2977" s="37"/>
      <c r="H2977" s="37"/>
      <c r="I2977" s="35"/>
      <c r="J2977" s="37"/>
    </row>
    <row r="2978" spans="1:10" ht="15.95" customHeight="1" x14ac:dyDescent="0.2">
      <c r="A2978" s="39"/>
      <c r="B2978" s="36"/>
      <c r="C2978" s="37"/>
      <c r="D2978" s="37"/>
      <c r="E2978" s="37"/>
      <c r="F2978" s="37"/>
      <c r="G2978" s="37"/>
      <c r="H2978" s="37"/>
      <c r="I2978" s="35"/>
      <c r="J2978" s="37"/>
    </row>
    <row r="2979" spans="1:10" ht="15.95" customHeight="1" x14ac:dyDescent="0.2">
      <c r="A2979" s="39"/>
      <c r="B2979" s="36"/>
      <c r="C2979" s="37"/>
      <c r="D2979" s="37"/>
      <c r="E2979" s="37"/>
      <c r="F2979" s="37"/>
      <c r="G2979" s="37"/>
      <c r="H2979" s="37"/>
      <c r="I2979" s="35"/>
      <c r="J2979" s="37"/>
    </row>
    <row r="2980" spans="1:10" ht="15.95" customHeight="1" x14ac:dyDescent="0.2">
      <c r="A2980" s="39"/>
      <c r="B2980" s="36"/>
      <c r="C2980" s="37"/>
      <c r="D2980" s="37"/>
      <c r="E2980" s="37"/>
      <c r="F2980" s="37"/>
      <c r="G2980" s="37"/>
      <c r="H2980" s="37"/>
      <c r="I2980" s="35"/>
      <c r="J2980" s="37"/>
    </row>
    <row r="2981" spans="1:10" ht="15.95" customHeight="1" x14ac:dyDescent="0.2">
      <c r="A2981" s="39"/>
      <c r="B2981" s="36"/>
      <c r="C2981" s="37"/>
      <c r="D2981" s="37"/>
      <c r="E2981" s="37"/>
      <c r="F2981" s="37"/>
      <c r="G2981" s="37"/>
      <c r="H2981" s="37"/>
      <c r="I2981" s="35"/>
      <c r="J2981" s="37"/>
    </row>
    <row r="2982" spans="1:10" ht="15.95" customHeight="1" x14ac:dyDescent="0.2">
      <c r="A2982" s="39"/>
      <c r="B2982" s="36"/>
      <c r="C2982" s="37"/>
      <c r="D2982" s="37"/>
      <c r="E2982" s="37"/>
      <c r="F2982" s="37"/>
      <c r="G2982" s="37"/>
      <c r="H2982" s="37"/>
      <c r="I2982" s="35"/>
      <c r="J2982" s="37"/>
    </row>
    <row r="2983" spans="1:10" ht="15.95" customHeight="1" x14ac:dyDescent="0.2">
      <c r="A2983" s="39"/>
      <c r="B2983" s="36"/>
      <c r="C2983" s="37"/>
      <c r="D2983" s="37"/>
      <c r="E2983" s="37"/>
      <c r="F2983" s="37"/>
      <c r="G2983" s="37"/>
      <c r="H2983" s="37"/>
      <c r="I2983" s="35"/>
      <c r="J2983" s="37"/>
    </row>
    <row r="2984" spans="1:10" ht="15.95" customHeight="1" x14ac:dyDescent="0.2">
      <c r="A2984" s="39"/>
      <c r="B2984" s="36"/>
      <c r="C2984" s="37"/>
      <c r="D2984" s="37"/>
      <c r="E2984" s="37"/>
      <c r="F2984" s="37"/>
      <c r="G2984" s="37"/>
      <c r="H2984" s="37"/>
      <c r="I2984" s="35"/>
      <c r="J2984" s="37"/>
    </row>
    <row r="2985" spans="1:10" ht="15.95" customHeight="1" x14ac:dyDescent="0.2">
      <c r="A2985" s="39"/>
      <c r="B2985" s="36"/>
      <c r="C2985" s="37"/>
      <c r="D2985" s="37"/>
      <c r="E2985" s="37"/>
      <c r="F2985" s="37"/>
      <c r="G2985" s="37"/>
      <c r="H2985" s="37"/>
      <c r="I2985" s="35"/>
      <c r="J2985" s="37"/>
    </row>
    <row r="2986" spans="1:10" ht="15.95" customHeight="1" x14ac:dyDescent="0.2">
      <c r="A2986" s="39"/>
      <c r="B2986" s="36"/>
      <c r="C2986" s="37"/>
      <c r="D2986" s="37"/>
      <c r="E2986" s="37"/>
      <c r="F2986" s="37"/>
      <c r="G2986" s="37"/>
      <c r="H2986" s="37"/>
      <c r="I2986" s="35"/>
      <c r="J2986" s="37"/>
    </row>
    <row r="2987" spans="1:10" ht="15.95" customHeight="1" x14ac:dyDescent="0.2">
      <c r="A2987" s="39"/>
      <c r="B2987" s="36"/>
      <c r="C2987" s="37"/>
      <c r="D2987" s="37"/>
      <c r="E2987" s="37"/>
      <c r="F2987" s="37"/>
      <c r="G2987" s="37"/>
      <c r="H2987" s="37"/>
      <c r="I2987" s="35"/>
      <c r="J2987" s="37"/>
    </row>
    <row r="2988" spans="1:10" ht="15.95" customHeight="1" x14ac:dyDescent="0.2">
      <c r="A2988" s="39"/>
      <c r="B2988" s="36"/>
      <c r="C2988" s="37"/>
      <c r="D2988" s="37"/>
      <c r="E2988" s="37"/>
      <c r="F2988" s="37"/>
      <c r="G2988" s="37"/>
      <c r="H2988" s="37"/>
      <c r="I2988" s="35"/>
      <c r="J2988" s="37"/>
    </row>
    <row r="2989" spans="1:10" ht="15.95" customHeight="1" x14ac:dyDescent="0.2">
      <c r="A2989" s="39"/>
      <c r="B2989" s="36"/>
      <c r="C2989" s="37"/>
      <c r="D2989" s="37"/>
      <c r="E2989" s="37"/>
      <c r="F2989" s="37"/>
      <c r="G2989" s="37"/>
      <c r="H2989" s="37"/>
      <c r="I2989" s="35"/>
      <c r="J2989" s="37"/>
    </row>
    <row r="2990" spans="1:10" ht="15.95" customHeight="1" x14ac:dyDescent="0.2">
      <c r="A2990" s="39"/>
      <c r="B2990" s="36"/>
      <c r="C2990" s="37"/>
      <c r="D2990" s="37"/>
      <c r="E2990" s="37"/>
      <c r="F2990" s="37"/>
      <c r="G2990" s="37"/>
      <c r="H2990" s="37"/>
      <c r="I2990" s="35"/>
      <c r="J2990" s="37"/>
    </row>
    <row r="2991" spans="1:10" ht="15.95" customHeight="1" x14ac:dyDescent="0.2">
      <c r="A2991" s="39"/>
      <c r="B2991" s="36"/>
      <c r="C2991" s="37"/>
      <c r="D2991" s="37"/>
      <c r="E2991" s="37"/>
      <c r="F2991" s="37"/>
      <c r="G2991" s="37"/>
      <c r="H2991" s="37"/>
      <c r="I2991" s="35"/>
      <c r="J2991" s="37"/>
    </row>
    <row r="2992" spans="1:10" ht="15.95" customHeight="1" x14ac:dyDescent="0.2">
      <c r="A2992" s="39"/>
      <c r="B2992" s="36"/>
      <c r="C2992" s="37"/>
      <c r="D2992" s="37"/>
      <c r="E2992" s="37"/>
      <c r="F2992" s="37"/>
      <c r="G2992" s="37"/>
      <c r="H2992" s="37"/>
      <c r="I2992" s="35"/>
      <c r="J2992" s="37"/>
    </row>
    <row r="2993" spans="1:10" ht="15.95" customHeight="1" x14ac:dyDescent="0.2">
      <c r="A2993" s="39"/>
      <c r="B2993" s="36"/>
      <c r="C2993" s="37"/>
      <c r="D2993" s="37"/>
      <c r="E2993" s="37"/>
      <c r="F2993" s="37"/>
      <c r="G2993" s="37"/>
      <c r="H2993" s="37"/>
      <c r="I2993" s="35"/>
      <c r="J2993" s="37"/>
    </row>
    <row r="2994" spans="1:10" ht="15.95" customHeight="1" x14ac:dyDescent="0.2">
      <c r="A2994" s="39"/>
      <c r="B2994" s="36"/>
      <c r="C2994" s="37"/>
      <c r="D2994" s="37"/>
      <c r="E2994" s="37"/>
      <c r="F2994" s="37"/>
      <c r="G2994" s="37"/>
      <c r="H2994" s="37"/>
      <c r="I2994" s="35"/>
      <c r="J2994" s="37"/>
    </row>
    <row r="2995" spans="1:10" ht="15.95" customHeight="1" x14ac:dyDescent="0.2">
      <c r="A2995" s="39"/>
      <c r="B2995" s="36"/>
      <c r="C2995" s="37"/>
      <c r="D2995" s="37"/>
      <c r="E2995" s="37"/>
      <c r="F2995" s="37"/>
      <c r="G2995" s="37"/>
      <c r="H2995" s="37"/>
      <c r="I2995" s="35"/>
      <c r="J2995" s="37"/>
    </row>
    <row r="2996" spans="1:10" ht="15.95" customHeight="1" x14ac:dyDescent="0.2">
      <c r="A2996" s="39"/>
      <c r="B2996" s="36"/>
      <c r="C2996" s="37"/>
      <c r="D2996" s="37"/>
      <c r="E2996" s="37"/>
      <c r="F2996" s="37"/>
      <c r="G2996" s="37"/>
      <c r="H2996" s="37"/>
      <c r="I2996" s="35"/>
      <c r="J2996" s="37"/>
    </row>
    <row r="2997" spans="1:10" ht="15.95" customHeight="1" x14ac:dyDescent="0.2">
      <c r="A2997" s="39"/>
      <c r="B2997" s="36"/>
      <c r="C2997" s="37"/>
      <c r="D2997" s="37"/>
      <c r="E2997" s="37"/>
      <c r="F2997" s="37"/>
      <c r="G2997" s="37"/>
      <c r="H2997" s="37"/>
      <c r="I2997" s="35"/>
      <c r="J2997" s="37"/>
    </row>
    <row r="2998" spans="1:10" ht="15.95" customHeight="1" x14ac:dyDescent="0.2">
      <c r="A2998" s="39"/>
      <c r="B2998" s="36"/>
      <c r="C2998" s="37"/>
      <c r="D2998" s="37"/>
      <c r="E2998" s="37"/>
      <c r="F2998" s="37"/>
      <c r="G2998" s="37"/>
      <c r="H2998" s="37"/>
      <c r="I2998" s="35"/>
      <c r="J2998" s="37"/>
    </row>
    <row r="2999" spans="1:10" ht="15.95" customHeight="1" x14ac:dyDescent="0.2">
      <c r="A2999" s="39"/>
      <c r="B2999" s="36"/>
      <c r="C2999" s="37"/>
      <c r="D2999" s="37"/>
      <c r="E2999" s="37"/>
      <c r="F2999" s="37"/>
      <c r="G2999" s="37"/>
      <c r="H2999" s="37"/>
      <c r="I2999" s="35"/>
      <c r="J2999" s="37"/>
    </row>
    <row r="3000" spans="1:10" ht="15.95" customHeight="1" x14ac:dyDescent="0.2">
      <c r="A3000" s="39"/>
      <c r="B3000" s="36"/>
      <c r="C3000" s="37"/>
      <c r="D3000" s="37"/>
      <c r="E3000" s="37"/>
      <c r="F3000" s="37"/>
      <c r="G3000" s="37"/>
      <c r="H3000" s="37"/>
      <c r="I3000" s="35"/>
      <c r="J3000" s="37"/>
    </row>
    <row r="3001" spans="1:10" ht="15.95" customHeight="1" x14ac:dyDescent="0.2">
      <c r="A3001" s="39"/>
      <c r="B3001" s="36"/>
      <c r="C3001" s="37"/>
      <c r="D3001" s="37"/>
      <c r="E3001" s="37"/>
      <c r="F3001" s="37"/>
      <c r="G3001" s="37"/>
      <c r="H3001" s="37"/>
      <c r="I3001" s="35"/>
      <c r="J3001" s="37"/>
    </row>
    <row r="3002" spans="1:10" ht="15.95" customHeight="1" x14ac:dyDescent="0.2">
      <c r="A3002" s="39"/>
      <c r="B3002" s="36"/>
      <c r="C3002" s="37"/>
      <c r="D3002" s="37"/>
      <c r="E3002" s="37"/>
      <c r="F3002" s="37"/>
      <c r="G3002" s="37"/>
      <c r="H3002" s="37"/>
      <c r="I3002" s="35"/>
      <c r="J3002" s="37"/>
    </row>
    <row r="3003" spans="1:10" ht="15.95" customHeight="1" x14ac:dyDescent="0.2">
      <c r="A3003" s="39"/>
      <c r="B3003" s="36"/>
      <c r="C3003" s="37"/>
      <c r="D3003" s="37"/>
      <c r="E3003" s="37"/>
      <c r="F3003" s="37"/>
      <c r="G3003" s="37"/>
      <c r="H3003" s="37"/>
      <c r="I3003" s="35"/>
      <c r="J3003" s="37"/>
    </row>
    <row r="3004" spans="1:10" ht="15.95" customHeight="1" x14ac:dyDescent="0.2">
      <c r="A3004" s="39"/>
      <c r="B3004" s="36"/>
      <c r="C3004" s="37"/>
      <c r="D3004" s="37"/>
      <c r="E3004" s="37"/>
      <c r="F3004" s="37"/>
      <c r="G3004" s="37"/>
      <c r="H3004" s="37"/>
      <c r="I3004" s="35"/>
      <c r="J3004" s="37"/>
    </row>
    <row r="3005" spans="1:10" ht="15.95" customHeight="1" x14ac:dyDescent="0.2">
      <c r="A3005" s="39"/>
      <c r="B3005" s="36"/>
      <c r="C3005" s="37"/>
      <c r="D3005" s="37"/>
      <c r="E3005" s="37"/>
      <c r="F3005" s="37"/>
      <c r="G3005" s="37"/>
      <c r="H3005" s="37"/>
      <c r="I3005" s="35"/>
      <c r="J3005" s="37"/>
    </row>
    <row r="3006" spans="1:10" ht="15.95" customHeight="1" x14ac:dyDescent="0.2">
      <c r="A3006" s="39"/>
      <c r="B3006" s="36"/>
      <c r="C3006" s="37"/>
      <c r="D3006" s="37"/>
      <c r="E3006" s="37"/>
      <c r="F3006" s="37"/>
      <c r="G3006" s="37"/>
      <c r="H3006" s="37"/>
      <c r="I3006" s="35"/>
      <c r="J3006" s="37"/>
    </row>
    <row r="3007" spans="1:10" ht="15.95" customHeight="1" x14ac:dyDescent="0.2">
      <c r="A3007" s="39"/>
      <c r="B3007" s="36"/>
      <c r="C3007" s="37"/>
      <c r="D3007" s="37"/>
      <c r="E3007" s="37"/>
      <c r="F3007" s="37"/>
      <c r="G3007" s="37"/>
      <c r="H3007" s="37"/>
      <c r="I3007" s="35"/>
      <c r="J3007" s="37"/>
    </row>
    <row r="3008" spans="1:10" ht="15.95" customHeight="1" x14ac:dyDescent="0.2">
      <c r="A3008" s="39"/>
      <c r="B3008" s="36"/>
      <c r="C3008" s="37"/>
      <c r="D3008" s="37"/>
      <c r="E3008" s="37"/>
      <c r="F3008" s="37"/>
      <c r="G3008" s="37"/>
      <c r="H3008" s="37"/>
      <c r="I3008" s="35"/>
      <c r="J3008" s="37"/>
    </row>
    <row r="3009" spans="1:10" ht="15.95" customHeight="1" x14ac:dyDescent="0.2">
      <c r="A3009" s="39"/>
      <c r="B3009" s="36"/>
      <c r="C3009" s="37"/>
      <c r="D3009" s="37"/>
      <c r="E3009" s="37"/>
      <c r="F3009" s="37"/>
      <c r="G3009" s="37"/>
      <c r="H3009" s="37"/>
      <c r="I3009" s="35"/>
      <c r="J3009" s="37"/>
    </row>
    <row r="3010" spans="1:10" ht="15.95" customHeight="1" x14ac:dyDescent="0.2">
      <c r="A3010" s="39"/>
      <c r="B3010" s="36"/>
      <c r="C3010" s="37"/>
      <c r="D3010" s="37"/>
      <c r="E3010" s="37"/>
      <c r="F3010" s="37"/>
      <c r="G3010" s="37"/>
      <c r="H3010" s="37"/>
      <c r="I3010" s="35"/>
      <c r="J3010" s="37"/>
    </row>
    <row r="3011" spans="1:10" ht="15.95" customHeight="1" x14ac:dyDescent="0.2">
      <c r="A3011" s="39"/>
      <c r="B3011" s="36"/>
      <c r="C3011" s="37"/>
      <c r="D3011" s="37"/>
      <c r="E3011" s="37"/>
      <c r="F3011" s="37"/>
      <c r="G3011" s="37"/>
      <c r="H3011" s="37"/>
      <c r="I3011" s="35"/>
      <c r="J3011" s="37"/>
    </row>
    <row r="3012" spans="1:10" ht="15.95" customHeight="1" x14ac:dyDescent="0.2">
      <c r="A3012" s="39"/>
      <c r="B3012" s="36"/>
      <c r="C3012" s="37"/>
      <c r="D3012" s="37"/>
      <c r="E3012" s="37"/>
      <c r="F3012" s="37"/>
      <c r="G3012" s="37"/>
      <c r="H3012" s="37"/>
      <c r="I3012" s="35"/>
      <c r="J3012" s="37"/>
    </row>
    <row r="3013" spans="1:10" ht="15.95" customHeight="1" x14ac:dyDescent="0.2">
      <c r="A3013" s="39"/>
      <c r="B3013" s="36"/>
      <c r="C3013" s="37"/>
      <c r="D3013" s="37"/>
      <c r="E3013" s="37"/>
      <c r="F3013" s="37"/>
      <c r="G3013" s="37"/>
      <c r="H3013" s="37"/>
      <c r="I3013" s="35"/>
      <c r="J3013" s="37"/>
    </row>
    <row r="3014" spans="1:10" ht="15.95" customHeight="1" x14ac:dyDescent="0.2">
      <c r="A3014" s="39"/>
      <c r="B3014" s="36"/>
      <c r="C3014" s="37"/>
      <c r="D3014" s="37"/>
      <c r="E3014" s="37"/>
      <c r="F3014" s="37"/>
      <c r="G3014" s="37"/>
      <c r="H3014" s="37"/>
      <c r="I3014" s="35"/>
      <c r="J3014" s="37"/>
    </row>
    <row r="3015" spans="1:10" ht="15.95" customHeight="1" x14ac:dyDescent="0.2">
      <c r="A3015" s="39"/>
      <c r="B3015" s="36"/>
      <c r="C3015" s="37"/>
      <c r="D3015" s="37"/>
      <c r="E3015" s="37"/>
      <c r="F3015" s="37"/>
      <c r="G3015" s="37"/>
      <c r="H3015" s="37"/>
      <c r="I3015" s="35"/>
      <c r="J3015" s="37"/>
    </row>
    <row r="3016" spans="1:10" ht="15.95" customHeight="1" x14ac:dyDescent="0.2">
      <c r="A3016" s="39"/>
      <c r="B3016" s="36"/>
      <c r="C3016" s="37"/>
      <c r="D3016" s="37"/>
      <c r="E3016" s="37"/>
      <c r="F3016" s="37"/>
      <c r="G3016" s="37"/>
      <c r="H3016" s="37"/>
      <c r="I3016" s="35"/>
      <c r="J3016" s="37"/>
    </row>
    <row r="3017" spans="1:10" ht="15.95" customHeight="1" x14ac:dyDescent="0.2">
      <c r="A3017" s="39"/>
      <c r="B3017" s="36"/>
      <c r="C3017" s="37"/>
      <c r="D3017" s="37"/>
      <c r="E3017" s="37"/>
      <c r="F3017" s="37"/>
      <c r="G3017" s="37"/>
      <c r="H3017" s="37"/>
      <c r="I3017" s="35"/>
      <c r="J3017" s="37"/>
    </row>
    <row r="3018" spans="1:10" ht="15.95" customHeight="1" x14ac:dyDescent="0.2">
      <c r="A3018" s="39"/>
      <c r="B3018" s="36"/>
      <c r="C3018" s="37"/>
      <c r="D3018" s="37"/>
      <c r="E3018" s="37"/>
      <c r="F3018" s="37"/>
      <c r="G3018" s="37"/>
      <c r="H3018" s="37"/>
      <c r="I3018" s="35"/>
      <c r="J3018" s="37"/>
    </row>
    <row r="3019" spans="1:10" ht="15.95" customHeight="1" x14ac:dyDescent="0.2">
      <c r="A3019" s="39"/>
      <c r="B3019" s="36"/>
      <c r="C3019" s="37"/>
      <c r="D3019" s="37"/>
      <c r="E3019" s="37"/>
      <c r="F3019" s="37"/>
      <c r="G3019" s="37"/>
      <c r="H3019" s="37"/>
      <c r="I3019" s="35"/>
      <c r="J3019" s="37"/>
    </row>
    <row r="3020" spans="1:10" ht="15.95" customHeight="1" x14ac:dyDescent="0.2">
      <c r="A3020" s="39"/>
      <c r="B3020" s="36"/>
      <c r="C3020" s="37"/>
      <c r="D3020" s="37"/>
      <c r="E3020" s="37"/>
      <c r="F3020" s="37"/>
      <c r="G3020" s="37"/>
      <c r="H3020" s="37"/>
      <c r="I3020" s="35"/>
      <c r="J3020" s="37"/>
    </row>
    <row r="3021" spans="1:10" ht="15.95" customHeight="1" x14ac:dyDescent="0.2">
      <c r="A3021" s="39"/>
      <c r="B3021" s="36"/>
      <c r="C3021" s="37"/>
      <c r="D3021" s="37"/>
      <c r="E3021" s="37"/>
      <c r="F3021" s="37"/>
      <c r="G3021" s="37"/>
      <c r="H3021" s="37"/>
      <c r="I3021" s="35"/>
      <c r="J3021" s="37"/>
    </row>
    <row r="3022" spans="1:10" ht="15.95" customHeight="1" x14ac:dyDescent="0.2">
      <c r="A3022" s="39"/>
      <c r="B3022" s="36"/>
      <c r="C3022" s="37"/>
      <c r="D3022" s="37"/>
      <c r="E3022" s="37"/>
      <c r="F3022" s="37"/>
      <c r="G3022" s="37"/>
      <c r="H3022" s="37"/>
      <c r="I3022" s="35"/>
      <c r="J3022" s="37"/>
    </row>
    <row r="3023" spans="1:10" ht="15.95" customHeight="1" x14ac:dyDescent="0.2">
      <c r="A3023" s="39"/>
      <c r="B3023" s="36"/>
      <c r="C3023" s="37"/>
      <c r="D3023" s="37"/>
      <c r="E3023" s="37"/>
      <c r="F3023" s="37"/>
      <c r="G3023" s="37"/>
      <c r="H3023" s="37"/>
      <c r="I3023" s="35"/>
      <c r="J3023" s="37"/>
    </row>
    <row r="3024" spans="1:10" ht="15.95" customHeight="1" x14ac:dyDescent="0.2">
      <c r="A3024" s="39"/>
      <c r="B3024" s="36"/>
      <c r="C3024" s="37"/>
      <c r="D3024" s="37"/>
      <c r="E3024" s="37"/>
      <c r="F3024" s="37"/>
      <c r="G3024" s="37"/>
      <c r="H3024" s="37"/>
      <c r="I3024" s="35"/>
      <c r="J3024" s="37"/>
    </row>
    <row r="3025" spans="1:10" ht="15.95" customHeight="1" x14ac:dyDescent="0.2">
      <c r="A3025" s="39"/>
      <c r="B3025" s="36"/>
      <c r="C3025" s="37"/>
      <c r="D3025" s="37"/>
      <c r="E3025" s="37"/>
      <c r="F3025" s="37"/>
      <c r="G3025" s="37"/>
      <c r="H3025" s="37"/>
      <c r="I3025" s="35"/>
      <c r="J3025" s="37"/>
    </row>
    <row r="3026" spans="1:10" ht="15.95" customHeight="1" x14ac:dyDescent="0.2">
      <c r="A3026" s="39"/>
      <c r="B3026" s="36"/>
      <c r="C3026" s="37"/>
      <c r="D3026" s="37"/>
      <c r="E3026" s="37"/>
      <c r="F3026" s="37"/>
      <c r="G3026" s="37"/>
      <c r="H3026" s="37"/>
      <c r="I3026" s="35"/>
      <c r="J3026" s="37"/>
    </row>
    <row r="3027" spans="1:10" ht="15.95" customHeight="1" x14ac:dyDescent="0.2">
      <c r="A3027" s="39"/>
      <c r="B3027" s="36"/>
      <c r="C3027" s="37"/>
      <c r="D3027" s="37"/>
      <c r="E3027" s="37"/>
      <c r="F3027" s="37"/>
      <c r="G3027" s="37"/>
      <c r="H3027" s="37"/>
      <c r="I3027" s="35"/>
      <c r="J3027" s="37"/>
    </row>
    <row r="3028" spans="1:10" ht="15.95" customHeight="1" x14ac:dyDescent="0.2">
      <c r="A3028" s="39"/>
      <c r="B3028" s="36"/>
      <c r="C3028" s="37"/>
      <c r="D3028" s="37"/>
      <c r="E3028" s="37"/>
      <c r="F3028" s="37"/>
      <c r="G3028" s="37"/>
      <c r="H3028" s="37"/>
      <c r="I3028" s="35"/>
      <c r="J3028" s="37"/>
    </row>
    <row r="3029" spans="1:10" ht="15.95" customHeight="1" x14ac:dyDescent="0.2">
      <c r="A3029" s="39"/>
      <c r="B3029" s="36"/>
      <c r="C3029" s="37"/>
      <c r="D3029" s="37"/>
      <c r="E3029" s="37"/>
      <c r="F3029" s="37"/>
      <c r="G3029" s="37"/>
      <c r="H3029" s="37"/>
      <c r="I3029" s="35"/>
      <c r="J3029" s="37"/>
    </row>
    <row r="3030" spans="1:10" ht="15.95" customHeight="1" x14ac:dyDescent="0.2">
      <c r="A3030" s="39"/>
      <c r="B3030" s="36"/>
      <c r="C3030" s="37"/>
      <c r="D3030" s="37"/>
      <c r="E3030" s="37"/>
      <c r="F3030" s="37"/>
      <c r="G3030" s="37"/>
      <c r="H3030" s="37"/>
      <c r="I3030" s="35"/>
      <c r="J3030" s="37"/>
    </row>
    <row r="3031" spans="1:10" ht="15.95" customHeight="1" x14ac:dyDescent="0.2">
      <c r="A3031" s="39"/>
      <c r="B3031" s="36"/>
      <c r="C3031" s="37"/>
      <c r="D3031" s="37"/>
      <c r="E3031" s="37"/>
      <c r="F3031" s="37"/>
      <c r="G3031" s="37"/>
      <c r="H3031" s="37"/>
      <c r="I3031" s="35"/>
      <c r="J3031" s="37"/>
    </row>
    <row r="3032" spans="1:10" ht="15.95" customHeight="1" x14ac:dyDescent="0.2">
      <c r="A3032" s="39"/>
      <c r="B3032" s="36"/>
      <c r="C3032" s="37"/>
      <c r="D3032" s="37"/>
      <c r="E3032" s="37"/>
      <c r="F3032" s="37"/>
      <c r="G3032" s="37"/>
      <c r="H3032" s="37"/>
      <c r="I3032" s="35"/>
      <c r="J3032" s="37"/>
    </row>
    <row r="3033" spans="1:10" ht="15.95" customHeight="1" x14ac:dyDescent="0.2">
      <c r="A3033" s="39"/>
      <c r="B3033" s="36"/>
      <c r="C3033" s="37"/>
      <c r="D3033" s="37"/>
      <c r="E3033" s="37"/>
      <c r="F3033" s="37"/>
      <c r="G3033" s="37"/>
      <c r="H3033" s="37"/>
      <c r="I3033" s="35"/>
      <c r="J3033" s="37"/>
    </row>
    <row r="3034" spans="1:10" ht="15.95" customHeight="1" x14ac:dyDescent="0.2">
      <c r="A3034" s="39"/>
      <c r="B3034" s="36"/>
      <c r="C3034" s="37"/>
      <c r="D3034" s="37"/>
      <c r="E3034" s="37"/>
      <c r="F3034" s="37"/>
      <c r="G3034" s="37"/>
      <c r="H3034" s="37"/>
      <c r="I3034" s="35"/>
      <c r="J3034" s="37"/>
    </row>
    <row r="3035" spans="1:10" ht="15.95" customHeight="1" x14ac:dyDescent="0.2">
      <c r="A3035" s="39"/>
      <c r="B3035" s="36"/>
      <c r="C3035" s="37"/>
      <c r="D3035" s="37"/>
      <c r="E3035" s="37"/>
      <c r="F3035" s="37"/>
      <c r="G3035" s="37"/>
      <c r="H3035" s="37"/>
      <c r="I3035" s="35"/>
      <c r="J3035" s="37"/>
    </row>
    <row r="3036" spans="1:10" ht="15.95" customHeight="1" x14ac:dyDescent="0.2">
      <c r="A3036" s="39"/>
      <c r="B3036" s="36"/>
      <c r="C3036" s="37"/>
      <c r="D3036" s="37"/>
      <c r="E3036" s="37"/>
      <c r="F3036" s="37"/>
      <c r="G3036" s="37"/>
      <c r="H3036" s="37"/>
      <c r="I3036" s="35"/>
      <c r="J3036" s="37"/>
    </row>
    <row r="3037" spans="1:10" ht="15.95" customHeight="1" x14ac:dyDescent="0.2">
      <c r="A3037" s="39"/>
      <c r="B3037" s="36"/>
      <c r="C3037" s="37"/>
      <c r="D3037" s="37"/>
      <c r="E3037" s="37"/>
      <c r="F3037" s="37"/>
      <c r="G3037" s="37"/>
      <c r="H3037" s="37"/>
      <c r="I3037" s="35"/>
      <c r="J3037" s="37"/>
    </row>
    <row r="3038" spans="1:10" ht="15.95" customHeight="1" x14ac:dyDescent="0.2">
      <c r="A3038" s="39"/>
      <c r="B3038" s="36"/>
      <c r="C3038" s="37"/>
      <c r="D3038" s="37"/>
      <c r="E3038" s="37"/>
      <c r="F3038" s="37"/>
      <c r="G3038" s="37"/>
      <c r="H3038" s="37"/>
      <c r="I3038" s="35"/>
      <c r="J3038" s="37"/>
    </row>
    <row r="3039" spans="1:10" ht="15.95" customHeight="1" x14ac:dyDescent="0.2">
      <c r="A3039" s="39"/>
      <c r="B3039" s="36"/>
      <c r="C3039" s="37"/>
      <c r="D3039" s="37"/>
      <c r="E3039" s="37"/>
      <c r="F3039" s="37"/>
      <c r="G3039" s="37"/>
      <c r="H3039" s="37"/>
      <c r="I3039" s="35"/>
      <c r="J3039" s="37"/>
    </row>
    <row r="3040" spans="1:10" ht="15.95" customHeight="1" x14ac:dyDescent="0.2">
      <c r="A3040" s="39"/>
      <c r="B3040" s="36"/>
      <c r="C3040" s="37"/>
      <c r="D3040" s="37"/>
      <c r="E3040" s="37"/>
      <c r="F3040" s="37"/>
      <c r="G3040" s="37"/>
      <c r="H3040" s="37"/>
      <c r="I3040" s="35"/>
      <c r="J3040" s="37"/>
    </row>
    <row r="3041" spans="1:10" ht="15.95" customHeight="1" x14ac:dyDescent="0.2">
      <c r="A3041" s="39"/>
      <c r="B3041" s="36"/>
      <c r="C3041" s="37"/>
      <c r="D3041" s="37"/>
      <c r="E3041" s="37"/>
      <c r="F3041" s="37"/>
      <c r="G3041" s="37"/>
      <c r="H3041" s="37"/>
      <c r="I3041" s="35"/>
      <c r="J3041" s="37"/>
    </row>
    <row r="3042" spans="1:10" ht="15.95" customHeight="1" x14ac:dyDescent="0.2">
      <c r="A3042" s="39"/>
      <c r="B3042" s="36"/>
      <c r="C3042" s="37"/>
      <c r="D3042" s="37"/>
      <c r="E3042" s="37"/>
      <c r="F3042" s="37"/>
      <c r="G3042" s="37"/>
      <c r="H3042" s="37"/>
      <c r="I3042" s="35"/>
      <c r="J3042" s="37"/>
    </row>
    <row r="3043" spans="1:10" ht="15.95" customHeight="1" x14ac:dyDescent="0.2">
      <c r="A3043" s="39"/>
      <c r="B3043" s="36"/>
      <c r="C3043" s="37"/>
      <c r="D3043" s="37"/>
      <c r="E3043" s="37"/>
      <c r="F3043" s="37"/>
      <c r="G3043" s="37"/>
      <c r="H3043" s="37"/>
      <c r="I3043" s="35"/>
      <c r="J3043" s="37"/>
    </row>
    <row r="3044" spans="1:10" ht="15.95" customHeight="1" x14ac:dyDescent="0.2">
      <c r="A3044" s="39"/>
      <c r="B3044" s="36"/>
      <c r="C3044" s="37"/>
      <c r="D3044" s="37"/>
      <c r="E3044" s="37"/>
      <c r="F3044" s="37"/>
      <c r="G3044" s="37"/>
      <c r="H3044" s="37"/>
      <c r="I3044" s="35"/>
      <c r="J3044" s="37"/>
    </row>
    <row r="3045" spans="1:10" ht="15.95" customHeight="1" x14ac:dyDescent="0.2">
      <c r="A3045" s="39"/>
      <c r="B3045" s="36"/>
      <c r="C3045" s="37"/>
      <c r="D3045" s="37"/>
      <c r="E3045" s="37"/>
      <c r="F3045" s="37"/>
      <c r="G3045" s="37"/>
      <c r="H3045" s="37"/>
      <c r="I3045" s="35"/>
      <c r="J3045" s="37"/>
    </row>
    <row r="3046" spans="1:10" ht="15.95" customHeight="1" x14ac:dyDescent="0.2">
      <c r="A3046" s="39"/>
      <c r="B3046" s="36"/>
      <c r="C3046" s="37"/>
      <c r="D3046" s="37"/>
      <c r="E3046" s="37"/>
      <c r="F3046" s="37"/>
      <c r="G3046" s="37"/>
      <c r="H3046" s="37"/>
      <c r="I3046" s="35"/>
      <c r="J3046" s="37"/>
    </row>
    <row r="3047" spans="1:10" ht="15.95" customHeight="1" x14ac:dyDescent="0.2">
      <c r="A3047" s="39"/>
      <c r="B3047" s="36"/>
      <c r="C3047" s="37"/>
      <c r="D3047" s="37"/>
      <c r="E3047" s="37"/>
      <c r="F3047" s="37"/>
      <c r="G3047" s="37"/>
      <c r="H3047" s="37"/>
      <c r="I3047" s="35"/>
      <c r="J3047" s="37"/>
    </row>
    <row r="3048" spans="1:10" ht="15.95" customHeight="1" x14ac:dyDescent="0.2">
      <c r="A3048" s="39"/>
      <c r="B3048" s="36"/>
      <c r="C3048" s="37"/>
      <c r="D3048" s="37"/>
      <c r="E3048" s="37"/>
      <c r="F3048" s="37"/>
      <c r="G3048" s="37"/>
      <c r="H3048" s="37"/>
      <c r="I3048" s="35"/>
      <c r="J3048" s="37"/>
    </row>
    <row r="3049" spans="1:10" ht="15.95" customHeight="1" x14ac:dyDescent="0.2">
      <c r="A3049" s="39"/>
      <c r="B3049" s="36"/>
      <c r="C3049" s="37"/>
      <c r="D3049" s="37"/>
      <c r="E3049" s="37"/>
      <c r="F3049" s="37"/>
      <c r="G3049" s="37"/>
      <c r="H3049" s="37"/>
      <c r="I3049" s="35"/>
      <c r="J3049" s="37"/>
    </row>
    <row r="3050" spans="1:10" ht="15.95" customHeight="1" x14ac:dyDescent="0.2">
      <c r="A3050" s="39"/>
      <c r="B3050" s="36"/>
      <c r="C3050" s="37"/>
      <c r="D3050" s="37"/>
      <c r="E3050" s="37"/>
      <c r="F3050" s="37"/>
      <c r="G3050" s="37"/>
      <c r="H3050" s="37"/>
      <c r="I3050" s="35"/>
      <c r="J3050" s="37"/>
    </row>
    <row r="3051" spans="1:10" ht="15.95" customHeight="1" x14ac:dyDescent="0.2">
      <c r="A3051" s="39"/>
      <c r="B3051" s="36"/>
      <c r="C3051" s="37"/>
      <c r="D3051" s="37"/>
      <c r="E3051" s="37"/>
      <c r="F3051" s="37"/>
      <c r="G3051" s="37"/>
      <c r="H3051" s="37"/>
      <c r="I3051" s="35"/>
      <c r="J3051" s="37"/>
    </row>
    <row r="3052" spans="1:10" ht="15.95" customHeight="1" x14ac:dyDescent="0.2">
      <c r="A3052" s="39"/>
      <c r="B3052" s="36"/>
      <c r="C3052" s="37"/>
      <c r="D3052" s="37"/>
      <c r="E3052" s="37"/>
      <c r="F3052" s="37"/>
      <c r="G3052" s="37"/>
      <c r="H3052" s="37"/>
      <c r="I3052" s="35"/>
      <c r="J3052" s="37"/>
    </row>
    <row r="3053" spans="1:10" ht="15.95" customHeight="1" x14ac:dyDescent="0.2">
      <c r="A3053" s="39"/>
      <c r="B3053" s="36"/>
      <c r="C3053" s="37"/>
      <c r="D3053" s="37"/>
      <c r="E3053" s="37"/>
      <c r="F3053" s="37"/>
      <c r="G3053" s="37"/>
      <c r="H3053" s="37"/>
      <c r="I3053" s="35"/>
      <c r="J3053" s="37"/>
    </row>
    <row r="3054" spans="1:10" ht="15.95" customHeight="1" x14ac:dyDescent="0.2">
      <c r="A3054" s="39"/>
      <c r="B3054" s="36"/>
      <c r="C3054" s="37"/>
      <c r="D3054" s="37"/>
      <c r="E3054" s="37"/>
      <c r="F3054" s="37"/>
      <c r="G3054" s="37"/>
      <c r="H3054" s="37"/>
      <c r="I3054" s="35"/>
      <c r="J3054" s="37"/>
    </row>
    <row r="3055" spans="1:10" ht="15.95" customHeight="1" x14ac:dyDescent="0.2">
      <c r="A3055" s="39"/>
      <c r="B3055" s="36"/>
      <c r="C3055" s="37"/>
      <c r="D3055" s="37"/>
      <c r="E3055" s="37"/>
      <c r="F3055" s="37"/>
      <c r="G3055" s="37"/>
      <c r="H3055" s="37"/>
      <c r="I3055" s="35"/>
      <c r="J3055" s="37"/>
    </row>
    <row r="3056" spans="1:10" ht="15.95" customHeight="1" x14ac:dyDescent="0.2">
      <c r="A3056" s="39"/>
      <c r="B3056" s="36"/>
      <c r="C3056" s="37"/>
      <c r="D3056" s="37"/>
      <c r="E3056" s="37"/>
      <c r="F3056" s="37"/>
      <c r="G3056" s="37"/>
      <c r="H3056" s="37"/>
      <c r="I3056" s="35"/>
      <c r="J3056" s="37"/>
    </row>
    <row r="3057" spans="1:10" ht="15.95" customHeight="1" x14ac:dyDescent="0.2">
      <c r="A3057" s="39"/>
      <c r="B3057" s="36"/>
      <c r="C3057" s="37"/>
      <c r="D3057" s="37"/>
      <c r="E3057" s="37"/>
      <c r="F3057" s="37"/>
      <c r="G3057" s="37"/>
      <c r="H3057" s="37"/>
      <c r="I3057" s="35"/>
      <c r="J3057" s="37"/>
    </row>
    <row r="3058" spans="1:10" ht="15.95" customHeight="1" x14ac:dyDescent="0.2">
      <c r="A3058" s="39"/>
      <c r="B3058" s="36"/>
      <c r="C3058" s="37"/>
      <c r="D3058" s="37"/>
      <c r="E3058" s="37"/>
      <c r="F3058" s="37"/>
      <c r="G3058" s="37"/>
      <c r="H3058" s="37"/>
      <c r="I3058" s="35"/>
      <c r="J3058" s="37"/>
    </row>
    <row r="3059" spans="1:10" ht="15.95" customHeight="1" x14ac:dyDescent="0.2">
      <c r="A3059" s="39"/>
      <c r="B3059" s="36"/>
      <c r="C3059" s="37"/>
      <c r="D3059" s="37"/>
      <c r="E3059" s="37"/>
      <c r="F3059" s="37"/>
      <c r="G3059" s="37"/>
      <c r="H3059" s="37"/>
      <c r="I3059" s="35"/>
      <c r="J3059" s="37"/>
    </row>
    <row r="3060" spans="1:10" ht="15.95" customHeight="1" x14ac:dyDescent="0.2">
      <c r="A3060" s="39"/>
      <c r="B3060" s="36"/>
      <c r="C3060" s="37"/>
      <c r="D3060" s="37"/>
      <c r="E3060" s="37"/>
      <c r="F3060" s="37"/>
      <c r="G3060" s="37"/>
      <c r="H3060" s="37"/>
      <c r="I3060" s="35"/>
      <c r="J3060" s="37"/>
    </row>
    <row r="3061" spans="1:10" ht="15.95" customHeight="1" x14ac:dyDescent="0.2">
      <c r="A3061" s="39"/>
      <c r="B3061" s="36"/>
      <c r="C3061" s="37"/>
      <c r="D3061" s="37"/>
      <c r="E3061" s="37"/>
      <c r="F3061" s="37"/>
      <c r="G3061" s="37"/>
      <c r="H3061" s="37"/>
      <c r="I3061" s="35"/>
      <c r="J3061" s="37"/>
    </row>
    <row r="3062" spans="1:10" ht="15.95" customHeight="1" x14ac:dyDescent="0.2">
      <c r="A3062" s="39"/>
      <c r="B3062" s="36"/>
      <c r="C3062" s="37"/>
      <c r="D3062" s="37"/>
      <c r="E3062" s="37"/>
      <c r="F3062" s="37"/>
      <c r="G3062" s="37"/>
      <c r="H3062" s="37"/>
      <c r="I3062" s="35"/>
      <c r="J3062" s="37"/>
    </row>
    <row r="3063" spans="1:10" ht="15.95" customHeight="1" x14ac:dyDescent="0.2">
      <c r="A3063" s="39"/>
      <c r="B3063" s="36"/>
      <c r="C3063" s="37"/>
      <c r="D3063" s="37"/>
      <c r="E3063" s="37"/>
      <c r="F3063" s="37"/>
      <c r="G3063" s="37"/>
      <c r="H3063" s="37"/>
      <c r="I3063" s="35"/>
      <c r="J3063" s="37"/>
    </row>
    <row r="3064" spans="1:10" ht="15.95" customHeight="1" x14ac:dyDescent="0.2">
      <c r="A3064" s="39"/>
      <c r="B3064" s="36"/>
      <c r="C3064" s="37"/>
      <c r="D3064" s="37"/>
      <c r="E3064" s="37"/>
      <c r="F3064" s="37"/>
      <c r="G3064" s="37"/>
      <c r="H3064" s="37"/>
      <c r="I3064" s="35"/>
      <c r="J3064" s="37"/>
    </row>
    <row r="3065" spans="1:10" ht="15.95" customHeight="1" x14ac:dyDescent="0.2">
      <c r="A3065" s="39"/>
      <c r="B3065" s="36"/>
      <c r="C3065" s="37"/>
      <c r="D3065" s="37"/>
      <c r="E3065" s="37"/>
      <c r="F3065" s="37"/>
      <c r="G3065" s="37"/>
      <c r="H3065" s="37"/>
      <c r="I3065" s="35"/>
      <c r="J3065" s="37"/>
    </row>
    <row r="3066" spans="1:10" ht="15.95" customHeight="1" x14ac:dyDescent="0.2">
      <c r="A3066" s="39"/>
      <c r="B3066" s="36"/>
      <c r="C3066" s="37"/>
      <c r="D3066" s="37"/>
      <c r="E3066" s="37"/>
      <c r="F3066" s="37"/>
      <c r="G3066" s="37"/>
      <c r="H3066" s="37"/>
      <c r="I3066" s="35"/>
      <c r="J3066" s="37"/>
    </row>
    <row r="3067" spans="1:10" ht="15.95" customHeight="1" x14ac:dyDescent="0.2">
      <c r="A3067" s="39"/>
      <c r="B3067" s="36"/>
      <c r="C3067" s="37"/>
      <c r="D3067" s="37"/>
      <c r="E3067" s="37"/>
      <c r="F3067" s="37"/>
      <c r="G3067" s="37"/>
      <c r="H3067" s="37"/>
      <c r="I3067" s="35"/>
      <c r="J3067" s="37"/>
    </row>
    <row r="3068" spans="1:10" ht="15.95" customHeight="1" x14ac:dyDescent="0.2">
      <c r="A3068" s="39"/>
      <c r="B3068" s="36"/>
      <c r="C3068" s="37"/>
      <c r="D3068" s="37"/>
      <c r="E3068" s="37"/>
      <c r="F3068" s="37"/>
      <c r="G3068" s="37"/>
      <c r="H3068" s="37"/>
      <c r="I3068" s="35"/>
      <c r="J3068" s="37"/>
    </row>
    <row r="3069" spans="1:10" ht="15.95" customHeight="1" x14ac:dyDescent="0.2">
      <c r="A3069" s="39"/>
      <c r="B3069" s="36"/>
      <c r="C3069" s="37"/>
      <c r="D3069" s="37"/>
      <c r="E3069" s="37"/>
      <c r="F3069" s="37"/>
      <c r="G3069" s="37"/>
      <c r="H3069" s="37"/>
      <c r="I3069" s="35"/>
      <c r="J3069" s="37"/>
    </row>
    <row r="3070" spans="1:10" ht="15.95" customHeight="1" x14ac:dyDescent="0.2">
      <c r="A3070" s="39"/>
      <c r="B3070" s="36"/>
      <c r="C3070" s="37"/>
      <c r="D3070" s="37"/>
      <c r="E3070" s="37"/>
      <c r="F3070" s="37"/>
      <c r="G3070" s="37"/>
      <c r="H3070" s="37"/>
      <c r="I3070" s="35"/>
      <c r="J3070" s="37"/>
    </row>
    <row r="3071" spans="1:10" ht="15.95" customHeight="1" x14ac:dyDescent="0.2">
      <c r="A3071" s="39"/>
      <c r="B3071" s="36"/>
      <c r="C3071" s="37"/>
      <c r="D3071" s="37"/>
      <c r="E3071" s="37"/>
      <c r="F3071" s="37"/>
      <c r="G3071" s="37"/>
      <c r="H3071" s="37"/>
      <c r="I3071" s="35"/>
      <c r="J3071" s="37"/>
    </row>
    <row r="3072" spans="1:10" ht="15.95" customHeight="1" x14ac:dyDescent="0.2">
      <c r="A3072" s="39"/>
      <c r="B3072" s="36"/>
      <c r="C3072" s="37"/>
      <c r="D3072" s="37"/>
      <c r="E3072" s="37"/>
      <c r="F3072" s="37"/>
      <c r="G3072" s="37"/>
      <c r="H3072" s="37"/>
      <c r="I3072" s="35"/>
      <c r="J3072" s="37"/>
    </row>
    <row r="3073" spans="1:10" ht="15.95" customHeight="1" x14ac:dyDescent="0.2">
      <c r="A3073" s="39"/>
      <c r="B3073" s="36"/>
      <c r="C3073" s="37"/>
      <c r="D3073" s="37"/>
      <c r="E3073" s="37"/>
      <c r="F3073" s="37"/>
      <c r="G3073" s="37"/>
      <c r="H3073" s="37"/>
      <c r="I3073" s="35"/>
      <c r="J3073" s="37"/>
    </row>
    <row r="3074" spans="1:10" ht="15.95" customHeight="1" x14ac:dyDescent="0.2">
      <c r="A3074" s="39"/>
      <c r="B3074" s="36"/>
      <c r="C3074" s="37"/>
      <c r="D3074" s="37"/>
      <c r="E3074" s="37"/>
      <c r="F3074" s="37"/>
      <c r="G3074" s="37"/>
      <c r="H3074" s="37"/>
      <c r="I3074" s="35"/>
      <c r="J3074" s="37"/>
    </row>
    <row r="3075" spans="1:10" ht="15.95" customHeight="1" x14ac:dyDescent="0.2">
      <c r="A3075" s="39"/>
      <c r="B3075" s="36"/>
      <c r="C3075" s="37"/>
      <c r="D3075" s="37"/>
      <c r="E3075" s="37"/>
      <c r="F3075" s="37"/>
      <c r="G3075" s="37"/>
      <c r="H3075" s="37"/>
      <c r="I3075" s="35"/>
      <c r="J3075" s="37"/>
    </row>
    <row r="3076" spans="1:10" ht="15.95" customHeight="1" x14ac:dyDescent="0.2">
      <c r="A3076" s="39"/>
      <c r="B3076" s="36"/>
      <c r="C3076" s="37"/>
      <c r="D3076" s="37"/>
      <c r="E3076" s="37"/>
      <c r="F3076" s="37"/>
      <c r="G3076" s="37"/>
      <c r="H3076" s="37"/>
      <c r="I3076" s="35"/>
      <c r="J3076" s="37"/>
    </row>
    <row r="3077" spans="1:10" ht="15.95" customHeight="1" x14ac:dyDescent="0.2">
      <c r="A3077" s="39"/>
      <c r="B3077" s="36"/>
      <c r="C3077" s="37"/>
      <c r="D3077" s="37"/>
      <c r="E3077" s="37"/>
      <c r="F3077" s="37"/>
      <c r="G3077" s="37"/>
      <c r="H3077" s="37"/>
      <c r="I3077" s="35"/>
      <c r="J3077" s="37"/>
    </row>
    <row r="3078" spans="1:10" ht="15.95" customHeight="1" x14ac:dyDescent="0.2">
      <c r="A3078" s="39"/>
      <c r="B3078" s="36"/>
      <c r="C3078" s="37"/>
      <c r="D3078" s="37"/>
      <c r="E3078" s="37"/>
      <c r="F3078" s="37"/>
      <c r="G3078" s="37"/>
      <c r="H3078" s="37"/>
      <c r="I3078" s="35"/>
      <c r="J3078" s="37"/>
    </row>
    <row r="3079" spans="1:10" ht="15.95" customHeight="1" x14ac:dyDescent="0.2">
      <c r="A3079" s="39"/>
      <c r="B3079" s="36"/>
      <c r="C3079" s="37"/>
      <c r="D3079" s="37"/>
      <c r="E3079" s="37"/>
      <c r="F3079" s="37"/>
      <c r="G3079" s="37"/>
      <c r="H3079" s="37"/>
      <c r="I3079" s="35"/>
      <c r="J3079" s="37"/>
    </row>
    <row r="3080" spans="1:10" ht="15.95" customHeight="1" x14ac:dyDescent="0.2">
      <c r="A3080" s="39"/>
      <c r="B3080" s="36"/>
      <c r="C3080" s="37"/>
      <c r="D3080" s="37"/>
      <c r="E3080" s="37"/>
      <c r="F3080" s="37"/>
      <c r="G3080" s="37"/>
      <c r="H3080" s="37"/>
      <c r="I3080" s="35"/>
      <c r="J3080" s="37"/>
    </row>
    <row r="3081" spans="1:10" ht="15.95" customHeight="1" x14ac:dyDescent="0.2">
      <c r="A3081" s="39"/>
      <c r="B3081" s="36"/>
      <c r="C3081" s="37"/>
      <c r="D3081" s="37"/>
      <c r="E3081" s="37"/>
      <c r="F3081" s="37"/>
      <c r="G3081" s="37"/>
      <c r="H3081" s="37"/>
      <c r="I3081" s="35"/>
      <c r="J3081" s="37"/>
    </row>
    <row r="3082" spans="1:10" ht="15.95" customHeight="1" x14ac:dyDescent="0.2">
      <c r="A3082" s="39"/>
      <c r="B3082" s="36"/>
      <c r="C3082" s="37"/>
      <c r="D3082" s="37"/>
      <c r="E3082" s="37"/>
      <c r="F3082" s="37"/>
      <c r="G3082" s="37"/>
      <c r="H3082" s="37"/>
      <c r="I3082" s="35"/>
      <c r="J3082" s="37"/>
    </row>
    <row r="3083" spans="1:10" ht="15.95" customHeight="1" x14ac:dyDescent="0.2">
      <c r="A3083" s="39"/>
      <c r="B3083" s="36"/>
      <c r="C3083" s="37"/>
      <c r="D3083" s="37"/>
      <c r="E3083" s="37"/>
      <c r="F3083" s="37"/>
      <c r="G3083" s="37"/>
      <c r="H3083" s="37"/>
      <c r="I3083" s="35"/>
      <c r="J3083" s="37"/>
    </row>
    <row r="3084" spans="1:10" ht="15.95" customHeight="1" x14ac:dyDescent="0.2">
      <c r="A3084" s="39"/>
      <c r="B3084" s="36"/>
      <c r="C3084" s="37"/>
      <c r="D3084" s="37"/>
      <c r="E3084" s="37"/>
      <c r="F3084" s="37"/>
      <c r="G3084" s="37"/>
      <c r="H3084" s="37"/>
      <c r="I3084" s="35"/>
      <c r="J3084" s="37"/>
    </row>
    <row r="3085" spans="1:10" ht="15.95" customHeight="1" x14ac:dyDescent="0.2">
      <c r="A3085" s="39"/>
      <c r="B3085" s="36"/>
      <c r="C3085" s="37"/>
      <c r="D3085" s="37"/>
      <c r="E3085" s="37"/>
      <c r="F3085" s="37"/>
      <c r="G3085" s="37"/>
      <c r="H3085" s="37"/>
      <c r="I3085" s="35"/>
      <c r="J3085" s="37"/>
    </row>
    <row r="3086" spans="1:10" ht="15.95" customHeight="1" x14ac:dyDescent="0.2">
      <c r="A3086" s="39"/>
      <c r="B3086" s="36"/>
      <c r="C3086" s="37"/>
      <c r="D3086" s="37"/>
      <c r="E3086" s="37"/>
      <c r="F3086" s="37"/>
      <c r="G3086" s="37"/>
      <c r="H3086" s="37"/>
      <c r="I3086" s="35"/>
      <c r="J3086" s="37"/>
    </row>
    <row r="3087" spans="1:10" ht="15.95" customHeight="1" x14ac:dyDescent="0.2">
      <c r="A3087" s="39"/>
      <c r="B3087" s="36"/>
      <c r="C3087" s="37"/>
      <c r="D3087" s="37"/>
      <c r="E3087" s="37"/>
      <c r="F3087" s="37"/>
      <c r="G3087" s="37"/>
      <c r="H3087" s="37"/>
      <c r="I3087" s="35"/>
      <c r="J3087" s="37"/>
    </row>
    <row r="3088" spans="1:10" ht="15.95" customHeight="1" x14ac:dyDescent="0.2">
      <c r="A3088" s="39"/>
      <c r="B3088" s="36"/>
      <c r="C3088" s="37"/>
      <c r="D3088" s="37"/>
      <c r="E3088" s="37"/>
      <c r="F3088" s="37"/>
      <c r="G3088" s="37"/>
      <c r="H3088" s="37"/>
      <c r="I3088" s="35"/>
      <c r="J3088" s="37"/>
    </row>
    <row r="3089" spans="1:10" ht="15.95" customHeight="1" x14ac:dyDescent="0.2">
      <c r="A3089" s="39"/>
      <c r="B3089" s="36"/>
      <c r="C3089" s="37"/>
      <c r="D3089" s="37"/>
      <c r="E3089" s="37"/>
      <c r="F3089" s="37"/>
      <c r="G3089" s="37"/>
      <c r="H3089" s="37"/>
      <c r="I3089" s="35"/>
      <c r="J3089" s="37"/>
    </row>
    <row r="3090" spans="1:10" ht="15.95" customHeight="1" x14ac:dyDescent="0.2">
      <c r="A3090" s="39"/>
      <c r="B3090" s="36"/>
      <c r="C3090" s="37"/>
      <c r="D3090" s="37"/>
      <c r="E3090" s="37"/>
      <c r="F3090" s="37"/>
      <c r="G3090" s="37"/>
      <c r="H3090" s="37"/>
      <c r="I3090" s="35"/>
      <c r="J3090" s="37"/>
    </row>
    <row r="3091" spans="1:10" ht="15.95" customHeight="1" x14ac:dyDescent="0.2">
      <c r="A3091" s="39"/>
      <c r="B3091" s="36"/>
      <c r="C3091" s="37"/>
      <c r="D3091" s="37"/>
      <c r="E3091" s="37"/>
      <c r="F3091" s="37"/>
      <c r="G3091" s="37"/>
      <c r="H3091" s="37"/>
      <c r="I3091" s="35"/>
      <c r="J3091" s="37"/>
    </row>
    <row r="3092" spans="1:10" ht="15.95" customHeight="1" x14ac:dyDescent="0.2">
      <c r="A3092" s="39"/>
      <c r="B3092" s="36"/>
      <c r="C3092" s="37"/>
      <c r="D3092" s="37"/>
      <c r="E3092" s="37"/>
      <c r="F3092" s="37"/>
      <c r="G3092" s="37"/>
      <c r="H3092" s="37"/>
      <c r="I3092" s="35"/>
      <c r="J3092" s="37"/>
    </row>
    <row r="3093" spans="1:10" ht="15.95" customHeight="1" x14ac:dyDescent="0.2">
      <c r="A3093" s="39"/>
      <c r="B3093" s="36"/>
      <c r="C3093" s="37"/>
      <c r="D3093" s="37"/>
      <c r="E3093" s="37"/>
      <c r="F3093" s="37"/>
      <c r="G3093" s="37"/>
      <c r="H3093" s="37"/>
      <c r="I3093" s="35"/>
      <c r="J3093" s="37"/>
    </row>
    <row r="3094" spans="1:10" ht="15.95" customHeight="1" x14ac:dyDescent="0.2">
      <c r="A3094" s="39"/>
      <c r="B3094" s="36"/>
      <c r="C3094" s="37"/>
      <c r="D3094" s="37"/>
      <c r="E3094" s="37"/>
      <c r="F3094" s="37"/>
      <c r="G3094" s="37"/>
      <c r="H3094" s="37"/>
      <c r="I3094" s="35"/>
      <c r="J3094" s="37"/>
    </row>
    <row r="3095" spans="1:10" ht="15.95" customHeight="1" x14ac:dyDescent="0.2">
      <c r="A3095" s="39"/>
      <c r="B3095" s="36"/>
      <c r="C3095" s="37"/>
      <c r="D3095" s="37"/>
      <c r="E3095" s="37"/>
      <c r="F3095" s="37"/>
      <c r="G3095" s="37"/>
      <c r="H3095" s="37"/>
      <c r="I3095" s="35"/>
      <c r="J3095" s="37"/>
    </row>
    <row r="3096" spans="1:10" ht="15.95" customHeight="1" x14ac:dyDescent="0.2">
      <c r="A3096" s="39"/>
      <c r="B3096" s="36"/>
      <c r="C3096" s="37"/>
      <c r="D3096" s="37"/>
      <c r="E3096" s="37"/>
      <c r="F3096" s="37"/>
      <c r="G3096" s="37"/>
      <c r="H3096" s="37"/>
      <c r="I3096" s="35"/>
      <c r="J3096" s="37"/>
    </row>
    <row r="3097" spans="1:10" ht="15.95" customHeight="1" x14ac:dyDescent="0.2">
      <c r="A3097" s="39"/>
      <c r="B3097" s="36"/>
      <c r="C3097" s="37"/>
      <c r="D3097" s="37"/>
      <c r="E3097" s="37"/>
      <c r="F3097" s="37"/>
      <c r="G3097" s="37"/>
      <c r="H3097" s="37"/>
      <c r="I3097" s="35"/>
      <c r="J3097" s="37"/>
    </row>
    <row r="3098" spans="1:10" ht="15.95" customHeight="1" x14ac:dyDescent="0.2">
      <c r="A3098" s="39"/>
      <c r="B3098" s="36"/>
      <c r="C3098" s="37"/>
      <c r="D3098" s="37"/>
      <c r="E3098" s="37"/>
      <c r="F3098" s="37"/>
      <c r="G3098" s="37"/>
      <c r="H3098" s="37"/>
      <c r="I3098" s="35"/>
      <c r="J3098" s="37"/>
    </row>
    <row r="3099" spans="1:10" ht="15.95" customHeight="1" x14ac:dyDescent="0.2">
      <c r="A3099" s="39"/>
      <c r="B3099" s="36"/>
      <c r="C3099" s="37"/>
      <c r="D3099" s="37"/>
      <c r="E3099" s="37"/>
      <c r="F3099" s="37"/>
      <c r="G3099" s="37"/>
      <c r="H3099" s="37"/>
      <c r="I3099" s="35"/>
      <c r="J3099" s="37"/>
    </row>
    <row r="3100" spans="1:10" ht="15.95" customHeight="1" x14ac:dyDescent="0.2">
      <c r="A3100" s="39"/>
      <c r="B3100" s="36"/>
      <c r="C3100" s="37"/>
      <c r="D3100" s="37"/>
      <c r="E3100" s="37"/>
      <c r="F3100" s="37"/>
      <c r="G3100" s="37"/>
      <c r="H3100" s="37"/>
      <c r="I3100" s="35"/>
      <c r="J3100" s="37"/>
    </row>
    <row r="3101" spans="1:10" ht="15.95" customHeight="1" x14ac:dyDescent="0.2">
      <c r="A3101" s="39"/>
      <c r="B3101" s="36"/>
      <c r="C3101" s="37"/>
      <c r="D3101" s="37"/>
      <c r="E3101" s="37"/>
      <c r="F3101" s="37"/>
      <c r="G3101" s="37"/>
      <c r="H3101" s="37"/>
      <c r="I3101" s="35"/>
      <c r="J3101" s="37"/>
    </row>
    <row r="3102" spans="1:10" ht="15.95" customHeight="1" x14ac:dyDescent="0.2">
      <c r="A3102" s="39"/>
      <c r="B3102" s="36"/>
      <c r="C3102" s="37"/>
      <c r="D3102" s="37"/>
      <c r="E3102" s="37"/>
      <c r="F3102" s="37"/>
      <c r="G3102" s="37"/>
      <c r="H3102" s="37"/>
      <c r="I3102" s="35"/>
      <c r="J3102" s="37"/>
    </row>
    <row r="3103" spans="1:10" ht="15.95" customHeight="1" x14ac:dyDescent="0.2">
      <c r="A3103" s="39"/>
      <c r="B3103" s="36"/>
      <c r="C3103" s="37"/>
      <c r="D3103" s="37"/>
      <c r="E3103" s="37"/>
      <c r="F3103" s="37"/>
      <c r="G3103" s="37"/>
      <c r="H3103" s="37"/>
      <c r="I3103" s="35"/>
      <c r="J3103" s="37"/>
    </row>
    <row r="3104" spans="1:10" ht="15.95" customHeight="1" x14ac:dyDescent="0.2">
      <c r="A3104" s="39"/>
      <c r="B3104" s="36"/>
      <c r="C3104" s="37"/>
      <c r="D3104" s="37"/>
      <c r="E3104" s="37"/>
      <c r="F3104" s="37"/>
      <c r="G3104" s="37"/>
      <c r="H3104" s="37"/>
      <c r="I3104" s="35"/>
      <c r="J3104" s="37"/>
    </row>
    <row r="3105" spans="1:10" ht="15.95" customHeight="1" x14ac:dyDescent="0.2">
      <c r="A3105" s="39"/>
      <c r="B3105" s="36"/>
      <c r="C3105" s="37"/>
      <c r="D3105" s="37"/>
      <c r="E3105" s="37"/>
      <c r="F3105" s="37"/>
      <c r="G3105" s="37"/>
      <c r="H3105" s="37"/>
      <c r="I3105" s="35"/>
      <c r="J3105" s="37"/>
    </row>
    <row r="3106" spans="1:10" ht="15.95" customHeight="1" x14ac:dyDescent="0.2">
      <c r="A3106" s="39"/>
      <c r="B3106" s="36"/>
      <c r="C3106" s="37"/>
      <c r="D3106" s="37"/>
      <c r="E3106" s="37"/>
      <c r="F3106" s="37"/>
      <c r="G3106" s="37"/>
      <c r="H3106" s="37"/>
      <c r="I3106" s="35"/>
      <c r="J3106" s="37"/>
    </row>
    <row r="3107" spans="1:10" ht="15.95" customHeight="1" x14ac:dyDescent="0.2">
      <c r="A3107" s="39"/>
      <c r="B3107" s="36"/>
      <c r="C3107" s="37"/>
      <c r="D3107" s="37"/>
      <c r="E3107" s="37"/>
      <c r="F3107" s="37"/>
      <c r="G3107" s="37"/>
      <c r="H3107" s="37"/>
      <c r="I3107" s="35"/>
      <c r="J3107" s="37"/>
    </row>
    <row r="3108" spans="1:10" ht="15.95" customHeight="1" x14ac:dyDescent="0.2">
      <c r="A3108" s="39"/>
      <c r="B3108" s="36"/>
      <c r="C3108" s="37"/>
      <c r="D3108" s="37"/>
      <c r="E3108" s="37"/>
      <c r="F3108" s="37"/>
      <c r="G3108" s="37"/>
      <c r="H3108" s="37"/>
      <c r="I3108" s="35"/>
      <c r="J3108" s="37"/>
    </row>
    <row r="3109" spans="1:10" ht="15.95" customHeight="1" x14ac:dyDescent="0.2">
      <c r="A3109" s="39"/>
      <c r="B3109" s="36"/>
      <c r="C3109" s="37"/>
      <c r="D3109" s="37"/>
      <c r="E3109" s="37"/>
      <c r="F3109" s="37"/>
      <c r="G3109" s="37"/>
      <c r="H3109" s="37"/>
      <c r="I3109" s="35"/>
      <c r="J3109" s="37"/>
    </row>
    <row r="3110" spans="1:10" ht="15.95" customHeight="1" x14ac:dyDescent="0.2">
      <c r="A3110" s="39"/>
      <c r="B3110" s="36"/>
      <c r="C3110" s="37"/>
      <c r="D3110" s="37"/>
      <c r="E3110" s="37"/>
      <c r="F3110" s="37"/>
      <c r="G3110" s="37"/>
      <c r="H3110" s="37"/>
      <c r="I3110" s="35"/>
      <c r="J3110" s="37"/>
    </row>
    <row r="3111" spans="1:10" ht="15.95" customHeight="1" x14ac:dyDescent="0.2">
      <c r="A3111" s="39"/>
      <c r="B3111" s="36"/>
      <c r="C3111" s="37"/>
      <c r="D3111" s="37"/>
      <c r="E3111" s="37"/>
      <c r="F3111" s="37"/>
      <c r="G3111" s="37"/>
      <c r="H3111" s="37"/>
      <c r="I3111" s="35"/>
      <c r="J3111" s="37"/>
    </row>
    <row r="3112" spans="1:10" ht="15.95" customHeight="1" x14ac:dyDescent="0.2">
      <c r="A3112" s="39"/>
      <c r="B3112" s="36"/>
      <c r="C3112" s="37"/>
      <c r="D3112" s="37"/>
      <c r="E3112" s="37"/>
      <c r="F3112" s="37"/>
      <c r="G3112" s="37"/>
      <c r="H3112" s="37"/>
      <c r="I3112" s="35"/>
      <c r="J3112" s="37"/>
    </row>
    <row r="3113" spans="1:10" ht="15.95" customHeight="1" x14ac:dyDescent="0.2">
      <c r="A3113" s="39"/>
      <c r="B3113" s="36"/>
      <c r="C3113" s="37"/>
      <c r="D3113" s="37"/>
      <c r="E3113" s="37"/>
      <c r="F3113" s="37"/>
      <c r="G3113" s="37"/>
      <c r="H3113" s="37"/>
      <c r="I3113" s="35"/>
      <c r="J3113" s="37"/>
    </row>
    <row r="3114" spans="1:10" ht="15.95" customHeight="1" x14ac:dyDescent="0.2">
      <c r="A3114" s="39"/>
      <c r="B3114" s="36"/>
      <c r="C3114" s="37"/>
      <c r="D3114" s="37"/>
      <c r="E3114" s="37"/>
      <c r="F3114" s="37"/>
      <c r="G3114" s="37"/>
      <c r="H3114" s="37"/>
      <c r="I3114" s="35"/>
      <c r="J3114" s="37"/>
    </row>
    <row r="3115" spans="1:10" ht="15.95" customHeight="1" x14ac:dyDescent="0.2">
      <c r="A3115" s="39"/>
      <c r="B3115" s="36"/>
      <c r="C3115" s="37"/>
      <c r="D3115" s="37"/>
      <c r="E3115" s="37"/>
      <c r="F3115" s="37"/>
      <c r="G3115" s="37"/>
      <c r="H3115" s="37"/>
      <c r="I3115" s="35"/>
      <c r="J3115" s="37"/>
    </row>
    <row r="3116" spans="1:10" ht="15.95" customHeight="1" x14ac:dyDescent="0.2">
      <c r="A3116" s="39"/>
      <c r="B3116" s="36"/>
      <c r="C3116" s="37"/>
      <c r="D3116" s="37"/>
      <c r="E3116" s="37"/>
      <c r="F3116" s="37"/>
      <c r="G3116" s="37"/>
      <c r="H3116" s="37"/>
      <c r="I3116" s="35"/>
      <c r="J3116" s="37"/>
    </row>
    <row r="3117" spans="1:10" ht="15.95" customHeight="1" x14ac:dyDescent="0.2">
      <c r="A3117" s="39"/>
      <c r="B3117" s="36"/>
      <c r="C3117" s="37"/>
      <c r="D3117" s="37"/>
      <c r="E3117" s="37"/>
      <c r="F3117" s="37"/>
      <c r="G3117" s="37"/>
      <c r="H3117" s="37"/>
      <c r="I3117" s="35"/>
      <c r="J3117" s="37"/>
    </row>
    <row r="3118" spans="1:10" ht="15.95" customHeight="1" x14ac:dyDescent="0.2">
      <c r="A3118" s="39"/>
      <c r="B3118" s="36"/>
      <c r="C3118" s="37"/>
      <c r="D3118" s="37"/>
      <c r="E3118" s="37"/>
      <c r="F3118" s="37"/>
      <c r="G3118" s="37"/>
      <c r="H3118" s="37"/>
      <c r="I3118" s="35"/>
      <c r="J3118" s="37"/>
    </row>
    <row r="3119" spans="1:10" ht="15.95" customHeight="1" x14ac:dyDescent="0.2">
      <c r="A3119" s="39"/>
      <c r="B3119" s="36"/>
      <c r="C3119" s="37"/>
      <c r="D3119" s="37"/>
      <c r="E3119" s="37"/>
      <c r="F3119" s="37"/>
      <c r="G3119" s="37"/>
      <c r="H3119" s="37"/>
      <c r="I3119" s="35"/>
      <c r="J3119" s="37"/>
    </row>
    <row r="3120" spans="1:10" ht="15.95" customHeight="1" x14ac:dyDescent="0.2">
      <c r="A3120" s="39"/>
      <c r="B3120" s="36"/>
      <c r="C3120" s="37"/>
      <c r="D3120" s="37"/>
      <c r="E3120" s="37"/>
      <c r="F3120" s="37"/>
      <c r="G3120" s="37"/>
      <c r="H3120" s="37"/>
      <c r="I3120" s="35"/>
      <c r="J3120" s="37"/>
    </row>
    <row r="3121" spans="1:10" ht="15.95" customHeight="1" x14ac:dyDescent="0.2">
      <c r="A3121" s="39"/>
      <c r="B3121" s="36"/>
      <c r="C3121" s="37"/>
      <c r="D3121" s="37"/>
      <c r="E3121" s="37"/>
      <c r="F3121" s="37"/>
      <c r="G3121" s="37"/>
      <c r="H3121" s="37"/>
      <c r="I3121" s="35"/>
      <c r="J3121" s="37"/>
    </row>
    <row r="3122" spans="1:10" ht="15.95" customHeight="1" x14ac:dyDescent="0.2">
      <c r="A3122" s="39"/>
      <c r="B3122" s="36"/>
      <c r="C3122" s="37"/>
      <c r="D3122" s="37"/>
      <c r="E3122" s="37"/>
      <c r="F3122" s="37"/>
      <c r="G3122" s="37"/>
      <c r="H3122" s="37"/>
      <c r="I3122" s="35"/>
      <c r="J3122" s="37"/>
    </row>
    <row r="3123" spans="1:10" ht="15.95" customHeight="1" x14ac:dyDescent="0.2">
      <c r="A3123" s="39"/>
      <c r="B3123" s="36"/>
      <c r="C3123" s="37"/>
      <c r="D3123" s="37"/>
      <c r="E3123" s="37"/>
      <c r="F3123" s="37"/>
      <c r="G3123" s="37"/>
      <c r="H3123" s="37"/>
      <c r="I3123" s="35"/>
      <c r="J3123" s="37"/>
    </row>
    <row r="3124" spans="1:10" ht="15.95" customHeight="1" x14ac:dyDescent="0.2">
      <c r="A3124" s="39"/>
      <c r="B3124" s="36"/>
      <c r="C3124" s="37"/>
      <c r="D3124" s="37"/>
      <c r="E3124" s="37"/>
      <c r="F3124" s="37"/>
      <c r="G3124" s="37"/>
      <c r="H3124" s="37"/>
      <c r="I3124" s="35"/>
      <c r="J3124" s="37"/>
    </row>
    <row r="3125" spans="1:10" ht="15.95" customHeight="1" x14ac:dyDescent="0.2">
      <c r="A3125" s="39"/>
      <c r="B3125" s="36"/>
      <c r="C3125" s="37"/>
      <c r="D3125" s="37"/>
      <c r="E3125" s="37"/>
      <c r="F3125" s="37"/>
      <c r="G3125" s="37"/>
      <c r="H3125" s="37"/>
      <c r="I3125" s="35"/>
      <c r="J3125" s="37"/>
    </row>
    <row r="3126" spans="1:10" ht="15.95" customHeight="1" x14ac:dyDescent="0.2">
      <c r="A3126" s="39"/>
      <c r="B3126" s="36"/>
      <c r="C3126" s="37"/>
      <c r="D3126" s="37"/>
      <c r="E3126" s="37"/>
      <c r="F3126" s="37"/>
      <c r="G3126" s="37"/>
      <c r="H3126" s="37"/>
      <c r="I3126" s="35"/>
      <c r="J3126" s="37"/>
    </row>
    <row r="3127" spans="1:10" ht="15.95" customHeight="1" x14ac:dyDescent="0.2">
      <c r="A3127" s="39"/>
      <c r="B3127" s="36"/>
      <c r="C3127" s="37"/>
      <c r="D3127" s="37"/>
      <c r="E3127" s="37"/>
      <c r="F3127" s="37"/>
      <c r="G3127" s="37"/>
      <c r="H3127" s="37"/>
      <c r="I3127" s="35"/>
      <c r="J3127" s="37"/>
    </row>
    <row r="3128" spans="1:10" ht="15.95" customHeight="1" x14ac:dyDescent="0.2">
      <c r="A3128" s="39"/>
      <c r="B3128" s="36"/>
      <c r="C3128" s="37"/>
      <c r="D3128" s="37"/>
      <c r="E3128" s="37"/>
      <c r="F3128" s="37"/>
      <c r="G3128" s="37"/>
      <c r="H3128" s="37"/>
      <c r="I3128" s="35"/>
      <c r="J3128" s="37"/>
    </row>
    <row r="3129" spans="1:10" ht="15.95" customHeight="1" x14ac:dyDescent="0.2">
      <c r="A3129" s="39"/>
      <c r="B3129" s="36"/>
      <c r="C3129" s="37"/>
      <c r="D3129" s="37"/>
      <c r="E3129" s="37"/>
      <c r="F3129" s="37"/>
      <c r="G3129" s="37"/>
      <c r="H3129" s="37"/>
      <c r="I3129" s="35"/>
      <c r="J3129" s="37"/>
    </row>
    <row r="3130" spans="1:10" ht="15.95" customHeight="1" x14ac:dyDescent="0.2">
      <c r="A3130" s="39"/>
      <c r="B3130" s="36"/>
      <c r="C3130" s="37"/>
      <c r="D3130" s="37"/>
      <c r="E3130" s="37"/>
      <c r="F3130" s="37"/>
      <c r="G3130" s="37"/>
      <c r="H3130" s="37"/>
      <c r="I3130" s="35"/>
      <c r="J3130" s="37"/>
    </row>
    <row r="3131" spans="1:10" ht="15.95" customHeight="1" x14ac:dyDescent="0.2">
      <c r="A3131" s="39"/>
      <c r="B3131" s="36"/>
      <c r="C3131" s="37"/>
      <c r="D3131" s="37"/>
      <c r="E3131" s="37"/>
      <c r="F3131" s="37"/>
      <c r="G3131" s="37"/>
      <c r="H3131" s="37"/>
      <c r="I3131" s="35"/>
      <c r="J3131" s="37"/>
    </row>
    <row r="3132" spans="1:10" ht="15.95" customHeight="1" x14ac:dyDescent="0.2">
      <c r="A3132" s="39"/>
      <c r="B3132" s="36"/>
      <c r="C3132" s="37"/>
      <c r="D3132" s="37"/>
      <c r="E3132" s="37"/>
      <c r="F3132" s="37"/>
      <c r="G3132" s="37"/>
      <c r="H3132" s="37"/>
      <c r="I3132" s="35"/>
      <c r="J3132" s="37"/>
    </row>
    <row r="3133" spans="1:10" ht="15.95" customHeight="1" x14ac:dyDescent="0.2">
      <c r="A3133" s="39"/>
      <c r="B3133" s="36"/>
      <c r="C3133" s="37"/>
      <c r="D3133" s="37"/>
      <c r="E3133" s="37"/>
      <c r="F3133" s="37"/>
      <c r="G3133" s="37"/>
      <c r="H3133" s="37"/>
      <c r="I3133" s="35"/>
      <c r="J3133" s="37"/>
    </row>
    <row r="3134" spans="1:10" ht="15.95" customHeight="1" x14ac:dyDescent="0.2">
      <c r="A3134" s="39"/>
      <c r="B3134" s="36"/>
      <c r="C3134" s="37"/>
      <c r="D3134" s="37"/>
      <c r="E3134" s="37"/>
      <c r="F3134" s="37"/>
      <c r="G3134" s="37"/>
      <c r="H3134" s="37"/>
      <c r="I3134" s="35"/>
      <c r="J3134" s="37"/>
    </row>
    <row r="3135" spans="1:10" ht="15.95" customHeight="1" x14ac:dyDescent="0.2">
      <c r="A3135" s="39"/>
      <c r="B3135" s="36"/>
      <c r="C3135" s="37"/>
      <c r="D3135" s="37"/>
      <c r="E3135" s="37"/>
      <c r="F3135" s="37"/>
      <c r="G3135" s="37"/>
      <c r="H3135" s="37"/>
      <c r="I3135" s="35"/>
      <c r="J3135" s="37"/>
    </row>
    <row r="3136" spans="1:10" ht="15.95" customHeight="1" x14ac:dyDescent="0.2">
      <c r="A3136" s="39"/>
      <c r="B3136" s="36"/>
      <c r="C3136" s="37"/>
      <c r="D3136" s="37"/>
      <c r="E3136" s="37"/>
      <c r="F3136" s="37"/>
      <c r="G3136" s="37"/>
      <c r="H3136" s="37"/>
      <c r="I3136" s="35"/>
      <c r="J3136" s="37"/>
    </row>
    <row r="3137" spans="1:10" ht="15.95" customHeight="1" x14ac:dyDescent="0.2">
      <c r="A3137" s="39"/>
      <c r="B3137" s="36"/>
      <c r="C3137" s="37"/>
      <c r="D3137" s="37"/>
      <c r="E3137" s="37"/>
      <c r="F3137" s="37"/>
      <c r="G3137" s="37"/>
      <c r="H3137" s="37"/>
      <c r="I3137" s="35"/>
      <c r="J3137" s="37"/>
    </row>
    <row r="3138" spans="1:10" ht="15.95" customHeight="1" x14ac:dyDescent="0.2">
      <c r="A3138" s="39"/>
      <c r="B3138" s="36"/>
      <c r="C3138" s="37"/>
      <c r="D3138" s="37"/>
      <c r="E3138" s="37"/>
      <c r="F3138" s="37"/>
      <c r="G3138" s="37"/>
      <c r="H3138" s="37"/>
      <c r="I3138" s="35"/>
      <c r="J3138" s="37"/>
    </row>
    <row r="3139" spans="1:10" ht="15.95" customHeight="1" x14ac:dyDescent="0.2">
      <c r="A3139" s="39"/>
      <c r="B3139" s="36"/>
      <c r="C3139" s="37"/>
      <c r="D3139" s="37"/>
      <c r="E3139" s="37"/>
      <c r="F3139" s="37"/>
      <c r="G3139" s="37"/>
      <c r="H3139" s="37"/>
      <c r="I3139" s="35"/>
      <c r="J3139" s="37"/>
    </row>
    <row r="3140" spans="1:10" ht="15.95" customHeight="1" x14ac:dyDescent="0.2">
      <c r="A3140" s="39"/>
      <c r="B3140" s="36"/>
      <c r="C3140" s="37"/>
      <c r="D3140" s="37"/>
      <c r="E3140" s="37"/>
      <c r="F3140" s="37"/>
      <c r="G3140" s="37"/>
      <c r="H3140" s="37"/>
      <c r="I3140" s="35"/>
      <c r="J3140" s="37"/>
    </row>
    <row r="3141" spans="1:10" ht="15.95" customHeight="1" x14ac:dyDescent="0.2">
      <c r="A3141" s="39"/>
      <c r="B3141" s="36"/>
      <c r="C3141" s="37"/>
      <c r="D3141" s="37"/>
      <c r="E3141" s="37"/>
      <c r="F3141" s="37"/>
      <c r="G3141" s="37"/>
      <c r="H3141" s="37"/>
      <c r="I3141" s="35"/>
      <c r="J3141" s="37"/>
    </row>
    <row r="3142" spans="1:10" ht="15.95" customHeight="1" x14ac:dyDescent="0.2">
      <c r="A3142" s="39"/>
      <c r="B3142" s="36"/>
      <c r="C3142" s="37"/>
      <c r="D3142" s="37"/>
      <c r="E3142" s="37"/>
      <c r="F3142" s="37"/>
      <c r="G3142" s="37"/>
      <c r="H3142" s="37"/>
      <c r="I3142" s="35"/>
      <c r="J3142" s="37"/>
    </row>
    <row r="3143" spans="1:10" ht="15.95" customHeight="1" x14ac:dyDescent="0.2">
      <c r="A3143" s="39"/>
      <c r="B3143" s="36"/>
      <c r="C3143" s="37"/>
      <c r="D3143" s="37"/>
      <c r="E3143" s="37"/>
      <c r="F3143" s="37"/>
      <c r="G3143" s="37"/>
      <c r="H3143" s="37"/>
      <c r="I3143" s="35"/>
      <c r="J3143" s="37"/>
    </row>
    <row r="3144" spans="1:10" ht="15.95" customHeight="1" x14ac:dyDescent="0.2">
      <c r="A3144" s="39"/>
      <c r="B3144" s="36"/>
      <c r="C3144" s="37"/>
      <c r="D3144" s="37"/>
      <c r="E3144" s="37"/>
      <c r="F3144" s="37"/>
      <c r="G3144" s="37"/>
      <c r="H3144" s="37"/>
      <c r="I3144" s="35"/>
      <c r="J3144" s="37"/>
    </row>
    <row r="3145" spans="1:10" ht="15.95" customHeight="1" x14ac:dyDescent="0.2">
      <c r="A3145" s="39"/>
      <c r="B3145" s="36"/>
      <c r="C3145" s="37"/>
      <c r="D3145" s="37"/>
      <c r="E3145" s="37"/>
      <c r="F3145" s="37"/>
      <c r="G3145" s="37"/>
      <c r="H3145" s="37"/>
      <c r="I3145" s="35"/>
      <c r="J3145" s="37"/>
    </row>
    <row r="3146" spans="1:10" ht="15.95" customHeight="1" x14ac:dyDescent="0.2">
      <c r="A3146" s="39"/>
      <c r="B3146" s="36"/>
      <c r="C3146" s="37"/>
      <c r="D3146" s="37"/>
      <c r="E3146" s="37"/>
      <c r="F3146" s="37"/>
      <c r="G3146" s="37"/>
      <c r="H3146" s="37"/>
      <c r="I3146" s="35"/>
      <c r="J3146" s="37"/>
    </row>
    <row r="3147" spans="1:10" ht="15.95" customHeight="1" x14ac:dyDescent="0.2">
      <c r="A3147" s="39"/>
      <c r="B3147" s="36"/>
      <c r="C3147" s="37"/>
      <c r="D3147" s="37"/>
      <c r="E3147" s="37"/>
      <c r="F3147" s="37"/>
      <c r="G3147" s="37"/>
      <c r="H3147" s="37"/>
      <c r="I3147" s="35"/>
      <c r="J3147" s="37"/>
    </row>
    <row r="3148" spans="1:10" ht="15.95" customHeight="1" x14ac:dyDescent="0.2">
      <c r="A3148" s="39"/>
      <c r="B3148" s="36"/>
      <c r="C3148" s="37"/>
      <c r="D3148" s="37"/>
      <c r="E3148" s="37"/>
      <c r="F3148" s="37"/>
      <c r="G3148" s="37"/>
      <c r="H3148" s="37"/>
      <c r="I3148" s="35"/>
      <c r="J3148" s="37"/>
    </row>
    <row r="3149" spans="1:10" ht="15.95" customHeight="1" x14ac:dyDescent="0.2">
      <c r="A3149" s="39"/>
      <c r="B3149" s="36"/>
      <c r="C3149" s="37"/>
      <c r="D3149" s="37"/>
      <c r="E3149" s="37"/>
      <c r="F3149" s="37"/>
      <c r="G3149" s="37"/>
      <c r="H3149" s="37"/>
      <c r="I3149" s="35"/>
      <c r="J3149" s="37"/>
    </row>
    <row r="3150" spans="1:10" ht="15.95" customHeight="1" x14ac:dyDescent="0.2">
      <c r="A3150" s="39"/>
      <c r="B3150" s="36"/>
      <c r="C3150" s="37"/>
      <c r="D3150" s="37"/>
      <c r="E3150" s="37"/>
      <c r="F3150" s="37"/>
      <c r="G3150" s="37"/>
      <c r="H3150" s="37"/>
      <c r="I3150" s="35"/>
      <c r="J3150" s="37"/>
    </row>
    <row r="3151" spans="1:10" ht="15.95" customHeight="1" x14ac:dyDescent="0.2">
      <c r="A3151" s="39"/>
      <c r="B3151" s="36"/>
      <c r="C3151" s="37"/>
      <c r="D3151" s="37"/>
      <c r="E3151" s="37"/>
      <c r="F3151" s="37"/>
      <c r="G3151" s="37"/>
      <c r="H3151" s="37"/>
      <c r="I3151" s="35"/>
      <c r="J3151" s="37"/>
    </row>
    <row r="3152" spans="1:10" ht="15.95" customHeight="1" x14ac:dyDescent="0.2">
      <c r="A3152" s="39"/>
      <c r="B3152" s="36"/>
      <c r="C3152" s="37"/>
      <c r="D3152" s="37"/>
      <c r="E3152" s="37"/>
      <c r="F3152" s="37"/>
      <c r="G3152" s="37"/>
      <c r="H3152" s="37"/>
      <c r="I3152" s="35"/>
      <c r="J3152" s="37"/>
    </row>
    <row r="3153" spans="1:10" ht="15.95" customHeight="1" x14ac:dyDescent="0.2">
      <c r="A3153" s="39"/>
      <c r="B3153" s="36"/>
      <c r="C3153" s="37"/>
      <c r="D3153" s="37"/>
      <c r="E3153" s="37"/>
      <c r="F3153" s="37"/>
      <c r="G3153" s="37"/>
      <c r="H3153" s="37"/>
      <c r="I3153" s="35"/>
      <c r="J3153" s="37"/>
    </row>
    <row r="3154" spans="1:10" ht="15.95" customHeight="1" x14ac:dyDescent="0.2">
      <c r="A3154" s="39"/>
      <c r="B3154" s="36"/>
      <c r="C3154" s="37"/>
      <c r="D3154" s="37"/>
      <c r="E3154" s="37"/>
      <c r="F3154" s="37"/>
      <c r="G3154" s="37"/>
      <c r="H3154" s="37"/>
      <c r="I3154" s="35"/>
      <c r="J3154" s="37"/>
    </row>
    <row r="3155" spans="1:10" ht="15.95" customHeight="1" x14ac:dyDescent="0.2">
      <c r="A3155" s="39"/>
      <c r="B3155" s="36"/>
      <c r="C3155" s="37"/>
      <c r="D3155" s="37"/>
      <c r="E3155" s="37"/>
      <c r="F3155" s="37"/>
      <c r="G3155" s="37"/>
      <c r="H3155" s="37"/>
      <c r="I3155" s="35"/>
      <c r="J3155" s="37"/>
    </row>
    <row r="3156" spans="1:10" ht="15.95" customHeight="1" x14ac:dyDescent="0.2">
      <c r="A3156" s="39"/>
      <c r="B3156" s="36"/>
      <c r="C3156" s="37"/>
      <c r="D3156" s="37"/>
      <c r="E3156" s="37"/>
      <c r="F3156" s="37"/>
      <c r="G3156" s="37"/>
      <c r="H3156" s="37"/>
      <c r="I3156" s="35"/>
      <c r="J3156" s="37"/>
    </row>
    <row r="3157" spans="1:10" ht="15.95" customHeight="1" x14ac:dyDescent="0.2">
      <c r="A3157" s="39"/>
      <c r="B3157" s="36"/>
      <c r="C3157" s="37"/>
      <c r="D3157" s="37"/>
      <c r="E3157" s="37"/>
      <c r="F3157" s="37"/>
      <c r="G3157" s="37"/>
      <c r="H3157" s="37"/>
      <c r="I3157" s="35"/>
      <c r="J3157" s="37"/>
    </row>
    <row r="3158" spans="1:10" ht="15.95" customHeight="1" x14ac:dyDescent="0.2">
      <c r="A3158" s="39"/>
      <c r="B3158" s="36"/>
      <c r="C3158" s="37"/>
      <c r="D3158" s="37"/>
      <c r="E3158" s="37"/>
      <c r="F3158" s="37"/>
      <c r="G3158" s="37"/>
      <c r="H3158" s="37"/>
      <c r="I3158" s="35"/>
      <c r="J3158" s="37"/>
    </row>
    <row r="3159" spans="1:10" ht="15.95" customHeight="1" x14ac:dyDescent="0.2">
      <c r="A3159" s="39"/>
      <c r="B3159" s="36"/>
      <c r="C3159" s="37"/>
      <c r="D3159" s="37"/>
      <c r="E3159" s="37"/>
      <c r="F3159" s="37"/>
      <c r="G3159" s="37"/>
      <c r="H3159" s="37"/>
      <c r="I3159" s="35"/>
      <c r="J3159" s="37"/>
    </row>
    <row r="3160" spans="1:10" ht="15.95" customHeight="1" x14ac:dyDescent="0.2">
      <c r="A3160" s="39"/>
      <c r="B3160" s="36"/>
      <c r="C3160" s="37"/>
      <c r="D3160" s="37"/>
      <c r="E3160" s="37"/>
      <c r="F3160" s="37"/>
      <c r="G3160" s="37"/>
      <c r="H3160" s="37"/>
      <c r="I3160" s="35"/>
      <c r="J3160" s="37"/>
    </row>
    <row r="3161" spans="1:10" ht="15.95" customHeight="1" x14ac:dyDescent="0.2">
      <c r="A3161" s="39"/>
      <c r="B3161" s="36"/>
      <c r="C3161" s="37"/>
      <c r="D3161" s="37"/>
      <c r="E3161" s="37"/>
      <c r="F3161" s="37"/>
      <c r="G3161" s="37"/>
      <c r="H3161" s="37"/>
      <c r="I3161" s="35"/>
      <c r="J3161" s="37"/>
    </row>
    <row r="3162" spans="1:10" ht="15.95" customHeight="1" x14ac:dyDescent="0.2">
      <c r="A3162" s="39"/>
      <c r="B3162" s="36"/>
      <c r="C3162" s="37"/>
      <c r="D3162" s="37"/>
      <c r="E3162" s="37"/>
      <c r="F3162" s="37"/>
      <c r="G3162" s="37"/>
      <c r="H3162" s="37"/>
      <c r="I3162" s="35"/>
      <c r="J3162" s="37"/>
    </row>
    <row r="3163" spans="1:10" ht="15.95" customHeight="1" x14ac:dyDescent="0.2">
      <c r="A3163" s="39"/>
      <c r="B3163" s="36"/>
      <c r="C3163" s="37"/>
      <c r="D3163" s="37"/>
      <c r="E3163" s="37"/>
      <c r="F3163" s="37"/>
      <c r="G3163" s="37"/>
      <c r="H3163" s="37"/>
      <c r="I3163" s="35"/>
      <c r="J3163" s="37"/>
    </row>
    <row r="3164" spans="1:10" ht="15.95" customHeight="1" x14ac:dyDescent="0.2">
      <c r="A3164" s="39"/>
      <c r="B3164" s="36"/>
      <c r="C3164" s="37"/>
      <c r="D3164" s="37"/>
      <c r="E3164" s="37"/>
      <c r="F3164" s="37"/>
      <c r="G3164" s="37"/>
      <c r="H3164" s="37"/>
      <c r="I3164" s="35"/>
      <c r="J3164" s="37"/>
    </row>
    <row r="3165" spans="1:10" ht="15.95" customHeight="1" x14ac:dyDescent="0.2">
      <c r="A3165" s="39"/>
      <c r="B3165" s="36"/>
      <c r="C3165" s="37"/>
      <c r="D3165" s="37"/>
      <c r="E3165" s="37"/>
      <c r="F3165" s="37"/>
      <c r="G3165" s="37"/>
      <c r="H3165" s="37"/>
      <c r="I3165" s="35"/>
      <c r="J3165" s="37"/>
    </row>
    <row r="3166" spans="1:10" ht="15.95" customHeight="1" x14ac:dyDescent="0.2">
      <c r="A3166" s="39"/>
      <c r="B3166" s="36"/>
      <c r="C3166" s="37"/>
      <c r="D3166" s="37"/>
      <c r="E3166" s="37"/>
      <c r="F3166" s="37"/>
      <c r="G3166" s="37"/>
      <c r="H3166" s="37"/>
      <c r="I3166" s="35"/>
      <c r="J3166" s="37"/>
    </row>
    <row r="3167" spans="1:10" ht="15.95" customHeight="1" x14ac:dyDescent="0.2">
      <c r="A3167" s="39"/>
      <c r="B3167" s="36"/>
      <c r="C3167" s="37"/>
      <c r="D3167" s="37"/>
      <c r="E3167" s="37"/>
      <c r="F3167" s="37"/>
      <c r="G3167" s="37"/>
      <c r="H3167" s="37"/>
      <c r="I3167" s="35"/>
      <c r="J3167" s="37"/>
    </row>
    <row r="3168" spans="1:10" ht="15.95" customHeight="1" x14ac:dyDescent="0.2">
      <c r="A3168" s="39"/>
      <c r="B3168" s="36"/>
      <c r="C3168" s="37"/>
      <c r="D3168" s="37"/>
      <c r="E3168" s="37"/>
      <c r="F3168" s="37"/>
      <c r="G3168" s="37"/>
      <c r="H3168" s="37"/>
      <c r="I3168" s="35"/>
      <c r="J3168" s="37"/>
    </row>
    <row r="3169" spans="1:10" ht="15.95" customHeight="1" x14ac:dyDescent="0.2">
      <c r="A3169" s="39"/>
      <c r="B3169" s="36"/>
      <c r="C3169" s="37"/>
      <c r="D3169" s="37"/>
      <c r="E3169" s="37"/>
      <c r="F3169" s="37"/>
      <c r="G3169" s="37"/>
      <c r="H3169" s="37"/>
      <c r="I3169" s="35"/>
      <c r="J3169" s="37"/>
    </row>
    <row r="3170" spans="1:10" ht="15.95" customHeight="1" x14ac:dyDescent="0.2">
      <c r="A3170" s="39"/>
      <c r="B3170" s="36"/>
      <c r="C3170" s="37"/>
      <c r="D3170" s="37"/>
      <c r="E3170" s="37"/>
      <c r="F3170" s="37"/>
      <c r="G3170" s="37"/>
      <c r="H3170" s="37"/>
      <c r="I3170" s="35"/>
      <c r="J3170" s="37"/>
    </row>
    <row r="3171" spans="1:10" ht="15.95" customHeight="1" x14ac:dyDescent="0.2">
      <c r="A3171" s="39"/>
      <c r="B3171" s="36"/>
      <c r="C3171" s="37"/>
      <c r="D3171" s="37"/>
      <c r="E3171" s="37"/>
      <c r="F3171" s="37"/>
      <c r="G3171" s="37"/>
      <c r="H3171" s="37"/>
      <c r="I3171" s="35"/>
      <c r="J3171" s="37"/>
    </row>
    <row r="3172" spans="1:10" ht="15.95" customHeight="1" x14ac:dyDescent="0.2">
      <c r="A3172" s="39"/>
      <c r="B3172" s="36"/>
      <c r="C3172" s="37"/>
      <c r="D3172" s="37"/>
      <c r="E3172" s="37"/>
      <c r="F3172" s="37"/>
      <c r="G3172" s="37"/>
      <c r="H3172" s="37"/>
      <c r="I3172" s="35"/>
      <c r="J3172" s="37"/>
    </row>
    <row r="3173" spans="1:10" ht="15.95" customHeight="1" x14ac:dyDescent="0.2">
      <c r="A3173" s="39"/>
      <c r="B3173" s="36"/>
      <c r="C3173" s="37"/>
      <c r="D3173" s="37"/>
      <c r="E3173" s="37"/>
      <c r="F3173" s="37"/>
      <c r="G3173" s="37"/>
      <c r="H3173" s="37"/>
      <c r="I3173" s="35"/>
      <c r="J3173" s="37"/>
    </row>
    <row r="3174" spans="1:10" ht="15.95" customHeight="1" x14ac:dyDescent="0.2">
      <c r="A3174" s="39"/>
      <c r="B3174" s="36"/>
      <c r="C3174" s="37"/>
      <c r="D3174" s="37"/>
      <c r="E3174" s="37"/>
      <c r="F3174" s="37"/>
      <c r="G3174" s="37"/>
      <c r="H3174" s="37"/>
      <c r="I3174" s="35"/>
      <c r="J3174" s="37"/>
    </row>
    <row r="3175" spans="1:10" ht="15.95" customHeight="1" x14ac:dyDescent="0.2">
      <c r="A3175" s="39"/>
      <c r="B3175" s="36"/>
      <c r="C3175" s="37"/>
      <c r="D3175" s="37"/>
      <c r="E3175" s="37"/>
      <c r="F3175" s="37"/>
      <c r="G3175" s="37"/>
      <c r="H3175" s="37"/>
      <c r="I3175" s="35"/>
      <c r="J3175" s="37"/>
    </row>
    <row r="3176" spans="1:10" ht="15.95" customHeight="1" x14ac:dyDescent="0.2">
      <c r="A3176" s="39"/>
      <c r="B3176" s="36"/>
      <c r="C3176" s="37"/>
      <c r="D3176" s="37"/>
      <c r="E3176" s="37"/>
      <c r="F3176" s="37"/>
      <c r="G3176" s="37"/>
      <c r="H3176" s="37"/>
      <c r="I3176" s="35"/>
      <c r="J3176" s="37"/>
    </row>
    <row r="3177" spans="1:10" ht="15.95" customHeight="1" x14ac:dyDescent="0.2">
      <c r="A3177" s="39"/>
      <c r="B3177" s="36"/>
      <c r="C3177" s="37"/>
      <c r="D3177" s="37"/>
      <c r="E3177" s="37"/>
      <c r="F3177" s="37"/>
      <c r="G3177" s="37"/>
      <c r="H3177" s="37"/>
      <c r="I3177" s="35"/>
      <c r="J3177" s="37"/>
    </row>
    <row r="3178" spans="1:10" ht="15.95" customHeight="1" x14ac:dyDescent="0.2">
      <c r="A3178" s="39"/>
      <c r="B3178" s="36"/>
      <c r="C3178" s="37"/>
      <c r="D3178" s="37"/>
      <c r="E3178" s="37"/>
      <c r="F3178" s="37"/>
      <c r="G3178" s="37"/>
      <c r="H3178" s="37"/>
      <c r="I3178" s="35"/>
      <c r="J3178" s="37"/>
    </row>
    <row r="3179" spans="1:10" ht="15.95" customHeight="1" x14ac:dyDescent="0.2">
      <c r="A3179" s="39"/>
      <c r="B3179" s="36"/>
      <c r="C3179" s="37"/>
      <c r="D3179" s="37"/>
      <c r="E3179" s="37"/>
      <c r="F3179" s="37"/>
      <c r="G3179" s="37"/>
      <c r="H3179" s="37"/>
      <c r="I3179" s="35"/>
      <c r="J3179" s="37"/>
    </row>
    <row r="3180" spans="1:10" ht="15.95" customHeight="1" x14ac:dyDescent="0.2">
      <c r="A3180" s="39"/>
      <c r="B3180" s="36"/>
      <c r="C3180" s="37"/>
      <c r="D3180" s="37"/>
      <c r="E3180" s="37"/>
      <c r="F3180" s="37"/>
      <c r="G3180" s="37"/>
      <c r="H3180" s="37"/>
      <c r="I3180" s="35"/>
      <c r="J3180" s="37"/>
    </row>
    <row r="3181" spans="1:10" ht="15.95" customHeight="1" x14ac:dyDescent="0.2">
      <c r="A3181" s="39"/>
      <c r="B3181" s="36"/>
      <c r="C3181" s="37"/>
      <c r="D3181" s="37"/>
      <c r="E3181" s="37"/>
      <c r="F3181" s="37"/>
      <c r="G3181" s="37"/>
      <c r="H3181" s="37"/>
      <c r="I3181" s="35"/>
      <c r="J3181" s="37"/>
    </row>
    <row r="3182" spans="1:10" ht="15.95" customHeight="1" x14ac:dyDescent="0.2">
      <c r="A3182" s="39"/>
      <c r="B3182" s="36"/>
      <c r="C3182" s="37"/>
      <c r="D3182" s="37"/>
      <c r="E3182" s="37"/>
      <c r="F3182" s="37"/>
      <c r="G3182" s="37"/>
      <c r="H3182" s="37"/>
      <c r="I3182" s="35"/>
      <c r="J3182" s="37"/>
    </row>
    <row r="3183" spans="1:10" ht="15.95" customHeight="1" x14ac:dyDescent="0.2">
      <c r="A3183" s="39"/>
      <c r="B3183" s="36"/>
      <c r="C3183" s="37"/>
      <c r="D3183" s="37"/>
      <c r="E3183" s="37"/>
      <c r="F3183" s="37"/>
      <c r="G3183" s="37"/>
      <c r="H3183" s="37"/>
      <c r="I3183" s="35"/>
      <c r="J3183" s="37"/>
    </row>
    <row r="3184" spans="1:10" ht="15.95" customHeight="1" x14ac:dyDescent="0.2">
      <c r="A3184" s="39"/>
      <c r="B3184" s="36"/>
      <c r="C3184" s="37"/>
      <c r="D3184" s="37"/>
      <c r="E3184" s="37"/>
      <c r="F3184" s="37"/>
      <c r="G3184" s="37"/>
      <c r="H3184" s="37"/>
      <c r="I3184" s="35"/>
      <c r="J3184" s="37"/>
    </row>
    <row r="3185" spans="1:10" ht="15.95" customHeight="1" x14ac:dyDescent="0.2">
      <c r="A3185" s="39"/>
      <c r="B3185" s="36"/>
      <c r="C3185" s="37"/>
      <c r="D3185" s="37"/>
      <c r="E3185" s="37"/>
      <c r="F3185" s="37"/>
      <c r="G3185" s="37"/>
      <c r="H3185" s="37"/>
      <c r="I3185" s="35"/>
      <c r="J3185" s="37"/>
    </row>
    <row r="3186" spans="1:10" ht="15.95" customHeight="1" x14ac:dyDescent="0.2">
      <c r="A3186" s="39"/>
      <c r="B3186" s="36"/>
      <c r="C3186" s="37"/>
      <c r="D3186" s="37"/>
      <c r="E3186" s="37"/>
      <c r="F3186" s="37"/>
      <c r="G3186" s="37"/>
      <c r="H3186" s="37"/>
      <c r="I3186" s="35"/>
      <c r="J3186" s="37"/>
    </row>
    <row r="3187" spans="1:10" ht="15.95" customHeight="1" x14ac:dyDescent="0.2">
      <c r="A3187" s="39"/>
      <c r="B3187" s="36"/>
      <c r="C3187" s="37"/>
      <c r="D3187" s="37"/>
      <c r="E3187" s="37"/>
      <c r="F3187" s="37"/>
      <c r="G3187" s="37"/>
      <c r="H3187" s="37"/>
      <c r="I3187" s="35"/>
      <c r="J3187" s="37"/>
    </row>
    <row r="3188" spans="1:10" ht="15.95" customHeight="1" x14ac:dyDescent="0.2">
      <c r="A3188" s="39"/>
      <c r="B3188" s="36"/>
      <c r="C3188" s="37"/>
      <c r="D3188" s="37"/>
      <c r="E3188" s="37"/>
      <c r="F3188" s="37"/>
      <c r="G3188" s="37"/>
      <c r="H3188" s="37"/>
      <c r="I3188" s="35"/>
      <c r="J3188" s="37"/>
    </row>
    <row r="3189" spans="1:10" ht="15.95" customHeight="1" x14ac:dyDescent="0.2">
      <c r="A3189" s="39"/>
      <c r="B3189" s="36"/>
      <c r="C3189" s="37"/>
      <c r="D3189" s="37"/>
      <c r="E3189" s="37"/>
      <c r="F3189" s="37"/>
      <c r="G3189" s="37"/>
      <c r="H3189" s="37"/>
      <c r="I3189" s="35"/>
      <c r="J3189" s="37"/>
    </row>
    <row r="3190" spans="1:10" ht="15.95" customHeight="1" x14ac:dyDescent="0.2">
      <c r="A3190" s="39"/>
      <c r="B3190" s="36"/>
      <c r="C3190" s="37"/>
      <c r="D3190" s="37"/>
      <c r="E3190" s="37"/>
      <c r="F3190" s="37"/>
      <c r="G3190" s="37"/>
      <c r="H3190" s="37"/>
      <c r="I3190" s="35"/>
      <c r="J3190" s="37"/>
    </row>
    <row r="3191" spans="1:10" ht="15.95" customHeight="1" x14ac:dyDescent="0.2">
      <c r="A3191" s="39"/>
      <c r="B3191" s="36"/>
      <c r="C3191" s="37"/>
      <c r="D3191" s="37"/>
      <c r="E3191" s="37"/>
      <c r="F3191" s="37"/>
      <c r="G3191" s="37"/>
      <c r="H3191" s="37"/>
      <c r="I3191" s="35"/>
      <c r="J3191" s="37"/>
    </row>
    <row r="3192" spans="1:10" ht="15.95" customHeight="1" x14ac:dyDescent="0.2">
      <c r="A3192" s="39"/>
      <c r="B3192" s="36"/>
      <c r="C3192" s="37"/>
      <c r="D3192" s="37"/>
      <c r="E3192" s="37"/>
      <c r="F3192" s="37"/>
      <c r="G3192" s="37"/>
      <c r="H3192" s="37"/>
      <c r="I3192" s="35"/>
      <c r="J3192" s="37"/>
    </row>
    <row r="3193" spans="1:10" ht="15.95" customHeight="1" x14ac:dyDescent="0.2">
      <c r="A3193" s="39"/>
      <c r="B3193" s="36"/>
      <c r="C3193" s="37"/>
      <c r="D3193" s="37"/>
      <c r="E3193" s="37"/>
      <c r="F3193" s="37"/>
      <c r="G3193" s="37"/>
      <c r="H3193" s="37"/>
      <c r="I3193" s="35"/>
      <c r="J3193" s="37"/>
    </row>
    <row r="3194" spans="1:10" ht="15.95" customHeight="1" x14ac:dyDescent="0.2">
      <c r="A3194" s="39"/>
      <c r="B3194" s="36"/>
      <c r="C3194" s="37"/>
      <c r="D3194" s="37"/>
      <c r="E3194" s="37"/>
      <c r="F3194" s="37"/>
      <c r="G3194" s="37"/>
      <c r="H3194" s="37"/>
      <c r="I3194" s="35"/>
      <c r="J3194" s="37"/>
    </row>
    <row r="3195" spans="1:10" ht="15.95" customHeight="1" x14ac:dyDescent="0.2">
      <c r="A3195" s="39"/>
      <c r="B3195" s="36"/>
      <c r="C3195" s="37"/>
      <c r="D3195" s="37"/>
      <c r="E3195" s="37"/>
      <c r="F3195" s="37"/>
      <c r="G3195" s="37"/>
      <c r="H3195" s="37"/>
      <c r="I3195" s="35"/>
      <c r="J3195" s="37"/>
    </row>
    <row r="3196" spans="1:10" ht="15.95" customHeight="1" x14ac:dyDescent="0.2">
      <c r="A3196" s="39"/>
      <c r="B3196" s="36"/>
      <c r="C3196" s="37"/>
      <c r="D3196" s="37"/>
      <c r="E3196" s="37"/>
      <c r="F3196" s="37"/>
      <c r="G3196" s="37"/>
      <c r="H3196" s="37"/>
      <c r="I3196" s="35"/>
      <c r="J3196" s="37"/>
    </row>
    <row r="3197" spans="1:10" ht="15.95" customHeight="1" x14ac:dyDescent="0.2">
      <c r="A3197" s="39"/>
      <c r="B3197" s="36"/>
      <c r="C3197" s="37"/>
      <c r="D3197" s="37"/>
      <c r="E3197" s="37"/>
      <c r="F3197" s="37"/>
      <c r="G3197" s="37"/>
      <c r="H3197" s="37"/>
      <c r="I3197" s="35"/>
      <c r="J3197" s="37"/>
    </row>
    <row r="3198" spans="1:10" ht="15.95" customHeight="1" x14ac:dyDescent="0.2">
      <c r="A3198" s="39"/>
      <c r="B3198" s="36"/>
      <c r="C3198" s="37"/>
      <c r="D3198" s="37"/>
      <c r="E3198" s="37"/>
      <c r="F3198" s="37"/>
      <c r="G3198" s="37"/>
      <c r="H3198" s="37"/>
      <c r="I3198" s="35"/>
      <c r="J3198" s="37"/>
    </row>
    <row r="3199" spans="1:10" ht="15.95" customHeight="1" x14ac:dyDescent="0.2">
      <c r="A3199" s="39"/>
      <c r="B3199" s="36"/>
      <c r="C3199" s="37"/>
      <c r="D3199" s="37"/>
      <c r="E3199" s="37"/>
      <c r="F3199" s="37"/>
      <c r="G3199" s="37"/>
      <c r="H3199" s="37"/>
      <c r="I3199" s="35"/>
      <c r="J3199" s="37"/>
    </row>
    <row r="3200" spans="1:10" ht="15.95" customHeight="1" x14ac:dyDescent="0.2">
      <c r="A3200" s="39"/>
      <c r="B3200" s="36"/>
      <c r="C3200" s="37"/>
      <c r="D3200" s="37"/>
      <c r="E3200" s="37"/>
      <c r="F3200" s="37"/>
      <c r="G3200" s="37"/>
      <c r="H3200" s="37"/>
      <c r="I3200" s="35"/>
      <c r="J3200" s="37"/>
    </row>
    <row r="3201" spans="1:10" ht="15.95" customHeight="1" x14ac:dyDescent="0.2">
      <c r="A3201" s="39"/>
      <c r="B3201" s="36"/>
      <c r="C3201" s="37"/>
      <c r="D3201" s="37"/>
      <c r="E3201" s="37"/>
      <c r="F3201" s="37"/>
      <c r="G3201" s="37"/>
      <c r="H3201" s="37"/>
      <c r="I3201" s="35"/>
      <c r="J3201" s="37"/>
    </row>
    <row r="3202" spans="1:10" ht="15.95" customHeight="1" x14ac:dyDescent="0.2">
      <c r="A3202" s="39"/>
      <c r="B3202" s="36"/>
      <c r="C3202" s="37"/>
      <c r="D3202" s="37"/>
      <c r="E3202" s="37"/>
      <c r="F3202" s="37"/>
      <c r="G3202" s="37"/>
      <c r="H3202" s="37"/>
      <c r="I3202" s="35"/>
      <c r="J3202" s="37"/>
    </row>
    <row r="3203" spans="1:10" ht="15.95" customHeight="1" x14ac:dyDescent="0.2">
      <c r="A3203" s="39"/>
      <c r="B3203" s="36"/>
      <c r="C3203" s="37"/>
      <c r="D3203" s="37"/>
      <c r="E3203" s="37"/>
      <c r="F3203" s="37"/>
      <c r="G3203" s="37"/>
      <c r="H3203" s="37"/>
      <c r="I3203" s="35"/>
      <c r="J3203" s="37"/>
    </row>
    <row r="3204" spans="1:10" ht="15.95" customHeight="1" x14ac:dyDescent="0.2">
      <c r="A3204" s="39"/>
      <c r="B3204" s="36"/>
      <c r="C3204" s="37"/>
      <c r="D3204" s="37"/>
      <c r="E3204" s="37"/>
      <c r="F3204" s="37"/>
      <c r="G3204" s="37"/>
      <c r="H3204" s="37"/>
      <c r="I3204" s="35"/>
      <c r="J3204" s="37"/>
    </row>
    <row r="3205" spans="1:10" ht="15.95" customHeight="1" x14ac:dyDescent="0.2">
      <c r="A3205" s="39"/>
      <c r="B3205" s="36"/>
      <c r="C3205" s="37"/>
      <c r="D3205" s="37"/>
      <c r="E3205" s="37"/>
      <c r="F3205" s="37"/>
      <c r="G3205" s="37"/>
      <c r="H3205" s="37"/>
      <c r="I3205" s="35"/>
      <c r="J3205" s="37"/>
    </row>
    <row r="3206" spans="1:10" ht="15.95" customHeight="1" x14ac:dyDescent="0.2">
      <c r="A3206" s="39"/>
      <c r="B3206" s="36"/>
      <c r="C3206" s="37"/>
      <c r="D3206" s="37"/>
      <c r="E3206" s="37"/>
      <c r="F3206" s="37"/>
      <c r="G3206" s="37"/>
      <c r="H3206" s="37"/>
      <c r="I3206" s="35"/>
      <c r="J3206" s="37"/>
    </row>
    <row r="3207" spans="1:10" ht="15.95" customHeight="1" x14ac:dyDescent="0.2">
      <c r="A3207" s="39"/>
      <c r="B3207" s="36"/>
      <c r="C3207" s="37"/>
      <c r="D3207" s="37"/>
      <c r="E3207" s="37"/>
      <c r="F3207" s="37"/>
      <c r="G3207" s="37"/>
      <c r="H3207" s="37"/>
      <c r="I3207" s="35"/>
      <c r="J3207" s="37"/>
    </row>
    <row r="3208" spans="1:10" ht="15.95" customHeight="1" x14ac:dyDescent="0.2">
      <c r="A3208" s="39"/>
      <c r="B3208" s="36"/>
      <c r="C3208" s="37"/>
      <c r="D3208" s="37"/>
      <c r="E3208" s="37"/>
      <c r="F3208" s="37"/>
      <c r="G3208" s="37"/>
      <c r="H3208" s="37"/>
      <c r="I3208" s="35"/>
      <c r="J3208" s="37"/>
    </row>
    <row r="3209" spans="1:10" ht="15.95" customHeight="1" x14ac:dyDescent="0.2">
      <c r="A3209" s="39"/>
      <c r="B3209" s="36"/>
      <c r="C3209" s="37"/>
      <c r="D3209" s="37"/>
      <c r="E3209" s="37"/>
      <c r="F3209" s="37"/>
      <c r="G3209" s="37"/>
      <c r="H3209" s="37"/>
      <c r="I3209" s="35"/>
      <c r="J3209" s="37"/>
    </row>
    <row r="3210" spans="1:10" ht="15.95" customHeight="1" x14ac:dyDescent="0.2">
      <c r="A3210" s="39"/>
      <c r="B3210" s="36"/>
      <c r="C3210" s="37"/>
      <c r="D3210" s="37"/>
      <c r="E3210" s="37"/>
      <c r="F3210" s="37"/>
      <c r="G3210" s="37"/>
      <c r="H3210" s="37"/>
      <c r="I3210" s="35"/>
      <c r="J3210" s="37"/>
    </row>
    <row r="3211" spans="1:10" ht="15.95" customHeight="1" x14ac:dyDescent="0.2">
      <c r="A3211" s="39"/>
      <c r="B3211" s="36"/>
      <c r="C3211" s="37"/>
      <c r="D3211" s="37"/>
      <c r="E3211" s="37"/>
      <c r="F3211" s="37"/>
      <c r="G3211" s="37"/>
      <c r="H3211" s="37"/>
      <c r="I3211" s="35"/>
      <c r="J3211" s="37"/>
    </row>
    <row r="3212" spans="1:10" ht="15.95" customHeight="1" x14ac:dyDescent="0.2">
      <c r="A3212" s="39"/>
      <c r="B3212" s="36"/>
      <c r="C3212" s="37"/>
      <c r="D3212" s="37"/>
      <c r="E3212" s="37"/>
      <c r="F3212" s="37"/>
      <c r="G3212" s="37"/>
      <c r="H3212" s="37"/>
      <c r="I3212" s="35"/>
      <c r="J3212" s="37"/>
    </row>
    <row r="3213" spans="1:10" ht="15.95" customHeight="1" x14ac:dyDescent="0.2">
      <c r="A3213" s="39"/>
      <c r="B3213" s="36"/>
      <c r="C3213" s="37"/>
      <c r="D3213" s="37"/>
      <c r="E3213" s="37"/>
      <c r="F3213" s="37"/>
      <c r="G3213" s="37"/>
      <c r="H3213" s="37"/>
      <c r="I3213" s="35"/>
      <c r="J3213" s="37"/>
    </row>
    <row r="3214" spans="1:10" ht="15.95" customHeight="1" x14ac:dyDescent="0.2">
      <c r="A3214" s="39"/>
      <c r="B3214" s="36"/>
      <c r="C3214" s="37"/>
      <c r="D3214" s="37"/>
      <c r="E3214" s="37"/>
      <c r="F3214" s="37"/>
      <c r="G3214" s="37"/>
      <c r="H3214" s="37"/>
      <c r="I3214" s="35"/>
      <c r="J3214" s="37"/>
    </row>
    <row r="3215" spans="1:10" ht="15.95" customHeight="1" x14ac:dyDescent="0.2">
      <c r="A3215" s="39"/>
      <c r="B3215" s="36"/>
      <c r="C3215" s="37"/>
      <c r="D3215" s="37"/>
      <c r="E3215" s="37"/>
      <c r="F3215" s="37"/>
      <c r="G3215" s="37"/>
      <c r="H3215" s="37"/>
      <c r="I3215" s="35"/>
      <c r="J3215" s="37"/>
    </row>
    <row r="3216" spans="1:10" ht="15.95" customHeight="1" x14ac:dyDescent="0.2">
      <c r="A3216" s="39"/>
      <c r="B3216" s="36"/>
      <c r="C3216" s="37"/>
      <c r="D3216" s="37"/>
      <c r="E3216" s="37"/>
      <c r="F3216" s="37"/>
      <c r="G3216" s="37"/>
      <c r="H3216" s="37"/>
      <c r="I3216" s="35"/>
      <c r="J3216" s="37"/>
    </row>
    <row r="3217" spans="1:10" ht="15.95" customHeight="1" x14ac:dyDescent="0.2">
      <c r="A3217" s="39"/>
      <c r="B3217" s="36"/>
      <c r="C3217" s="37"/>
      <c r="D3217" s="37"/>
      <c r="E3217" s="37"/>
      <c r="F3217" s="37"/>
      <c r="G3217" s="37"/>
      <c r="H3217" s="37"/>
      <c r="I3217" s="35"/>
      <c r="J3217" s="37"/>
    </row>
    <row r="3218" spans="1:10" ht="15.95" customHeight="1" x14ac:dyDescent="0.2">
      <c r="A3218" s="39"/>
      <c r="B3218" s="36"/>
      <c r="C3218" s="37"/>
      <c r="D3218" s="37"/>
      <c r="E3218" s="37"/>
      <c r="F3218" s="37"/>
      <c r="G3218" s="37"/>
      <c r="H3218" s="37"/>
      <c r="I3218" s="35"/>
      <c r="J3218" s="37"/>
    </row>
    <row r="3219" spans="1:10" ht="15.95" customHeight="1" x14ac:dyDescent="0.2">
      <c r="A3219" s="39"/>
      <c r="B3219" s="36"/>
      <c r="C3219" s="37"/>
      <c r="D3219" s="37"/>
      <c r="E3219" s="37"/>
      <c r="F3219" s="37"/>
      <c r="G3219" s="37"/>
      <c r="H3219" s="37"/>
      <c r="I3219" s="35"/>
      <c r="J3219" s="37"/>
    </row>
    <row r="3220" spans="1:10" ht="15.95" customHeight="1" x14ac:dyDescent="0.2">
      <c r="A3220" s="39"/>
      <c r="B3220" s="36"/>
      <c r="C3220" s="37"/>
      <c r="D3220" s="37"/>
      <c r="E3220" s="37"/>
      <c r="F3220" s="37"/>
      <c r="G3220" s="37"/>
      <c r="H3220" s="37"/>
      <c r="I3220" s="35"/>
      <c r="J3220" s="37"/>
    </row>
    <row r="3221" spans="1:10" ht="15.95" customHeight="1" x14ac:dyDescent="0.2">
      <c r="A3221" s="39"/>
      <c r="B3221" s="36"/>
      <c r="C3221" s="37"/>
      <c r="D3221" s="37"/>
      <c r="E3221" s="37"/>
      <c r="F3221" s="37"/>
      <c r="G3221" s="37"/>
      <c r="H3221" s="37"/>
      <c r="I3221" s="35"/>
      <c r="J3221" s="37"/>
    </row>
    <row r="3222" spans="1:10" ht="15.95" customHeight="1" x14ac:dyDescent="0.2">
      <c r="A3222" s="39"/>
      <c r="B3222" s="36"/>
      <c r="C3222" s="37"/>
      <c r="D3222" s="37"/>
      <c r="E3222" s="37"/>
      <c r="F3222" s="37"/>
      <c r="G3222" s="37"/>
      <c r="H3222" s="37"/>
      <c r="I3222" s="35"/>
      <c r="J3222" s="37"/>
    </row>
    <row r="3223" spans="1:10" ht="15.95" customHeight="1" x14ac:dyDescent="0.2">
      <c r="A3223" s="39"/>
      <c r="B3223" s="36"/>
      <c r="C3223" s="37"/>
      <c r="D3223" s="37"/>
      <c r="E3223" s="37"/>
      <c r="F3223" s="37"/>
      <c r="G3223" s="37"/>
      <c r="H3223" s="37"/>
      <c r="I3223" s="35"/>
      <c r="J3223" s="37"/>
    </row>
    <row r="3224" spans="1:10" ht="15.95" customHeight="1" x14ac:dyDescent="0.2">
      <c r="A3224" s="39"/>
      <c r="B3224" s="36"/>
      <c r="C3224" s="37"/>
      <c r="D3224" s="37"/>
      <c r="E3224" s="37"/>
      <c r="F3224" s="37"/>
      <c r="G3224" s="37"/>
      <c r="H3224" s="37"/>
      <c r="I3224" s="35"/>
      <c r="J3224" s="37"/>
    </row>
    <row r="3225" spans="1:10" ht="15.95" customHeight="1" x14ac:dyDescent="0.2">
      <c r="A3225" s="39"/>
      <c r="B3225" s="36"/>
      <c r="C3225" s="37"/>
      <c r="D3225" s="37"/>
      <c r="E3225" s="37"/>
      <c r="F3225" s="37"/>
      <c r="G3225" s="37"/>
      <c r="H3225" s="37"/>
      <c r="I3225" s="35"/>
      <c r="J3225" s="37"/>
    </row>
    <row r="3226" spans="1:10" ht="15.95" customHeight="1" x14ac:dyDescent="0.2">
      <c r="A3226" s="39"/>
      <c r="B3226" s="36"/>
      <c r="C3226" s="37"/>
      <c r="D3226" s="37"/>
      <c r="E3226" s="37"/>
      <c r="F3226" s="37"/>
      <c r="G3226" s="37"/>
      <c r="H3226" s="37"/>
      <c r="I3226" s="35"/>
      <c r="J3226" s="37"/>
    </row>
    <row r="3227" spans="1:10" ht="15.95" customHeight="1" x14ac:dyDescent="0.2">
      <c r="A3227" s="39"/>
      <c r="B3227" s="36"/>
      <c r="C3227" s="37"/>
      <c r="D3227" s="37"/>
      <c r="E3227" s="37"/>
      <c r="F3227" s="37"/>
      <c r="G3227" s="37"/>
      <c r="H3227" s="37"/>
      <c r="I3227" s="35"/>
      <c r="J3227" s="37"/>
    </row>
    <row r="3228" spans="1:10" ht="15.95" customHeight="1" x14ac:dyDescent="0.2">
      <c r="A3228" s="39"/>
      <c r="B3228" s="36"/>
      <c r="C3228" s="37"/>
      <c r="D3228" s="37"/>
      <c r="E3228" s="37"/>
      <c r="F3228" s="37"/>
      <c r="G3228" s="37"/>
      <c r="H3228" s="37"/>
      <c r="I3228" s="35"/>
      <c r="J3228" s="37"/>
    </row>
    <row r="3229" spans="1:10" ht="15.95" customHeight="1" x14ac:dyDescent="0.2">
      <c r="A3229" s="39"/>
      <c r="B3229" s="36"/>
      <c r="C3229" s="37"/>
      <c r="D3229" s="37"/>
      <c r="E3229" s="37"/>
      <c r="F3229" s="37"/>
      <c r="G3229" s="37"/>
      <c r="H3229" s="37"/>
      <c r="I3229" s="35"/>
      <c r="J3229" s="37"/>
    </row>
    <row r="3230" spans="1:10" ht="15.95" customHeight="1" x14ac:dyDescent="0.2">
      <c r="A3230" s="39"/>
      <c r="B3230" s="36"/>
      <c r="C3230" s="37"/>
      <c r="D3230" s="37"/>
      <c r="E3230" s="37"/>
      <c r="F3230" s="37"/>
      <c r="G3230" s="37"/>
      <c r="H3230" s="37"/>
      <c r="I3230" s="35"/>
      <c r="J3230" s="37"/>
    </row>
    <row r="3231" spans="1:10" ht="15.95" customHeight="1" x14ac:dyDescent="0.2">
      <c r="A3231" s="39"/>
      <c r="B3231" s="36"/>
      <c r="C3231" s="37"/>
      <c r="D3231" s="37"/>
      <c r="E3231" s="37"/>
      <c r="F3231" s="37"/>
      <c r="G3231" s="37"/>
      <c r="H3231" s="37"/>
      <c r="I3231" s="35"/>
      <c r="J3231" s="37"/>
    </row>
    <row r="3232" spans="1:10" ht="15.95" customHeight="1" x14ac:dyDescent="0.2">
      <c r="A3232" s="39"/>
      <c r="B3232" s="36"/>
      <c r="C3232" s="37"/>
      <c r="D3232" s="37"/>
      <c r="E3232" s="37"/>
      <c r="F3232" s="37"/>
      <c r="G3232" s="37"/>
      <c r="H3232" s="37"/>
      <c r="I3232" s="35"/>
      <c r="J3232" s="37"/>
    </row>
    <row r="3233" spans="1:10" ht="15.95" customHeight="1" x14ac:dyDescent="0.2">
      <c r="A3233" s="39"/>
      <c r="B3233" s="36"/>
      <c r="C3233" s="37"/>
      <c r="D3233" s="37"/>
      <c r="E3233" s="37"/>
      <c r="F3233" s="37"/>
      <c r="G3233" s="37"/>
      <c r="H3233" s="37"/>
      <c r="I3233" s="35"/>
      <c r="J3233" s="37"/>
    </row>
    <row r="3234" spans="1:10" ht="15.95" customHeight="1" x14ac:dyDescent="0.2">
      <c r="A3234" s="39"/>
      <c r="B3234" s="36"/>
      <c r="C3234" s="37"/>
      <c r="D3234" s="37"/>
      <c r="E3234" s="37"/>
      <c r="F3234" s="37"/>
      <c r="G3234" s="37"/>
      <c r="H3234" s="37"/>
      <c r="I3234" s="35"/>
      <c r="J3234" s="37"/>
    </row>
    <row r="3235" spans="1:10" ht="15.95" customHeight="1" x14ac:dyDescent="0.2">
      <c r="A3235" s="39"/>
      <c r="B3235" s="36"/>
      <c r="C3235" s="37"/>
      <c r="D3235" s="37"/>
      <c r="E3235" s="37"/>
      <c r="F3235" s="37"/>
      <c r="G3235" s="37"/>
      <c r="H3235" s="37"/>
      <c r="I3235" s="35"/>
      <c r="J3235" s="37"/>
    </row>
    <row r="3236" spans="1:10" ht="15.95" customHeight="1" x14ac:dyDescent="0.2">
      <c r="A3236" s="39"/>
      <c r="B3236" s="36"/>
      <c r="C3236" s="37"/>
      <c r="D3236" s="37"/>
      <c r="E3236" s="37"/>
      <c r="F3236" s="37"/>
      <c r="G3236" s="37"/>
      <c r="H3236" s="37"/>
      <c r="I3236" s="35"/>
      <c r="J3236" s="37"/>
    </row>
    <row r="3237" spans="1:10" ht="15.95" customHeight="1" x14ac:dyDescent="0.2">
      <c r="A3237" s="39"/>
      <c r="B3237" s="36"/>
      <c r="C3237" s="37"/>
      <c r="D3237" s="37"/>
      <c r="E3237" s="37"/>
      <c r="F3237" s="37"/>
      <c r="G3237" s="37"/>
      <c r="H3237" s="37"/>
      <c r="I3237" s="35"/>
      <c r="J3237" s="37"/>
    </row>
    <row r="3238" spans="1:10" ht="15.95" customHeight="1" x14ac:dyDescent="0.2">
      <c r="A3238" s="39"/>
      <c r="B3238" s="36"/>
      <c r="C3238" s="37"/>
      <c r="D3238" s="37"/>
      <c r="E3238" s="37"/>
      <c r="F3238" s="37"/>
      <c r="G3238" s="37"/>
      <c r="H3238" s="37"/>
      <c r="I3238" s="35"/>
      <c r="J3238" s="37"/>
    </row>
    <row r="3239" spans="1:10" ht="15.95" customHeight="1" x14ac:dyDescent="0.2">
      <c r="A3239" s="39"/>
      <c r="B3239" s="36"/>
      <c r="C3239" s="37"/>
      <c r="D3239" s="37"/>
      <c r="E3239" s="37"/>
      <c r="F3239" s="37"/>
      <c r="G3239" s="37"/>
      <c r="H3239" s="37"/>
      <c r="I3239" s="35"/>
      <c r="J3239" s="37"/>
    </row>
    <row r="3240" spans="1:10" ht="15.95" customHeight="1" x14ac:dyDescent="0.2">
      <c r="A3240" s="39"/>
      <c r="B3240" s="36"/>
      <c r="C3240" s="37"/>
      <c r="D3240" s="37"/>
      <c r="E3240" s="37"/>
      <c r="F3240" s="37"/>
      <c r="G3240" s="37"/>
      <c r="H3240" s="37"/>
      <c r="I3240" s="35"/>
      <c r="J3240" s="37"/>
    </row>
    <row r="3241" spans="1:10" ht="15.95" customHeight="1" x14ac:dyDescent="0.2">
      <c r="A3241" s="39"/>
      <c r="B3241" s="36"/>
      <c r="C3241" s="37"/>
      <c r="D3241" s="37"/>
      <c r="E3241" s="37"/>
      <c r="F3241" s="37"/>
      <c r="G3241" s="37"/>
      <c r="H3241" s="37"/>
      <c r="I3241" s="35"/>
      <c r="J3241" s="37"/>
    </row>
    <row r="3242" spans="1:10" ht="15.95" customHeight="1" x14ac:dyDescent="0.2">
      <c r="A3242" s="39"/>
      <c r="B3242" s="36"/>
      <c r="C3242" s="37"/>
      <c r="D3242" s="37"/>
      <c r="E3242" s="37"/>
      <c r="F3242" s="37"/>
      <c r="G3242" s="37"/>
      <c r="H3242" s="37"/>
      <c r="I3242" s="35"/>
      <c r="J3242" s="37"/>
    </row>
    <row r="3243" spans="1:10" ht="15.95" customHeight="1" x14ac:dyDescent="0.2">
      <c r="A3243" s="39"/>
      <c r="B3243" s="36"/>
      <c r="C3243" s="37"/>
      <c r="D3243" s="37"/>
      <c r="E3243" s="37"/>
      <c r="F3243" s="37"/>
      <c r="G3243" s="37"/>
      <c r="H3243" s="37"/>
      <c r="I3243" s="35"/>
      <c r="J3243" s="37"/>
    </row>
    <row r="3244" spans="1:10" ht="15.95" customHeight="1" x14ac:dyDescent="0.2">
      <c r="A3244" s="39"/>
      <c r="B3244" s="36"/>
      <c r="C3244" s="37"/>
      <c r="D3244" s="37"/>
      <c r="E3244" s="37"/>
      <c r="F3244" s="37"/>
      <c r="G3244" s="37"/>
      <c r="H3244" s="37"/>
      <c r="I3244" s="35"/>
      <c r="J3244" s="37"/>
    </row>
    <row r="3245" spans="1:10" ht="15.95" customHeight="1" x14ac:dyDescent="0.2">
      <c r="A3245" s="39"/>
      <c r="B3245" s="36"/>
      <c r="C3245" s="37"/>
      <c r="D3245" s="37"/>
      <c r="E3245" s="37"/>
      <c r="F3245" s="37"/>
      <c r="G3245" s="37"/>
      <c r="H3245" s="37"/>
      <c r="I3245" s="35"/>
      <c r="J3245" s="37"/>
    </row>
    <row r="3246" spans="1:10" ht="15.95" customHeight="1" x14ac:dyDescent="0.2">
      <c r="A3246" s="39"/>
      <c r="B3246" s="36"/>
      <c r="C3246" s="37"/>
      <c r="D3246" s="37"/>
      <c r="E3246" s="37"/>
      <c r="F3246" s="37"/>
      <c r="G3246" s="37"/>
      <c r="H3246" s="37"/>
      <c r="I3246" s="35"/>
      <c r="J3246" s="37"/>
    </row>
    <row r="3247" spans="1:10" ht="15.95" customHeight="1" x14ac:dyDescent="0.2">
      <c r="A3247" s="39"/>
      <c r="B3247" s="36"/>
      <c r="C3247" s="37"/>
      <c r="D3247" s="37"/>
      <c r="E3247" s="37"/>
      <c r="F3247" s="37"/>
      <c r="G3247" s="37"/>
      <c r="H3247" s="37"/>
      <c r="I3247" s="35"/>
      <c r="J3247" s="37"/>
    </row>
    <row r="3248" spans="1:10" ht="15.95" customHeight="1" x14ac:dyDescent="0.2">
      <c r="A3248" s="39"/>
      <c r="B3248" s="36"/>
      <c r="C3248" s="37"/>
      <c r="D3248" s="37"/>
      <c r="E3248" s="37"/>
      <c r="F3248" s="37"/>
      <c r="G3248" s="37"/>
      <c r="H3248" s="37"/>
      <c r="I3248" s="35"/>
      <c r="J3248" s="37"/>
    </row>
    <row r="3249" spans="1:10" ht="15.95" customHeight="1" x14ac:dyDescent="0.2">
      <c r="A3249" s="39"/>
      <c r="B3249" s="36"/>
      <c r="C3249" s="37"/>
      <c r="D3249" s="37"/>
      <c r="E3249" s="37"/>
      <c r="F3249" s="37"/>
      <c r="G3249" s="37"/>
      <c r="H3249" s="37"/>
      <c r="I3249" s="35"/>
      <c r="J3249" s="37"/>
    </row>
    <row r="3250" spans="1:10" ht="15.95" customHeight="1" x14ac:dyDescent="0.2">
      <c r="A3250" s="39"/>
      <c r="B3250" s="36"/>
      <c r="C3250" s="37"/>
      <c r="D3250" s="37"/>
      <c r="E3250" s="37"/>
      <c r="F3250" s="37"/>
      <c r="G3250" s="37"/>
      <c r="H3250" s="37"/>
      <c r="I3250" s="35"/>
      <c r="J3250" s="37"/>
    </row>
    <row r="3251" spans="1:10" ht="15.95" customHeight="1" x14ac:dyDescent="0.2">
      <c r="A3251" s="39"/>
      <c r="B3251" s="36"/>
      <c r="C3251" s="37"/>
      <c r="D3251" s="37"/>
      <c r="E3251" s="37"/>
      <c r="F3251" s="37"/>
      <c r="G3251" s="37"/>
      <c r="H3251" s="37"/>
      <c r="I3251" s="35"/>
      <c r="J3251" s="37"/>
    </row>
    <row r="3252" spans="1:10" ht="15.95" customHeight="1" x14ac:dyDescent="0.2">
      <c r="A3252" s="39"/>
      <c r="B3252" s="36"/>
      <c r="C3252" s="37"/>
      <c r="D3252" s="37"/>
      <c r="E3252" s="37"/>
      <c r="F3252" s="37"/>
      <c r="G3252" s="37"/>
      <c r="H3252" s="37"/>
      <c r="I3252" s="35"/>
      <c r="J3252" s="37"/>
    </row>
    <row r="3253" spans="1:10" ht="15.95" customHeight="1" x14ac:dyDescent="0.2">
      <c r="A3253" s="39"/>
      <c r="B3253" s="36"/>
      <c r="C3253" s="37"/>
      <c r="D3253" s="37"/>
      <c r="E3253" s="37"/>
      <c r="F3253" s="37"/>
      <c r="G3253" s="37"/>
      <c r="H3253" s="37"/>
      <c r="I3253" s="35"/>
      <c r="J3253" s="37"/>
    </row>
    <row r="3254" spans="1:10" ht="15.95" customHeight="1" x14ac:dyDescent="0.2">
      <c r="A3254" s="39"/>
      <c r="B3254" s="36"/>
      <c r="C3254" s="37"/>
      <c r="D3254" s="37"/>
      <c r="E3254" s="37"/>
      <c r="F3254" s="37"/>
      <c r="G3254" s="37"/>
      <c r="H3254" s="37"/>
      <c r="I3254" s="35"/>
      <c r="J3254" s="37"/>
    </row>
    <row r="3255" spans="1:10" ht="15.95" customHeight="1" x14ac:dyDescent="0.2">
      <c r="A3255" s="39"/>
      <c r="B3255" s="36"/>
      <c r="C3255" s="37"/>
      <c r="D3255" s="37"/>
      <c r="E3255" s="37"/>
      <c r="F3255" s="37"/>
      <c r="G3255" s="37"/>
      <c r="H3255" s="37"/>
      <c r="I3255" s="35"/>
      <c r="J3255" s="37"/>
    </row>
    <row r="3256" spans="1:10" ht="15.95" customHeight="1" x14ac:dyDescent="0.2">
      <c r="A3256" s="39"/>
      <c r="B3256" s="36"/>
      <c r="C3256" s="37"/>
      <c r="D3256" s="37"/>
      <c r="E3256" s="37"/>
      <c r="F3256" s="37"/>
      <c r="G3256" s="37"/>
      <c r="H3256" s="37"/>
      <c r="I3256" s="35"/>
      <c r="J3256" s="37"/>
    </row>
    <row r="3257" spans="1:10" ht="15.95" customHeight="1" x14ac:dyDescent="0.2">
      <c r="A3257" s="39"/>
      <c r="B3257" s="36"/>
      <c r="C3257" s="37"/>
      <c r="D3257" s="37"/>
      <c r="E3257" s="37"/>
      <c r="F3257" s="37"/>
      <c r="G3257" s="37"/>
      <c r="H3257" s="37"/>
      <c r="I3257" s="35"/>
      <c r="J3257" s="37"/>
    </row>
    <row r="3258" spans="1:10" ht="15.95" customHeight="1" x14ac:dyDescent="0.2">
      <c r="A3258" s="39"/>
      <c r="B3258" s="36"/>
      <c r="C3258" s="37"/>
      <c r="D3258" s="37"/>
      <c r="E3258" s="37"/>
      <c r="F3258" s="37"/>
      <c r="G3258" s="37"/>
      <c r="H3258" s="37"/>
      <c r="I3258" s="35"/>
      <c r="J3258" s="37"/>
    </row>
    <row r="3259" spans="1:10" ht="15.95" customHeight="1" x14ac:dyDescent="0.2">
      <c r="A3259" s="39"/>
      <c r="B3259" s="36"/>
      <c r="C3259" s="37"/>
      <c r="D3259" s="37"/>
      <c r="E3259" s="37"/>
      <c r="F3259" s="37"/>
      <c r="G3259" s="37"/>
      <c r="H3259" s="37"/>
      <c r="I3259" s="35"/>
      <c r="J3259" s="37"/>
    </row>
    <row r="3260" spans="1:10" ht="15.95" customHeight="1" x14ac:dyDescent="0.2">
      <c r="A3260" s="39"/>
      <c r="B3260" s="36"/>
      <c r="C3260" s="37"/>
      <c r="D3260" s="37"/>
      <c r="E3260" s="37"/>
      <c r="F3260" s="37"/>
      <c r="G3260" s="37"/>
      <c r="H3260" s="37"/>
      <c r="I3260" s="35"/>
      <c r="J3260" s="37"/>
    </row>
    <row r="3261" spans="1:10" ht="15.95" customHeight="1" x14ac:dyDescent="0.2">
      <c r="A3261" s="39"/>
      <c r="B3261" s="36"/>
      <c r="C3261" s="37"/>
      <c r="D3261" s="37"/>
      <c r="E3261" s="37"/>
      <c r="F3261" s="37"/>
      <c r="G3261" s="37"/>
      <c r="H3261" s="37"/>
      <c r="I3261" s="35"/>
      <c r="J3261" s="37"/>
    </row>
    <row r="3262" spans="1:10" ht="15.95" customHeight="1" x14ac:dyDescent="0.2">
      <c r="A3262" s="39"/>
      <c r="B3262" s="36"/>
      <c r="C3262" s="37"/>
      <c r="D3262" s="37"/>
      <c r="E3262" s="37"/>
      <c r="F3262" s="37"/>
      <c r="G3262" s="37"/>
      <c r="H3262" s="37"/>
      <c r="I3262" s="35"/>
      <c r="J3262" s="37"/>
    </row>
    <row r="3263" spans="1:10" ht="15.95" customHeight="1" x14ac:dyDescent="0.2">
      <c r="A3263" s="39"/>
      <c r="B3263" s="36"/>
      <c r="C3263" s="37"/>
      <c r="D3263" s="37"/>
      <c r="E3263" s="37"/>
      <c r="F3263" s="37"/>
      <c r="G3263" s="37"/>
      <c r="H3263" s="37"/>
      <c r="I3263" s="35"/>
      <c r="J3263" s="37"/>
    </row>
    <row r="3264" spans="1:10" ht="15.95" customHeight="1" x14ac:dyDescent="0.2">
      <c r="A3264" s="39"/>
      <c r="B3264" s="36"/>
      <c r="C3264" s="37"/>
      <c r="D3264" s="37"/>
      <c r="E3264" s="37"/>
      <c r="F3264" s="37"/>
      <c r="G3264" s="37"/>
      <c r="H3264" s="37"/>
      <c r="I3264" s="35"/>
      <c r="J3264" s="37"/>
    </row>
    <row r="3265" spans="1:10" ht="15.95" customHeight="1" x14ac:dyDescent="0.2">
      <c r="A3265" s="39"/>
      <c r="B3265" s="36"/>
      <c r="C3265" s="37"/>
      <c r="D3265" s="37"/>
      <c r="E3265" s="37"/>
      <c r="F3265" s="37"/>
      <c r="G3265" s="37"/>
      <c r="H3265" s="37"/>
      <c r="I3265" s="35"/>
      <c r="J3265" s="37"/>
    </row>
    <row r="3266" spans="1:10" ht="15.95" customHeight="1" x14ac:dyDescent="0.2">
      <c r="A3266" s="39"/>
      <c r="B3266" s="36"/>
      <c r="C3266" s="37"/>
      <c r="D3266" s="37"/>
      <c r="E3266" s="37"/>
      <c r="F3266" s="37"/>
      <c r="G3266" s="37"/>
      <c r="H3266" s="37"/>
      <c r="I3266" s="35"/>
      <c r="J3266" s="37"/>
    </row>
    <row r="3267" spans="1:10" ht="15.95" customHeight="1" x14ac:dyDescent="0.2">
      <c r="A3267" s="39"/>
      <c r="B3267" s="36"/>
      <c r="C3267" s="37"/>
      <c r="D3267" s="37"/>
      <c r="E3267" s="37"/>
      <c r="F3267" s="37"/>
      <c r="G3267" s="37"/>
      <c r="H3267" s="37"/>
      <c r="I3267" s="35"/>
      <c r="J3267" s="37"/>
    </row>
    <row r="3268" spans="1:10" ht="15.95" customHeight="1" x14ac:dyDescent="0.2">
      <c r="A3268" s="39"/>
      <c r="B3268" s="36"/>
      <c r="C3268" s="37"/>
      <c r="D3268" s="37"/>
      <c r="E3268" s="37"/>
      <c r="F3268" s="37"/>
      <c r="G3268" s="37"/>
      <c r="H3268" s="37"/>
      <c r="I3268" s="35"/>
      <c r="J3268" s="37"/>
    </row>
    <row r="3269" spans="1:10" ht="15.95" customHeight="1" x14ac:dyDescent="0.2">
      <c r="A3269" s="39"/>
      <c r="B3269" s="36"/>
      <c r="C3269" s="37"/>
      <c r="D3269" s="37"/>
      <c r="E3269" s="37"/>
      <c r="F3269" s="37"/>
      <c r="G3269" s="37"/>
      <c r="H3269" s="37"/>
      <c r="I3269" s="35"/>
      <c r="J3269" s="37"/>
    </row>
    <row r="3270" spans="1:10" ht="15.95" customHeight="1" x14ac:dyDescent="0.2">
      <c r="A3270" s="39"/>
      <c r="B3270" s="36"/>
      <c r="C3270" s="37"/>
      <c r="D3270" s="37"/>
      <c r="E3270" s="37"/>
      <c r="F3270" s="37"/>
      <c r="G3270" s="37"/>
      <c r="H3270" s="37"/>
      <c r="I3270" s="35"/>
      <c r="J3270" s="37"/>
    </row>
    <row r="3271" spans="1:10" ht="15.95" customHeight="1" x14ac:dyDescent="0.2">
      <c r="A3271" s="39"/>
      <c r="B3271" s="36"/>
      <c r="C3271" s="37"/>
      <c r="D3271" s="37"/>
      <c r="E3271" s="37"/>
      <c r="F3271" s="37"/>
      <c r="G3271" s="37"/>
      <c r="H3271" s="37"/>
      <c r="I3271" s="35"/>
      <c r="J3271" s="37"/>
    </row>
    <row r="3272" spans="1:10" ht="15.95" customHeight="1" x14ac:dyDescent="0.2">
      <c r="A3272" s="39"/>
      <c r="B3272" s="36"/>
      <c r="C3272" s="37"/>
      <c r="D3272" s="37"/>
      <c r="E3272" s="37"/>
      <c r="F3272" s="37"/>
      <c r="G3272" s="37"/>
      <c r="H3272" s="37"/>
      <c r="I3272" s="35"/>
      <c r="J3272" s="37"/>
    </row>
    <row r="3273" spans="1:10" ht="15.95" customHeight="1" x14ac:dyDescent="0.2">
      <c r="A3273" s="39"/>
      <c r="B3273" s="36"/>
      <c r="C3273" s="37"/>
      <c r="D3273" s="37"/>
      <c r="E3273" s="37"/>
      <c r="F3273" s="37"/>
      <c r="G3273" s="37"/>
      <c r="H3273" s="37"/>
      <c r="I3273" s="35"/>
      <c r="J3273" s="37"/>
    </row>
    <row r="3274" spans="1:10" ht="15.95" customHeight="1" x14ac:dyDescent="0.2">
      <c r="A3274" s="39"/>
      <c r="B3274" s="36"/>
      <c r="C3274" s="37"/>
      <c r="D3274" s="37"/>
      <c r="E3274" s="37"/>
      <c r="F3274" s="37"/>
      <c r="G3274" s="37"/>
      <c r="H3274" s="37"/>
      <c r="I3274" s="35"/>
      <c r="J3274" s="37"/>
    </row>
    <row r="3275" spans="1:10" ht="15.95" customHeight="1" x14ac:dyDescent="0.2">
      <c r="A3275" s="39"/>
      <c r="B3275" s="36"/>
      <c r="C3275" s="37"/>
      <c r="D3275" s="37"/>
      <c r="E3275" s="37"/>
      <c r="F3275" s="37"/>
      <c r="G3275" s="37"/>
      <c r="H3275" s="37"/>
      <c r="I3275" s="35"/>
      <c r="J3275" s="37"/>
    </row>
    <row r="3276" spans="1:10" ht="15.95" customHeight="1" x14ac:dyDescent="0.2">
      <c r="A3276" s="39"/>
      <c r="B3276" s="36"/>
      <c r="C3276" s="37"/>
      <c r="D3276" s="37"/>
      <c r="E3276" s="37"/>
      <c r="F3276" s="37"/>
      <c r="G3276" s="37"/>
      <c r="H3276" s="37"/>
      <c r="I3276" s="35"/>
      <c r="J3276" s="37"/>
    </row>
    <row r="3277" spans="1:10" ht="15.95" customHeight="1" x14ac:dyDescent="0.2">
      <c r="A3277" s="39"/>
      <c r="B3277" s="36"/>
      <c r="C3277" s="37"/>
      <c r="D3277" s="37"/>
      <c r="E3277" s="37"/>
      <c r="F3277" s="37"/>
      <c r="G3277" s="37"/>
      <c r="H3277" s="37"/>
      <c r="I3277" s="35"/>
      <c r="J3277" s="37"/>
    </row>
    <row r="3278" spans="1:10" ht="15.95" customHeight="1" x14ac:dyDescent="0.2">
      <c r="A3278" s="39"/>
      <c r="B3278" s="36"/>
      <c r="C3278" s="37"/>
      <c r="D3278" s="37"/>
      <c r="E3278" s="37"/>
      <c r="F3278" s="37"/>
      <c r="G3278" s="37"/>
      <c r="H3278" s="37"/>
      <c r="I3278" s="35"/>
      <c r="J3278" s="37"/>
    </row>
    <row r="3279" spans="1:10" ht="15.95" customHeight="1" x14ac:dyDescent="0.2">
      <c r="A3279" s="39"/>
      <c r="B3279" s="36"/>
      <c r="C3279" s="37"/>
      <c r="D3279" s="37"/>
      <c r="E3279" s="37"/>
      <c r="F3279" s="37"/>
      <c r="G3279" s="37"/>
      <c r="H3279" s="37"/>
      <c r="I3279" s="35"/>
      <c r="J3279" s="37"/>
    </row>
    <row r="3280" spans="1:10" ht="15.95" customHeight="1" x14ac:dyDescent="0.2">
      <c r="A3280" s="39"/>
      <c r="B3280" s="36"/>
      <c r="C3280" s="37"/>
      <c r="D3280" s="37"/>
      <c r="E3280" s="37"/>
      <c r="F3280" s="37"/>
      <c r="G3280" s="37"/>
      <c r="H3280" s="37"/>
      <c r="I3280" s="35"/>
      <c r="J3280" s="37"/>
    </row>
    <row r="3281" spans="1:10" ht="15.95" customHeight="1" x14ac:dyDescent="0.2">
      <c r="A3281" s="39"/>
      <c r="B3281" s="36"/>
      <c r="C3281" s="37"/>
      <c r="D3281" s="37"/>
      <c r="E3281" s="37"/>
      <c r="F3281" s="37"/>
      <c r="G3281" s="37"/>
      <c r="H3281" s="37"/>
      <c r="I3281" s="35"/>
      <c r="J3281" s="37"/>
    </row>
    <row r="3282" spans="1:10" ht="15.95" customHeight="1" x14ac:dyDescent="0.2">
      <c r="A3282" s="39"/>
      <c r="B3282" s="36"/>
      <c r="C3282" s="37"/>
      <c r="D3282" s="37"/>
      <c r="E3282" s="37"/>
      <c r="F3282" s="37"/>
      <c r="G3282" s="37"/>
      <c r="H3282" s="37"/>
      <c r="I3282" s="35"/>
      <c r="J3282" s="37"/>
    </row>
    <row r="3283" spans="1:10" ht="15.95" customHeight="1" x14ac:dyDescent="0.2">
      <c r="A3283" s="39"/>
      <c r="B3283" s="36"/>
      <c r="C3283" s="37"/>
      <c r="D3283" s="37"/>
      <c r="E3283" s="37"/>
      <c r="F3283" s="37"/>
      <c r="G3283" s="37"/>
      <c r="H3283" s="37"/>
      <c r="I3283" s="35"/>
      <c r="J3283" s="37"/>
    </row>
    <row r="3284" spans="1:10" ht="15.95" customHeight="1" x14ac:dyDescent="0.2">
      <c r="A3284" s="39"/>
      <c r="B3284" s="36"/>
      <c r="C3284" s="37"/>
      <c r="D3284" s="37"/>
      <c r="E3284" s="37"/>
      <c r="F3284" s="37"/>
      <c r="G3284" s="37"/>
      <c r="H3284" s="37"/>
      <c r="I3284" s="35"/>
      <c r="J3284" s="37"/>
    </row>
    <row r="3285" spans="1:10" ht="15.95" customHeight="1" x14ac:dyDescent="0.2">
      <c r="A3285" s="39"/>
      <c r="B3285" s="36"/>
      <c r="C3285" s="37"/>
      <c r="D3285" s="37"/>
      <c r="E3285" s="37"/>
      <c r="F3285" s="37"/>
      <c r="G3285" s="37"/>
      <c r="H3285" s="37"/>
      <c r="I3285" s="35"/>
      <c r="J3285" s="37"/>
    </row>
    <row r="3286" spans="1:10" ht="15.95" customHeight="1" x14ac:dyDescent="0.2">
      <c r="A3286" s="39"/>
      <c r="B3286" s="36"/>
      <c r="C3286" s="37"/>
      <c r="D3286" s="37"/>
      <c r="E3286" s="37"/>
      <c r="F3286" s="37"/>
      <c r="G3286" s="37"/>
      <c r="H3286" s="37"/>
      <c r="I3286" s="35"/>
      <c r="J3286" s="37"/>
    </row>
    <row r="3287" spans="1:10" ht="15.95" customHeight="1" x14ac:dyDescent="0.2">
      <c r="A3287" s="39"/>
      <c r="B3287" s="36"/>
      <c r="C3287" s="37"/>
      <c r="D3287" s="37"/>
      <c r="E3287" s="37"/>
      <c r="F3287" s="37"/>
      <c r="G3287" s="37"/>
      <c r="H3287" s="37"/>
      <c r="I3287" s="35"/>
      <c r="J3287" s="37"/>
    </row>
    <row r="3288" spans="1:10" ht="15.95" customHeight="1" x14ac:dyDescent="0.2">
      <c r="A3288" s="39"/>
      <c r="B3288" s="36"/>
      <c r="C3288" s="37"/>
      <c r="D3288" s="37"/>
      <c r="E3288" s="37"/>
      <c r="F3288" s="37"/>
      <c r="G3288" s="37"/>
      <c r="H3288" s="37"/>
      <c r="I3288" s="35"/>
      <c r="J3288" s="37"/>
    </row>
    <row r="3289" spans="1:10" ht="15.95" customHeight="1" x14ac:dyDescent="0.2">
      <c r="A3289" s="39"/>
      <c r="B3289" s="36"/>
      <c r="C3289" s="37"/>
      <c r="D3289" s="37"/>
      <c r="E3289" s="37"/>
      <c r="F3289" s="37"/>
      <c r="G3289" s="37"/>
      <c r="H3289" s="37"/>
      <c r="I3289" s="35"/>
      <c r="J3289" s="37"/>
    </row>
    <row r="3290" spans="1:10" ht="15.95" customHeight="1" x14ac:dyDescent="0.2">
      <c r="A3290" s="39"/>
      <c r="B3290" s="36"/>
      <c r="C3290" s="37"/>
      <c r="D3290" s="37"/>
      <c r="E3290" s="37"/>
      <c r="F3290" s="37"/>
      <c r="G3290" s="37"/>
      <c r="H3290" s="37"/>
      <c r="I3290" s="35"/>
      <c r="J3290" s="37"/>
    </row>
    <row r="3291" spans="1:10" ht="15.95" customHeight="1" x14ac:dyDescent="0.2">
      <c r="A3291" s="39"/>
      <c r="B3291" s="36"/>
      <c r="C3291" s="37"/>
      <c r="D3291" s="37"/>
      <c r="E3291" s="37"/>
      <c r="F3291" s="37"/>
      <c r="G3291" s="37"/>
      <c r="H3291" s="37"/>
      <c r="I3291" s="35"/>
      <c r="J3291" s="37"/>
    </row>
    <row r="3292" spans="1:10" ht="15.95" customHeight="1" x14ac:dyDescent="0.2">
      <c r="A3292" s="39"/>
      <c r="B3292" s="36"/>
      <c r="C3292" s="37"/>
      <c r="D3292" s="37"/>
      <c r="E3292" s="37"/>
      <c r="F3292" s="37"/>
      <c r="G3292" s="37"/>
      <c r="H3292" s="37"/>
      <c r="I3292" s="35"/>
      <c r="J3292" s="37"/>
    </row>
    <row r="3293" spans="1:10" ht="15.95" customHeight="1" x14ac:dyDescent="0.2">
      <c r="A3293" s="39"/>
      <c r="B3293" s="36"/>
      <c r="C3293" s="37"/>
      <c r="D3293" s="37"/>
      <c r="E3293" s="37"/>
      <c r="F3293" s="37"/>
      <c r="G3293" s="37"/>
      <c r="H3293" s="37"/>
      <c r="I3293" s="35"/>
      <c r="J3293" s="37"/>
    </row>
    <row r="3294" spans="1:10" ht="15.95" customHeight="1" x14ac:dyDescent="0.2">
      <c r="A3294" s="39"/>
      <c r="B3294" s="36"/>
      <c r="C3294" s="37"/>
      <c r="D3294" s="37"/>
      <c r="E3294" s="37"/>
      <c r="F3294" s="37"/>
      <c r="G3294" s="37"/>
      <c r="H3294" s="37"/>
      <c r="I3294" s="35"/>
      <c r="J3294" s="37"/>
    </row>
    <row r="3295" spans="1:10" ht="15.95" customHeight="1" x14ac:dyDescent="0.2">
      <c r="A3295" s="39"/>
      <c r="B3295" s="36"/>
      <c r="C3295" s="37"/>
      <c r="D3295" s="37"/>
      <c r="E3295" s="37"/>
      <c r="F3295" s="37"/>
      <c r="G3295" s="37"/>
      <c r="H3295" s="37"/>
      <c r="I3295" s="35"/>
      <c r="J3295" s="37"/>
    </row>
    <row r="3296" spans="1:10" ht="15.95" customHeight="1" x14ac:dyDescent="0.2">
      <c r="A3296" s="39"/>
      <c r="B3296" s="36"/>
      <c r="C3296" s="37"/>
      <c r="D3296" s="37"/>
      <c r="E3296" s="37"/>
      <c r="F3296" s="37"/>
      <c r="G3296" s="37"/>
      <c r="H3296" s="37"/>
      <c r="I3296" s="35"/>
      <c r="J3296" s="37"/>
    </row>
    <row r="3297" spans="1:10" ht="15.95" customHeight="1" x14ac:dyDescent="0.2">
      <c r="A3297" s="39"/>
      <c r="B3297" s="36"/>
      <c r="C3297" s="37"/>
      <c r="D3297" s="37"/>
      <c r="E3297" s="37"/>
      <c r="F3297" s="37"/>
      <c r="G3297" s="37"/>
      <c r="H3297" s="37"/>
      <c r="I3297" s="35"/>
      <c r="J3297" s="37"/>
    </row>
    <row r="3298" spans="1:10" ht="15.95" customHeight="1" x14ac:dyDescent="0.2">
      <c r="A3298" s="39"/>
      <c r="B3298" s="36"/>
      <c r="C3298" s="37"/>
      <c r="D3298" s="37"/>
      <c r="E3298" s="37"/>
      <c r="F3298" s="37"/>
      <c r="G3298" s="37"/>
      <c r="H3298" s="37"/>
      <c r="I3298" s="35"/>
      <c r="J3298" s="37"/>
    </row>
    <row r="3299" spans="1:10" ht="15.95" customHeight="1" x14ac:dyDescent="0.2">
      <c r="A3299" s="39"/>
      <c r="B3299" s="36"/>
      <c r="C3299" s="37"/>
      <c r="D3299" s="37"/>
      <c r="E3299" s="37"/>
      <c r="F3299" s="37"/>
      <c r="G3299" s="37"/>
      <c r="H3299" s="37"/>
      <c r="I3299" s="35"/>
      <c r="J3299" s="37"/>
    </row>
    <row r="3300" spans="1:10" ht="15.95" customHeight="1" x14ac:dyDescent="0.2">
      <c r="A3300" s="39"/>
      <c r="B3300" s="36"/>
      <c r="C3300" s="37"/>
      <c r="D3300" s="37"/>
      <c r="E3300" s="37"/>
      <c r="F3300" s="37"/>
      <c r="G3300" s="37"/>
      <c r="H3300" s="37"/>
      <c r="I3300" s="35"/>
      <c r="J3300" s="37"/>
    </row>
    <row r="3301" spans="1:10" ht="15.95" customHeight="1" x14ac:dyDescent="0.2">
      <c r="A3301" s="39"/>
      <c r="B3301" s="36"/>
      <c r="C3301" s="37"/>
      <c r="D3301" s="37"/>
      <c r="E3301" s="37"/>
      <c r="F3301" s="37"/>
      <c r="G3301" s="37"/>
      <c r="H3301" s="37"/>
      <c r="I3301" s="35"/>
      <c r="J3301" s="37"/>
    </row>
    <row r="3302" spans="1:10" ht="15.95" customHeight="1" x14ac:dyDescent="0.2">
      <c r="A3302" s="39"/>
      <c r="B3302" s="36"/>
      <c r="C3302" s="37"/>
      <c r="D3302" s="37"/>
      <c r="E3302" s="37"/>
      <c r="F3302" s="37"/>
      <c r="G3302" s="37"/>
      <c r="H3302" s="37"/>
      <c r="I3302" s="35"/>
      <c r="J3302" s="37"/>
    </row>
    <row r="3303" spans="1:10" ht="15.95" customHeight="1" x14ac:dyDescent="0.2">
      <c r="A3303" s="39"/>
      <c r="B3303" s="36"/>
      <c r="C3303" s="37"/>
      <c r="D3303" s="37"/>
      <c r="E3303" s="37"/>
      <c r="F3303" s="37"/>
      <c r="G3303" s="37"/>
      <c r="H3303" s="37"/>
      <c r="I3303" s="35"/>
      <c r="J3303" s="37"/>
    </row>
    <row r="3304" spans="1:10" ht="15.95" customHeight="1" x14ac:dyDescent="0.2">
      <c r="A3304" s="39"/>
      <c r="B3304" s="36"/>
      <c r="C3304" s="37"/>
      <c r="D3304" s="37"/>
      <c r="E3304" s="37"/>
      <c r="F3304" s="37"/>
      <c r="G3304" s="37"/>
      <c r="H3304" s="37"/>
      <c r="I3304" s="35"/>
      <c r="J3304" s="37"/>
    </row>
    <row r="3305" spans="1:10" ht="15.95" customHeight="1" x14ac:dyDescent="0.2">
      <c r="A3305" s="39"/>
      <c r="B3305" s="36"/>
      <c r="C3305" s="37"/>
      <c r="D3305" s="37"/>
      <c r="E3305" s="37"/>
      <c r="F3305" s="37"/>
      <c r="G3305" s="37"/>
      <c r="H3305" s="37"/>
      <c r="I3305" s="35"/>
      <c r="J3305" s="37"/>
    </row>
    <row r="3306" spans="1:10" ht="15.95" customHeight="1" x14ac:dyDescent="0.2">
      <c r="A3306" s="39"/>
      <c r="B3306" s="36"/>
      <c r="C3306" s="37"/>
      <c r="D3306" s="37"/>
      <c r="E3306" s="37"/>
      <c r="F3306" s="37"/>
      <c r="G3306" s="37"/>
      <c r="H3306" s="37"/>
      <c r="I3306" s="35"/>
      <c r="J3306" s="37"/>
    </row>
    <row r="3307" spans="1:10" ht="15.95" customHeight="1" x14ac:dyDescent="0.2">
      <c r="A3307" s="39"/>
      <c r="B3307" s="36"/>
      <c r="C3307" s="37"/>
      <c r="D3307" s="37"/>
      <c r="E3307" s="37"/>
      <c r="F3307" s="37"/>
      <c r="G3307" s="37"/>
      <c r="H3307" s="37"/>
      <c r="I3307" s="35"/>
      <c r="J3307" s="37"/>
    </row>
    <row r="3308" spans="1:10" ht="15.95" customHeight="1" x14ac:dyDescent="0.2">
      <c r="A3308" s="39"/>
      <c r="B3308" s="36"/>
      <c r="C3308" s="37"/>
      <c r="D3308" s="37"/>
      <c r="E3308" s="37"/>
      <c r="F3308" s="37"/>
      <c r="G3308" s="37"/>
      <c r="H3308" s="37"/>
      <c r="I3308" s="35"/>
      <c r="J3308" s="37"/>
    </row>
    <row r="3309" spans="1:10" ht="15.95" customHeight="1" x14ac:dyDescent="0.2">
      <c r="A3309" s="39"/>
      <c r="B3309" s="36"/>
      <c r="C3309" s="37"/>
      <c r="D3309" s="37"/>
      <c r="E3309" s="37"/>
      <c r="F3309" s="37"/>
      <c r="G3309" s="37"/>
      <c r="H3309" s="37"/>
      <c r="I3309" s="35"/>
      <c r="J3309" s="37"/>
    </row>
    <row r="3310" spans="1:10" ht="15.95" customHeight="1" x14ac:dyDescent="0.2">
      <c r="A3310" s="39"/>
      <c r="B3310" s="36"/>
      <c r="C3310" s="37"/>
      <c r="D3310" s="37"/>
      <c r="E3310" s="37"/>
      <c r="F3310" s="37"/>
      <c r="G3310" s="37"/>
      <c r="H3310" s="37"/>
      <c r="I3310" s="35"/>
      <c r="J3310" s="37"/>
    </row>
    <row r="3311" spans="1:10" ht="15.95" customHeight="1" x14ac:dyDescent="0.2">
      <c r="A3311" s="39"/>
      <c r="B3311" s="36"/>
      <c r="C3311" s="37"/>
      <c r="D3311" s="37"/>
      <c r="E3311" s="37"/>
      <c r="F3311" s="37"/>
      <c r="G3311" s="37"/>
      <c r="H3311" s="37"/>
      <c r="I3311" s="35"/>
      <c r="J3311" s="37"/>
    </row>
    <row r="3312" spans="1:10" ht="15.95" customHeight="1" x14ac:dyDescent="0.2">
      <c r="A3312" s="39"/>
      <c r="B3312" s="36"/>
      <c r="C3312" s="37"/>
      <c r="D3312" s="37"/>
      <c r="E3312" s="37"/>
      <c r="F3312" s="37"/>
      <c r="G3312" s="37"/>
      <c r="H3312" s="37"/>
      <c r="I3312" s="35"/>
      <c r="J3312" s="37"/>
    </row>
    <row r="3313" spans="1:10" ht="15.95" customHeight="1" x14ac:dyDescent="0.2">
      <c r="A3313" s="39"/>
      <c r="B3313" s="36"/>
      <c r="C3313" s="37"/>
      <c r="D3313" s="37"/>
      <c r="E3313" s="37"/>
      <c r="F3313" s="37"/>
      <c r="G3313" s="37"/>
      <c r="H3313" s="37"/>
      <c r="I3313" s="35"/>
      <c r="J3313" s="37"/>
    </row>
    <row r="3314" spans="1:10" ht="15.95" customHeight="1" x14ac:dyDescent="0.2">
      <c r="A3314" s="39"/>
      <c r="B3314" s="36"/>
      <c r="C3314" s="37"/>
      <c r="D3314" s="37"/>
      <c r="E3314" s="37"/>
      <c r="F3314" s="37"/>
      <c r="G3314" s="37"/>
      <c r="H3314" s="37"/>
      <c r="I3314" s="35"/>
      <c r="J3314" s="37"/>
    </row>
    <row r="3315" spans="1:10" ht="15.95" customHeight="1" x14ac:dyDescent="0.2">
      <c r="A3315" s="39"/>
      <c r="B3315" s="36"/>
      <c r="C3315" s="37"/>
      <c r="D3315" s="37"/>
      <c r="E3315" s="37"/>
      <c r="F3315" s="37"/>
      <c r="G3315" s="37"/>
      <c r="H3315" s="37"/>
      <c r="I3315" s="35"/>
      <c r="J3315" s="37"/>
    </row>
    <row r="3316" spans="1:10" ht="15.95" customHeight="1" x14ac:dyDescent="0.2">
      <c r="A3316" s="39"/>
      <c r="B3316" s="36"/>
      <c r="C3316" s="37"/>
      <c r="D3316" s="37"/>
      <c r="E3316" s="37"/>
      <c r="F3316" s="37"/>
      <c r="G3316" s="37"/>
      <c r="H3316" s="37"/>
      <c r="I3316" s="35"/>
      <c r="J3316" s="37"/>
    </row>
    <row r="3317" spans="1:10" ht="15.95" customHeight="1" x14ac:dyDescent="0.2">
      <c r="A3317" s="39"/>
      <c r="B3317" s="36"/>
      <c r="C3317" s="37"/>
      <c r="D3317" s="37"/>
      <c r="E3317" s="37"/>
      <c r="F3317" s="37"/>
      <c r="G3317" s="37"/>
      <c r="H3317" s="37"/>
      <c r="I3317" s="35"/>
      <c r="J3317" s="37"/>
    </row>
    <row r="3318" spans="1:10" ht="15.95" customHeight="1" x14ac:dyDescent="0.2">
      <c r="A3318" s="39"/>
      <c r="B3318" s="36"/>
      <c r="C3318" s="37"/>
      <c r="D3318" s="37"/>
      <c r="E3318" s="37"/>
      <c r="F3318" s="37"/>
      <c r="G3318" s="37"/>
      <c r="H3318" s="37"/>
      <c r="I3318" s="35"/>
      <c r="J3318" s="37"/>
    </row>
    <row r="3319" spans="1:10" ht="15.95" customHeight="1" x14ac:dyDescent="0.2">
      <c r="A3319" s="39"/>
      <c r="B3319" s="36"/>
      <c r="C3319" s="37"/>
      <c r="D3319" s="37"/>
      <c r="E3319" s="37"/>
      <c r="F3319" s="37"/>
      <c r="G3319" s="37"/>
      <c r="H3319" s="37"/>
      <c r="I3319" s="35"/>
      <c r="J3319" s="37"/>
    </row>
    <row r="3320" spans="1:10" ht="15.95" customHeight="1" x14ac:dyDescent="0.2">
      <c r="A3320" s="39"/>
      <c r="B3320" s="36"/>
      <c r="C3320" s="37"/>
      <c r="D3320" s="37"/>
      <c r="E3320" s="37"/>
      <c r="F3320" s="37"/>
      <c r="G3320" s="37"/>
      <c r="H3320" s="37"/>
      <c r="I3320" s="35"/>
      <c r="J3320" s="37"/>
    </row>
    <row r="3321" spans="1:10" ht="15.95" customHeight="1" x14ac:dyDescent="0.2">
      <c r="A3321" s="39"/>
      <c r="B3321" s="36"/>
      <c r="C3321" s="37"/>
      <c r="D3321" s="37"/>
      <c r="E3321" s="37"/>
      <c r="F3321" s="37"/>
      <c r="G3321" s="37"/>
      <c r="H3321" s="37"/>
      <c r="I3321" s="35"/>
      <c r="J3321" s="37"/>
    </row>
    <row r="3322" spans="1:10" ht="15.95" customHeight="1" x14ac:dyDescent="0.2">
      <c r="A3322" s="39"/>
      <c r="B3322" s="36"/>
      <c r="C3322" s="37"/>
      <c r="D3322" s="37"/>
      <c r="E3322" s="37"/>
      <c r="F3322" s="37"/>
      <c r="G3322" s="37"/>
      <c r="H3322" s="37"/>
      <c r="I3322" s="35"/>
      <c r="J3322" s="37"/>
    </row>
    <row r="3323" spans="1:10" ht="15.95" customHeight="1" x14ac:dyDescent="0.2">
      <c r="A3323" s="39"/>
      <c r="B3323" s="36"/>
      <c r="C3323" s="37"/>
      <c r="D3323" s="37"/>
      <c r="E3323" s="37"/>
      <c r="F3323" s="37"/>
      <c r="G3323" s="37"/>
      <c r="H3323" s="37"/>
      <c r="I3323" s="35"/>
      <c r="J3323" s="37"/>
    </row>
    <row r="3324" spans="1:10" ht="15.95" customHeight="1" x14ac:dyDescent="0.2">
      <c r="A3324" s="39"/>
      <c r="B3324" s="36"/>
      <c r="C3324" s="37"/>
      <c r="D3324" s="37"/>
      <c r="E3324" s="37"/>
      <c r="F3324" s="37"/>
      <c r="G3324" s="37"/>
      <c r="H3324" s="37"/>
      <c r="I3324" s="35"/>
      <c r="J3324" s="37"/>
    </row>
    <row r="3325" spans="1:10" ht="15.95" customHeight="1" x14ac:dyDescent="0.2">
      <c r="A3325" s="39"/>
      <c r="B3325" s="36"/>
      <c r="C3325" s="37"/>
      <c r="D3325" s="37"/>
      <c r="E3325" s="37"/>
      <c r="F3325" s="37"/>
      <c r="G3325" s="37"/>
      <c r="H3325" s="37"/>
      <c r="I3325" s="35"/>
      <c r="J3325" s="37"/>
    </row>
    <row r="3326" spans="1:10" ht="15.95" customHeight="1" x14ac:dyDescent="0.2">
      <c r="A3326" s="39"/>
      <c r="B3326" s="36"/>
      <c r="C3326" s="37"/>
      <c r="D3326" s="37"/>
      <c r="E3326" s="37"/>
      <c r="F3326" s="37"/>
      <c r="G3326" s="37"/>
      <c r="H3326" s="37"/>
      <c r="I3326" s="35"/>
      <c r="J3326" s="37"/>
    </row>
    <row r="3327" spans="1:10" ht="15.95" customHeight="1" x14ac:dyDescent="0.2">
      <c r="A3327" s="39"/>
      <c r="B3327" s="36"/>
      <c r="C3327" s="37"/>
      <c r="D3327" s="37"/>
      <c r="E3327" s="37"/>
      <c r="F3327" s="37"/>
      <c r="G3327" s="37"/>
      <c r="H3327" s="37"/>
      <c r="I3327" s="35"/>
      <c r="J3327" s="37"/>
    </row>
    <row r="3328" spans="1:10" ht="15.95" customHeight="1" x14ac:dyDescent="0.2">
      <c r="A3328" s="39"/>
      <c r="B3328" s="36"/>
      <c r="C3328" s="37"/>
      <c r="D3328" s="37"/>
      <c r="E3328" s="37"/>
      <c r="F3328" s="37"/>
      <c r="G3328" s="37"/>
      <c r="H3328" s="37"/>
      <c r="I3328" s="35"/>
      <c r="J3328" s="37"/>
    </row>
    <row r="3329" spans="1:10" ht="15.95" customHeight="1" x14ac:dyDescent="0.2">
      <c r="A3329" s="39"/>
      <c r="B3329" s="36"/>
      <c r="C3329" s="37"/>
      <c r="D3329" s="37"/>
      <c r="E3329" s="37"/>
      <c r="F3329" s="37"/>
      <c r="G3329" s="37"/>
      <c r="H3329" s="37"/>
      <c r="I3329" s="35"/>
      <c r="J3329" s="37"/>
    </row>
    <row r="3330" spans="1:10" ht="15.95" customHeight="1" x14ac:dyDescent="0.2">
      <c r="A3330" s="39"/>
      <c r="B3330" s="36"/>
      <c r="C3330" s="37"/>
      <c r="D3330" s="37"/>
      <c r="E3330" s="37"/>
      <c r="F3330" s="37"/>
      <c r="G3330" s="37"/>
      <c r="H3330" s="37"/>
      <c r="I3330" s="35"/>
      <c r="J3330" s="37"/>
    </row>
    <row r="3331" spans="1:10" ht="15.95" customHeight="1" x14ac:dyDescent="0.2">
      <c r="A3331" s="39"/>
      <c r="B3331" s="36"/>
      <c r="C3331" s="37"/>
      <c r="D3331" s="37"/>
      <c r="E3331" s="37"/>
      <c r="F3331" s="37"/>
      <c r="G3331" s="37"/>
      <c r="H3331" s="37"/>
      <c r="I3331" s="35"/>
      <c r="J3331" s="37"/>
    </row>
    <row r="3332" spans="1:10" ht="15.95" customHeight="1" x14ac:dyDescent="0.2">
      <c r="A3332" s="39"/>
      <c r="B3332" s="36"/>
      <c r="C3332" s="37"/>
      <c r="D3332" s="37"/>
      <c r="E3332" s="37"/>
      <c r="F3332" s="37"/>
      <c r="G3332" s="37"/>
      <c r="H3332" s="37"/>
      <c r="I3332" s="35"/>
      <c r="J3332" s="37"/>
    </row>
    <row r="3333" spans="1:10" ht="15.95" customHeight="1" x14ac:dyDescent="0.2">
      <c r="A3333" s="39"/>
      <c r="B3333" s="36"/>
      <c r="C3333" s="37"/>
      <c r="D3333" s="37"/>
      <c r="E3333" s="37"/>
      <c r="F3333" s="37"/>
      <c r="G3333" s="37"/>
      <c r="H3333" s="37"/>
      <c r="I3333" s="35"/>
      <c r="J3333" s="37"/>
    </row>
    <row r="3334" spans="1:10" ht="15.95" customHeight="1" x14ac:dyDescent="0.2">
      <c r="A3334" s="39"/>
      <c r="B3334" s="36"/>
      <c r="C3334" s="37"/>
      <c r="D3334" s="37"/>
      <c r="E3334" s="37"/>
      <c r="F3334" s="37"/>
      <c r="G3334" s="37"/>
      <c r="H3334" s="37"/>
      <c r="I3334" s="35"/>
      <c r="J3334" s="37"/>
    </row>
    <row r="3335" spans="1:10" ht="15.95" customHeight="1" x14ac:dyDescent="0.2">
      <c r="A3335" s="39"/>
      <c r="B3335" s="36"/>
      <c r="C3335" s="37"/>
      <c r="D3335" s="37"/>
      <c r="E3335" s="37"/>
      <c r="F3335" s="37"/>
      <c r="G3335" s="37"/>
      <c r="H3335" s="37"/>
      <c r="I3335" s="35"/>
      <c r="J3335" s="37"/>
    </row>
    <row r="3336" spans="1:10" ht="15.95" customHeight="1" x14ac:dyDescent="0.2">
      <c r="A3336" s="39"/>
      <c r="B3336" s="36"/>
      <c r="C3336" s="37"/>
      <c r="D3336" s="37"/>
      <c r="E3336" s="37"/>
      <c r="F3336" s="37"/>
      <c r="G3336" s="37"/>
      <c r="H3336" s="37"/>
      <c r="I3336" s="35"/>
      <c r="J3336" s="37"/>
    </row>
    <row r="3337" spans="1:10" ht="15.95" customHeight="1" x14ac:dyDescent="0.2">
      <c r="A3337" s="39"/>
      <c r="B3337" s="36"/>
      <c r="C3337" s="37"/>
      <c r="D3337" s="37"/>
      <c r="E3337" s="37"/>
      <c r="F3337" s="37"/>
      <c r="G3337" s="37"/>
      <c r="H3337" s="37"/>
      <c r="I3337" s="35"/>
      <c r="J3337" s="37"/>
    </row>
    <row r="3338" spans="1:10" ht="15.95" customHeight="1" x14ac:dyDescent="0.2">
      <c r="A3338" s="39"/>
      <c r="B3338" s="36"/>
      <c r="C3338" s="37"/>
      <c r="D3338" s="37"/>
      <c r="E3338" s="37"/>
      <c r="F3338" s="37"/>
      <c r="G3338" s="37"/>
      <c r="H3338" s="37"/>
      <c r="I3338" s="35"/>
      <c r="J3338" s="37"/>
    </row>
    <row r="3339" spans="1:10" ht="15.95" customHeight="1" x14ac:dyDescent="0.2">
      <c r="A3339" s="39"/>
      <c r="B3339" s="36"/>
      <c r="C3339" s="37"/>
      <c r="D3339" s="37"/>
      <c r="E3339" s="37"/>
      <c r="F3339" s="37"/>
      <c r="G3339" s="37"/>
      <c r="H3339" s="37"/>
      <c r="I3339" s="35"/>
      <c r="J3339" s="37"/>
    </row>
    <row r="3340" spans="1:10" ht="15.95" customHeight="1" x14ac:dyDescent="0.2">
      <c r="A3340" s="39"/>
      <c r="B3340" s="36"/>
      <c r="C3340" s="37"/>
      <c r="D3340" s="37"/>
      <c r="E3340" s="37"/>
      <c r="F3340" s="37"/>
      <c r="G3340" s="37"/>
      <c r="H3340" s="37"/>
      <c r="I3340" s="35"/>
      <c r="J3340" s="37"/>
    </row>
    <row r="3341" spans="1:10" ht="15.95" customHeight="1" x14ac:dyDescent="0.2">
      <c r="A3341" s="39"/>
      <c r="B3341" s="36"/>
      <c r="C3341" s="37"/>
      <c r="D3341" s="37"/>
      <c r="E3341" s="37"/>
      <c r="F3341" s="37"/>
      <c r="G3341" s="37"/>
      <c r="H3341" s="37"/>
      <c r="I3341" s="35"/>
      <c r="J3341" s="37"/>
    </row>
    <row r="3342" spans="1:10" ht="15.95" customHeight="1" x14ac:dyDescent="0.2">
      <c r="A3342" s="39"/>
      <c r="B3342" s="36"/>
      <c r="C3342" s="37"/>
      <c r="D3342" s="37"/>
      <c r="E3342" s="37"/>
      <c r="F3342" s="37"/>
      <c r="G3342" s="37"/>
      <c r="H3342" s="37"/>
      <c r="I3342" s="35"/>
      <c r="J3342" s="37"/>
    </row>
    <row r="3343" spans="1:10" ht="15.95" customHeight="1" x14ac:dyDescent="0.2">
      <c r="A3343" s="39"/>
      <c r="B3343" s="36"/>
      <c r="C3343" s="37"/>
      <c r="D3343" s="37"/>
      <c r="E3343" s="37"/>
      <c r="F3343" s="37"/>
      <c r="G3343" s="37"/>
      <c r="H3343" s="37"/>
      <c r="I3343" s="35"/>
      <c r="J3343" s="37"/>
    </row>
    <row r="3344" spans="1:10" ht="15.95" customHeight="1" x14ac:dyDescent="0.2">
      <c r="A3344" s="39"/>
      <c r="B3344" s="36"/>
      <c r="C3344" s="37"/>
      <c r="D3344" s="37"/>
      <c r="E3344" s="37"/>
      <c r="F3344" s="37"/>
      <c r="G3344" s="37"/>
      <c r="H3344" s="37"/>
      <c r="I3344" s="35"/>
      <c r="J3344" s="37"/>
    </row>
    <row r="3345" spans="1:10" ht="15.95" customHeight="1" x14ac:dyDescent="0.2">
      <c r="A3345" s="39"/>
      <c r="B3345" s="36"/>
      <c r="C3345" s="37"/>
      <c r="D3345" s="37"/>
      <c r="E3345" s="37"/>
      <c r="F3345" s="37"/>
      <c r="G3345" s="37"/>
      <c r="H3345" s="37"/>
      <c r="I3345" s="35"/>
      <c r="J3345" s="37"/>
    </row>
    <row r="3346" spans="1:10" ht="15.95" customHeight="1" x14ac:dyDescent="0.2">
      <c r="A3346" s="39"/>
      <c r="B3346" s="36"/>
      <c r="C3346" s="37"/>
      <c r="D3346" s="37"/>
      <c r="E3346" s="37"/>
      <c r="F3346" s="37"/>
      <c r="G3346" s="37"/>
      <c r="H3346" s="37"/>
      <c r="I3346" s="35"/>
      <c r="J3346" s="37"/>
    </row>
    <row r="3347" spans="1:10" ht="15.95" customHeight="1" x14ac:dyDescent="0.2">
      <c r="A3347" s="39"/>
      <c r="B3347" s="36"/>
      <c r="C3347" s="37"/>
      <c r="D3347" s="37"/>
      <c r="E3347" s="37"/>
      <c r="F3347" s="37"/>
      <c r="G3347" s="37"/>
      <c r="H3347" s="37"/>
      <c r="I3347" s="35"/>
      <c r="J3347" s="37"/>
    </row>
    <row r="3348" spans="1:10" ht="15.95" customHeight="1" x14ac:dyDescent="0.2">
      <c r="A3348" s="39"/>
      <c r="B3348" s="36"/>
      <c r="C3348" s="37"/>
      <c r="D3348" s="37"/>
      <c r="E3348" s="37"/>
      <c r="F3348" s="37"/>
      <c r="G3348" s="37"/>
      <c r="H3348" s="37"/>
      <c r="I3348" s="35"/>
      <c r="J3348" s="37"/>
    </row>
    <row r="3349" spans="1:10" ht="15.95" customHeight="1" x14ac:dyDescent="0.2">
      <c r="A3349" s="39"/>
      <c r="B3349" s="36"/>
      <c r="C3349" s="37"/>
      <c r="D3349" s="37"/>
      <c r="E3349" s="37"/>
      <c r="F3349" s="37"/>
      <c r="G3349" s="37"/>
      <c r="H3349" s="37"/>
      <c r="I3349" s="35"/>
      <c r="J3349" s="37"/>
    </row>
    <row r="3350" spans="1:10" ht="15.95" customHeight="1" x14ac:dyDescent="0.2">
      <c r="A3350" s="39"/>
      <c r="B3350" s="36"/>
      <c r="C3350" s="37"/>
      <c r="D3350" s="37"/>
      <c r="E3350" s="37"/>
      <c r="F3350" s="37"/>
      <c r="G3350" s="37"/>
      <c r="H3350" s="37"/>
      <c r="I3350" s="35"/>
      <c r="J3350" s="37"/>
    </row>
    <row r="3351" spans="1:10" ht="15.95" customHeight="1" x14ac:dyDescent="0.2">
      <c r="A3351" s="39"/>
      <c r="B3351" s="36"/>
      <c r="C3351" s="37"/>
      <c r="D3351" s="37"/>
      <c r="E3351" s="37"/>
      <c r="F3351" s="37"/>
      <c r="G3351" s="37"/>
      <c r="H3351" s="37"/>
      <c r="I3351" s="35"/>
      <c r="J3351" s="37"/>
    </row>
    <row r="3352" spans="1:10" ht="15.95" customHeight="1" x14ac:dyDescent="0.2">
      <c r="A3352" s="39"/>
      <c r="B3352" s="36"/>
      <c r="C3352" s="37"/>
      <c r="D3352" s="37"/>
      <c r="E3352" s="37"/>
      <c r="F3352" s="37"/>
      <c r="G3352" s="37"/>
      <c r="H3352" s="37"/>
      <c r="I3352" s="35"/>
      <c r="J3352" s="37"/>
    </row>
    <row r="3353" spans="1:10" ht="15.95" customHeight="1" x14ac:dyDescent="0.2">
      <c r="A3353" s="39"/>
      <c r="B3353" s="36"/>
      <c r="C3353" s="37"/>
      <c r="D3353" s="37"/>
      <c r="E3353" s="37"/>
      <c r="F3353" s="37"/>
      <c r="G3353" s="37"/>
      <c r="H3353" s="37"/>
      <c r="I3353" s="35"/>
      <c r="J3353" s="37"/>
    </row>
    <row r="3354" spans="1:10" ht="15.95" customHeight="1" x14ac:dyDescent="0.2">
      <c r="A3354" s="39"/>
      <c r="B3354" s="36"/>
      <c r="C3354" s="37"/>
      <c r="D3354" s="37"/>
      <c r="E3354" s="37"/>
      <c r="F3354" s="37"/>
      <c r="G3354" s="37"/>
      <c r="H3354" s="37"/>
      <c r="I3354" s="35"/>
      <c r="J3354" s="37"/>
    </row>
    <row r="3355" spans="1:10" ht="15.95" customHeight="1" x14ac:dyDescent="0.2">
      <c r="A3355" s="39"/>
      <c r="B3355" s="36"/>
      <c r="C3355" s="37"/>
      <c r="D3355" s="37"/>
      <c r="E3355" s="37"/>
      <c r="F3355" s="37"/>
      <c r="G3355" s="37"/>
      <c r="H3355" s="37"/>
      <c r="I3355" s="35"/>
      <c r="J3355" s="37"/>
    </row>
    <row r="3356" spans="1:10" ht="15.95" customHeight="1" x14ac:dyDescent="0.2">
      <c r="A3356" s="39"/>
      <c r="B3356" s="36"/>
      <c r="C3356" s="37"/>
      <c r="D3356" s="37"/>
      <c r="E3356" s="37"/>
      <c r="F3356" s="37"/>
      <c r="G3356" s="37"/>
      <c r="H3356" s="37"/>
      <c r="I3356" s="35"/>
      <c r="J3356" s="37"/>
    </row>
    <row r="3357" spans="1:10" ht="15.95" customHeight="1" x14ac:dyDescent="0.2">
      <c r="A3357" s="39"/>
      <c r="B3357" s="36"/>
      <c r="C3357" s="37"/>
      <c r="D3357" s="37"/>
      <c r="E3357" s="37"/>
      <c r="F3357" s="37"/>
      <c r="G3357" s="37"/>
      <c r="H3357" s="37"/>
      <c r="I3357" s="35"/>
      <c r="J3357" s="37"/>
    </row>
    <row r="3358" spans="1:10" ht="15.95" customHeight="1" x14ac:dyDescent="0.2">
      <c r="A3358" s="39"/>
      <c r="B3358" s="36"/>
      <c r="C3358" s="37"/>
      <c r="D3358" s="37"/>
      <c r="E3358" s="37"/>
      <c r="F3358" s="37"/>
      <c r="G3358" s="37"/>
      <c r="H3358" s="37"/>
      <c r="I3358" s="35"/>
      <c r="J3358" s="37"/>
    </row>
    <row r="3359" spans="1:10" ht="15.95" customHeight="1" x14ac:dyDescent="0.2">
      <c r="A3359" s="39"/>
      <c r="B3359" s="36"/>
      <c r="C3359" s="37"/>
      <c r="D3359" s="37"/>
      <c r="E3359" s="37"/>
      <c r="F3359" s="37"/>
      <c r="G3359" s="37"/>
      <c r="H3359" s="37"/>
      <c r="I3359" s="35"/>
      <c r="J3359" s="37"/>
    </row>
    <row r="3360" spans="1:10" ht="15.95" customHeight="1" x14ac:dyDescent="0.2">
      <c r="A3360" s="39"/>
      <c r="B3360" s="36"/>
      <c r="C3360" s="37"/>
      <c r="D3360" s="37"/>
      <c r="E3360" s="37"/>
      <c r="F3360" s="37"/>
      <c r="G3360" s="37"/>
      <c r="H3360" s="37"/>
      <c r="I3360" s="35"/>
      <c r="J3360" s="37"/>
    </row>
    <row r="3361" spans="1:10" ht="15.95" customHeight="1" x14ac:dyDescent="0.2">
      <c r="A3361" s="39"/>
      <c r="B3361" s="36"/>
      <c r="C3361" s="37"/>
      <c r="D3361" s="37"/>
      <c r="E3361" s="37"/>
      <c r="F3361" s="37"/>
      <c r="G3361" s="37"/>
      <c r="H3361" s="37"/>
      <c r="I3361" s="35"/>
      <c r="J3361" s="37"/>
    </row>
    <row r="3362" spans="1:10" ht="15.95" customHeight="1" x14ac:dyDescent="0.2">
      <c r="A3362" s="39"/>
      <c r="B3362" s="36"/>
      <c r="C3362" s="37"/>
      <c r="D3362" s="37"/>
      <c r="E3362" s="37"/>
      <c r="F3362" s="37"/>
      <c r="G3362" s="37"/>
      <c r="H3362" s="37"/>
      <c r="I3362" s="35"/>
      <c r="J3362" s="37"/>
    </row>
    <row r="3363" spans="1:10" ht="15.95" customHeight="1" x14ac:dyDescent="0.2">
      <c r="A3363" s="39"/>
      <c r="B3363" s="36"/>
      <c r="C3363" s="37"/>
      <c r="D3363" s="37"/>
      <c r="E3363" s="37"/>
      <c r="F3363" s="37"/>
      <c r="G3363" s="37"/>
      <c r="H3363" s="37"/>
      <c r="I3363" s="35"/>
      <c r="J3363" s="37"/>
    </row>
    <row r="3364" spans="1:10" ht="15.95" customHeight="1" x14ac:dyDescent="0.2">
      <c r="A3364" s="39"/>
      <c r="B3364" s="36"/>
      <c r="C3364" s="37"/>
      <c r="D3364" s="37"/>
      <c r="E3364" s="37"/>
      <c r="F3364" s="37"/>
      <c r="G3364" s="37"/>
      <c r="H3364" s="37"/>
      <c r="I3364" s="35"/>
      <c r="J3364" s="37"/>
    </row>
    <row r="3365" spans="1:10" ht="15.95" customHeight="1" x14ac:dyDescent="0.2">
      <c r="A3365" s="39"/>
      <c r="B3365" s="36"/>
      <c r="C3365" s="37"/>
      <c r="D3365" s="37"/>
      <c r="E3365" s="37"/>
      <c r="F3365" s="37"/>
      <c r="G3365" s="37"/>
      <c r="H3365" s="37"/>
      <c r="I3365" s="35"/>
      <c r="J3365" s="37"/>
    </row>
    <row r="3366" spans="1:10" ht="15.95" customHeight="1" x14ac:dyDescent="0.2">
      <c r="A3366" s="39"/>
      <c r="B3366" s="36"/>
      <c r="C3366" s="37"/>
      <c r="D3366" s="37"/>
      <c r="E3366" s="37"/>
      <c r="F3366" s="37"/>
      <c r="G3366" s="37"/>
      <c r="H3366" s="37"/>
      <c r="I3366" s="35"/>
      <c r="J3366" s="37"/>
    </row>
    <row r="3367" spans="1:10" ht="15.95" customHeight="1" x14ac:dyDescent="0.2">
      <c r="A3367" s="39"/>
      <c r="B3367" s="36"/>
      <c r="C3367" s="37"/>
      <c r="D3367" s="37"/>
      <c r="E3367" s="37"/>
      <c r="F3367" s="37"/>
      <c r="G3367" s="37"/>
      <c r="H3367" s="37"/>
      <c r="I3367" s="35"/>
      <c r="J3367" s="37"/>
    </row>
    <row r="3368" spans="1:10" ht="15.95" customHeight="1" x14ac:dyDescent="0.2">
      <c r="A3368" s="39"/>
      <c r="B3368" s="36"/>
      <c r="C3368" s="37"/>
      <c r="D3368" s="37"/>
      <c r="E3368" s="37"/>
      <c r="F3368" s="37"/>
      <c r="G3368" s="37"/>
      <c r="H3368" s="37"/>
      <c r="I3368" s="35"/>
      <c r="J3368" s="37"/>
    </row>
    <row r="3369" spans="1:10" ht="15.95" customHeight="1" x14ac:dyDescent="0.2">
      <c r="A3369" s="39"/>
      <c r="B3369" s="36"/>
      <c r="C3369" s="37"/>
      <c r="D3369" s="37"/>
      <c r="E3369" s="37"/>
      <c r="F3369" s="37"/>
      <c r="G3369" s="37"/>
      <c r="H3369" s="37"/>
      <c r="I3369" s="35"/>
      <c r="J3369" s="37"/>
    </row>
    <row r="3370" spans="1:10" ht="15.95" customHeight="1" x14ac:dyDescent="0.2">
      <c r="A3370" s="39"/>
      <c r="B3370" s="36"/>
      <c r="C3370" s="37"/>
      <c r="D3370" s="37"/>
      <c r="E3370" s="37"/>
      <c r="F3370" s="37"/>
      <c r="G3370" s="37"/>
      <c r="H3370" s="37"/>
      <c r="I3370" s="35"/>
      <c r="J3370" s="37"/>
    </row>
    <row r="3371" spans="1:10" ht="15.95" customHeight="1" x14ac:dyDescent="0.2">
      <c r="A3371" s="39"/>
      <c r="B3371" s="36"/>
      <c r="C3371" s="37"/>
      <c r="D3371" s="37"/>
      <c r="E3371" s="37"/>
      <c r="F3371" s="37"/>
      <c r="G3371" s="37"/>
      <c r="H3371" s="37"/>
      <c r="I3371" s="35"/>
      <c r="J3371" s="37"/>
    </row>
    <row r="3372" spans="1:10" ht="15.95" customHeight="1" x14ac:dyDescent="0.2">
      <c r="A3372" s="39"/>
      <c r="B3372" s="36"/>
      <c r="C3372" s="37"/>
      <c r="D3372" s="37"/>
      <c r="E3372" s="37"/>
      <c r="F3372" s="37"/>
      <c r="G3372" s="37"/>
      <c r="H3372" s="37"/>
      <c r="I3372" s="35"/>
      <c r="J3372" s="37"/>
    </row>
    <row r="3373" spans="1:10" ht="15.95" customHeight="1" x14ac:dyDescent="0.2">
      <c r="A3373" s="39"/>
      <c r="B3373" s="36"/>
      <c r="C3373" s="37"/>
      <c r="D3373" s="37"/>
      <c r="E3373" s="37"/>
      <c r="F3373" s="37"/>
      <c r="G3373" s="37"/>
      <c r="H3373" s="37"/>
      <c r="I3373" s="35"/>
      <c r="J3373" s="37"/>
    </row>
    <row r="3374" spans="1:10" ht="15.95" customHeight="1" x14ac:dyDescent="0.2">
      <c r="A3374" s="39"/>
      <c r="B3374" s="36"/>
      <c r="C3374" s="37"/>
      <c r="D3374" s="37"/>
      <c r="E3374" s="37"/>
      <c r="F3374" s="37"/>
      <c r="G3374" s="37"/>
      <c r="H3374" s="37"/>
      <c r="I3374" s="35"/>
      <c r="J3374" s="37"/>
    </row>
    <row r="3375" spans="1:10" ht="15.95" customHeight="1" x14ac:dyDescent="0.2">
      <c r="A3375" s="39"/>
      <c r="B3375" s="36"/>
      <c r="C3375" s="37"/>
      <c r="D3375" s="37"/>
      <c r="E3375" s="37"/>
      <c r="F3375" s="37"/>
      <c r="G3375" s="37"/>
      <c r="H3375" s="37"/>
      <c r="I3375" s="35"/>
      <c r="J3375" s="37"/>
    </row>
    <row r="3376" spans="1:10" ht="15.95" customHeight="1" x14ac:dyDescent="0.2">
      <c r="A3376" s="39"/>
      <c r="B3376" s="36"/>
      <c r="C3376" s="37"/>
      <c r="D3376" s="37"/>
      <c r="E3376" s="37"/>
      <c r="F3376" s="37"/>
      <c r="G3376" s="37"/>
      <c r="H3376" s="37"/>
      <c r="I3376" s="35"/>
      <c r="J3376" s="37"/>
    </row>
    <row r="3377" spans="1:10" ht="15.95" customHeight="1" x14ac:dyDescent="0.2">
      <c r="A3377" s="39"/>
      <c r="B3377" s="36"/>
      <c r="C3377" s="37"/>
      <c r="D3377" s="37"/>
      <c r="E3377" s="37"/>
      <c r="F3377" s="37"/>
      <c r="G3377" s="37"/>
      <c r="H3377" s="37"/>
      <c r="I3377" s="35"/>
      <c r="J3377" s="37"/>
    </row>
    <row r="3378" spans="1:10" ht="15.95" customHeight="1" x14ac:dyDescent="0.2">
      <c r="A3378" s="39"/>
      <c r="B3378" s="36"/>
      <c r="C3378" s="37"/>
      <c r="D3378" s="37"/>
      <c r="E3378" s="37"/>
      <c r="F3378" s="37"/>
      <c r="G3378" s="37"/>
      <c r="H3378" s="37"/>
      <c r="I3378" s="35"/>
      <c r="J3378" s="37"/>
    </row>
    <row r="3379" spans="1:10" ht="15.95" customHeight="1" x14ac:dyDescent="0.2">
      <c r="A3379" s="39"/>
      <c r="B3379" s="36"/>
      <c r="C3379" s="37"/>
      <c r="D3379" s="37"/>
      <c r="E3379" s="37"/>
      <c r="F3379" s="37"/>
      <c r="G3379" s="37"/>
      <c r="H3379" s="37"/>
      <c r="I3379" s="35"/>
      <c r="J3379" s="37"/>
    </row>
    <row r="3380" spans="1:10" ht="15.95" customHeight="1" x14ac:dyDescent="0.2">
      <c r="A3380" s="39"/>
      <c r="B3380" s="36"/>
      <c r="C3380" s="37"/>
      <c r="D3380" s="37"/>
      <c r="E3380" s="37"/>
      <c r="F3380" s="37"/>
      <c r="G3380" s="37"/>
      <c r="H3380" s="37"/>
      <c r="I3380" s="35"/>
      <c r="J3380" s="37"/>
    </row>
    <row r="3381" spans="1:10" ht="15.95" customHeight="1" x14ac:dyDescent="0.2">
      <c r="A3381" s="39"/>
      <c r="B3381" s="36"/>
      <c r="C3381" s="37"/>
      <c r="D3381" s="37"/>
      <c r="E3381" s="37"/>
      <c r="F3381" s="37"/>
      <c r="G3381" s="37"/>
      <c r="H3381" s="37"/>
      <c r="I3381" s="35"/>
      <c r="J3381" s="37"/>
    </row>
    <row r="3382" spans="1:10" ht="15.95" customHeight="1" x14ac:dyDescent="0.2">
      <c r="A3382" s="39"/>
      <c r="B3382" s="36"/>
      <c r="C3382" s="37"/>
      <c r="D3382" s="37"/>
      <c r="E3382" s="37"/>
      <c r="F3382" s="37"/>
      <c r="G3382" s="37"/>
      <c r="H3382" s="37"/>
      <c r="I3382" s="35"/>
      <c r="J3382" s="37"/>
    </row>
    <row r="3383" spans="1:10" ht="15.95" customHeight="1" x14ac:dyDescent="0.2">
      <c r="A3383" s="39"/>
      <c r="B3383" s="36"/>
      <c r="C3383" s="37"/>
      <c r="D3383" s="37"/>
      <c r="E3383" s="37"/>
      <c r="F3383" s="37"/>
      <c r="G3383" s="37"/>
      <c r="H3383" s="37"/>
      <c r="I3383" s="35"/>
      <c r="J3383" s="37"/>
    </row>
    <row r="3384" spans="1:10" ht="15.95" customHeight="1" x14ac:dyDescent="0.2">
      <c r="A3384" s="39"/>
      <c r="B3384" s="36"/>
      <c r="C3384" s="37"/>
      <c r="D3384" s="37"/>
      <c r="E3384" s="37"/>
      <c r="F3384" s="37"/>
      <c r="G3384" s="37"/>
      <c r="H3384" s="37"/>
      <c r="I3384" s="35"/>
      <c r="J3384" s="37"/>
    </row>
    <row r="3385" spans="1:10" ht="15.95" customHeight="1" x14ac:dyDescent="0.2">
      <c r="A3385" s="39"/>
      <c r="B3385" s="36"/>
      <c r="C3385" s="37"/>
      <c r="D3385" s="37"/>
      <c r="E3385" s="37"/>
      <c r="F3385" s="37"/>
      <c r="G3385" s="37"/>
      <c r="H3385" s="37"/>
      <c r="I3385" s="35"/>
      <c r="J3385" s="37"/>
    </row>
    <row r="3386" spans="1:10" ht="15.95" customHeight="1" x14ac:dyDescent="0.2">
      <c r="A3386" s="39"/>
      <c r="B3386" s="36"/>
      <c r="C3386" s="37"/>
      <c r="D3386" s="37"/>
      <c r="E3386" s="37"/>
      <c r="F3386" s="37"/>
      <c r="G3386" s="37"/>
      <c r="H3386" s="37"/>
      <c r="I3386" s="35"/>
      <c r="J3386" s="37"/>
    </row>
    <row r="3387" spans="1:10" ht="15.95" customHeight="1" x14ac:dyDescent="0.2">
      <c r="A3387" s="39"/>
      <c r="B3387" s="36"/>
      <c r="C3387" s="37"/>
      <c r="D3387" s="37"/>
      <c r="E3387" s="37"/>
      <c r="F3387" s="37"/>
      <c r="G3387" s="37"/>
      <c r="H3387" s="37"/>
      <c r="I3387" s="35"/>
      <c r="J3387" s="37"/>
    </row>
    <row r="3388" spans="1:10" ht="15.95" customHeight="1" x14ac:dyDescent="0.2">
      <c r="A3388" s="39"/>
      <c r="B3388" s="36"/>
      <c r="C3388" s="37"/>
      <c r="D3388" s="37"/>
      <c r="E3388" s="37"/>
      <c r="F3388" s="37"/>
      <c r="G3388" s="37"/>
      <c r="H3388" s="37"/>
      <c r="I3388" s="35"/>
      <c r="J3388" s="37"/>
    </row>
    <row r="3389" spans="1:10" ht="15.95" customHeight="1" x14ac:dyDescent="0.2">
      <c r="A3389" s="39"/>
      <c r="B3389" s="36"/>
      <c r="C3389" s="37"/>
      <c r="D3389" s="37"/>
      <c r="E3389" s="37"/>
      <c r="F3389" s="37"/>
      <c r="G3389" s="37"/>
      <c r="H3389" s="37"/>
      <c r="I3389" s="35"/>
      <c r="J3389" s="37"/>
    </row>
    <row r="3390" spans="1:10" ht="15.95" customHeight="1" x14ac:dyDescent="0.2">
      <c r="A3390" s="39"/>
      <c r="B3390" s="36"/>
      <c r="C3390" s="37"/>
      <c r="D3390" s="37"/>
      <c r="E3390" s="37"/>
      <c r="F3390" s="37"/>
      <c r="G3390" s="37"/>
      <c r="H3390" s="37"/>
      <c r="I3390" s="35"/>
      <c r="J3390" s="37"/>
    </row>
    <row r="3391" spans="1:10" ht="15.95" customHeight="1" x14ac:dyDescent="0.2">
      <c r="A3391" s="39"/>
      <c r="B3391" s="36"/>
      <c r="C3391" s="37"/>
      <c r="D3391" s="37"/>
      <c r="E3391" s="37"/>
      <c r="F3391" s="37"/>
      <c r="G3391" s="37"/>
      <c r="H3391" s="37"/>
      <c r="I3391" s="35"/>
      <c r="J3391" s="37"/>
    </row>
    <row r="3392" spans="1:10" ht="15.95" customHeight="1" x14ac:dyDescent="0.2">
      <c r="A3392" s="39"/>
      <c r="B3392" s="36"/>
      <c r="C3392" s="37"/>
      <c r="D3392" s="37"/>
      <c r="E3392" s="37"/>
      <c r="F3392" s="37"/>
      <c r="G3392" s="37"/>
      <c r="H3392" s="37"/>
      <c r="I3392" s="35"/>
      <c r="J3392" s="37"/>
    </row>
    <row r="3393" spans="1:10" ht="15.95" customHeight="1" x14ac:dyDescent="0.2">
      <c r="A3393" s="39"/>
      <c r="B3393" s="36"/>
      <c r="C3393" s="37"/>
      <c r="D3393" s="37"/>
      <c r="E3393" s="37"/>
      <c r="F3393" s="37"/>
      <c r="G3393" s="37"/>
      <c r="H3393" s="37"/>
      <c r="I3393" s="35"/>
      <c r="J3393" s="37"/>
    </row>
    <row r="3394" spans="1:10" ht="15.95" customHeight="1" x14ac:dyDescent="0.2">
      <c r="A3394" s="39"/>
      <c r="B3394" s="36"/>
      <c r="C3394" s="37"/>
      <c r="D3394" s="37"/>
      <c r="E3394" s="37"/>
      <c r="F3394" s="37"/>
      <c r="G3394" s="37"/>
      <c r="H3394" s="37"/>
      <c r="I3394" s="35"/>
      <c r="J3394" s="37"/>
    </row>
    <row r="3395" spans="1:10" ht="15.95" customHeight="1" x14ac:dyDescent="0.2">
      <c r="A3395" s="39"/>
      <c r="B3395" s="36"/>
      <c r="C3395" s="37"/>
      <c r="D3395" s="37"/>
      <c r="E3395" s="37"/>
      <c r="F3395" s="37"/>
      <c r="G3395" s="37"/>
      <c r="H3395" s="37"/>
      <c r="I3395" s="35"/>
      <c r="J3395" s="37"/>
    </row>
    <row r="3396" spans="1:10" ht="15.95" customHeight="1" x14ac:dyDescent="0.2">
      <c r="A3396" s="39"/>
      <c r="B3396" s="36"/>
      <c r="C3396" s="37"/>
      <c r="D3396" s="37"/>
      <c r="E3396" s="37"/>
      <c r="F3396" s="37"/>
      <c r="G3396" s="37"/>
      <c r="H3396" s="37"/>
      <c r="I3396" s="35"/>
      <c r="J3396" s="37"/>
    </row>
    <row r="3397" spans="1:10" ht="15.95" customHeight="1" x14ac:dyDescent="0.2">
      <c r="A3397" s="39"/>
      <c r="B3397" s="36"/>
      <c r="C3397" s="37"/>
      <c r="D3397" s="37"/>
      <c r="E3397" s="37"/>
      <c r="F3397" s="37"/>
      <c r="G3397" s="37"/>
      <c r="H3397" s="37"/>
      <c r="I3397" s="35"/>
      <c r="J3397" s="37"/>
    </row>
    <row r="3398" spans="1:10" ht="15.95" customHeight="1" x14ac:dyDescent="0.2">
      <c r="A3398" s="39"/>
      <c r="B3398" s="36"/>
      <c r="C3398" s="37"/>
      <c r="D3398" s="37"/>
      <c r="E3398" s="37"/>
      <c r="F3398" s="37"/>
      <c r="G3398" s="37"/>
      <c r="H3398" s="37"/>
      <c r="I3398" s="35"/>
      <c r="J3398" s="37"/>
    </row>
    <row r="3399" spans="1:10" ht="15.95" customHeight="1" x14ac:dyDescent="0.2">
      <c r="A3399" s="39"/>
      <c r="B3399" s="36"/>
      <c r="C3399" s="37"/>
      <c r="D3399" s="37"/>
      <c r="E3399" s="37"/>
      <c r="F3399" s="37"/>
      <c r="G3399" s="37"/>
      <c r="H3399" s="37"/>
      <c r="I3399" s="35"/>
      <c r="J3399" s="37"/>
    </row>
    <row r="3400" spans="1:10" ht="15.95" customHeight="1" x14ac:dyDescent="0.2">
      <c r="A3400" s="39"/>
      <c r="B3400" s="36"/>
      <c r="C3400" s="37"/>
      <c r="D3400" s="37"/>
      <c r="E3400" s="37"/>
      <c r="F3400" s="37"/>
      <c r="G3400" s="37"/>
      <c r="H3400" s="37"/>
      <c r="I3400" s="35"/>
      <c r="J3400" s="37"/>
    </row>
    <row r="3401" spans="1:10" ht="15.95" customHeight="1" x14ac:dyDescent="0.2">
      <c r="A3401" s="39"/>
      <c r="B3401" s="36"/>
      <c r="C3401" s="37"/>
      <c r="D3401" s="37"/>
      <c r="E3401" s="37"/>
      <c r="F3401" s="37"/>
      <c r="G3401" s="37"/>
      <c r="H3401" s="37"/>
      <c r="I3401" s="35"/>
      <c r="J3401" s="37"/>
    </row>
    <row r="3402" spans="1:10" ht="15.95" customHeight="1" x14ac:dyDescent="0.2">
      <c r="A3402" s="39"/>
      <c r="B3402" s="36"/>
      <c r="C3402" s="37"/>
      <c r="D3402" s="37"/>
      <c r="E3402" s="37"/>
      <c r="F3402" s="37"/>
      <c r="G3402" s="37"/>
      <c r="H3402" s="37"/>
      <c r="I3402" s="35"/>
      <c r="J3402" s="37"/>
    </row>
    <row r="3403" spans="1:10" ht="15.95" customHeight="1" x14ac:dyDescent="0.2">
      <c r="A3403" s="39"/>
      <c r="B3403" s="36"/>
      <c r="C3403" s="37"/>
      <c r="D3403" s="37"/>
      <c r="E3403" s="37"/>
      <c r="F3403" s="37"/>
      <c r="G3403" s="37"/>
      <c r="H3403" s="37"/>
      <c r="I3403" s="35"/>
      <c r="J3403" s="37"/>
    </row>
    <row r="3404" spans="1:10" ht="15.95" customHeight="1" x14ac:dyDescent="0.2">
      <c r="A3404" s="39"/>
      <c r="B3404" s="36"/>
      <c r="C3404" s="37"/>
      <c r="D3404" s="37"/>
      <c r="E3404" s="37"/>
      <c r="F3404" s="37"/>
      <c r="G3404" s="37"/>
      <c r="H3404" s="37"/>
      <c r="I3404" s="35"/>
      <c r="J3404" s="37"/>
    </row>
    <row r="3405" spans="1:10" ht="15.95" customHeight="1" x14ac:dyDescent="0.2">
      <c r="A3405" s="39"/>
      <c r="B3405" s="36"/>
      <c r="C3405" s="37"/>
      <c r="D3405" s="37"/>
      <c r="E3405" s="37"/>
      <c r="F3405" s="37"/>
      <c r="G3405" s="37"/>
      <c r="H3405" s="37"/>
      <c r="I3405" s="35"/>
      <c r="J3405" s="37"/>
    </row>
    <row r="3406" spans="1:10" ht="15.95" customHeight="1" x14ac:dyDescent="0.2">
      <c r="A3406" s="39"/>
      <c r="B3406" s="36"/>
      <c r="C3406" s="37"/>
      <c r="D3406" s="37"/>
      <c r="E3406" s="37"/>
      <c r="F3406" s="37"/>
      <c r="G3406" s="37"/>
      <c r="H3406" s="37"/>
      <c r="I3406" s="35"/>
      <c r="J3406" s="37"/>
    </row>
    <row r="3407" spans="1:10" ht="15.95" customHeight="1" x14ac:dyDescent="0.2">
      <c r="A3407" s="39"/>
      <c r="B3407" s="36"/>
      <c r="C3407" s="37"/>
      <c r="D3407" s="37"/>
      <c r="E3407" s="37"/>
      <c r="F3407" s="37"/>
      <c r="G3407" s="37"/>
      <c r="H3407" s="37"/>
      <c r="I3407" s="35"/>
      <c r="J3407" s="37"/>
    </row>
    <row r="3408" spans="1:10" ht="15.95" customHeight="1" x14ac:dyDescent="0.2">
      <c r="A3408" s="39"/>
      <c r="B3408" s="36"/>
      <c r="C3408" s="37"/>
      <c r="D3408" s="37"/>
      <c r="E3408" s="37"/>
      <c r="F3408" s="37"/>
      <c r="G3408" s="37"/>
      <c r="H3408" s="37"/>
      <c r="I3408" s="35"/>
      <c r="J3408" s="37"/>
    </row>
    <row r="3409" spans="1:10" ht="15.95" customHeight="1" x14ac:dyDescent="0.2">
      <c r="A3409" s="39"/>
      <c r="B3409" s="36"/>
      <c r="C3409" s="37"/>
      <c r="D3409" s="37"/>
      <c r="E3409" s="37"/>
      <c r="F3409" s="37"/>
      <c r="G3409" s="37"/>
      <c r="H3409" s="37"/>
      <c r="I3409" s="35"/>
      <c r="J3409" s="37"/>
    </row>
    <row r="3410" spans="1:10" ht="15.95" customHeight="1" x14ac:dyDescent="0.2">
      <c r="A3410" s="39"/>
      <c r="B3410" s="36"/>
      <c r="C3410" s="37"/>
      <c r="D3410" s="37"/>
      <c r="E3410" s="37"/>
      <c r="F3410" s="37"/>
      <c r="G3410" s="37"/>
      <c r="H3410" s="37"/>
      <c r="I3410" s="35"/>
      <c r="J3410" s="37"/>
    </row>
    <row r="3411" spans="1:10" ht="15.95" customHeight="1" x14ac:dyDescent="0.2">
      <c r="A3411" s="39"/>
      <c r="B3411" s="36"/>
      <c r="C3411" s="37"/>
      <c r="D3411" s="37"/>
      <c r="E3411" s="37"/>
      <c r="F3411" s="37"/>
      <c r="G3411" s="37"/>
      <c r="H3411" s="37"/>
      <c r="I3411" s="35"/>
      <c r="J3411" s="37"/>
    </row>
    <row r="3412" spans="1:10" ht="15.95" customHeight="1" x14ac:dyDescent="0.2">
      <c r="A3412" s="39"/>
      <c r="B3412" s="36"/>
      <c r="C3412" s="37"/>
      <c r="D3412" s="37"/>
      <c r="E3412" s="37"/>
      <c r="F3412" s="37"/>
      <c r="G3412" s="37"/>
      <c r="H3412" s="37"/>
      <c r="I3412" s="35"/>
      <c r="J3412" s="37"/>
    </row>
    <row r="3413" spans="1:10" ht="15.95" customHeight="1" x14ac:dyDescent="0.2">
      <c r="A3413" s="39"/>
      <c r="B3413" s="36"/>
      <c r="C3413" s="37"/>
      <c r="D3413" s="37"/>
      <c r="E3413" s="37"/>
      <c r="F3413" s="37"/>
      <c r="G3413" s="37"/>
      <c r="H3413" s="37"/>
      <c r="I3413" s="35"/>
      <c r="J3413" s="37"/>
    </row>
    <row r="3414" spans="1:10" ht="15.95" customHeight="1" x14ac:dyDescent="0.2">
      <c r="A3414" s="39"/>
      <c r="B3414" s="36"/>
      <c r="C3414" s="37"/>
      <c r="D3414" s="37"/>
      <c r="E3414" s="37"/>
      <c r="F3414" s="37"/>
      <c r="G3414" s="37"/>
      <c r="H3414" s="37"/>
      <c r="I3414" s="35"/>
      <c r="J3414" s="37"/>
    </row>
    <row r="3415" spans="1:10" ht="15.95" customHeight="1" x14ac:dyDescent="0.2">
      <c r="A3415" s="39"/>
      <c r="B3415" s="36"/>
      <c r="C3415" s="37"/>
      <c r="D3415" s="37"/>
      <c r="E3415" s="37"/>
      <c r="F3415" s="37"/>
      <c r="G3415" s="37"/>
      <c r="H3415" s="37"/>
      <c r="I3415" s="35"/>
      <c r="J3415" s="37"/>
    </row>
    <row r="3416" spans="1:10" ht="15.95" customHeight="1" x14ac:dyDescent="0.2">
      <c r="A3416" s="39"/>
      <c r="B3416" s="36"/>
      <c r="C3416" s="37"/>
      <c r="D3416" s="37"/>
      <c r="E3416" s="37"/>
      <c r="F3416" s="37"/>
      <c r="G3416" s="37"/>
      <c r="H3416" s="37"/>
      <c r="I3416" s="35"/>
      <c r="J3416" s="37"/>
    </row>
    <row r="3417" spans="1:10" ht="15.95" customHeight="1" x14ac:dyDescent="0.2">
      <c r="A3417" s="39"/>
      <c r="B3417" s="36"/>
      <c r="C3417" s="37"/>
      <c r="D3417" s="37"/>
      <c r="E3417" s="37"/>
      <c r="F3417" s="37"/>
      <c r="G3417" s="37"/>
      <c r="H3417" s="37"/>
      <c r="I3417" s="35"/>
      <c r="J3417" s="37"/>
    </row>
    <row r="3418" spans="1:10" ht="15.95" customHeight="1" x14ac:dyDescent="0.2">
      <c r="A3418" s="39"/>
      <c r="B3418" s="36"/>
      <c r="C3418" s="37"/>
      <c r="D3418" s="37"/>
      <c r="E3418" s="37"/>
      <c r="F3418" s="37"/>
      <c r="G3418" s="37"/>
      <c r="H3418" s="37"/>
      <c r="I3418" s="35"/>
      <c r="J3418" s="37"/>
    </row>
    <row r="3419" spans="1:10" ht="15.95" customHeight="1" x14ac:dyDescent="0.2">
      <c r="A3419" s="39"/>
      <c r="B3419" s="36"/>
      <c r="C3419" s="37"/>
      <c r="D3419" s="37"/>
      <c r="E3419" s="37"/>
      <c r="F3419" s="37"/>
      <c r="G3419" s="37"/>
      <c r="H3419" s="37"/>
      <c r="I3419" s="35"/>
      <c r="J3419" s="37"/>
    </row>
    <row r="3420" spans="1:10" ht="15.95" customHeight="1" x14ac:dyDescent="0.2">
      <c r="A3420" s="39"/>
      <c r="B3420" s="36"/>
      <c r="C3420" s="37"/>
      <c r="D3420" s="37"/>
      <c r="E3420" s="37"/>
      <c r="F3420" s="37"/>
      <c r="G3420" s="37"/>
      <c r="H3420" s="37"/>
      <c r="I3420" s="35"/>
      <c r="J3420" s="37"/>
    </row>
    <row r="3421" spans="1:10" ht="15.95" customHeight="1" x14ac:dyDescent="0.2">
      <c r="A3421" s="39"/>
      <c r="B3421" s="36"/>
      <c r="C3421" s="37"/>
      <c r="D3421" s="37"/>
      <c r="E3421" s="37"/>
      <c r="F3421" s="37"/>
      <c r="G3421" s="37"/>
      <c r="H3421" s="37"/>
      <c r="I3421" s="35"/>
      <c r="J3421" s="37"/>
    </row>
    <row r="3422" spans="1:10" ht="15.95" customHeight="1" x14ac:dyDescent="0.2">
      <c r="A3422" s="39"/>
      <c r="B3422" s="36"/>
      <c r="C3422" s="37"/>
      <c r="D3422" s="37"/>
      <c r="E3422" s="37"/>
      <c r="F3422" s="37"/>
      <c r="G3422" s="37"/>
      <c r="H3422" s="37"/>
      <c r="I3422" s="35"/>
      <c r="J3422" s="37"/>
    </row>
    <row r="3423" spans="1:10" ht="15.95" customHeight="1" x14ac:dyDescent="0.2">
      <c r="A3423" s="39"/>
      <c r="B3423" s="36"/>
      <c r="C3423" s="37"/>
      <c r="D3423" s="37"/>
      <c r="E3423" s="37"/>
      <c r="F3423" s="37"/>
      <c r="G3423" s="37"/>
      <c r="H3423" s="37"/>
      <c r="I3423" s="35"/>
      <c r="J3423" s="37"/>
    </row>
    <row r="3424" spans="1:10" ht="15.95" customHeight="1" x14ac:dyDescent="0.2">
      <c r="A3424" s="39"/>
      <c r="B3424" s="36"/>
      <c r="C3424" s="37"/>
      <c r="D3424" s="37"/>
      <c r="E3424" s="37"/>
      <c r="F3424" s="37"/>
      <c r="G3424" s="37"/>
      <c r="H3424" s="37"/>
      <c r="I3424" s="35"/>
      <c r="J3424" s="37"/>
    </row>
    <row r="3425" spans="1:10" ht="15.95" customHeight="1" x14ac:dyDescent="0.2">
      <c r="A3425" s="39"/>
      <c r="B3425" s="36"/>
      <c r="C3425" s="37"/>
      <c r="D3425" s="37"/>
      <c r="E3425" s="37"/>
      <c r="F3425" s="37"/>
      <c r="G3425" s="37"/>
      <c r="H3425" s="37"/>
      <c r="I3425" s="35"/>
      <c r="J3425" s="37"/>
    </row>
    <row r="3426" spans="1:10" ht="15.95" customHeight="1" x14ac:dyDescent="0.2">
      <c r="A3426" s="39"/>
      <c r="B3426" s="36"/>
      <c r="C3426" s="37"/>
      <c r="D3426" s="37"/>
      <c r="E3426" s="37"/>
      <c r="F3426" s="37"/>
      <c r="G3426" s="37"/>
      <c r="H3426" s="37"/>
      <c r="I3426" s="35"/>
      <c r="J3426" s="37"/>
    </row>
    <row r="3427" spans="1:10" ht="15.95" customHeight="1" x14ac:dyDescent="0.2">
      <c r="A3427" s="39"/>
      <c r="B3427" s="36"/>
      <c r="C3427" s="37"/>
      <c r="D3427" s="37"/>
      <c r="E3427" s="37"/>
      <c r="F3427" s="37"/>
      <c r="G3427" s="37"/>
      <c r="H3427" s="37"/>
      <c r="I3427" s="35"/>
      <c r="J3427" s="37"/>
    </row>
    <row r="3428" spans="1:10" ht="15.95" customHeight="1" x14ac:dyDescent="0.2">
      <c r="A3428" s="39"/>
      <c r="B3428" s="36"/>
      <c r="C3428" s="37"/>
      <c r="D3428" s="37"/>
      <c r="E3428" s="37"/>
      <c r="F3428" s="37"/>
      <c r="G3428" s="37"/>
      <c r="H3428" s="37"/>
      <c r="I3428" s="35"/>
      <c r="J3428" s="37"/>
    </row>
    <row r="3429" spans="1:10" ht="15.95" customHeight="1" x14ac:dyDescent="0.2">
      <c r="A3429" s="39"/>
      <c r="B3429" s="36"/>
      <c r="C3429" s="37"/>
      <c r="D3429" s="37"/>
      <c r="E3429" s="37"/>
      <c r="F3429" s="37"/>
      <c r="G3429" s="37"/>
      <c r="H3429" s="37"/>
      <c r="I3429" s="35"/>
      <c r="J3429" s="37"/>
    </row>
    <row r="3430" spans="1:10" ht="15.95" customHeight="1" x14ac:dyDescent="0.2">
      <c r="A3430" s="39"/>
      <c r="B3430" s="36"/>
      <c r="C3430" s="37"/>
      <c r="D3430" s="37"/>
      <c r="E3430" s="37"/>
      <c r="F3430" s="37"/>
      <c r="G3430" s="37"/>
      <c r="H3430" s="37"/>
      <c r="I3430" s="35"/>
      <c r="J3430" s="37"/>
    </row>
    <row r="3431" spans="1:10" ht="15.95" customHeight="1" x14ac:dyDescent="0.2">
      <c r="A3431" s="39"/>
      <c r="B3431" s="36"/>
      <c r="C3431" s="37"/>
      <c r="D3431" s="37"/>
      <c r="E3431" s="37"/>
      <c r="F3431" s="37"/>
      <c r="G3431" s="37"/>
      <c r="H3431" s="37"/>
      <c r="I3431" s="35"/>
      <c r="J3431" s="37"/>
    </row>
    <row r="3432" spans="1:10" ht="15.95" customHeight="1" x14ac:dyDescent="0.2">
      <c r="A3432" s="39"/>
      <c r="B3432" s="36"/>
      <c r="C3432" s="37"/>
      <c r="D3432" s="37"/>
      <c r="E3432" s="37"/>
      <c r="F3432" s="37"/>
      <c r="G3432" s="37"/>
      <c r="H3432" s="37"/>
      <c r="I3432" s="35"/>
      <c r="J3432" s="37"/>
    </row>
    <row r="3433" spans="1:10" ht="15.95" customHeight="1" x14ac:dyDescent="0.2">
      <c r="A3433" s="39"/>
      <c r="B3433" s="36"/>
      <c r="C3433" s="37"/>
      <c r="D3433" s="37"/>
      <c r="E3433" s="37"/>
      <c r="F3433" s="37"/>
      <c r="G3433" s="37"/>
      <c r="H3433" s="37"/>
      <c r="I3433" s="35"/>
      <c r="J3433" s="37"/>
    </row>
    <row r="3434" spans="1:10" ht="15.95" customHeight="1" x14ac:dyDescent="0.2">
      <c r="A3434" s="39"/>
      <c r="B3434" s="36"/>
      <c r="C3434" s="37"/>
      <c r="D3434" s="37"/>
      <c r="E3434" s="37"/>
      <c r="F3434" s="37"/>
      <c r="G3434" s="37"/>
      <c r="H3434" s="37"/>
      <c r="I3434" s="35"/>
      <c r="J3434" s="37"/>
    </row>
    <row r="3435" spans="1:10" ht="15.95" customHeight="1" x14ac:dyDescent="0.2">
      <c r="A3435" s="39"/>
      <c r="B3435" s="36"/>
      <c r="C3435" s="37"/>
      <c r="D3435" s="37"/>
      <c r="E3435" s="37"/>
      <c r="F3435" s="37"/>
      <c r="G3435" s="37"/>
      <c r="H3435" s="37"/>
      <c r="I3435" s="35"/>
      <c r="J3435" s="37"/>
    </row>
    <row r="3436" spans="1:10" ht="15.95" customHeight="1" x14ac:dyDescent="0.2">
      <c r="A3436" s="39"/>
      <c r="B3436" s="36"/>
      <c r="C3436" s="37"/>
      <c r="D3436" s="37"/>
      <c r="E3436" s="37"/>
      <c r="F3436" s="37"/>
      <c r="G3436" s="37"/>
      <c r="H3436" s="37"/>
      <c r="I3436" s="35"/>
      <c r="J3436" s="37"/>
    </row>
    <row r="3437" spans="1:10" ht="15.95" customHeight="1" x14ac:dyDescent="0.2">
      <c r="A3437" s="39"/>
      <c r="B3437" s="36"/>
      <c r="C3437" s="37"/>
      <c r="D3437" s="37"/>
      <c r="E3437" s="37"/>
      <c r="F3437" s="37"/>
      <c r="G3437" s="37"/>
      <c r="H3437" s="37"/>
      <c r="I3437" s="35"/>
      <c r="J3437" s="37"/>
    </row>
    <row r="3438" spans="1:10" ht="15.95" customHeight="1" x14ac:dyDescent="0.2">
      <c r="A3438" s="39"/>
      <c r="B3438" s="36"/>
      <c r="C3438" s="37"/>
      <c r="D3438" s="37"/>
      <c r="E3438" s="37"/>
      <c r="F3438" s="37"/>
      <c r="G3438" s="37"/>
      <c r="H3438" s="37"/>
      <c r="I3438" s="35"/>
      <c r="J3438" s="37"/>
    </row>
    <row r="3439" spans="1:10" ht="15.95" customHeight="1" x14ac:dyDescent="0.2">
      <c r="A3439" s="39"/>
      <c r="B3439" s="36"/>
      <c r="C3439" s="37"/>
      <c r="D3439" s="37"/>
      <c r="E3439" s="37"/>
      <c r="F3439" s="37"/>
      <c r="G3439" s="37"/>
      <c r="H3439" s="37"/>
      <c r="I3439" s="35"/>
      <c r="J3439" s="37"/>
    </row>
    <row r="3440" spans="1:10" ht="15.95" customHeight="1" x14ac:dyDescent="0.2">
      <c r="A3440" s="39"/>
      <c r="B3440" s="36"/>
      <c r="C3440" s="37"/>
      <c r="D3440" s="37"/>
      <c r="E3440" s="37"/>
      <c r="F3440" s="37"/>
      <c r="G3440" s="37"/>
      <c r="H3440" s="37"/>
      <c r="I3440" s="35"/>
      <c r="J3440" s="37"/>
    </row>
    <row r="3441" spans="1:10" ht="15.95" customHeight="1" x14ac:dyDescent="0.2">
      <c r="A3441" s="39"/>
      <c r="B3441" s="36"/>
      <c r="C3441" s="37"/>
      <c r="D3441" s="37"/>
      <c r="E3441" s="37"/>
      <c r="F3441" s="37"/>
      <c r="G3441" s="37"/>
      <c r="H3441" s="37"/>
      <c r="I3441" s="35"/>
      <c r="J3441" s="37"/>
    </row>
    <row r="3442" spans="1:10" ht="15.95" customHeight="1" x14ac:dyDescent="0.2">
      <c r="A3442" s="39"/>
      <c r="B3442" s="36"/>
      <c r="C3442" s="37"/>
      <c r="D3442" s="37"/>
      <c r="E3442" s="37"/>
      <c r="F3442" s="37"/>
      <c r="G3442" s="37"/>
      <c r="H3442" s="37"/>
      <c r="I3442" s="35"/>
      <c r="J3442" s="37"/>
    </row>
    <row r="3443" spans="1:10" ht="15.95" customHeight="1" x14ac:dyDescent="0.2">
      <c r="A3443" s="39"/>
      <c r="B3443" s="36"/>
      <c r="C3443" s="37"/>
      <c r="D3443" s="37"/>
      <c r="E3443" s="37"/>
      <c r="F3443" s="37"/>
      <c r="G3443" s="37"/>
      <c r="H3443" s="37"/>
      <c r="I3443" s="35"/>
      <c r="J3443" s="37"/>
    </row>
    <row r="3444" spans="1:10" ht="15.95" customHeight="1" x14ac:dyDescent="0.2">
      <c r="A3444" s="39"/>
      <c r="B3444" s="36"/>
      <c r="C3444" s="37"/>
      <c r="D3444" s="37"/>
      <c r="E3444" s="37"/>
      <c r="F3444" s="37"/>
      <c r="G3444" s="37"/>
      <c r="H3444" s="37"/>
      <c r="I3444" s="35"/>
      <c r="J3444" s="37"/>
    </row>
    <row r="3445" spans="1:10" ht="15.95" customHeight="1" x14ac:dyDescent="0.2">
      <c r="A3445" s="39"/>
      <c r="B3445" s="36"/>
      <c r="C3445" s="37"/>
      <c r="D3445" s="37"/>
      <c r="E3445" s="37"/>
      <c r="F3445" s="37"/>
      <c r="G3445" s="37"/>
      <c r="H3445" s="37"/>
      <c r="I3445" s="35"/>
      <c r="J3445" s="37"/>
    </row>
    <row r="3446" spans="1:10" ht="15.95" customHeight="1" x14ac:dyDescent="0.2">
      <c r="A3446" s="39"/>
      <c r="B3446" s="36"/>
      <c r="C3446" s="37"/>
      <c r="D3446" s="37"/>
      <c r="E3446" s="37"/>
      <c r="F3446" s="37"/>
      <c r="G3446" s="37"/>
      <c r="H3446" s="37"/>
      <c r="I3446" s="35"/>
      <c r="J3446" s="37"/>
    </row>
    <row r="3447" spans="1:10" ht="15.95" customHeight="1" x14ac:dyDescent="0.2">
      <c r="A3447" s="39"/>
      <c r="B3447" s="36"/>
      <c r="C3447" s="37"/>
      <c r="D3447" s="37"/>
      <c r="E3447" s="37"/>
      <c r="F3447" s="37"/>
      <c r="G3447" s="37"/>
      <c r="H3447" s="37"/>
      <c r="I3447" s="35"/>
      <c r="J3447" s="37"/>
    </row>
    <row r="3448" spans="1:10" ht="15.95" customHeight="1" x14ac:dyDescent="0.2">
      <c r="A3448" s="39"/>
      <c r="B3448" s="36"/>
      <c r="C3448" s="37"/>
      <c r="D3448" s="37"/>
      <c r="E3448" s="37"/>
      <c r="F3448" s="37"/>
      <c r="G3448" s="37"/>
      <c r="H3448" s="37"/>
      <c r="I3448" s="35"/>
      <c r="J3448" s="37"/>
    </row>
    <row r="3449" spans="1:10" ht="15.95" customHeight="1" x14ac:dyDescent="0.2">
      <c r="A3449" s="39"/>
      <c r="B3449" s="36"/>
      <c r="C3449" s="37"/>
      <c r="D3449" s="37"/>
      <c r="E3449" s="37"/>
      <c r="F3449" s="37"/>
      <c r="G3449" s="37"/>
      <c r="H3449" s="37"/>
      <c r="I3449" s="35"/>
      <c r="J3449" s="37"/>
    </row>
    <row r="3450" spans="1:10" ht="15.95" customHeight="1" x14ac:dyDescent="0.2">
      <c r="A3450" s="39"/>
      <c r="B3450" s="36"/>
      <c r="C3450" s="37"/>
      <c r="D3450" s="37"/>
      <c r="E3450" s="37"/>
      <c r="F3450" s="37"/>
      <c r="G3450" s="37"/>
      <c r="H3450" s="37"/>
      <c r="I3450" s="35"/>
      <c r="J3450" s="37"/>
    </row>
    <row r="3451" spans="1:10" ht="15.95" customHeight="1" x14ac:dyDescent="0.2">
      <c r="A3451" s="39"/>
      <c r="B3451" s="36"/>
      <c r="C3451" s="37"/>
      <c r="D3451" s="37"/>
      <c r="E3451" s="37"/>
      <c r="F3451" s="37"/>
      <c r="G3451" s="37"/>
      <c r="H3451" s="37"/>
      <c r="I3451" s="35"/>
      <c r="J3451" s="37"/>
    </row>
    <row r="3452" spans="1:10" ht="15.95" customHeight="1" x14ac:dyDescent="0.2">
      <c r="A3452" s="39"/>
      <c r="B3452" s="36"/>
      <c r="C3452" s="37"/>
      <c r="D3452" s="37"/>
      <c r="E3452" s="37"/>
      <c r="F3452" s="37"/>
      <c r="G3452" s="37"/>
      <c r="H3452" s="37"/>
      <c r="I3452" s="35"/>
      <c r="J3452" s="37"/>
    </row>
    <row r="3453" spans="1:10" ht="15.95" customHeight="1" x14ac:dyDescent="0.2">
      <c r="A3453" s="39"/>
      <c r="B3453" s="36"/>
      <c r="C3453" s="37"/>
      <c r="D3453" s="37"/>
      <c r="E3453" s="37"/>
      <c r="F3453" s="37"/>
      <c r="G3453" s="37"/>
      <c r="H3453" s="37"/>
      <c r="I3453" s="35"/>
      <c r="J3453" s="37"/>
    </row>
    <row r="3454" spans="1:10" ht="15.95" customHeight="1" x14ac:dyDescent="0.2">
      <c r="A3454" s="39"/>
      <c r="B3454" s="36"/>
      <c r="C3454" s="37"/>
      <c r="D3454" s="37"/>
      <c r="E3454" s="37"/>
      <c r="F3454" s="37"/>
      <c r="G3454" s="37"/>
      <c r="H3454" s="37"/>
      <c r="I3454" s="35"/>
      <c r="J3454" s="37"/>
    </row>
    <row r="3455" spans="1:10" ht="15.95" customHeight="1" x14ac:dyDescent="0.2">
      <c r="A3455" s="39"/>
      <c r="B3455" s="36"/>
      <c r="C3455" s="37"/>
      <c r="D3455" s="37"/>
      <c r="E3455" s="37"/>
      <c r="F3455" s="37"/>
      <c r="G3455" s="37"/>
      <c r="H3455" s="37"/>
      <c r="I3455" s="35"/>
      <c r="J3455" s="37"/>
    </row>
    <row r="3456" spans="1:10" ht="15.95" customHeight="1" x14ac:dyDescent="0.2">
      <c r="A3456" s="39"/>
      <c r="B3456" s="36"/>
      <c r="C3456" s="37"/>
      <c r="D3456" s="37"/>
      <c r="E3456" s="37"/>
      <c r="F3456" s="37"/>
      <c r="G3456" s="37"/>
      <c r="H3456" s="37"/>
      <c r="I3456" s="35"/>
      <c r="J3456" s="37"/>
    </row>
    <row r="3457" spans="1:10" ht="15.95" customHeight="1" x14ac:dyDescent="0.2">
      <c r="A3457" s="39"/>
      <c r="B3457" s="36"/>
      <c r="C3457" s="37"/>
      <c r="D3457" s="37"/>
      <c r="E3457" s="37"/>
      <c r="F3457" s="37"/>
      <c r="G3457" s="37"/>
      <c r="H3457" s="37"/>
      <c r="I3457" s="35"/>
      <c r="J3457" s="37"/>
    </row>
    <row r="3458" spans="1:10" ht="15.95" customHeight="1" x14ac:dyDescent="0.2">
      <c r="A3458" s="39"/>
      <c r="B3458" s="36"/>
      <c r="C3458" s="37"/>
      <c r="D3458" s="37"/>
      <c r="E3458" s="37"/>
      <c r="F3458" s="37"/>
      <c r="G3458" s="37"/>
      <c r="H3458" s="37"/>
      <c r="I3458" s="35"/>
      <c r="J3458" s="37"/>
    </row>
    <row r="3459" spans="1:10" ht="15.95" customHeight="1" x14ac:dyDescent="0.2">
      <c r="A3459" s="39"/>
      <c r="B3459" s="36"/>
      <c r="C3459" s="37"/>
      <c r="D3459" s="37"/>
      <c r="E3459" s="37"/>
      <c r="F3459" s="37"/>
      <c r="G3459" s="37"/>
      <c r="H3459" s="37"/>
      <c r="I3459" s="35"/>
      <c r="J3459" s="37"/>
    </row>
    <row r="3460" spans="1:10" ht="15.95" customHeight="1" x14ac:dyDescent="0.2">
      <c r="A3460" s="39"/>
      <c r="B3460" s="36"/>
      <c r="C3460" s="37"/>
      <c r="D3460" s="37"/>
      <c r="E3460" s="37"/>
      <c r="F3460" s="37"/>
      <c r="G3460" s="37"/>
      <c r="H3460" s="37"/>
      <c r="I3460" s="35"/>
      <c r="J3460" s="37"/>
    </row>
    <row r="3461" spans="1:10" ht="15.95" customHeight="1" x14ac:dyDescent="0.2">
      <c r="A3461" s="39"/>
      <c r="B3461" s="36"/>
      <c r="C3461" s="37"/>
      <c r="D3461" s="37"/>
      <c r="E3461" s="37"/>
      <c r="F3461" s="37"/>
      <c r="G3461" s="37"/>
      <c r="H3461" s="37"/>
      <c r="I3461" s="35"/>
      <c r="J3461" s="37"/>
    </row>
    <row r="3462" spans="1:10" ht="15.95" customHeight="1" x14ac:dyDescent="0.2">
      <c r="A3462" s="39"/>
      <c r="B3462" s="36"/>
      <c r="C3462" s="37"/>
      <c r="D3462" s="37"/>
      <c r="E3462" s="37"/>
      <c r="F3462" s="37"/>
      <c r="G3462" s="37"/>
      <c r="H3462" s="37"/>
      <c r="I3462" s="35"/>
      <c r="J3462" s="37"/>
    </row>
    <row r="3463" spans="1:10" ht="15.95" customHeight="1" x14ac:dyDescent="0.2">
      <c r="A3463" s="39"/>
      <c r="B3463" s="36"/>
      <c r="C3463" s="37"/>
      <c r="D3463" s="37"/>
      <c r="E3463" s="37"/>
      <c r="F3463" s="37"/>
      <c r="G3463" s="37"/>
      <c r="H3463" s="37"/>
      <c r="I3463" s="35"/>
      <c r="J3463" s="37"/>
    </row>
    <row r="3464" spans="1:10" ht="15.95" customHeight="1" x14ac:dyDescent="0.2">
      <c r="A3464" s="39"/>
      <c r="B3464" s="36"/>
      <c r="C3464" s="37"/>
      <c r="D3464" s="37"/>
      <c r="E3464" s="37"/>
      <c r="F3464" s="37"/>
      <c r="G3464" s="37"/>
      <c r="H3464" s="37"/>
      <c r="I3464" s="35"/>
      <c r="J3464" s="37"/>
    </row>
    <row r="3465" spans="1:10" ht="15.95" customHeight="1" x14ac:dyDescent="0.2">
      <c r="A3465" s="39"/>
      <c r="B3465" s="36"/>
      <c r="C3465" s="37"/>
      <c r="D3465" s="37"/>
      <c r="E3465" s="37"/>
      <c r="F3465" s="37"/>
      <c r="G3465" s="37"/>
      <c r="H3465" s="37"/>
      <c r="I3465" s="35"/>
      <c r="J3465" s="37"/>
    </row>
    <row r="3466" spans="1:10" ht="15.95" customHeight="1" x14ac:dyDescent="0.2">
      <c r="A3466" s="39"/>
      <c r="B3466" s="36"/>
      <c r="C3466" s="37"/>
      <c r="D3466" s="37"/>
      <c r="E3466" s="37"/>
      <c r="F3466" s="37"/>
      <c r="G3466" s="37"/>
      <c r="H3466" s="37"/>
      <c r="I3466" s="35"/>
      <c r="J3466" s="37"/>
    </row>
    <row r="3467" spans="1:10" ht="15.95" customHeight="1" x14ac:dyDescent="0.2">
      <c r="A3467" s="39"/>
      <c r="B3467" s="36"/>
      <c r="C3467" s="37"/>
      <c r="D3467" s="37"/>
      <c r="E3467" s="37"/>
      <c r="F3467" s="37"/>
      <c r="G3467" s="37"/>
      <c r="H3467" s="37"/>
      <c r="I3467" s="35"/>
      <c r="J3467" s="37"/>
    </row>
    <row r="3468" spans="1:10" ht="15.95" customHeight="1" x14ac:dyDescent="0.2">
      <c r="A3468" s="39"/>
      <c r="B3468" s="36"/>
      <c r="C3468" s="37"/>
      <c r="D3468" s="37"/>
      <c r="E3468" s="37"/>
      <c r="F3468" s="37"/>
      <c r="G3468" s="37"/>
      <c r="H3468" s="37"/>
      <c r="I3468" s="35"/>
      <c r="J3468" s="37"/>
    </row>
    <row r="3469" spans="1:10" ht="15.95" customHeight="1" x14ac:dyDescent="0.2">
      <c r="A3469" s="39"/>
      <c r="B3469" s="36"/>
      <c r="C3469" s="37"/>
      <c r="D3469" s="37"/>
      <c r="E3469" s="37"/>
      <c r="F3469" s="37"/>
      <c r="G3469" s="37"/>
      <c r="H3469" s="37"/>
      <c r="I3469" s="35"/>
      <c r="J3469" s="37"/>
    </row>
    <row r="3470" spans="1:10" ht="15.95" customHeight="1" x14ac:dyDescent="0.2">
      <c r="A3470" s="39"/>
      <c r="B3470" s="36"/>
      <c r="C3470" s="37"/>
      <c r="D3470" s="37"/>
      <c r="E3470" s="37"/>
      <c r="F3470" s="37"/>
      <c r="G3470" s="37"/>
      <c r="H3470" s="37"/>
      <c r="I3470" s="35"/>
      <c r="J3470" s="37"/>
    </row>
    <row r="3471" spans="1:10" ht="15.95" customHeight="1" x14ac:dyDescent="0.2">
      <c r="A3471" s="39"/>
      <c r="B3471" s="36"/>
      <c r="C3471" s="37"/>
      <c r="D3471" s="37"/>
      <c r="E3471" s="37"/>
      <c r="F3471" s="37"/>
      <c r="G3471" s="37"/>
      <c r="H3471" s="37"/>
      <c r="I3471" s="35"/>
      <c r="J3471" s="37"/>
    </row>
    <row r="3472" spans="1:10" ht="15.95" customHeight="1" x14ac:dyDescent="0.2">
      <c r="A3472" s="39"/>
      <c r="B3472" s="36"/>
      <c r="C3472" s="37"/>
      <c r="D3472" s="37"/>
      <c r="E3472" s="37"/>
      <c r="F3472" s="37"/>
      <c r="G3472" s="37"/>
      <c r="H3472" s="37"/>
      <c r="I3472" s="35"/>
      <c r="J3472" s="37"/>
    </row>
    <row r="3473" spans="1:10" ht="15.95" customHeight="1" x14ac:dyDescent="0.2">
      <c r="A3473" s="39"/>
      <c r="B3473" s="36"/>
      <c r="C3473" s="37"/>
      <c r="D3473" s="37"/>
      <c r="E3473" s="37"/>
      <c r="F3473" s="37"/>
      <c r="G3473" s="37"/>
      <c r="H3473" s="37"/>
      <c r="I3473" s="35"/>
      <c r="J3473" s="37"/>
    </row>
    <row r="3474" spans="1:10" ht="15.95" customHeight="1" x14ac:dyDescent="0.2">
      <c r="A3474" s="39"/>
      <c r="B3474" s="36"/>
      <c r="C3474" s="37"/>
      <c r="D3474" s="37"/>
      <c r="E3474" s="37"/>
      <c r="F3474" s="37"/>
      <c r="G3474" s="37"/>
      <c r="H3474" s="37"/>
      <c r="I3474" s="35"/>
      <c r="J3474" s="37"/>
    </row>
    <row r="3475" spans="1:10" ht="15.95" customHeight="1" x14ac:dyDescent="0.2">
      <c r="A3475" s="39"/>
      <c r="B3475" s="36"/>
      <c r="C3475" s="37"/>
      <c r="D3475" s="37"/>
      <c r="E3475" s="37"/>
      <c r="F3475" s="37"/>
      <c r="G3475" s="37"/>
      <c r="H3475" s="37"/>
      <c r="I3475" s="35"/>
      <c r="J3475" s="37"/>
    </row>
    <row r="3476" spans="1:10" ht="15.95" customHeight="1" x14ac:dyDescent="0.2">
      <c r="A3476" s="39"/>
      <c r="B3476" s="36"/>
      <c r="C3476" s="37"/>
      <c r="D3476" s="37"/>
      <c r="E3476" s="37"/>
      <c r="F3476" s="37"/>
      <c r="G3476" s="37"/>
      <c r="H3476" s="37"/>
      <c r="I3476" s="35"/>
      <c r="J3476" s="37"/>
    </row>
    <row r="3477" spans="1:10" ht="15.95" customHeight="1" x14ac:dyDescent="0.2">
      <c r="A3477" s="39"/>
      <c r="B3477" s="36"/>
      <c r="C3477" s="37"/>
      <c r="D3477" s="37"/>
      <c r="E3477" s="37"/>
      <c r="F3477" s="37"/>
      <c r="G3477" s="37"/>
      <c r="H3477" s="37"/>
      <c r="I3477" s="35"/>
      <c r="J3477" s="37"/>
    </row>
    <row r="3478" spans="1:10" ht="15.95" customHeight="1" x14ac:dyDescent="0.2">
      <c r="A3478" s="39"/>
      <c r="B3478" s="36"/>
      <c r="C3478" s="37"/>
      <c r="D3478" s="37"/>
      <c r="E3478" s="37"/>
      <c r="F3478" s="37"/>
      <c r="G3478" s="37"/>
      <c r="H3478" s="37"/>
      <c r="I3478" s="35"/>
      <c r="J3478" s="37"/>
    </row>
    <row r="3479" spans="1:10" ht="15.95" customHeight="1" x14ac:dyDescent="0.2">
      <c r="A3479" s="39"/>
      <c r="B3479" s="36"/>
      <c r="C3479" s="37"/>
      <c r="D3479" s="37"/>
      <c r="E3479" s="37"/>
      <c r="F3479" s="37"/>
      <c r="G3479" s="37"/>
      <c r="H3479" s="37"/>
      <c r="I3479" s="35"/>
      <c r="J3479" s="37"/>
    </row>
    <row r="3480" spans="1:10" ht="15.95" customHeight="1" x14ac:dyDescent="0.2">
      <c r="A3480" s="39"/>
      <c r="B3480" s="36"/>
      <c r="C3480" s="37"/>
      <c r="D3480" s="37"/>
      <c r="E3480" s="37"/>
      <c r="F3480" s="37"/>
      <c r="G3480" s="37"/>
      <c r="H3480" s="37"/>
      <c r="I3480" s="35"/>
      <c r="J3480" s="37"/>
    </row>
    <row r="3481" spans="1:10" ht="15.95" customHeight="1" x14ac:dyDescent="0.2">
      <c r="A3481" s="39"/>
      <c r="B3481" s="36"/>
      <c r="C3481" s="37"/>
      <c r="D3481" s="37"/>
      <c r="E3481" s="37"/>
      <c r="F3481" s="37"/>
      <c r="G3481" s="37"/>
      <c r="H3481" s="37"/>
      <c r="I3481" s="35"/>
      <c r="J3481" s="37"/>
    </row>
    <row r="3482" spans="1:10" ht="15.95" customHeight="1" x14ac:dyDescent="0.2">
      <c r="A3482" s="39"/>
      <c r="B3482" s="36"/>
      <c r="C3482" s="37"/>
      <c r="D3482" s="37"/>
      <c r="E3482" s="37"/>
      <c r="F3482" s="37"/>
      <c r="G3482" s="37"/>
      <c r="H3482" s="37"/>
      <c r="I3482" s="35"/>
      <c r="J3482" s="37"/>
    </row>
    <row r="3483" spans="1:10" ht="15.95" customHeight="1" x14ac:dyDescent="0.2">
      <c r="A3483" s="39"/>
      <c r="B3483" s="36"/>
      <c r="C3483" s="37"/>
      <c r="D3483" s="37"/>
      <c r="E3483" s="37"/>
      <c r="F3483" s="37"/>
      <c r="G3483" s="37"/>
      <c r="H3483" s="37"/>
      <c r="I3483" s="35"/>
      <c r="J3483" s="37"/>
    </row>
    <row r="3484" spans="1:10" ht="15.95" customHeight="1" x14ac:dyDescent="0.2">
      <c r="A3484" s="39"/>
      <c r="B3484" s="36"/>
      <c r="C3484" s="37"/>
      <c r="D3484" s="37"/>
      <c r="E3484" s="37"/>
      <c r="F3484" s="37"/>
      <c r="G3484" s="37"/>
      <c r="H3484" s="37"/>
      <c r="I3484" s="35"/>
      <c r="J3484" s="37"/>
    </row>
    <row r="3485" spans="1:10" ht="15.95" customHeight="1" x14ac:dyDescent="0.2">
      <c r="A3485" s="39"/>
      <c r="B3485" s="36"/>
      <c r="C3485" s="37"/>
      <c r="D3485" s="37"/>
      <c r="E3485" s="37"/>
      <c r="F3485" s="37"/>
      <c r="G3485" s="37"/>
      <c r="H3485" s="37"/>
      <c r="I3485" s="35"/>
      <c r="J3485" s="37"/>
    </row>
    <row r="3486" spans="1:10" ht="15.95" customHeight="1" x14ac:dyDescent="0.2">
      <c r="A3486" s="39"/>
      <c r="B3486" s="36"/>
      <c r="C3486" s="37"/>
      <c r="D3486" s="37"/>
      <c r="E3486" s="37"/>
      <c r="F3486" s="37"/>
      <c r="G3486" s="37"/>
      <c r="H3486" s="37"/>
      <c r="I3486" s="35"/>
      <c r="J3486" s="37"/>
    </row>
    <row r="3487" spans="1:10" ht="15.95" customHeight="1" x14ac:dyDescent="0.2">
      <c r="A3487" s="39"/>
      <c r="B3487" s="36"/>
      <c r="C3487" s="37"/>
      <c r="D3487" s="37"/>
      <c r="E3487" s="37"/>
      <c r="F3487" s="37"/>
      <c r="G3487" s="37"/>
      <c r="H3487" s="37"/>
      <c r="I3487" s="35"/>
      <c r="J3487" s="37"/>
    </row>
    <row r="3488" spans="1:10" ht="15.95" customHeight="1" x14ac:dyDescent="0.2">
      <c r="A3488" s="39"/>
      <c r="B3488" s="36"/>
      <c r="C3488" s="37"/>
      <c r="D3488" s="37"/>
      <c r="E3488" s="37"/>
      <c r="F3488" s="37"/>
      <c r="G3488" s="37"/>
      <c r="H3488" s="37"/>
      <c r="I3488" s="35"/>
      <c r="J3488" s="37"/>
    </row>
    <row r="3489" spans="1:10" ht="15.95" customHeight="1" x14ac:dyDescent="0.2">
      <c r="A3489" s="39"/>
      <c r="B3489" s="36"/>
      <c r="C3489" s="37"/>
      <c r="D3489" s="37"/>
      <c r="E3489" s="37"/>
      <c r="F3489" s="37"/>
      <c r="G3489" s="37"/>
      <c r="H3489" s="37"/>
      <c r="I3489" s="35"/>
      <c r="J3489" s="37"/>
    </row>
    <row r="3490" spans="1:10" ht="15.95" customHeight="1" x14ac:dyDescent="0.2">
      <c r="A3490" s="39"/>
      <c r="B3490" s="36"/>
      <c r="C3490" s="37"/>
      <c r="D3490" s="37"/>
      <c r="E3490" s="37"/>
      <c r="F3490" s="37"/>
      <c r="G3490" s="37"/>
      <c r="H3490" s="37"/>
      <c r="I3490" s="35"/>
      <c r="J3490" s="37"/>
    </row>
    <row r="3491" spans="1:10" ht="15.95" customHeight="1" x14ac:dyDescent="0.2">
      <c r="A3491" s="39"/>
      <c r="B3491" s="36"/>
      <c r="C3491" s="37"/>
      <c r="D3491" s="37"/>
      <c r="E3491" s="37"/>
      <c r="F3491" s="37"/>
      <c r="G3491" s="37"/>
      <c r="H3491" s="37"/>
      <c r="I3491" s="35"/>
      <c r="J3491" s="37"/>
    </row>
    <row r="3492" spans="1:10" ht="15.95" customHeight="1" x14ac:dyDescent="0.2">
      <c r="A3492" s="39"/>
      <c r="B3492" s="36"/>
      <c r="C3492" s="37"/>
      <c r="D3492" s="37"/>
      <c r="E3492" s="37"/>
      <c r="F3492" s="37"/>
      <c r="G3492" s="37"/>
      <c r="H3492" s="37"/>
      <c r="I3492" s="35"/>
      <c r="J3492" s="37"/>
    </row>
    <row r="3493" spans="1:10" ht="15.95" customHeight="1" x14ac:dyDescent="0.2">
      <c r="A3493" s="39"/>
      <c r="B3493" s="36"/>
      <c r="C3493" s="37"/>
      <c r="D3493" s="37"/>
      <c r="E3493" s="37"/>
      <c r="F3493" s="37"/>
      <c r="G3493" s="37"/>
      <c r="H3493" s="37"/>
      <c r="I3493" s="35"/>
      <c r="J3493" s="37"/>
    </row>
    <row r="3494" spans="1:10" ht="15.95" customHeight="1" x14ac:dyDescent="0.2">
      <c r="A3494" s="39"/>
      <c r="B3494" s="36"/>
      <c r="C3494" s="37"/>
      <c r="D3494" s="37"/>
      <c r="E3494" s="37"/>
      <c r="F3494" s="37"/>
      <c r="G3494" s="37"/>
      <c r="H3494" s="37"/>
      <c r="I3494" s="35"/>
      <c r="J3494" s="37"/>
    </row>
    <row r="3495" spans="1:10" ht="15.95" customHeight="1" x14ac:dyDescent="0.2">
      <c r="A3495" s="39"/>
      <c r="B3495" s="36"/>
      <c r="C3495" s="37"/>
      <c r="D3495" s="37"/>
      <c r="E3495" s="37"/>
      <c r="F3495" s="37"/>
      <c r="G3495" s="37"/>
      <c r="H3495" s="37"/>
      <c r="I3495" s="35"/>
      <c r="J3495" s="37"/>
    </row>
    <row r="3496" spans="1:10" ht="15.95" customHeight="1" x14ac:dyDescent="0.2">
      <c r="A3496" s="39"/>
      <c r="B3496" s="36"/>
      <c r="C3496" s="37"/>
      <c r="D3496" s="37"/>
      <c r="E3496" s="37"/>
      <c r="F3496" s="37"/>
      <c r="G3496" s="37"/>
      <c r="H3496" s="37"/>
      <c r="I3496" s="35"/>
      <c r="J3496" s="37"/>
    </row>
    <row r="3497" spans="1:10" ht="15.95" customHeight="1" x14ac:dyDescent="0.2">
      <c r="A3497" s="39"/>
      <c r="B3497" s="36"/>
      <c r="C3497" s="37"/>
      <c r="D3497" s="37"/>
      <c r="E3497" s="37"/>
      <c r="F3497" s="37"/>
      <c r="G3497" s="37"/>
      <c r="H3497" s="37"/>
      <c r="I3497" s="35"/>
      <c r="J3497" s="37"/>
    </row>
    <row r="3498" spans="1:10" ht="15.95" customHeight="1" x14ac:dyDescent="0.2">
      <c r="A3498" s="39"/>
      <c r="B3498" s="36"/>
      <c r="C3498" s="37"/>
      <c r="D3498" s="37"/>
      <c r="E3498" s="37"/>
      <c r="F3498" s="37"/>
      <c r="G3498" s="37"/>
      <c r="H3498" s="37"/>
      <c r="I3498" s="35"/>
      <c r="J3498" s="37"/>
    </row>
    <row r="3499" spans="1:10" ht="15.95" customHeight="1" x14ac:dyDescent="0.2">
      <c r="A3499" s="39"/>
      <c r="B3499" s="36"/>
      <c r="C3499" s="37"/>
      <c r="D3499" s="37"/>
      <c r="E3499" s="37"/>
      <c r="F3499" s="37"/>
      <c r="G3499" s="37"/>
      <c r="H3499" s="37"/>
      <c r="I3499" s="35"/>
      <c r="J3499" s="37"/>
    </row>
    <row r="3500" spans="1:10" ht="15.95" customHeight="1" x14ac:dyDescent="0.2">
      <c r="A3500" s="39"/>
      <c r="B3500" s="36"/>
      <c r="C3500" s="37"/>
      <c r="D3500" s="37"/>
      <c r="E3500" s="37"/>
      <c r="F3500" s="37"/>
      <c r="G3500" s="37"/>
      <c r="H3500" s="37"/>
      <c r="I3500" s="35"/>
      <c r="J3500" s="37"/>
    </row>
    <row r="3501" spans="1:10" ht="15.95" customHeight="1" x14ac:dyDescent="0.2">
      <c r="A3501" s="39"/>
      <c r="B3501" s="36"/>
      <c r="C3501" s="37"/>
      <c r="D3501" s="37"/>
      <c r="E3501" s="37"/>
      <c r="F3501" s="37"/>
      <c r="G3501" s="37"/>
      <c r="H3501" s="37"/>
      <c r="I3501" s="35"/>
      <c r="J3501" s="37"/>
    </row>
    <row r="3502" spans="1:10" ht="15.95" customHeight="1" x14ac:dyDescent="0.2">
      <c r="A3502" s="39"/>
      <c r="B3502" s="36"/>
      <c r="C3502" s="37"/>
      <c r="D3502" s="37"/>
      <c r="E3502" s="37"/>
      <c r="F3502" s="37"/>
      <c r="G3502" s="37"/>
      <c r="H3502" s="37"/>
      <c r="I3502" s="35"/>
      <c r="J3502" s="37"/>
    </row>
    <row r="3503" spans="1:10" ht="15.95" customHeight="1" x14ac:dyDescent="0.2">
      <c r="A3503" s="39"/>
      <c r="B3503" s="36"/>
      <c r="C3503" s="37"/>
      <c r="D3503" s="37"/>
      <c r="E3503" s="37"/>
      <c r="F3503" s="37"/>
      <c r="G3503" s="37"/>
      <c r="H3503" s="37"/>
      <c r="I3503" s="35"/>
      <c r="J3503" s="37"/>
    </row>
    <row r="3504" spans="1:10" ht="15.95" customHeight="1" x14ac:dyDescent="0.2">
      <c r="A3504" s="39"/>
      <c r="B3504" s="36"/>
      <c r="C3504" s="37"/>
      <c r="D3504" s="37"/>
      <c r="E3504" s="37"/>
      <c r="F3504" s="37"/>
      <c r="G3504" s="37"/>
      <c r="H3504" s="37"/>
      <c r="I3504" s="35"/>
      <c r="J3504" s="37"/>
    </row>
    <row r="3505" spans="1:10" ht="15.95" customHeight="1" x14ac:dyDescent="0.2">
      <c r="A3505" s="39"/>
      <c r="B3505" s="36"/>
      <c r="C3505" s="37"/>
      <c r="D3505" s="37"/>
      <c r="E3505" s="37"/>
      <c r="F3505" s="37"/>
      <c r="G3505" s="37"/>
      <c r="H3505" s="37"/>
      <c r="I3505" s="35"/>
      <c r="J3505" s="37"/>
    </row>
    <row r="3506" spans="1:10" ht="15.95" customHeight="1" x14ac:dyDescent="0.2">
      <c r="A3506" s="39"/>
      <c r="B3506" s="36"/>
      <c r="C3506" s="37"/>
      <c r="D3506" s="37"/>
      <c r="E3506" s="37"/>
      <c r="F3506" s="37"/>
      <c r="G3506" s="37"/>
      <c r="H3506" s="37"/>
      <c r="I3506" s="35"/>
      <c r="J3506" s="37"/>
    </row>
    <row r="3507" spans="1:10" ht="15.95" customHeight="1" x14ac:dyDescent="0.2">
      <c r="A3507" s="39"/>
      <c r="B3507" s="36"/>
      <c r="C3507" s="37"/>
      <c r="D3507" s="37"/>
      <c r="E3507" s="37"/>
      <c r="F3507" s="37"/>
      <c r="G3507" s="37"/>
      <c r="H3507" s="37"/>
      <c r="I3507" s="35"/>
      <c r="J3507" s="37"/>
    </row>
    <row r="3508" spans="1:10" ht="15.95" customHeight="1" x14ac:dyDescent="0.2">
      <c r="A3508" s="39"/>
      <c r="B3508" s="36"/>
      <c r="C3508" s="37"/>
      <c r="D3508" s="37"/>
      <c r="E3508" s="37"/>
      <c r="F3508" s="37"/>
      <c r="G3508" s="37"/>
      <c r="H3508" s="37"/>
      <c r="I3508" s="35"/>
      <c r="J3508" s="37"/>
    </row>
    <row r="3509" spans="1:10" ht="15.95" customHeight="1" x14ac:dyDescent="0.2">
      <c r="A3509" s="39"/>
      <c r="B3509" s="36"/>
      <c r="C3509" s="37"/>
      <c r="D3509" s="37"/>
      <c r="E3509" s="37"/>
      <c r="F3509" s="37"/>
      <c r="G3509" s="37"/>
      <c r="H3509" s="37"/>
      <c r="I3509" s="35"/>
      <c r="J3509" s="37"/>
    </row>
    <row r="3510" spans="1:10" ht="15.95" customHeight="1" x14ac:dyDescent="0.2">
      <c r="A3510" s="39"/>
      <c r="B3510" s="36"/>
      <c r="C3510" s="37"/>
      <c r="D3510" s="37"/>
      <c r="E3510" s="37"/>
      <c r="F3510" s="37"/>
      <c r="G3510" s="37"/>
      <c r="H3510" s="37"/>
      <c r="I3510" s="35"/>
      <c r="J3510" s="37"/>
    </row>
    <row r="3511" spans="1:10" ht="15.95" customHeight="1" x14ac:dyDescent="0.2">
      <c r="A3511" s="39"/>
      <c r="B3511" s="36"/>
      <c r="C3511" s="37"/>
      <c r="D3511" s="37"/>
      <c r="E3511" s="37"/>
      <c r="F3511" s="37"/>
      <c r="G3511" s="37"/>
      <c r="H3511" s="37"/>
      <c r="I3511" s="35"/>
      <c r="J3511" s="37"/>
    </row>
    <row r="3512" spans="1:10" ht="15.95" customHeight="1" x14ac:dyDescent="0.2">
      <c r="A3512" s="39"/>
      <c r="B3512" s="36"/>
      <c r="C3512" s="37"/>
      <c r="D3512" s="37"/>
      <c r="E3512" s="37"/>
      <c r="F3512" s="37"/>
      <c r="G3512" s="37"/>
      <c r="H3512" s="37"/>
      <c r="I3512" s="35"/>
      <c r="J3512" s="37"/>
    </row>
    <row r="3513" spans="1:10" ht="15.95" customHeight="1" x14ac:dyDescent="0.2">
      <c r="A3513" s="39"/>
      <c r="B3513" s="36"/>
      <c r="C3513" s="37"/>
      <c r="D3513" s="37"/>
      <c r="E3513" s="37"/>
      <c r="F3513" s="37"/>
      <c r="G3513" s="37"/>
      <c r="H3513" s="37"/>
      <c r="I3513" s="35"/>
      <c r="J3513" s="37"/>
    </row>
    <row r="3514" spans="1:10" ht="15.95" customHeight="1" x14ac:dyDescent="0.2">
      <c r="A3514" s="39"/>
      <c r="B3514" s="36"/>
      <c r="C3514" s="37"/>
      <c r="D3514" s="37"/>
      <c r="E3514" s="37"/>
      <c r="F3514" s="37"/>
      <c r="G3514" s="37"/>
      <c r="H3514" s="37"/>
      <c r="I3514" s="35"/>
      <c r="J3514" s="37"/>
    </row>
    <row r="3515" spans="1:10" ht="15.95" customHeight="1" x14ac:dyDescent="0.2">
      <c r="A3515" s="39"/>
      <c r="B3515" s="36"/>
      <c r="C3515" s="37"/>
      <c r="D3515" s="37"/>
      <c r="E3515" s="37"/>
      <c r="F3515" s="37"/>
      <c r="G3515" s="37"/>
      <c r="H3515" s="37"/>
      <c r="I3515" s="35"/>
      <c r="J3515" s="37"/>
    </row>
    <row r="3516" spans="1:10" ht="15.95" customHeight="1" x14ac:dyDescent="0.2">
      <c r="A3516" s="39"/>
      <c r="B3516" s="36"/>
      <c r="C3516" s="37"/>
      <c r="D3516" s="37"/>
      <c r="E3516" s="37"/>
      <c r="F3516" s="37"/>
      <c r="G3516" s="37"/>
      <c r="H3516" s="37"/>
      <c r="I3516" s="35"/>
      <c r="J3516" s="37"/>
    </row>
    <row r="3517" spans="1:10" ht="15.95" customHeight="1" x14ac:dyDescent="0.2">
      <c r="A3517" s="39"/>
      <c r="B3517" s="36"/>
      <c r="C3517" s="37"/>
      <c r="D3517" s="37"/>
      <c r="E3517" s="37"/>
      <c r="F3517" s="37"/>
      <c r="G3517" s="37"/>
      <c r="H3517" s="37"/>
      <c r="I3517" s="35"/>
      <c r="J3517" s="37"/>
    </row>
    <row r="3518" spans="1:10" ht="15.95" customHeight="1" x14ac:dyDescent="0.2">
      <c r="A3518" s="39"/>
      <c r="B3518" s="36"/>
      <c r="C3518" s="37"/>
      <c r="D3518" s="37"/>
      <c r="E3518" s="37"/>
      <c r="F3518" s="37"/>
      <c r="G3518" s="37"/>
      <c r="H3518" s="37"/>
      <c r="I3518" s="35"/>
      <c r="J3518" s="37"/>
    </row>
    <row r="3519" spans="1:10" ht="15.95" customHeight="1" x14ac:dyDescent="0.2">
      <c r="A3519" s="39"/>
      <c r="B3519" s="36"/>
      <c r="C3519" s="37"/>
      <c r="D3519" s="37"/>
      <c r="E3519" s="37"/>
      <c r="F3519" s="37"/>
      <c r="G3519" s="37"/>
      <c r="H3519" s="37"/>
      <c r="I3519" s="35"/>
      <c r="J3519" s="37"/>
    </row>
    <row r="3520" spans="1:10" ht="15.95" customHeight="1" x14ac:dyDescent="0.2">
      <c r="A3520" s="39"/>
      <c r="B3520" s="36"/>
      <c r="C3520" s="37"/>
      <c r="D3520" s="37"/>
      <c r="E3520" s="37"/>
      <c r="F3520" s="37"/>
      <c r="G3520" s="37"/>
      <c r="H3520" s="37"/>
      <c r="I3520" s="35"/>
      <c r="J3520" s="37"/>
    </row>
    <row r="3521" spans="1:10" ht="15.95" customHeight="1" x14ac:dyDescent="0.2">
      <c r="A3521" s="39"/>
      <c r="B3521" s="36"/>
      <c r="C3521" s="37"/>
      <c r="D3521" s="37"/>
      <c r="E3521" s="37"/>
      <c r="F3521" s="37"/>
      <c r="G3521" s="37"/>
      <c r="H3521" s="37"/>
      <c r="I3521" s="35"/>
      <c r="J3521" s="37"/>
    </row>
    <row r="3522" spans="1:10" ht="15.95" customHeight="1" x14ac:dyDescent="0.2">
      <c r="A3522" s="39"/>
      <c r="B3522" s="36"/>
      <c r="C3522" s="37"/>
      <c r="D3522" s="37"/>
      <c r="E3522" s="37"/>
      <c r="F3522" s="37"/>
      <c r="G3522" s="37"/>
      <c r="H3522" s="37"/>
      <c r="I3522" s="35"/>
      <c r="J3522" s="37"/>
    </row>
    <row r="3523" spans="1:10" ht="15.95" customHeight="1" x14ac:dyDescent="0.2">
      <c r="A3523" s="39"/>
      <c r="B3523" s="36"/>
      <c r="C3523" s="37"/>
      <c r="D3523" s="37"/>
      <c r="E3523" s="37"/>
      <c r="F3523" s="37"/>
      <c r="G3523" s="37"/>
      <c r="H3523" s="37"/>
      <c r="I3523" s="35"/>
      <c r="J3523" s="37"/>
    </row>
    <row r="3524" spans="1:10" ht="15.95" customHeight="1" x14ac:dyDescent="0.2">
      <c r="A3524" s="39"/>
      <c r="B3524" s="36"/>
      <c r="C3524" s="37"/>
      <c r="D3524" s="37"/>
      <c r="E3524" s="37"/>
      <c r="F3524" s="37"/>
      <c r="G3524" s="37"/>
      <c r="H3524" s="37"/>
      <c r="I3524" s="35"/>
      <c r="J3524" s="37"/>
    </row>
    <row r="3525" spans="1:10" ht="15.95" customHeight="1" x14ac:dyDescent="0.2">
      <c r="A3525" s="39"/>
      <c r="B3525" s="36"/>
      <c r="C3525" s="37"/>
      <c r="D3525" s="37"/>
      <c r="E3525" s="37"/>
      <c r="F3525" s="37"/>
      <c r="G3525" s="37"/>
      <c r="H3525" s="37"/>
      <c r="I3525" s="35"/>
      <c r="J3525" s="37"/>
    </row>
    <row r="3526" spans="1:10" ht="15.95" customHeight="1" x14ac:dyDescent="0.2">
      <c r="A3526" s="39"/>
      <c r="B3526" s="36"/>
      <c r="C3526" s="37"/>
      <c r="D3526" s="37"/>
      <c r="E3526" s="37"/>
      <c r="F3526" s="37"/>
      <c r="G3526" s="37"/>
      <c r="H3526" s="37"/>
      <c r="I3526" s="35"/>
      <c r="J3526" s="37"/>
    </row>
    <row r="3527" spans="1:10" ht="15.95" customHeight="1" x14ac:dyDescent="0.2">
      <c r="A3527" s="39"/>
      <c r="B3527" s="36"/>
      <c r="C3527" s="37"/>
      <c r="D3527" s="37"/>
      <c r="E3527" s="37"/>
      <c r="F3527" s="37"/>
      <c r="G3527" s="37"/>
      <c r="H3527" s="37"/>
      <c r="I3527" s="35"/>
      <c r="J3527" s="37"/>
    </row>
    <row r="3528" spans="1:10" ht="15.95" customHeight="1" x14ac:dyDescent="0.2">
      <c r="A3528" s="39"/>
      <c r="B3528" s="36"/>
      <c r="C3528" s="37"/>
      <c r="D3528" s="37"/>
      <c r="E3528" s="37"/>
      <c r="F3528" s="37"/>
      <c r="G3528" s="37"/>
      <c r="H3528" s="37"/>
      <c r="I3528" s="35"/>
      <c r="J3528" s="37"/>
    </row>
    <row r="3529" spans="1:10" ht="15.95" customHeight="1" x14ac:dyDescent="0.2">
      <c r="A3529" s="39"/>
      <c r="B3529" s="36"/>
      <c r="C3529" s="37"/>
      <c r="D3529" s="37"/>
      <c r="E3529" s="37"/>
      <c r="F3529" s="37"/>
      <c r="G3529" s="37"/>
      <c r="H3529" s="37"/>
      <c r="I3529" s="35"/>
      <c r="J3529" s="37"/>
    </row>
    <row r="3530" spans="1:10" ht="15.95" customHeight="1" x14ac:dyDescent="0.2">
      <c r="A3530" s="39"/>
      <c r="B3530" s="36"/>
      <c r="C3530" s="37"/>
      <c r="D3530" s="37"/>
      <c r="E3530" s="37"/>
      <c r="F3530" s="37"/>
      <c r="G3530" s="37"/>
      <c r="H3530" s="37"/>
      <c r="I3530" s="35"/>
      <c r="J3530" s="37"/>
    </row>
    <row r="3531" spans="1:10" ht="15.95" customHeight="1" x14ac:dyDescent="0.2">
      <c r="A3531" s="39"/>
      <c r="B3531" s="36"/>
      <c r="C3531" s="37"/>
      <c r="D3531" s="37"/>
      <c r="E3531" s="37"/>
      <c r="F3531" s="37"/>
      <c r="G3531" s="37"/>
      <c r="H3531" s="37"/>
      <c r="I3531" s="35"/>
      <c r="J3531" s="37"/>
    </row>
    <row r="3532" spans="1:10" ht="15.95" customHeight="1" x14ac:dyDescent="0.2">
      <c r="A3532" s="39"/>
      <c r="B3532" s="36"/>
      <c r="C3532" s="37"/>
      <c r="D3532" s="37"/>
      <c r="E3532" s="37"/>
      <c r="F3532" s="37"/>
      <c r="G3532" s="37"/>
      <c r="H3532" s="37"/>
      <c r="I3532" s="35"/>
      <c r="J3532" s="37"/>
    </row>
    <row r="3533" spans="1:10" ht="15.95" customHeight="1" x14ac:dyDescent="0.2">
      <c r="A3533" s="39"/>
      <c r="B3533" s="36"/>
      <c r="C3533" s="37"/>
      <c r="D3533" s="37"/>
      <c r="E3533" s="37"/>
      <c r="F3533" s="37"/>
      <c r="G3533" s="37"/>
      <c r="H3533" s="37"/>
      <c r="I3533" s="35"/>
      <c r="J3533" s="37"/>
    </row>
    <row r="3534" spans="1:10" ht="15.95" customHeight="1" x14ac:dyDescent="0.2">
      <c r="A3534" s="39"/>
      <c r="B3534" s="36"/>
      <c r="C3534" s="37"/>
      <c r="D3534" s="37"/>
      <c r="E3534" s="37"/>
      <c r="F3534" s="37"/>
      <c r="G3534" s="37"/>
      <c r="H3534" s="37"/>
      <c r="I3534" s="35"/>
      <c r="J3534" s="37"/>
    </row>
    <row r="3535" spans="1:10" ht="15.95" customHeight="1" x14ac:dyDescent="0.2">
      <c r="A3535" s="39"/>
      <c r="B3535" s="36"/>
      <c r="C3535" s="37"/>
      <c r="D3535" s="37"/>
      <c r="E3535" s="37"/>
      <c r="F3535" s="37"/>
      <c r="G3535" s="37"/>
      <c r="H3535" s="37"/>
      <c r="I3535" s="35"/>
      <c r="J3535" s="37"/>
    </row>
    <row r="3536" spans="1:10" ht="15.95" customHeight="1" x14ac:dyDescent="0.2">
      <c r="A3536" s="39"/>
      <c r="B3536" s="36"/>
      <c r="C3536" s="37"/>
      <c r="D3536" s="37"/>
      <c r="E3536" s="37"/>
      <c r="F3536" s="37"/>
      <c r="G3536" s="37"/>
      <c r="H3536" s="37"/>
      <c r="I3536" s="35"/>
      <c r="J3536" s="37"/>
    </row>
    <row r="3537" spans="1:10" ht="15.95" customHeight="1" x14ac:dyDescent="0.2">
      <c r="A3537" s="39"/>
      <c r="B3537" s="36"/>
      <c r="C3537" s="37"/>
      <c r="D3537" s="37"/>
      <c r="E3537" s="37"/>
      <c r="F3537" s="37"/>
      <c r="G3537" s="37"/>
      <c r="H3537" s="37"/>
      <c r="I3537" s="35"/>
      <c r="J3537" s="37"/>
    </row>
    <row r="3538" spans="1:10" ht="15.95" customHeight="1" x14ac:dyDescent="0.2">
      <c r="A3538" s="39"/>
      <c r="B3538" s="36"/>
      <c r="C3538" s="37"/>
      <c r="D3538" s="37"/>
      <c r="E3538" s="37"/>
      <c r="F3538" s="37"/>
      <c r="G3538" s="37"/>
      <c r="H3538" s="37"/>
      <c r="I3538" s="35"/>
      <c r="J3538" s="37"/>
    </row>
    <row r="3539" spans="1:10" ht="15.95" customHeight="1" x14ac:dyDescent="0.2">
      <c r="A3539" s="39"/>
      <c r="B3539" s="36"/>
      <c r="C3539" s="37"/>
      <c r="D3539" s="37"/>
      <c r="E3539" s="37"/>
      <c r="F3539" s="37"/>
      <c r="G3539" s="37"/>
      <c r="H3539" s="37"/>
      <c r="I3539" s="35"/>
      <c r="J3539" s="37"/>
    </row>
    <row r="3540" spans="1:10" ht="15.95" customHeight="1" x14ac:dyDescent="0.2">
      <c r="A3540" s="39"/>
      <c r="B3540" s="36"/>
      <c r="C3540" s="37"/>
      <c r="D3540" s="37"/>
      <c r="E3540" s="37"/>
      <c r="F3540" s="37"/>
      <c r="G3540" s="37"/>
      <c r="H3540" s="37"/>
      <c r="I3540" s="35"/>
      <c r="J3540" s="37"/>
    </row>
    <row r="3541" spans="1:10" ht="15.95" customHeight="1" x14ac:dyDescent="0.2">
      <c r="A3541" s="39"/>
      <c r="B3541" s="36"/>
      <c r="C3541" s="37"/>
      <c r="D3541" s="37"/>
      <c r="E3541" s="37"/>
      <c r="F3541" s="37"/>
      <c r="G3541" s="37"/>
      <c r="H3541" s="37"/>
      <c r="I3541" s="35"/>
      <c r="J3541" s="37"/>
    </row>
    <row r="3542" spans="1:10" ht="15.95" customHeight="1" x14ac:dyDescent="0.2">
      <c r="A3542" s="39"/>
      <c r="B3542" s="36"/>
      <c r="C3542" s="37"/>
      <c r="D3542" s="37"/>
      <c r="E3542" s="37"/>
      <c r="F3542" s="37"/>
      <c r="G3542" s="37"/>
      <c r="H3542" s="37"/>
      <c r="I3542" s="35"/>
      <c r="J3542" s="37"/>
    </row>
    <row r="3543" spans="1:10" ht="15.95" customHeight="1" x14ac:dyDescent="0.2">
      <c r="A3543" s="39"/>
      <c r="B3543" s="36"/>
      <c r="C3543" s="37"/>
      <c r="D3543" s="37"/>
      <c r="E3543" s="37"/>
      <c r="F3543" s="37"/>
      <c r="G3543" s="37"/>
      <c r="H3543" s="37"/>
      <c r="I3543" s="35"/>
      <c r="J3543" s="37"/>
    </row>
    <row r="3544" spans="1:10" ht="15.95" customHeight="1" x14ac:dyDescent="0.2">
      <c r="A3544" s="39"/>
      <c r="B3544" s="36"/>
      <c r="C3544" s="37"/>
      <c r="D3544" s="37"/>
      <c r="E3544" s="37"/>
      <c r="F3544" s="37"/>
      <c r="G3544" s="37"/>
      <c r="H3544" s="37"/>
      <c r="I3544" s="35"/>
      <c r="J3544" s="37"/>
    </row>
    <row r="3545" spans="1:10" ht="15.95" customHeight="1" x14ac:dyDescent="0.2">
      <c r="A3545" s="39"/>
      <c r="B3545" s="36"/>
      <c r="C3545" s="37"/>
      <c r="D3545" s="37"/>
      <c r="E3545" s="37"/>
      <c r="F3545" s="37"/>
      <c r="G3545" s="37"/>
      <c r="H3545" s="37"/>
      <c r="I3545" s="35"/>
      <c r="J3545" s="37"/>
    </row>
    <row r="3546" spans="1:10" ht="15.95" customHeight="1" x14ac:dyDescent="0.2">
      <c r="A3546" s="39"/>
      <c r="B3546" s="36"/>
      <c r="C3546" s="37"/>
      <c r="D3546" s="37"/>
      <c r="E3546" s="37"/>
      <c r="F3546" s="37"/>
      <c r="G3546" s="37"/>
      <c r="H3546" s="37"/>
      <c r="I3546" s="35"/>
      <c r="J3546" s="37"/>
    </row>
    <row r="3547" spans="1:10" ht="15.95" customHeight="1" x14ac:dyDescent="0.2">
      <c r="A3547" s="39"/>
      <c r="B3547" s="36"/>
      <c r="C3547" s="37"/>
      <c r="D3547" s="37"/>
      <c r="E3547" s="37"/>
      <c r="F3547" s="37"/>
      <c r="G3547" s="37"/>
      <c r="H3547" s="37"/>
      <c r="I3547" s="35"/>
      <c r="J3547" s="37"/>
    </row>
    <row r="3548" spans="1:10" ht="15.95" customHeight="1" x14ac:dyDescent="0.2">
      <c r="A3548" s="39"/>
      <c r="B3548" s="36"/>
      <c r="C3548" s="37"/>
      <c r="D3548" s="37"/>
      <c r="E3548" s="37"/>
      <c r="F3548" s="37"/>
      <c r="G3548" s="37"/>
      <c r="H3548" s="37"/>
      <c r="I3548" s="35"/>
      <c r="J3548" s="37"/>
    </row>
    <row r="3549" spans="1:10" ht="15.95" customHeight="1" x14ac:dyDescent="0.2">
      <c r="A3549" s="39"/>
      <c r="B3549" s="36"/>
      <c r="C3549" s="37"/>
      <c r="D3549" s="37"/>
      <c r="E3549" s="37"/>
      <c r="F3549" s="37"/>
      <c r="G3549" s="37"/>
      <c r="H3549" s="37"/>
      <c r="I3549" s="35"/>
      <c r="J3549" s="37"/>
    </row>
    <row r="3550" spans="1:10" ht="15.95" customHeight="1" x14ac:dyDescent="0.2">
      <c r="A3550" s="39"/>
      <c r="B3550" s="36"/>
      <c r="C3550" s="37"/>
      <c r="D3550" s="37"/>
      <c r="E3550" s="37"/>
      <c r="F3550" s="37"/>
      <c r="G3550" s="37"/>
      <c r="H3550" s="37"/>
      <c r="I3550" s="35"/>
      <c r="J3550" s="37"/>
    </row>
    <row r="3551" spans="1:10" ht="15.95" customHeight="1" x14ac:dyDescent="0.2">
      <c r="A3551" s="39"/>
      <c r="B3551" s="36"/>
      <c r="C3551" s="37"/>
      <c r="D3551" s="37"/>
      <c r="E3551" s="37"/>
      <c r="F3551" s="37"/>
      <c r="G3551" s="37"/>
      <c r="H3551" s="37"/>
      <c r="I3551" s="35"/>
      <c r="J3551" s="37"/>
    </row>
    <row r="3552" spans="1:10" ht="15.95" customHeight="1" x14ac:dyDescent="0.2">
      <c r="A3552" s="39"/>
      <c r="B3552" s="36"/>
      <c r="C3552" s="37"/>
      <c r="D3552" s="37"/>
      <c r="E3552" s="37"/>
      <c r="F3552" s="37"/>
      <c r="G3552" s="37"/>
      <c r="H3552" s="37"/>
      <c r="I3552" s="35"/>
      <c r="J3552" s="37"/>
    </row>
    <row r="3553" spans="1:10" ht="15.95" customHeight="1" x14ac:dyDescent="0.2">
      <c r="A3553" s="39"/>
      <c r="B3553" s="36"/>
      <c r="C3553" s="37"/>
      <c r="D3553" s="37"/>
      <c r="E3553" s="37"/>
      <c r="F3553" s="37"/>
      <c r="G3553" s="37"/>
      <c r="H3553" s="37"/>
      <c r="I3553" s="35"/>
      <c r="J3553" s="37"/>
    </row>
    <row r="3554" spans="1:10" ht="15.95" customHeight="1" x14ac:dyDescent="0.2">
      <c r="A3554" s="39"/>
      <c r="B3554" s="36"/>
      <c r="C3554" s="37"/>
      <c r="D3554" s="37"/>
      <c r="E3554" s="37"/>
      <c r="F3554" s="37"/>
      <c r="G3554" s="37"/>
      <c r="H3554" s="37"/>
      <c r="I3554" s="35"/>
      <c r="J3554" s="37"/>
    </row>
    <row r="3555" spans="1:10" ht="15.95" customHeight="1" x14ac:dyDescent="0.2">
      <c r="A3555" s="39"/>
      <c r="B3555" s="36"/>
      <c r="C3555" s="37"/>
      <c r="D3555" s="37"/>
      <c r="E3555" s="37"/>
      <c r="F3555" s="37"/>
      <c r="G3555" s="37"/>
      <c r="H3555" s="37"/>
      <c r="I3555" s="35"/>
      <c r="J3555" s="37"/>
    </row>
    <row r="3556" spans="1:10" ht="15.95" customHeight="1" x14ac:dyDescent="0.2">
      <c r="A3556" s="39"/>
      <c r="B3556" s="36"/>
      <c r="C3556" s="37"/>
      <c r="D3556" s="37"/>
      <c r="E3556" s="37"/>
      <c r="F3556" s="37"/>
      <c r="G3556" s="37"/>
      <c r="H3556" s="37"/>
      <c r="I3556" s="35"/>
      <c r="J3556" s="37"/>
    </row>
    <row r="3557" spans="1:10" ht="15.95" customHeight="1" x14ac:dyDescent="0.2">
      <c r="A3557" s="39"/>
      <c r="B3557" s="36"/>
      <c r="C3557" s="37"/>
      <c r="D3557" s="37"/>
      <c r="E3557" s="37"/>
      <c r="F3557" s="37"/>
      <c r="G3557" s="37"/>
      <c r="H3557" s="37"/>
      <c r="I3557" s="35"/>
      <c r="J3557" s="37"/>
    </row>
    <row r="3558" spans="1:10" ht="15.95" customHeight="1" x14ac:dyDescent="0.2">
      <c r="A3558" s="39"/>
      <c r="B3558" s="36"/>
      <c r="C3558" s="37"/>
      <c r="D3558" s="37"/>
      <c r="E3558" s="37"/>
      <c r="F3558" s="37"/>
      <c r="G3558" s="37"/>
      <c r="H3558" s="37"/>
      <c r="I3558" s="35"/>
      <c r="J3558" s="37"/>
    </row>
    <row r="3559" spans="1:10" ht="15.95" customHeight="1" x14ac:dyDescent="0.2">
      <c r="A3559" s="39"/>
      <c r="B3559" s="36"/>
      <c r="C3559" s="37"/>
      <c r="D3559" s="37"/>
      <c r="E3559" s="37"/>
      <c r="F3559" s="37"/>
      <c r="G3559" s="37"/>
      <c r="H3559" s="37"/>
      <c r="I3559" s="35"/>
      <c r="J3559" s="37"/>
    </row>
    <row r="3560" spans="1:10" ht="15.95" customHeight="1" x14ac:dyDescent="0.2">
      <c r="A3560" s="39"/>
      <c r="B3560" s="36"/>
      <c r="C3560" s="37"/>
      <c r="D3560" s="37"/>
      <c r="E3560" s="37"/>
      <c r="F3560" s="37"/>
      <c r="G3560" s="37"/>
      <c r="H3560" s="37"/>
      <c r="I3560" s="35"/>
      <c r="J3560" s="37"/>
    </row>
    <row r="3561" spans="1:10" ht="15.95" customHeight="1" x14ac:dyDescent="0.2">
      <c r="A3561" s="39"/>
      <c r="B3561" s="36"/>
      <c r="C3561" s="37"/>
      <c r="D3561" s="37"/>
      <c r="E3561" s="37"/>
      <c r="F3561" s="37"/>
      <c r="G3561" s="37"/>
      <c r="H3561" s="37"/>
      <c r="I3561" s="35"/>
      <c r="J3561" s="37"/>
    </row>
    <row r="3562" spans="1:10" ht="15.95" customHeight="1" x14ac:dyDescent="0.2">
      <c r="A3562" s="39"/>
      <c r="B3562" s="36"/>
      <c r="C3562" s="37"/>
      <c r="D3562" s="37"/>
      <c r="E3562" s="37"/>
      <c r="F3562" s="37"/>
      <c r="G3562" s="37"/>
      <c r="H3562" s="37"/>
      <c r="I3562" s="35"/>
      <c r="J3562" s="37"/>
    </row>
    <row r="3563" spans="1:10" ht="15.95" customHeight="1" x14ac:dyDescent="0.2">
      <c r="A3563" s="39"/>
      <c r="B3563" s="36"/>
      <c r="C3563" s="37"/>
      <c r="D3563" s="37"/>
      <c r="E3563" s="37"/>
      <c r="F3563" s="37"/>
      <c r="G3563" s="37"/>
      <c r="H3563" s="37"/>
      <c r="I3563" s="35"/>
      <c r="J3563" s="37"/>
    </row>
    <row r="3564" spans="1:10" ht="15.95" customHeight="1" x14ac:dyDescent="0.2">
      <c r="A3564" s="39"/>
      <c r="B3564" s="36"/>
      <c r="C3564" s="37"/>
      <c r="D3564" s="37"/>
      <c r="E3564" s="37"/>
      <c r="F3564" s="37"/>
      <c r="G3564" s="37"/>
      <c r="H3564" s="37"/>
      <c r="I3564" s="35"/>
      <c r="J3564" s="37"/>
    </row>
    <row r="3565" spans="1:10" ht="15.95" customHeight="1" x14ac:dyDescent="0.2">
      <c r="A3565" s="39"/>
      <c r="B3565" s="36"/>
      <c r="C3565" s="37"/>
      <c r="D3565" s="37"/>
      <c r="E3565" s="37"/>
      <c r="F3565" s="37"/>
      <c r="G3565" s="37"/>
      <c r="H3565" s="37"/>
      <c r="I3565" s="35"/>
      <c r="J3565" s="37"/>
    </row>
    <row r="3566" spans="1:10" ht="15.95" customHeight="1" x14ac:dyDescent="0.2">
      <c r="A3566" s="39"/>
      <c r="B3566" s="36"/>
      <c r="C3566" s="37"/>
      <c r="D3566" s="37"/>
      <c r="E3566" s="37"/>
      <c r="F3566" s="37"/>
      <c r="G3566" s="37"/>
      <c r="H3566" s="37"/>
      <c r="I3566" s="35"/>
      <c r="J3566" s="37"/>
    </row>
    <row r="3567" spans="1:10" ht="15.95" customHeight="1" x14ac:dyDescent="0.2">
      <c r="A3567" s="39"/>
      <c r="B3567" s="36"/>
      <c r="C3567" s="37"/>
      <c r="D3567" s="37"/>
      <c r="E3567" s="37"/>
      <c r="F3567" s="37"/>
      <c r="G3567" s="37"/>
      <c r="H3567" s="37"/>
      <c r="I3567" s="35"/>
      <c r="J3567" s="37"/>
    </row>
    <row r="3568" spans="1:10" ht="15.95" customHeight="1" x14ac:dyDescent="0.2">
      <c r="A3568" s="39"/>
      <c r="B3568" s="36"/>
      <c r="C3568" s="37"/>
      <c r="D3568" s="37"/>
      <c r="E3568" s="37"/>
      <c r="F3568" s="37"/>
      <c r="G3568" s="37"/>
      <c r="H3568" s="37"/>
      <c r="I3568" s="35"/>
      <c r="J3568" s="37"/>
    </row>
    <row r="3569" spans="1:10" ht="15.95" customHeight="1" x14ac:dyDescent="0.2">
      <c r="A3569" s="39"/>
      <c r="B3569" s="36"/>
      <c r="C3569" s="37"/>
      <c r="D3569" s="37"/>
      <c r="E3569" s="37"/>
      <c r="F3569" s="37"/>
      <c r="G3569" s="37"/>
      <c r="H3569" s="37"/>
      <c r="I3569" s="35"/>
      <c r="J3569" s="37"/>
    </row>
    <row r="3570" spans="1:10" ht="15.95" customHeight="1" x14ac:dyDescent="0.2">
      <c r="A3570" s="39"/>
      <c r="B3570" s="36"/>
      <c r="C3570" s="37"/>
      <c r="D3570" s="37"/>
      <c r="E3570" s="37"/>
      <c r="F3570" s="37"/>
      <c r="G3570" s="37"/>
      <c r="H3570" s="37"/>
      <c r="I3570" s="35"/>
      <c r="J3570" s="37"/>
    </row>
    <row r="3571" spans="1:10" ht="15.95" customHeight="1" x14ac:dyDescent="0.2">
      <c r="A3571" s="39"/>
      <c r="B3571" s="36"/>
      <c r="C3571" s="37"/>
      <c r="D3571" s="37"/>
      <c r="E3571" s="37"/>
      <c r="F3571" s="37"/>
      <c r="G3571" s="37"/>
      <c r="H3571" s="37"/>
      <c r="I3571" s="35"/>
      <c r="J3571" s="37"/>
    </row>
    <row r="3572" spans="1:10" ht="15.95" customHeight="1" x14ac:dyDescent="0.2">
      <c r="A3572" s="39"/>
      <c r="B3572" s="36"/>
      <c r="C3572" s="37"/>
      <c r="D3572" s="37"/>
      <c r="E3572" s="37"/>
      <c r="F3572" s="37"/>
      <c r="G3572" s="37"/>
      <c r="H3572" s="37"/>
      <c r="I3572" s="35"/>
      <c r="J3572" s="37"/>
    </row>
    <row r="3573" spans="1:10" ht="15.95" customHeight="1" x14ac:dyDescent="0.2">
      <c r="A3573" s="39"/>
      <c r="B3573" s="36"/>
      <c r="C3573" s="37"/>
      <c r="D3573" s="37"/>
      <c r="E3573" s="37"/>
      <c r="F3573" s="37"/>
      <c r="G3573" s="37"/>
      <c r="H3573" s="37"/>
      <c r="I3573" s="35"/>
      <c r="J3573" s="37"/>
    </row>
    <row r="3574" spans="1:10" ht="15.95" customHeight="1" x14ac:dyDescent="0.2">
      <c r="A3574" s="39"/>
      <c r="B3574" s="36"/>
      <c r="C3574" s="37"/>
      <c r="D3574" s="37"/>
      <c r="E3574" s="37"/>
      <c r="F3574" s="37"/>
      <c r="G3574" s="37"/>
      <c r="H3574" s="37"/>
      <c r="I3574" s="35"/>
      <c r="J3574" s="37"/>
    </row>
    <row r="3575" spans="1:10" ht="15.95" customHeight="1" x14ac:dyDescent="0.2">
      <c r="A3575" s="39"/>
      <c r="B3575" s="36"/>
      <c r="C3575" s="37"/>
      <c r="D3575" s="37"/>
      <c r="E3575" s="37"/>
      <c r="F3575" s="37"/>
      <c r="G3575" s="37"/>
      <c r="H3575" s="37"/>
      <c r="I3575" s="35"/>
      <c r="J3575" s="37"/>
    </row>
    <row r="3576" spans="1:10" ht="15.95" customHeight="1" x14ac:dyDescent="0.2">
      <c r="A3576" s="39"/>
      <c r="B3576" s="36"/>
      <c r="C3576" s="37"/>
      <c r="D3576" s="37"/>
      <c r="E3576" s="37"/>
      <c r="F3576" s="37"/>
      <c r="G3576" s="37"/>
      <c r="H3576" s="37"/>
      <c r="I3576" s="35"/>
      <c r="J3576" s="37"/>
    </row>
    <row r="3577" spans="1:10" ht="15.95" customHeight="1" x14ac:dyDescent="0.2">
      <c r="A3577" s="39"/>
      <c r="B3577" s="36"/>
      <c r="C3577" s="37"/>
      <c r="D3577" s="37"/>
      <c r="E3577" s="37"/>
      <c r="F3577" s="37"/>
      <c r="G3577" s="37"/>
      <c r="H3577" s="37"/>
      <c r="I3577" s="35"/>
      <c r="J3577" s="37"/>
    </row>
    <row r="3578" spans="1:10" ht="15.95" customHeight="1" x14ac:dyDescent="0.2">
      <c r="A3578" s="39"/>
      <c r="B3578" s="36"/>
      <c r="C3578" s="37"/>
      <c r="D3578" s="37"/>
      <c r="E3578" s="37"/>
      <c r="F3578" s="37"/>
      <c r="G3578" s="37"/>
      <c r="H3578" s="37"/>
      <c r="I3578" s="35"/>
      <c r="J3578" s="37"/>
    </row>
    <row r="3579" spans="1:10" ht="15.95" customHeight="1" x14ac:dyDescent="0.2">
      <c r="A3579" s="39"/>
      <c r="B3579" s="36"/>
      <c r="C3579" s="37"/>
      <c r="D3579" s="37"/>
      <c r="E3579" s="37"/>
      <c r="F3579" s="37"/>
      <c r="G3579" s="37"/>
      <c r="H3579" s="37"/>
      <c r="I3579" s="35"/>
      <c r="J3579" s="37"/>
    </row>
    <row r="3580" spans="1:10" ht="15.95" customHeight="1" x14ac:dyDescent="0.2">
      <c r="A3580" s="39"/>
      <c r="B3580" s="36"/>
      <c r="C3580" s="37"/>
      <c r="D3580" s="37"/>
      <c r="E3580" s="37"/>
      <c r="F3580" s="37"/>
      <c r="G3580" s="37"/>
      <c r="H3580" s="37"/>
      <c r="I3580" s="35"/>
      <c r="J3580" s="37"/>
    </row>
    <row r="3581" spans="1:10" ht="15.95" customHeight="1" x14ac:dyDescent="0.2">
      <c r="A3581" s="39"/>
      <c r="B3581" s="36"/>
      <c r="C3581" s="37"/>
      <c r="D3581" s="37"/>
      <c r="E3581" s="37"/>
      <c r="F3581" s="37"/>
      <c r="G3581" s="37"/>
      <c r="H3581" s="37"/>
      <c r="I3581" s="35"/>
      <c r="J3581" s="37"/>
    </row>
    <row r="3582" spans="1:10" ht="15.95" customHeight="1" x14ac:dyDescent="0.2">
      <c r="A3582" s="39"/>
      <c r="B3582" s="36"/>
      <c r="C3582" s="37"/>
      <c r="D3582" s="37"/>
      <c r="E3582" s="37"/>
      <c r="F3582" s="37"/>
      <c r="G3582" s="37"/>
      <c r="H3582" s="37"/>
      <c r="I3582" s="35"/>
      <c r="J3582" s="37"/>
    </row>
    <row r="3583" spans="1:10" ht="15.95" customHeight="1" x14ac:dyDescent="0.2">
      <c r="A3583" s="39"/>
      <c r="B3583" s="36"/>
      <c r="C3583" s="37"/>
      <c r="D3583" s="37"/>
      <c r="E3583" s="37"/>
      <c r="F3583" s="37"/>
      <c r="G3583" s="37"/>
      <c r="H3583" s="37"/>
      <c r="I3583" s="35"/>
      <c r="J3583" s="37"/>
    </row>
    <row r="3584" spans="1:10" ht="15.95" customHeight="1" x14ac:dyDescent="0.2">
      <c r="A3584" s="39"/>
      <c r="B3584" s="36"/>
      <c r="C3584" s="37"/>
      <c r="D3584" s="37"/>
      <c r="E3584" s="37"/>
      <c r="F3584" s="37"/>
      <c r="G3584" s="37"/>
      <c r="H3584" s="37"/>
      <c r="I3584" s="35"/>
      <c r="J3584" s="37"/>
    </row>
    <row r="3585" spans="1:10" ht="15.95" customHeight="1" x14ac:dyDescent="0.2">
      <c r="A3585" s="39"/>
      <c r="B3585" s="36"/>
      <c r="C3585" s="37"/>
      <c r="D3585" s="37"/>
      <c r="E3585" s="37"/>
      <c r="F3585" s="37"/>
      <c r="G3585" s="37"/>
      <c r="H3585" s="37"/>
      <c r="I3585" s="35"/>
      <c r="J3585" s="37"/>
    </row>
    <row r="3586" spans="1:10" ht="15.95" customHeight="1" x14ac:dyDescent="0.2">
      <c r="A3586" s="39"/>
      <c r="B3586" s="36"/>
      <c r="C3586" s="37"/>
      <c r="D3586" s="37"/>
      <c r="E3586" s="37"/>
      <c r="F3586" s="37"/>
      <c r="G3586" s="37"/>
      <c r="H3586" s="37"/>
      <c r="I3586" s="35"/>
      <c r="J3586" s="37"/>
    </row>
    <row r="3587" spans="1:10" ht="15.95" customHeight="1" x14ac:dyDescent="0.2">
      <c r="A3587" s="39"/>
      <c r="B3587" s="36"/>
      <c r="C3587" s="37"/>
      <c r="D3587" s="37"/>
      <c r="E3587" s="37"/>
      <c r="F3587" s="37"/>
      <c r="G3587" s="37"/>
      <c r="H3587" s="37"/>
      <c r="I3587" s="35"/>
      <c r="J3587" s="37"/>
    </row>
    <row r="3588" spans="1:10" ht="15.95" customHeight="1" x14ac:dyDescent="0.2">
      <c r="A3588" s="39"/>
      <c r="B3588" s="36"/>
      <c r="C3588" s="37"/>
      <c r="D3588" s="37"/>
      <c r="E3588" s="37"/>
      <c r="F3588" s="37"/>
      <c r="G3588" s="37"/>
      <c r="H3588" s="37"/>
      <c r="I3588" s="35"/>
      <c r="J3588" s="37"/>
    </row>
    <row r="3589" spans="1:10" ht="15.95" customHeight="1" x14ac:dyDescent="0.2">
      <c r="A3589" s="39"/>
      <c r="B3589" s="36"/>
      <c r="C3589" s="37"/>
      <c r="D3589" s="37"/>
      <c r="E3589" s="37"/>
      <c r="F3589" s="37"/>
      <c r="G3589" s="37"/>
      <c r="H3589" s="37"/>
      <c r="I3589" s="35"/>
      <c r="J3589" s="37"/>
    </row>
    <row r="3590" spans="1:10" ht="15.95" customHeight="1" x14ac:dyDescent="0.2">
      <c r="A3590" s="39"/>
      <c r="B3590" s="36"/>
      <c r="C3590" s="37"/>
      <c r="D3590" s="37"/>
      <c r="E3590" s="37"/>
      <c r="F3590" s="37"/>
      <c r="G3590" s="37"/>
      <c r="H3590" s="37"/>
      <c r="I3590" s="35"/>
      <c r="J3590" s="37"/>
    </row>
    <row r="3591" spans="1:10" ht="15.95" customHeight="1" x14ac:dyDescent="0.2">
      <c r="A3591" s="39"/>
      <c r="B3591" s="36"/>
      <c r="C3591" s="37"/>
      <c r="D3591" s="37"/>
      <c r="E3591" s="37"/>
      <c r="F3591" s="37"/>
      <c r="G3591" s="37"/>
      <c r="H3591" s="37"/>
      <c r="I3591" s="35"/>
      <c r="J3591" s="37"/>
    </row>
    <row r="3592" spans="1:10" ht="15.95" customHeight="1" x14ac:dyDescent="0.2">
      <c r="A3592" s="39"/>
      <c r="B3592" s="36"/>
      <c r="C3592" s="37"/>
      <c r="D3592" s="37"/>
      <c r="E3592" s="37"/>
      <c r="F3592" s="37"/>
      <c r="G3592" s="37"/>
      <c r="H3592" s="37"/>
      <c r="I3592" s="35"/>
      <c r="J3592" s="37"/>
    </row>
    <row r="3593" spans="1:10" ht="15.95" customHeight="1" x14ac:dyDescent="0.2">
      <c r="A3593" s="39"/>
      <c r="B3593" s="36"/>
      <c r="C3593" s="37"/>
      <c r="D3593" s="37"/>
      <c r="E3593" s="37"/>
      <c r="F3593" s="37"/>
      <c r="G3593" s="37"/>
      <c r="H3593" s="37"/>
      <c r="I3593" s="35"/>
      <c r="J3593" s="37"/>
    </row>
    <row r="3594" spans="1:10" ht="15.95" customHeight="1" x14ac:dyDescent="0.2">
      <c r="A3594" s="39"/>
      <c r="B3594" s="36"/>
      <c r="C3594" s="37"/>
      <c r="D3594" s="37"/>
      <c r="E3594" s="37"/>
      <c r="F3594" s="37"/>
      <c r="G3594" s="37"/>
      <c r="H3594" s="37"/>
      <c r="I3594" s="35"/>
      <c r="J3594" s="37"/>
    </row>
    <row r="3595" spans="1:10" ht="15.95" customHeight="1" x14ac:dyDescent="0.2">
      <c r="A3595" s="39"/>
      <c r="B3595" s="36"/>
      <c r="C3595" s="37"/>
      <c r="D3595" s="37"/>
      <c r="E3595" s="37"/>
      <c r="F3595" s="37"/>
      <c r="G3595" s="37"/>
      <c r="H3595" s="37"/>
      <c r="I3595" s="35"/>
      <c r="J3595" s="37"/>
    </row>
    <row r="3596" spans="1:10" ht="15.95" customHeight="1" x14ac:dyDescent="0.2">
      <c r="A3596" s="39"/>
      <c r="B3596" s="36"/>
      <c r="C3596" s="37"/>
      <c r="D3596" s="37"/>
      <c r="E3596" s="37"/>
      <c r="F3596" s="37"/>
      <c r="G3596" s="37"/>
      <c r="H3596" s="37"/>
      <c r="I3596" s="35"/>
      <c r="J3596" s="37"/>
    </row>
    <row r="3597" spans="1:10" ht="15.95" customHeight="1" x14ac:dyDescent="0.2">
      <c r="A3597" s="39"/>
      <c r="B3597" s="36"/>
      <c r="C3597" s="37"/>
      <c r="D3597" s="37"/>
      <c r="E3597" s="37"/>
      <c r="F3597" s="37"/>
      <c r="G3597" s="37"/>
      <c r="H3597" s="37"/>
      <c r="I3597" s="35"/>
      <c r="J3597" s="37"/>
    </row>
    <row r="3598" spans="1:10" ht="15.95" customHeight="1" x14ac:dyDescent="0.2">
      <c r="A3598" s="39"/>
      <c r="B3598" s="36"/>
      <c r="C3598" s="37"/>
      <c r="D3598" s="37"/>
      <c r="E3598" s="37"/>
      <c r="F3598" s="37"/>
      <c r="G3598" s="37"/>
      <c r="H3598" s="37"/>
      <c r="I3598" s="35"/>
      <c r="J3598" s="37"/>
    </row>
    <row r="3599" spans="1:10" ht="15.95" customHeight="1" x14ac:dyDescent="0.2">
      <c r="A3599" s="39"/>
      <c r="B3599" s="36"/>
      <c r="C3599" s="37"/>
      <c r="D3599" s="37"/>
      <c r="E3599" s="37"/>
      <c r="F3599" s="37"/>
      <c r="G3599" s="37"/>
      <c r="H3599" s="37"/>
      <c r="I3599" s="35"/>
      <c r="J3599" s="37"/>
    </row>
    <row r="3600" spans="1:10" ht="15.95" customHeight="1" x14ac:dyDescent="0.2">
      <c r="A3600" s="39"/>
      <c r="B3600" s="36"/>
      <c r="C3600" s="37"/>
      <c r="D3600" s="37"/>
      <c r="E3600" s="37"/>
      <c r="F3600" s="37"/>
      <c r="G3600" s="37"/>
      <c r="H3600" s="37"/>
      <c r="I3600" s="35"/>
      <c r="J3600" s="37"/>
    </row>
    <row r="3601" spans="1:10" ht="15.95" customHeight="1" x14ac:dyDescent="0.2">
      <c r="A3601" s="39"/>
      <c r="B3601" s="36"/>
      <c r="C3601" s="37"/>
      <c r="D3601" s="37"/>
      <c r="E3601" s="37"/>
      <c r="F3601" s="37"/>
      <c r="G3601" s="37"/>
      <c r="H3601" s="37"/>
      <c r="I3601" s="35"/>
      <c r="J3601" s="37"/>
    </row>
    <row r="3602" spans="1:10" ht="15.95" customHeight="1" x14ac:dyDescent="0.2">
      <c r="A3602" s="39"/>
      <c r="B3602" s="36"/>
      <c r="C3602" s="37"/>
      <c r="D3602" s="37"/>
      <c r="E3602" s="37"/>
      <c r="F3602" s="37"/>
      <c r="G3602" s="37"/>
      <c r="H3602" s="37"/>
      <c r="I3602" s="35"/>
      <c r="J3602" s="37"/>
    </row>
    <row r="3603" spans="1:10" ht="15.95" customHeight="1" x14ac:dyDescent="0.2">
      <c r="A3603" s="39"/>
      <c r="B3603" s="36"/>
      <c r="C3603" s="37"/>
      <c r="D3603" s="37"/>
      <c r="E3603" s="37"/>
      <c r="F3603" s="37"/>
      <c r="G3603" s="37"/>
      <c r="H3603" s="37"/>
      <c r="I3603" s="35"/>
      <c r="J3603" s="37"/>
    </row>
    <row r="3604" spans="1:10" ht="15.95" customHeight="1" x14ac:dyDescent="0.2">
      <c r="A3604" s="39"/>
      <c r="B3604" s="36"/>
      <c r="C3604" s="37"/>
      <c r="D3604" s="37"/>
      <c r="E3604" s="37"/>
      <c r="F3604" s="37"/>
      <c r="G3604" s="37"/>
      <c r="H3604" s="37"/>
      <c r="I3604" s="35"/>
      <c r="J3604" s="37"/>
    </row>
    <row r="3605" spans="1:10" ht="15.95" customHeight="1" x14ac:dyDescent="0.2">
      <c r="A3605" s="39"/>
      <c r="B3605" s="36"/>
      <c r="C3605" s="37"/>
      <c r="D3605" s="37"/>
      <c r="E3605" s="37"/>
      <c r="F3605" s="37"/>
      <c r="G3605" s="37"/>
      <c r="H3605" s="37"/>
      <c r="I3605" s="35"/>
      <c r="J3605" s="37"/>
    </row>
    <row r="3606" spans="1:10" ht="15.95" customHeight="1" x14ac:dyDescent="0.2">
      <c r="A3606" s="39"/>
      <c r="B3606" s="36"/>
      <c r="C3606" s="37"/>
      <c r="D3606" s="37"/>
      <c r="E3606" s="37"/>
      <c r="F3606" s="37"/>
      <c r="G3606" s="37"/>
      <c r="H3606" s="37"/>
      <c r="I3606" s="35"/>
      <c r="J3606" s="37"/>
    </row>
    <row r="3607" spans="1:10" ht="15.95" customHeight="1" x14ac:dyDescent="0.2">
      <c r="A3607" s="39"/>
      <c r="B3607" s="36"/>
      <c r="C3607" s="37"/>
      <c r="D3607" s="37"/>
      <c r="E3607" s="37"/>
      <c r="F3607" s="37"/>
      <c r="G3607" s="37"/>
      <c r="H3607" s="37"/>
      <c r="I3607" s="35"/>
      <c r="J3607" s="37"/>
    </row>
    <row r="3608" spans="1:10" ht="15.95" customHeight="1" x14ac:dyDescent="0.2">
      <c r="A3608" s="39"/>
      <c r="B3608" s="36"/>
      <c r="C3608" s="37"/>
      <c r="D3608" s="37"/>
      <c r="E3608" s="37"/>
      <c r="F3608" s="37"/>
      <c r="G3608" s="37"/>
      <c r="H3608" s="37"/>
      <c r="I3608" s="35"/>
      <c r="J3608" s="37"/>
    </row>
    <row r="3609" spans="1:10" ht="15.95" customHeight="1" x14ac:dyDescent="0.2">
      <c r="A3609" s="39"/>
      <c r="B3609" s="36"/>
      <c r="C3609" s="37"/>
      <c r="D3609" s="37"/>
      <c r="E3609" s="37"/>
      <c r="F3609" s="37"/>
      <c r="G3609" s="37"/>
      <c r="H3609" s="37"/>
      <c r="I3609" s="35"/>
      <c r="J3609" s="37"/>
    </row>
    <row r="3610" spans="1:10" ht="15.95" customHeight="1" x14ac:dyDescent="0.2">
      <c r="A3610" s="39"/>
      <c r="B3610" s="36"/>
      <c r="C3610" s="37"/>
      <c r="D3610" s="37"/>
      <c r="E3610" s="37"/>
      <c r="F3610" s="37"/>
      <c r="G3610" s="37"/>
      <c r="H3610" s="37"/>
      <c r="I3610" s="35"/>
      <c r="J3610" s="37"/>
    </row>
    <row r="3611" spans="1:10" ht="15.95" customHeight="1" x14ac:dyDescent="0.2">
      <c r="A3611" s="39"/>
      <c r="B3611" s="36"/>
      <c r="C3611" s="37"/>
      <c r="D3611" s="37"/>
      <c r="E3611" s="37"/>
      <c r="F3611" s="37"/>
      <c r="G3611" s="37"/>
      <c r="H3611" s="37"/>
      <c r="I3611" s="35"/>
      <c r="J3611" s="37"/>
    </row>
    <row r="3612" spans="1:10" ht="15.95" customHeight="1" x14ac:dyDescent="0.2">
      <c r="A3612" s="39"/>
      <c r="B3612" s="36"/>
      <c r="C3612" s="37"/>
      <c r="D3612" s="37"/>
      <c r="E3612" s="37"/>
      <c r="F3612" s="37"/>
      <c r="G3612" s="37"/>
      <c r="H3612" s="37"/>
      <c r="I3612" s="35"/>
      <c r="J3612" s="37"/>
    </row>
    <row r="3613" spans="1:10" ht="15.95" customHeight="1" x14ac:dyDescent="0.2">
      <c r="A3613" s="39"/>
      <c r="B3613" s="36"/>
      <c r="C3613" s="37"/>
      <c r="D3613" s="37"/>
      <c r="E3613" s="37"/>
      <c r="F3613" s="37"/>
      <c r="G3613" s="37"/>
      <c r="H3613" s="37"/>
      <c r="I3613" s="35"/>
      <c r="J3613" s="37"/>
    </row>
    <row r="3614" spans="1:10" ht="15.95" customHeight="1" x14ac:dyDescent="0.2">
      <c r="A3614" s="39"/>
      <c r="B3614" s="36"/>
      <c r="C3614" s="37"/>
      <c r="D3614" s="37"/>
      <c r="E3614" s="37"/>
      <c r="F3614" s="37"/>
      <c r="G3614" s="37"/>
      <c r="H3614" s="37"/>
      <c r="I3614" s="35"/>
      <c r="J3614" s="37"/>
    </row>
    <row r="3615" spans="1:10" ht="15.95" customHeight="1" x14ac:dyDescent="0.2">
      <c r="A3615" s="39"/>
      <c r="B3615" s="36"/>
      <c r="C3615" s="37"/>
      <c r="D3615" s="37"/>
      <c r="E3615" s="37"/>
      <c r="F3615" s="37"/>
      <c r="G3615" s="37"/>
      <c r="H3615" s="37"/>
      <c r="I3615" s="35"/>
      <c r="J3615" s="37"/>
    </row>
    <row r="3616" spans="1:10" ht="15.95" customHeight="1" x14ac:dyDescent="0.2">
      <c r="A3616" s="39"/>
      <c r="B3616" s="36"/>
      <c r="C3616" s="37"/>
      <c r="D3616" s="37"/>
      <c r="E3616" s="37"/>
      <c r="F3616" s="37"/>
      <c r="G3616" s="37"/>
      <c r="H3616" s="37"/>
      <c r="I3616" s="35"/>
      <c r="J3616" s="37"/>
    </row>
    <row r="3617" spans="1:10" ht="15.95" customHeight="1" x14ac:dyDescent="0.2">
      <c r="A3617" s="39"/>
      <c r="B3617" s="36"/>
      <c r="C3617" s="37"/>
      <c r="D3617" s="37"/>
      <c r="E3617" s="37"/>
      <c r="F3617" s="37"/>
      <c r="G3617" s="37"/>
      <c r="H3617" s="37"/>
      <c r="I3617" s="35"/>
      <c r="J3617" s="37"/>
    </row>
    <row r="3618" spans="1:10" ht="15.95" customHeight="1" x14ac:dyDescent="0.2">
      <c r="A3618" s="39"/>
      <c r="B3618" s="36"/>
      <c r="C3618" s="37"/>
      <c r="D3618" s="37"/>
      <c r="E3618" s="37"/>
      <c r="F3618" s="37"/>
      <c r="G3618" s="37"/>
      <c r="H3618" s="37"/>
      <c r="I3618" s="35"/>
      <c r="J3618" s="37"/>
    </row>
    <row r="3619" spans="1:10" ht="15.95" customHeight="1" x14ac:dyDescent="0.2">
      <c r="A3619" s="39"/>
      <c r="B3619" s="36"/>
      <c r="C3619" s="37"/>
      <c r="D3619" s="37"/>
      <c r="E3619" s="37"/>
      <c r="F3619" s="37"/>
      <c r="G3619" s="37"/>
      <c r="H3619" s="37"/>
      <c r="I3619" s="35"/>
      <c r="J3619" s="37"/>
    </row>
    <row r="3620" spans="1:10" ht="15.95" customHeight="1" x14ac:dyDescent="0.2">
      <c r="A3620" s="39"/>
      <c r="B3620" s="36"/>
      <c r="C3620" s="37"/>
      <c r="D3620" s="37"/>
      <c r="E3620" s="37"/>
      <c r="F3620" s="37"/>
      <c r="G3620" s="37"/>
      <c r="H3620" s="37"/>
      <c r="I3620" s="35"/>
      <c r="J3620" s="37"/>
    </row>
    <row r="3621" spans="1:10" ht="15.95" customHeight="1" x14ac:dyDescent="0.2">
      <c r="A3621" s="39"/>
      <c r="B3621" s="36"/>
      <c r="C3621" s="37"/>
      <c r="D3621" s="37"/>
      <c r="E3621" s="37"/>
      <c r="F3621" s="37"/>
      <c r="G3621" s="37"/>
      <c r="H3621" s="37"/>
      <c r="I3621" s="35"/>
      <c r="J3621" s="37"/>
    </row>
    <row r="3622" spans="1:10" ht="15.95" customHeight="1" x14ac:dyDescent="0.2">
      <c r="A3622" s="39"/>
      <c r="B3622" s="36"/>
      <c r="C3622" s="37"/>
      <c r="D3622" s="37"/>
      <c r="E3622" s="37"/>
      <c r="F3622" s="37"/>
      <c r="G3622" s="37"/>
      <c r="H3622" s="37"/>
      <c r="I3622" s="35"/>
      <c r="J3622" s="37"/>
    </row>
    <row r="3623" spans="1:10" ht="15.95" customHeight="1" x14ac:dyDescent="0.2">
      <c r="A3623" s="39"/>
      <c r="B3623" s="36"/>
      <c r="C3623" s="37"/>
      <c r="D3623" s="37"/>
      <c r="E3623" s="37"/>
      <c r="F3623" s="37"/>
      <c r="G3623" s="37"/>
      <c r="H3623" s="37"/>
      <c r="I3623" s="35"/>
      <c r="J3623" s="37"/>
    </row>
    <row r="3624" spans="1:10" ht="15.95" customHeight="1" x14ac:dyDescent="0.2">
      <c r="A3624" s="39"/>
      <c r="B3624" s="36"/>
      <c r="C3624" s="37"/>
      <c r="D3624" s="37"/>
      <c r="E3624" s="37"/>
      <c r="F3624" s="37"/>
      <c r="G3624" s="37"/>
      <c r="H3624" s="37"/>
      <c r="I3624" s="35"/>
      <c r="J3624" s="37"/>
    </row>
    <row r="3625" spans="1:10" ht="15.95" customHeight="1" x14ac:dyDescent="0.2">
      <c r="A3625" s="39"/>
      <c r="B3625" s="36"/>
      <c r="C3625" s="37"/>
      <c r="D3625" s="37"/>
      <c r="E3625" s="37"/>
      <c r="F3625" s="37"/>
      <c r="G3625" s="37"/>
      <c r="H3625" s="37"/>
      <c r="I3625" s="35"/>
      <c r="J3625" s="37"/>
    </row>
    <row r="3626" spans="1:10" ht="15.95" customHeight="1" x14ac:dyDescent="0.2">
      <c r="A3626" s="39"/>
      <c r="B3626" s="36"/>
      <c r="C3626" s="37"/>
      <c r="D3626" s="37"/>
      <c r="E3626" s="37"/>
      <c r="F3626" s="37"/>
      <c r="G3626" s="37"/>
      <c r="H3626" s="37"/>
      <c r="I3626" s="35"/>
      <c r="J3626" s="37"/>
    </row>
    <row r="3627" spans="1:10" ht="15.95" customHeight="1" x14ac:dyDescent="0.2">
      <c r="A3627" s="39"/>
      <c r="B3627" s="36"/>
      <c r="C3627" s="37"/>
      <c r="D3627" s="37"/>
      <c r="E3627" s="37"/>
      <c r="F3627" s="37"/>
      <c r="G3627" s="37"/>
      <c r="H3627" s="37"/>
      <c r="I3627" s="35"/>
      <c r="J3627" s="37"/>
    </row>
    <row r="3628" spans="1:10" ht="15.95" customHeight="1" x14ac:dyDescent="0.2">
      <c r="A3628" s="39"/>
      <c r="B3628" s="36"/>
      <c r="C3628" s="37"/>
      <c r="D3628" s="37"/>
      <c r="E3628" s="37"/>
      <c r="F3628" s="37"/>
      <c r="G3628" s="37"/>
      <c r="H3628" s="37"/>
      <c r="I3628" s="35"/>
      <c r="J3628" s="37"/>
    </row>
    <row r="3629" spans="1:10" ht="15.95" customHeight="1" x14ac:dyDescent="0.2">
      <c r="A3629" s="39"/>
      <c r="B3629" s="36"/>
      <c r="C3629" s="37"/>
      <c r="D3629" s="37"/>
      <c r="E3629" s="37"/>
      <c r="F3629" s="37"/>
      <c r="G3629" s="37"/>
      <c r="H3629" s="37"/>
      <c r="I3629" s="35"/>
      <c r="J3629" s="37"/>
    </row>
    <row r="3630" spans="1:10" ht="15.95" customHeight="1" x14ac:dyDescent="0.2">
      <c r="A3630" s="39"/>
      <c r="B3630" s="36"/>
      <c r="C3630" s="37"/>
      <c r="D3630" s="37"/>
      <c r="E3630" s="37"/>
      <c r="F3630" s="37"/>
      <c r="G3630" s="37"/>
      <c r="H3630" s="37"/>
      <c r="I3630" s="35"/>
      <c r="J3630" s="37"/>
    </row>
    <row r="3631" spans="1:10" ht="15.95" customHeight="1" x14ac:dyDescent="0.2">
      <c r="A3631" s="39"/>
      <c r="B3631" s="36"/>
      <c r="C3631" s="37"/>
      <c r="D3631" s="37"/>
      <c r="E3631" s="37"/>
      <c r="F3631" s="37"/>
      <c r="G3631" s="37"/>
      <c r="H3631" s="37"/>
      <c r="I3631" s="35"/>
      <c r="J3631" s="37"/>
    </row>
    <row r="3632" spans="1:10" ht="15.95" customHeight="1" x14ac:dyDescent="0.2">
      <c r="A3632" s="39"/>
      <c r="B3632" s="36"/>
      <c r="C3632" s="37"/>
      <c r="D3632" s="37"/>
      <c r="E3632" s="37"/>
      <c r="F3632" s="37"/>
      <c r="G3632" s="37"/>
      <c r="H3632" s="37"/>
      <c r="I3632" s="35"/>
      <c r="J3632" s="37"/>
    </row>
    <row r="3633" spans="1:10" ht="15.95" customHeight="1" x14ac:dyDescent="0.2">
      <c r="A3633" s="39"/>
      <c r="B3633" s="36"/>
      <c r="C3633" s="37"/>
      <c r="D3633" s="37"/>
      <c r="E3633" s="37"/>
      <c r="F3633" s="37"/>
      <c r="G3633" s="37"/>
      <c r="H3633" s="37"/>
      <c r="I3633" s="35"/>
      <c r="J3633" s="37"/>
    </row>
    <row r="3634" spans="1:10" ht="15.95" customHeight="1" x14ac:dyDescent="0.2">
      <c r="A3634" s="39"/>
      <c r="B3634" s="36"/>
      <c r="C3634" s="37"/>
      <c r="D3634" s="37"/>
      <c r="E3634" s="37"/>
      <c r="F3634" s="37"/>
      <c r="G3634" s="37"/>
      <c r="H3634" s="37"/>
      <c r="I3634" s="35"/>
      <c r="J3634" s="37"/>
    </row>
    <row r="3635" spans="1:10" ht="15.95" customHeight="1" x14ac:dyDescent="0.2">
      <c r="A3635" s="39"/>
      <c r="B3635" s="36"/>
      <c r="C3635" s="37"/>
      <c r="D3635" s="37"/>
      <c r="E3635" s="37"/>
      <c r="F3635" s="37"/>
      <c r="G3635" s="37"/>
      <c r="H3635" s="37"/>
      <c r="I3635" s="35"/>
      <c r="J3635" s="37"/>
    </row>
    <row r="3636" spans="1:10" ht="15.95" customHeight="1" x14ac:dyDescent="0.2">
      <c r="A3636" s="39"/>
      <c r="B3636" s="36"/>
      <c r="C3636" s="37"/>
      <c r="D3636" s="37"/>
      <c r="E3636" s="37"/>
      <c r="F3636" s="37"/>
      <c r="G3636" s="37"/>
      <c r="H3636" s="37"/>
      <c r="I3636" s="35"/>
      <c r="J3636" s="37"/>
    </row>
    <row r="3637" spans="1:10" ht="15.95" customHeight="1" x14ac:dyDescent="0.2">
      <c r="A3637" s="39"/>
      <c r="B3637" s="36"/>
      <c r="C3637" s="37"/>
      <c r="D3637" s="37"/>
      <c r="E3637" s="37"/>
      <c r="F3637" s="37"/>
      <c r="G3637" s="37"/>
      <c r="H3637" s="37"/>
      <c r="I3637" s="35"/>
      <c r="J3637" s="37"/>
    </row>
    <row r="3638" spans="1:10" ht="15.95" customHeight="1" x14ac:dyDescent="0.2">
      <c r="A3638" s="39"/>
      <c r="B3638" s="36"/>
      <c r="C3638" s="37"/>
      <c r="D3638" s="37"/>
      <c r="E3638" s="37"/>
      <c r="F3638" s="37"/>
      <c r="G3638" s="37"/>
      <c r="H3638" s="37"/>
      <c r="I3638" s="35"/>
      <c r="J3638" s="37"/>
    </row>
    <row r="3639" spans="1:10" ht="15.95" customHeight="1" x14ac:dyDescent="0.2">
      <c r="A3639" s="39"/>
      <c r="B3639" s="36"/>
      <c r="C3639" s="37"/>
      <c r="D3639" s="37"/>
      <c r="E3639" s="37"/>
      <c r="F3639" s="37"/>
      <c r="G3639" s="37"/>
      <c r="H3639" s="37"/>
      <c r="I3639" s="35"/>
      <c r="J3639" s="37"/>
    </row>
    <row r="3640" spans="1:10" ht="15.95" customHeight="1" x14ac:dyDescent="0.2">
      <c r="A3640" s="39"/>
      <c r="B3640" s="36"/>
      <c r="C3640" s="37"/>
      <c r="D3640" s="37"/>
      <c r="E3640" s="37"/>
      <c r="F3640" s="37"/>
      <c r="G3640" s="37"/>
      <c r="H3640" s="37"/>
      <c r="I3640" s="35"/>
      <c r="J3640" s="37"/>
    </row>
    <row r="3641" spans="1:10" ht="15.95" customHeight="1" x14ac:dyDescent="0.2">
      <c r="A3641" s="39"/>
      <c r="B3641" s="36"/>
      <c r="C3641" s="37"/>
      <c r="D3641" s="37"/>
      <c r="E3641" s="37"/>
      <c r="F3641" s="37"/>
      <c r="G3641" s="37"/>
      <c r="H3641" s="37"/>
      <c r="I3641" s="35"/>
      <c r="J3641" s="37"/>
    </row>
    <row r="3642" spans="1:10" ht="15.95" customHeight="1" x14ac:dyDescent="0.2">
      <c r="A3642" s="39"/>
      <c r="B3642" s="36"/>
      <c r="C3642" s="37"/>
      <c r="D3642" s="37"/>
      <c r="E3642" s="37"/>
      <c r="F3642" s="37"/>
      <c r="G3642" s="37"/>
      <c r="H3642" s="37"/>
      <c r="I3642" s="35"/>
      <c r="J3642" s="37"/>
    </row>
    <row r="3643" spans="1:10" ht="15.95" customHeight="1" x14ac:dyDescent="0.2">
      <c r="A3643" s="39"/>
      <c r="B3643" s="36"/>
      <c r="C3643" s="37"/>
      <c r="D3643" s="37"/>
      <c r="E3643" s="37"/>
      <c r="F3643" s="37"/>
      <c r="G3643" s="37"/>
      <c r="H3643" s="37"/>
      <c r="I3643" s="35"/>
      <c r="J3643" s="37"/>
    </row>
    <row r="3644" spans="1:10" ht="15.95" customHeight="1" x14ac:dyDescent="0.2">
      <c r="A3644" s="39"/>
      <c r="B3644" s="36"/>
      <c r="C3644" s="37"/>
      <c r="D3644" s="37"/>
      <c r="E3644" s="37"/>
      <c r="F3644" s="37"/>
      <c r="G3644" s="37"/>
      <c r="H3644" s="37"/>
      <c r="I3644" s="35"/>
      <c r="J3644" s="37"/>
    </row>
    <row r="3645" spans="1:10" ht="15.95" customHeight="1" x14ac:dyDescent="0.2">
      <c r="A3645" s="39"/>
      <c r="B3645" s="36"/>
      <c r="C3645" s="37"/>
      <c r="D3645" s="37"/>
      <c r="E3645" s="37"/>
      <c r="F3645" s="37"/>
      <c r="G3645" s="37"/>
      <c r="H3645" s="37"/>
      <c r="I3645" s="35"/>
      <c r="J3645" s="37"/>
    </row>
    <row r="3646" spans="1:10" ht="15.95" customHeight="1" x14ac:dyDescent="0.2">
      <c r="A3646" s="39"/>
      <c r="B3646" s="36"/>
      <c r="C3646" s="37"/>
      <c r="D3646" s="37"/>
      <c r="E3646" s="37"/>
      <c r="F3646" s="37"/>
      <c r="G3646" s="37"/>
      <c r="H3646" s="37"/>
      <c r="I3646" s="35"/>
      <c r="J3646" s="37"/>
    </row>
    <row r="3647" spans="1:10" ht="15.95" customHeight="1" x14ac:dyDescent="0.2">
      <c r="A3647" s="39"/>
      <c r="B3647" s="36"/>
      <c r="C3647" s="37"/>
      <c r="D3647" s="37"/>
      <c r="E3647" s="37"/>
      <c r="F3647" s="37"/>
      <c r="G3647" s="37"/>
      <c r="H3647" s="37"/>
      <c r="I3647" s="35"/>
      <c r="J3647" s="37"/>
    </row>
    <row r="3648" spans="1:10" ht="15.95" customHeight="1" x14ac:dyDescent="0.2">
      <c r="A3648" s="39"/>
      <c r="B3648" s="36"/>
      <c r="C3648" s="37"/>
      <c r="D3648" s="37"/>
      <c r="E3648" s="37"/>
      <c r="F3648" s="37"/>
      <c r="G3648" s="37"/>
      <c r="H3648" s="37"/>
      <c r="I3648" s="35"/>
      <c r="J3648" s="37"/>
    </row>
    <row r="3649" spans="1:10" ht="15.95" customHeight="1" x14ac:dyDescent="0.2">
      <c r="A3649" s="39"/>
      <c r="B3649" s="36"/>
      <c r="C3649" s="37"/>
      <c r="D3649" s="37"/>
      <c r="E3649" s="37"/>
      <c r="F3649" s="37"/>
      <c r="G3649" s="37"/>
      <c r="H3649" s="37"/>
      <c r="I3649" s="35"/>
      <c r="J3649" s="37"/>
    </row>
    <row r="3650" spans="1:10" ht="15.95" customHeight="1" x14ac:dyDescent="0.2">
      <c r="A3650" s="39"/>
      <c r="B3650" s="36"/>
      <c r="C3650" s="37"/>
      <c r="D3650" s="37"/>
      <c r="E3650" s="37"/>
      <c r="F3650" s="37"/>
      <c r="G3650" s="37"/>
      <c r="H3650" s="37"/>
      <c r="I3650" s="35"/>
      <c r="J3650" s="37"/>
    </row>
    <row r="3651" spans="1:10" ht="15.95" customHeight="1" x14ac:dyDescent="0.2">
      <c r="A3651" s="39"/>
      <c r="B3651" s="36"/>
      <c r="C3651" s="37"/>
      <c r="D3651" s="37"/>
      <c r="E3651" s="37"/>
      <c r="F3651" s="37"/>
      <c r="G3651" s="37"/>
      <c r="H3651" s="37"/>
      <c r="I3651" s="35"/>
      <c r="J3651" s="37"/>
    </row>
    <row r="3652" spans="1:10" ht="15.95" customHeight="1" x14ac:dyDescent="0.2">
      <c r="A3652" s="39"/>
      <c r="B3652" s="36"/>
      <c r="C3652" s="37"/>
      <c r="D3652" s="37"/>
      <c r="E3652" s="37"/>
      <c r="F3652" s="37"/>
      <c r="G3652" s="37"/>
      <c r="H3652" s="37"/>
      <c r="I3652" s="35"/>
      <c r="J3652" s="37"/>
    </row>
    <row r="3653" spans="1:10" ht="15.95" customHeight="1" x14ac:dyDescent="0.2">
      <c r="A3653" s="39"/>
      <c r="B3653" s="36"/>
      <c r="C3653" s="37"/>
      <c r="D3653" s="37"/>
      <c r="E3653" s="37"/>
      <c r="F3653" s="37"/>
      <c r="G3653" s="37"/>
      <c r="H3653" s="37"/>
      <c r="I3653" s="35"/>
      <c r="J3653" s="37"/>
    </row>
    <row r="3654" spans="1:10" ht="15.95" customHeight="1" x14ac:dyDescent="0.2">
      <c r="A3654" s="39"/>
      <c r="B3654" s="36"/>
      <c r="C3654" s="37"/>
      <c r="D3654" s="37"/>
      <c r="E3654" s="37"/>
      <c r="F3654" s="37"/>
      <c r="G3654" s="37"/>
      <c r="H3654" s="37"/>
      <c r="I3654" s="35"/>
      <c r="J3654" s="37"/>
    </row>
    <row r="3655" spans="1:10" ht="15.95" customHeight="1" x14ac:dyDescent="0.2">
      <c r="A3655" s="39"/>
      <c r="B3655" s="36"/>
      <c r="C3655" s="37"/>
      <c r="D3655" s="37"/>
      <c r="E3655" s="37"/>
      <c r="F3655" s="37"/>
      <c r="G3655" s="37"/>
      <c r="H3655" s="37"/>
      <c r="I3655" s="35"/>
      <c r="J3655" s="37"/>
    </row>
    <row r="3656" spans="1:10" ht="15.95" customHeight="1" x14ac:dyDescent="0.2">
      <c r="A3656" s="39"/>
      <c r="B3656" s="36"/>
      <c r="C3656" s="37"/>
      <c r="D3656" s="37"/>
      <c r="E3656" s="37"/>
      <c r="F3656" s="37"/>
      <c r="G3656" s="37"/>
      <c r="H3656" s="37"/>
      <c r="I3656" s="35"/>
      <c r="J3656" s="37"/>
    </row>
    <row r="3657" spans="1:10" ht="15.95" customHeight="1" x14ac:dyDescent="0.2">
      <c r="A3657" s="39"/>
      <c r="B3657" s="36"/>
      <c r="C3657" s="37"/>
      <c r="D3657" s="37"/>
      <c r="E3657" s="37"/>
      <c r="F3657" s="37"/>
      <c r="G3657" s="37"/>
      <c r="H3657" s="37"/>
      <c r="I3657" s="35"/>
      <c r="J3657" s="37"/>
    </row>
    <row r="3658" spans="1:10" ht="15.95" customHeight="1" x14ac:dyDescent="0.2">
      <c r="A3658" s="39"/>
      <c r="B3658" s="36"/>
      <c r="C3658" s="37"/>
      <c r="D3658" s="37"/>
      <c r="E3658" s="37"/>
      <c r="F3658" s="37"/>
      <c r="G3658" s="37"/>
      <c r="H3658" s="37"/>
      <c r="I3658" s="35"/>
      <c r="J3658" s="37"/>
    </row>
    <row r="3659" spans="1:10" ht="15.95" customHeight="1" x14ac:dyDescent="0.2">
      <c r="A3659" s="39"/>
      <c r="B3659" s="36"/>
      <c r="C3659" s="37"/>
      <c r="D3659" s="37"/>
      <c r="E3659" s="37"/>
      <c r="F3659" s="37"/>
      <c r="G3659" s="37"/>
      <c r="H3659" s="37"/>
      <c r="I3659" s="35"/>
      <c r="J3659" s="37"/>
    </row>
    <row r="3660" spans="1:10" ht="15.95" customHeight="1" x14ac:dyDescent="0.2">
      <c r="A3660" s="39"/>
      <c r="B3660" s="36"/>
      <c r="C3660" s="37"/>
      <c r="D3660" s="37"/>
      <c r="E3660" s="37"/>
      <c r="F3660" s="37"/>
      <c r="G3660" s="37"/>
      <c r="H3660" s="37"/>
      <c r="I3660" s="35"/>
      <c r="J3660" s="37"/>
    </row>
    <row r="3661" spans="1:10" ht="15.95" customHeight="1" x14ac:dyDescent="0.2">
      <c r="A3661" s="39"/>
      <c r="B3661" s="36"/>
      <c r="C3661" s="37"/>
      <c r="D3661" s="37"/>
      <c r="E3661" s="37"/>
      <c r="F3661" s="37"/>
      <c r="G3661" s="37"/>
      <c r="H3661" s="37"/>
      <c r="I3661" s="35"/>
      <c r="J3661" s="37"/>
    </row>
    <row r="3662" spans="1:10" ht="15.95" customHeight="1" x14ac:dyDescent="0.2">
      <c r="A3662" s="39"/>
      <c r="B3662" s="36"/>
      <c r="C3662" s="37"/>
      <c r="D3662" s="37"/>
      <c r="E3662" s="37"/>
      <c r="F3662" s="37"/>
      <c r="G3662" s="37"/>
      <c r="H3662" s="37"/>
      <c r="I3662" s="35"/>
      <c r="J3662" s="37"/>
    </row>
    <row r="3663" spans="1:10" ht="15.95" customHeight="1" x14ac:dyDescent="0.2">
      <c r="A3663" s="39"/>
      <c r="B3663" s="36"/>
      <c r="C3663" s="37"/>
      <c r="D3663" s="37"/>
      <c r="E3663" s="37"/>
      <c r="F3663" s="37"/>
      <c r="G3663" s="37"/>
      <c r="H3663" s="37"/>
      <c r="I3663" s="35"/>
      <c r="J3663" s="37"/>
    </row>
    <row r="3664" spans="1:10" ht="15.95" customHeight="1" x14ac:dyDescent="0.2">
      <c r="A3664" s="39"/>
      <c r="B3664" s="36"/>
      <c r="C3664" s="37"/>
      <c r="D3664" s="37"/>
      <c r="E3664" s="37"/>
      <c r="F3664" s="37"/>
      <c r="G3664" s="37"/>
      <c r="H3664" s="37"/>
      <c r="I3664" s="35"/>
      <c r="J3664" s="37"/>
    </row>
    <row r="3665" spans="1:10" ht="15.95" customHeight="1" x14ac:dyDescent="0.2">
      <c r="A3665" s="39"/>
      <c r="B3665" s="36"/>
      <c r="C3665" s="37"/>
      <c r="D3665" s="37"/>
      <c r="E3665" s="37"/>
      <c r="F3665" s="37"/>
      <c r="G3665" s="37"/>
      <c r="H3665" s="37"/>
      <c r="I3665" s="35"/>
      <c r="J3665" s="37"/>
    </row>
    <row r="3666" spans="1:10" ht="15.95" customHeight="1" x14ac:dyDescent="0.2">
      <c r="A3666" s="39"/>
      <c r="B3666" s="36"/>
      <c r="C3666" s="37"/>
      <c r="D3666" s="37"/>
      <c r="E3666" s="37"/>
      <c r="F3666" s="37"/>
      <c r="G3666" s="37"/>
      <c r="H3666" s="37"/>
      <c r="I3666" s="35"/>
      <c r="J3666" s="37"/>
    </row>
    <row r="3667" spans="1:10" ht="15.95" customHeight="1" x14ac:dyDescent="0.2">
      <c r="A3667" s="39"/>
      <c r="B3667" s="36"/>
      <c r="C3667" s="37"/>
      <c r="D3667" s="37"/>
      <c r="E3667" s="37"/>
      <c r="F3667" s="37"/>
      <c r="G3667" s="37"/>
      <c r="H3667" s="37"/>
      <c r="I3667" s="35"/>
      <c r="J3667" s="37"/>
    </row>
    <row r="3668" spans="1:10" ht="15.95" customHeight="1" x14ac:dyDescent="0.2">
      <c r="A3668" s="39"/>
      <c r="B3668" s="36"/>
      <c r="C3668" s="37"/>
      <c r="D3668" s="37"/>
      <c r="E3668" s="37"/>
      <c r="F3668" s="37"/>
      <c r="G3668" s="37"/>
      <c r="H3668" s="37"/>
      <c r="I3668" s="35"/>
      <c r="J3668" s="37"/>
    </row>
    <row r="3669" spans="1:10" ht="15.95" customHeight="1" x14ac:dyDescent="0.2">
      <c r="A3669" s="39"/>
      <c r="B3669" s="36"/>
      <c r="C3669" s="37"/>
      <c r="D3669" s="37"/>
      <c r="E3669" s="37"/>
      <c r="F3669" s="37"/>
      <c r="G3669" s="37"/>
      <c r="H3669" s="37"/>
      <c r="I3669" s="35"/>
      <c r="J3669" s="37"/>
    </row>
    <row r="3670" spans="1:10" ht="15.95" customHeight="1" x14ac:dyDescent="0.2">
      <c r="A3670" s="39"/>
      <c r="B3670" s="36"/>
      <c r="C3670" s="37"/>
      <c r="D3670" s="37"/>
      <c r="E3670" s="37"/>
      <c r="F3670" s="37"/>
      <c r="G3670" s="37"/>
      <c r="H3670" s="37"/>
      <c r="I3670" s="35"/>
      <c r="J3670" s="37"/>
    </row>
    <row r="3671" spans="1:10" ht="15.95" customHeight="1" x14ac:dyDescent="0.2">
      <c r="A3671" s="39"/>
      <c r="B3671" s="36"/>
      <c r="C3671" s="37"/>
      <c r="D3671" s="37"/>
      <c r="E3671" s="37"/>
      <c r="F3671" s="37"/>
      <c r="G3671" s="37"/>
      <c r="H3671" s="37"/>
      <c r="I3671" s="35"/>
      <c r="J3671" s="37"/>
    </row>
    <row r="3672" spans="1:10" ht="15.95" customHeight="1" x14ac:dyDescent="0.2">
      <c r="A3672" s="39"/>
      <c r="B3672" s="36"/>
      <c r="C3672" s="37"/>
      <c r="D3672" s="37"/>
      <c r="E3672" s="37"/>
      <c r="F3672" s="37"/>
      <c r="G3672" s="37"/>
      <c r="H3672" s="37"/>
      <c r="I3672" s="35"/>
      <c r="J3672" s="37"/>
    </row>
    <row r="3673" spans="1:10" ht="15.95" customHeight="1" x14ac:dyDescent="0.2">
      <c r="A3673" s="39"/>
      <c r="B3673" s="36"/>
      <c r="C3673" s="37"/>
      <c r="D3673" s="37"/>
      <c r="E3673" s="37"/>
      <c r="F3673" s="37"/>
      <c r="G3673" s="37"/>
      <c r="H3673" s="37"/>
      <c r="I3673" s="35"/>
      <c r="J3673" s="37"/>
    </row>
    <row r="3674" spans="1:10" ht="15.95" customHeight="1" x14ac:dyDescent="0.2">
      <c r="A3674" s="39"/>
      <c r="B3674" s="36"/>
      <c r="C3674" s="37"/>
      <c r="D3674" s="37"/>
      <c r="E3674" s="37"/>
      <c r="F3674" s="37"/>
      <c r="G3674" s="37"/>
      <c r="H3674" s="37"/>
      <c r="I3674" s="35"/>
      <c r="J3674" s="37"/>
    </row>
    <row r="3675" spans="1:10" ht="15.95" customHeight="1" x14ac:dyDescent="0.2">
      <c r="A3675" s="39"/>
      <c r="B3675" s="36"/>
      <c r="C3675" s="37"/>
      <c r="D3675" s="37"/>
      <c r="E3675" s="37"/>
      <c r="F3675" s="37"/>
      <c r="G3675" s="37"/>
      <c r="H3675" s="37"/>
      <c r="I3675" s="35"/>
      <c r="J3675" s="37"/>
    </row>
    <row r="3676" spans="1:10" ht="15.95" customHeight="1" x14ac:dyDescent="0.2">
      <c r="A3676" s="39"/>
      <c r="B3676" s="36"/>
      <c r="C3676" s="37"/>
      <c r="D3676" s="37"/>
      <c r="E3676" s="37"/>
      <c r="F3676" s="37"/>
      <c r="G3676" s="37"/>
      <c r="H3676" s="37"/>
      <c r="I3676" s="35"/>
      <c r="J3676" s="37"/>
    </row>
    <row r="3677" spans="1:10" ht="15.95" customHeight="1" x14ac:dyDescent="0.2">
      <c r="A3677" s="39"/>
      <c r="B3677" s="36"/>
      <c r="C3677" s="37"/>
      <c r="D3677" s="37"/>
      <c r="E3677" s="37"/>
      <c r="F3677" s="37"/>
      <c r="G3677" s="37"/>
      <c r="H3677" s="37"/>
      <c r="I3677" s="35"/>
      <c r="J3677" s="37"/>
    </row>
    <row r="3678" spans="1:10" ht="15.95" customHeight="1" x14ac:dyDescent="0.2">
      <c r="A3678" s="39"/>
      <c r="B3678" s="36"/>
      <c r="C3678" s="37"/>
      <c r="D3678" s="37"/>
      <c r="E3678" s="37"/>
      <c r="F3678" s="37"/>
      <c r="G3678" s="37"/>
      <c r="H3678" s="37"/>
      <c r="I3678" s="35"/>
      <c r="J3678" s="37"/>
    </row>
    <row r="3679" spans="1:10" ht="15.95" customHeight="1" x14ac:dyDescent="0.2">
      <c r="A3679" s="39"/>
      <c r="B3679" s="36"/>
      <c r="C3679" s="37"/>
      <c r="D3679" s="37"/>
      <c r="E3679" s="37"/>
      <c r="F3679" s="37"/>
      <c r="G3679" s="37"/>
      <c r="H3679" s="37"/>
      <c r="I3679" s="35"/>
      <c r="J3679" s="37"/>
    </row>
    <row r="3680" spans="1:10" ht="15.95" customHeight="1" x14ac:dyDescent="0.2">
      <c r="A3680" s="39"/>
      <c r="B3680" s="36"/>
      <c r="C3680" s="37"/>
      <c r="D3680" s="37"/>
      <c r="E3680" s="37"/>
      <c r="F3680" s="37"/>
      <c r="G3680" s="37"/>
      <c r="H3680" s="37"/>
      <c r="I3680" s="35"/>
      <c r="J3680" s="37"/>
    </row>
    <row r="3681" spans="1:10" ht="15.95" customHeight="1" x14ac:dyDescent="0.2">
      <c r="A3681" s="39"/>
      <c r="B3681" s="36"/>
      <c r="C3681" s="37"/>
      <c r="D3681" s="37"/>
      <c r="E3681" s="37"/>
      <c r="F3681" s="37"/>
      <c r="G3681" s="37"/>
      <c r="H3681" s="37"/>
      <c r="I3681" s="35"/>
      <c r="J3681" s="37"/>
    </row>
    <row r="3682" spans="1:10" ht="15.95" customHeight="1" x14ac:dyDescent="0.2">
      <c r="A3682" s="39"/>
      <c r="B3682" s="36"/>
      <c r="C3682" s="37"/>
      <c r="D3682" s="37"/>
      <c r="E3682" s="37"/>
      <c r="F3682" s="37"/>
      <c r="G3682" s="37"/>
      <c r="H3682" s="37"/>
      <c r="I3682" s="35"/>
      <c r="J3682" s="37"/>
    </row>
    <row r="3683" spans="1:10" ht="15.95" customHeight="1" x14ac:dyDescent="0.2">
      <c r="A3683" s="39"/>
      <c r="B3683" s="36"/>
      <c r="C3683" s="37"/>
      <c r="D3683" s="37"/>
      <c r="E3683" s="37"/>
      <c r="F3683" s="37"/>
      <c r="G3683" s="37"/>
      <c r="H3683" s="37"/>
      <c r="I3683" s="35"/>
      <c r="J3683" s="37"/>
    </row>
    <row r="3684" spans="1:10" ht="15.95" customHeight="1" x14ac:dyDescent="0.2">
      <c r="A3684" s="39"/>
      <c r="B3684" s="36"/>
      <c r="C3684" s="37"/>
      <c r="D3684" s="37"/>
      <c r="E3684" s="37"/>
      <c r="F3684" s="37"/>
      <c r="G3684" s="37"/>
      <c r="H3684" s="37"/>
      <c r="I3684" s="35"/>
      <c r="J3684" s="37"/>
    </row>
    <row r="3685" spans="1:10" ht="15.95" customHeight="1" x14ac:dyDescent="0.2">
      <c r="A3685" s="39"/>
      <c r="B3685" s="36"/>
      <c r="C3685" s="37"/>
      <c r="D3685" s="37"/>
      <c r="E3685" s="37"/>
      <c r="F3685" s="37"/>
      <c r="G3685" s="37"/>
      <c r="H3685" s="37"/>
      <c r="I3685" s="35"/>
      <c r="J3685" s="37"/>
    </row>
    <row r="3686" spans="1:10" ht="15.95" customHeight="1" x14ac:dyDescent="0.2">
      <c r="A3686" s="39"/>
      <c r="B3686" s="36"/>
      <c r="C3686" s="37"/>
      <c r="D3686" s="37"/>
      <c r="E3686" s="37"/>
      <c r="F3686" s="37"/>
      <c r="G3686" s="37"/>
      <c r="H3686" s="37"/>
      <c r="I3686" s="35"/>
      <c r="J3686" s="37"/>
    </row>
    <row r="3687" spans="1:10" ht="15.95" customHeight="1" x14ac:dyDescent="0.2">
      <c r="A3687" s="39"/>
      <c r="B3687" s="36"/>
      <c r="C3687" s="37"/>
      <c r="D3687" s="37"/>
      <c r="E3687" s="37"/>
      <c r="F3687" s="37"/>
      <c r="G3687" s="37"/>
      <c r="H3687" s="37"/>
      <c r="I3687" s="35"/>
      <c r="J3687" s="37"/>
    </row>
    <row r="3688" spans="1:10" ht="15.95" customHeight="1" x14ac:dyDescent="0.2">
      <c r="A3688" s="39"/>
      <c r="B3688" s="36"/>
      <c r="C3688" s="37"/>
      <c r="D3688" s="37"/>
      <c r="E3688" s="37"/>
      <c r="F3688" s="37"/>
      <c r="G3688" s="37"/>
      <c r="H3688" s="37"/>
      <c r="I3688" s="35"/>
      <c r="J3688" s="37"/>
    </row>
    <row r="3689" spans="1:10" ht="15.95" customHeight="1" x14ac:dyDescent="0.2">
      <c r="A3689" s="39"/>
      <c r="B3689" s="36"/>
      <c r="C3689" s="37"/>
      <c r="D3689" s="37"/>
      <c r="E3689" s="37"/>
      <c r="F3689" s="37"/>
      <c r="G3689" s="37"/>
      <c r="H3689" s="37"/>
      <c r="I3689" s="35"/>
      <c r="J3689" s="37"/>
    </row>
    <row r="3690" spans="1:10" ht="15.95" customHeight="1" x14ac:dyDescent="0.2">
      <c r="A3690" s="39"/>
      <c r="B3690" s="36"/>
      <c r="C3690" s="37"/>
      <c r="D3690" s="37"/>
      <c r="E3690" s="37"/>
      <c r="F3690" s="37"/>
      <c r="G3690" s="37"/>
      <c r="H3690" s="37"/>
      <c r="I3690" s="35"/>
      <c r="J3690" s="37"/>
    </row>
    <row r="3691" spans="1:10" ht="15.95" customHeight="1" x14ac:dyDescent="0.2">
      <c r="A3691" s="39"/>
      <c r="B3691" s="36"/>
      <c r="C3691" s="37"/>
      <c r="D3691" s="37"/>
      <c r="E3691" s="37"/>
      <c r="F3691" s="37"/>
      <c r="G3691" s="37"/>
      <c r="H3691" s="37"/>
      <c r="I3691" s="35"/>
      <c r="J3691" s="37"/>
    </row>
    <row r="3692" spans="1:10" ht="15.95" customHeight="1" x14ac:dyDescent="0.2">
      <c r="A3692" s="39"/>
      <c r="B3692" s="36"/>
      <c r="C3692" s="37"/>
      <c r="D3692" s="37"/>
      <c r="E3692" s="37"/>
      <c r="F3692" s="37"/>
      <c r="G3692" s="37"/>
      <c r="H3692" s="37"/>
      <c r="I3692" s="35"/>
      <c r="J3692" s="37"/>
    </row>
    <row r="3693" spans="1:10" ht="15.95" customHeight="1" x14ac:dyDescent="0.2">
      <c r="A3693" s="39"/>
      <c r="B3693" s="36"/>
      <c r="C3693" s="37"/>
      <c r="D3693" s="37"/>
      <c r="E3693" s="37"/>
      <c r="F3693" s="37"/>
      <c r="G3693" s="37"/>
      <c r="H3693" s="37"/>
      <c r="I3693" s="35"/>
      <c r="J3693" s="37"/>
    </row>
    <row r="3694" spans="1:10" ht="15.95" customHeight="1" x14ac:dyDescent="0.2">
      <c r="A3694" s="39"/>
      <c r="B3694" s="36"/>
      <c r="C3694" s="37"/>
      <c r="D3694" s="37"/>
      <c r="E3694" s="37"/>
      <c r="F3694" s="37"/>
      <c r="G3694" s="37"/>
      <c r="H3694" s="37"/>
      <c r="I3694" s="35"/>
      <c r="J3694" s="37"/>
    </row>
    <row r="3695" spans="1:10" ht="15.95" customHeight="1" x14ac:dyDescent="0.2">
      <c r="A3695" s="39"/>
      <c r="B3695" s="36"/>
      <c r="C3695" s="37"/>
      <c r="D3695" s="37"/>
      <c r="E3695" s="37"/>
      <c r="F3695" s="37"/>
      <c r="G3695" s="37"/>
      <c r="H3695" s="37"/>
      <c r="I3695" s="35"/>
      <c r="J3695" s="37"/>
    </row>
    <row r="3696" spans="1:10" ht="15.95" customHeight="1" x14ac:dyDescent="0.2">
      <c r="A3696" s="39"/>
      <c r="B3696" s="36"/>
      <c r="C3696" s="37"/>
      <c r="D3696" s="37"/>
      <c r="E3696" s="37"/>
      <c r="F3696" s="37"/>
      <c r="G3696" s="37"/>
      <c r="H3696" s="37"/>
      <c r="I3696" s="35"/>
      <c r="J3696" s="37"/>
    </row>
    <row r="3697" spans="1:10" ht="15.95" customHeight="1" x14ac:dyDescent="0.2">
      <c r="A3697" s="39"/>
      <c r="B3697" s="36"/>
      <c r="C3697" s="37"/>
      <c r="D3697" s="37"/>
      <c r="E3697" s="37"/>
      <c r="F3697" s="37"/>
      <c r="G3697" s="37"/>
      <c r="H3697" s="37"/>
      <c r="I3697" s="35"/>
      <c r="J3697" s="37"/>
    </row>
    <row r="3698" spans="1:10" ht="15.95" customHeight="1" x14ac:dyDescent="0.2">
      <c r="A3698" s="39"/>
      <c r="B3698" s="36"/>
      <c r="C3698" s="37"/>
      <c r="D3698" s="37"/>
      <c r="E3698" s="37"/>
      <c r="F3698" s="37"/>
      <c r="G3698" s="37"/>
      <c r="H3698" s="37"/>
      <c r="I3698" s="35"/>
      <c r="J3698" s="37"/>
    </row>
    <row r="3699" spans="1:10" ht="15.95" customHeight="1" x14ac:dyDescent="0.2">
      <c r="A3699" s="39"/>
      <c r="B3699" s="36"/>
      <c r="C3699" s="37"/>
      <c r="D3699" s="37"/>
      <c r="E3699" s="37"/>
      <c r="F3699" s="37"/>
      <c r="G3699" s="37"/>
      <c r="H3699" s="37"/>
      <c r="I3699" s="35"/>
      <c r="J3699" s="37"/>
    </row>
    <row r="3700" spans="1:10" ht="15.95" customHeight="1" x14ac:dyDescent="0.2">
      <c r="A3700" s="39"/>
      <c r="B3700" s="36"/>
      <c r="C3700" s="37"/>
      <c r="D3700" s="37"/>
      <c r="E3700" s="37"/>
      <c r="F3700" s="37"/>
      <c r="G3700" s="37"/>
      <c r="H3700" s="37"/>
      <c r="I3700" s="35"/>
      <c r="J3700" s="37"/>
    </row>
    <row r="3701" spans="1:10" ht="15.95" customHeight="1" x14ac:dyDescent="0.2">
      <c r="A3701" s="39"/>
      <c r="B3701" s="36"/>
      <c r="C3701" s="37"/>
      <c r="D3701" s="37"/>
      <c r="E3701" s="37"/>
      <c r="F3701" s="37"/>
      <c r="G3701" s="37"/>
      <c r="H3701" s="37"/>
      <c r="I3701" s="35"/>
      <c r="J3701" s="37"/>
    </row>
    <row r="3702" spans="1:10" ht="15.95" customHeight="1" x14ac:dyDescent="0.2">
      <c r="A3702" s="39"/>
      <c r="B3702" s="36"/>
      <c r="C3702" s="37"/>
      <c r="D3702" s="37"/>
      <c r="E3702" s="37"/>
      <c r="F3702" s="37"/>
      <c r="G3702" s="37"/>
      <c r="H3702" s="37"/>
      <c r="I3702" s="35"/>
      <c r="J3702" s="37"/>
    </row>
    <row r="3703" spans="1:10" ht="15.95" customHeight="1" x14ac:dyDescent="0.2">
      <c r="A3703" s="39"/>
      <c r="B3703" s="36"/>
      <c r="C3703" s="37"/>
      <c r="D3703" s="37"/>
      <c r="E3703" s="37"/>
      <c r="F3703" s="37"/>
      <c r="G3703" s="37"/>
      <c r="H3703" s="37"/>
      <c r="I3703" s="35"/>
      <c r="J3703" s="37"/>
    </row>
    <row r="3704" spans="1:10" ht="15.95" customHeight="1" x14ac:dyDescent="0.2">
      <c r="A3704" s="39"/>
      <c r="B3704" s="36"/>
      <c r="C3704" s="37"/>
      <c r="D3704" s="37"/>
      <c r="E3704" s="37"/>
      <c r="F3704" s="37"/>
      <c r="G3704" s="37"/>
      <c r="H3704" s="37"/>
      <c r="I3704" s="35"/>
      <c r="J3704" s="37"/>
    </row>
    <row r="3705" spans="1:10" ht="15.95" customHeight="1" x14ac:dyDescent="0.2">
      <c r="A3705" s="39"/>
      <c r="B3705" s="36"/>
      <c r="C3705" s="37"/>
      <c r="D3705" s="37"/>
      <c r="E3705" s="37"/>
      <c r="F3705" s="37"/>
      <c r="G3705" s="37"/>
      <c r="H3705" s="37"/>
      <c r="I3705" s="35"/>
      <c r="J3705" s="37"/>
    </row>
    <row r="3706" spans="1:10" ht="15.95" customHeight="1" x14ac:dyDescent="0.2">
      <c r="A3706" s="39"/>
      <c r="B3706" s="36"/>
      <c r="C3706" s="37"/>
      <c r="D3706" s="37"/>
      <c r="E3706" s="37"/>
      <c r="F3706" s="37"/>
      <c r="G3706" s="37"/>
      <c r="H3706" s="37"/>
      <c r="I3706" s="35"/>
      <c r="J3706" s="37"/>
    </row>
    <row r="3707" spans="1:10" ht="15.95" customHeight="1" x14ac:dyDescent="0.2">
      <c r="A3707" s="39"/>
      <c r="B3707" s="36"/>
      <c r="C3707" s="37"/>
      <c r="D3707" s="37"/>
      <c r="E3707" s="37"/>
      <c r="F3707" s="37"/>
      <c r="G3707" s="37"/>
      <c r="H3707" s="37"/>
      <c r="I3707" s="35"/>
      <c r="J3707" s="37"/>
    </row>
    <row r="3708" spans="1:10" ht="15.95" customHeight="1" x14ac:dyDescent="0.2">
      <c r="A3708" s="39"/>
      <c r="B3708" s="36"/>
      <c r="C3708" s="37"/>
      <c r="D3708" s="37"/>
      <c r="E3708" s="37"/>
      <c r="F3708" s="37"/>
      <c r="G3708" s="37"/>
      <c r="H3708" s="37"/>
      <c r="I3708" s="35"/>
      <c r="J3708" s="37"/>
    </row>
    <row r="3709" spans="1:10" ht="15.95" customHeight="1" x14ac:dyDescent="0.2">
      <c r="A3709" s="39"/>
      <c r="B3709" s="36"/>
      <c r="C3709" s="37"/>
      <c r="D3709" s="37"/>
      <c r="E3709" s="37"/>
      <c r="F3709" s="37"/>
      <c r="G3709" s="37"/>
      <c r="H3709" s="37"/>
      <c r="I3709" s="35"/>
      <c r="J3709" s="37"/>
    </row>
    <row r="3710" spans="1:10" ht="15.95" customHeight="1" x14ac:dyDescent="0.2">
      <c r="A3710" s="39"/>
      <c r="B3710" s="36"/>
      <c r="C3710" s="37"/>
      <c r="D3710" s="37"/>
      <c r="E3710" s="37"/>
      <c r="F3710" s="37"/>
      <c r="G3710" s="37"/>
      <c r="H3710" s="37"/>
      <c r="I3710" s="35"/>
      <c r="J3710" s="37"/>
    </row>
    <row r="3711" spans="1:10" ht="15.95" customHeight="1" x14ac:dyDescent="0.2">
      <c r="A3711" s="39"/>
      <c r="B3711" s="36"/>
      <c r="C3711" s="37"/>
      <c r="D3711" s="37"/>
      <c r="E3711" s="37"/>
      <c r="F3711" s="37"/>
      <c r="G3711" s="37"/>
      <c r="H3711" s="37"/>
      <c r="I3711" s="35"/>
      <c r="J3711" s="37"/>
    </row>
    <row r="3712" spans="1:10" ht="15.95" customHeight="1" x14ac:dyDescent="0.2">
      <c r="A3712" s="39"/>
      <c r="B3712" s="36"/>
      <c r="C3712" s="37"/>
      <c r="D3712" s="37"/>
      <c r="E3712" s="37"/>
      <c r="F3712" s="37"/>
      <c r="G3712" s="37"/>
      <c r="H3712" s="37"/>
      <c r="I3712" s="35"/>
      <c r="J3712" s="37"/>
    </row>
    <row r="3713" spans="1:10" ht="15.95" customHeight="1" x14ac:dyDescent="0.2">
      <c r="A3713" s="39"/>
      <c r="B3713" s="36"/>
      <c r="C3713" s="37"/>
      <c r="D3713" s="37"/>
      <c r="E3713" s="37"/>
      <c r="F3713" s="37"/>
      <c r="G3713" s="37"/>
      <c r="H3713" s="37"/>
      <c r="I3713" s="35"/>
      <c r="J3713" s="37"/>
    </row>
    <row r="3714" spans="1:10" ht="15.95" customHeight="1" x14ac:dyDescent="0.2">
      <c r="A3714" s="39"/>
      <c r="B3714" s="36"/>
      <c r="C3714" s="37"/>
      <c r="D3714" s="37"/>
      <c r="E3714" s="37"/>
      <c r="F3714" s="37"/>
      <c r="G3714" s="37"/>
      <c r="H3714" s="37"/>
      <c r="I3714" s="35"/>
      <c r="J3714" s="37"/>
    </row>
    <row r="3715" spans="1:10" ht="15.95" customHeight="1" x14ac:dyDescent="0.2">
      <c r="A3715" s="39"/>
      <c r="B3715" s="36"/>
      <c r="C3715" s="37"/>
      <c r="D3715" s="37"/>
      <c r="E3715" s="37"/>
      <c r="F3715" s="37"/>
      <c r="G3715" s="37"/>
      <c r="H3715" s="37"/>
      <c r="I3715" s="35"/>
      <c r="J3715" s="37"/>
    </row>
    <row r="3716" spans="1:10" ht="15.95" customHeight="1" x14ac:dyDescent="0.2">
      <c r="A3716" s="39"/>
      <c r="B3716" s="36"/>
      <c r="C3716" s="37"/>
      <c r="D3716" s="37"/>
      <c r="E3716" s="37"/>
      <c r="F3716" s="37"/>
      <c r="G3716" s="37"/>
      <c r="H3716" s="37"/>
      <c r="I3716" s="35"/>
      <c r="J3716" s="37"/>
    </row>
    <row r="3717" spans="1:10" ht="15.95" customHeight="1" x14ac:dyDescent="0.2">
      <c r="A3717" s="39"/>
      <c r="B3717" s="36"/>
      <c r="C3717" s="37"/>
      <c r="D3717" s="37"/>
      <c r="E3717" s="37"/>
      <c r="F3717" s="37"/>
      <c r="G3717" s="37"/>
      <c r="H3717" s="37"/>
      <c r="I3717" s="35"/>
      <c r="J3717" s="37"/>
    </row>
    <row r="3718" spans="1:10" ht="15.95" customHeight="1" x14ac:dyDescent="0.2">
      <c r="A3718" s="39"/>
      <c r="B3718" s="36"/>
      <c r="C3718" s="37"/>
      <c r="D3718" s="37"/>
      <c r="E3718" s="37"/>
      <c r="F3718" s="37"/>
      <c r="G3718" s="37"/>
      <c r="H3718" s="37"/>
      <c r="I3718" s="35"/>
      <c r="J3718" s="37"/>
    </row>
    <row r="3719" spans="1:10" ht="15.95" customHeight="1" x14ac:dyDescent="0.2">
      <c r="A3719" s="39"/>
      <c r="B3719" s="36"/>
      <c r="C3719" s="37"/>
      <c r="D3719" s="37"/>
      <c r="E3719" s="37"/>
      <c r="F3719" s="37"/>
      <c r="G3719" s="37"/>
      <c r="H3719" s="37"/>
      <c r="I3719" s="35"/>
      <c r="J3719" s="37"/>
    </row>
    <row r="3720" spans="1:10" ht="15.95" customHeight="1" x14ac:dyDescent="0.2">
      <c r="A3720" s="39"/>
      <c r="B3720" s="36"/>
      <c r="C3720" s="37"/>
      <c r="D3720" s="37"/>
      <c r="E3720" s="37"/>
      <c r="F3720" s="37"/>
      <c r="G3720" s="37"/>
      <c r="H3720" s="37"/>
      <c r="I3720" s="35"/>
      <c r="J3720" s="37"/>
    </row>
    <row r="3721" spans="1:10" ht="15.95" customHeight="1" x14ac:dyDescent="0.2">
      <c r="A3721" s="39"/>
      <c r="B3721" s="36"/>
      <c r="C3721" s="37"/>
      <c r="D3721" s="37"/>
      <c r="E3721" s="37"/>
      <c r="F3721" s="37"/>
      <c r="G3721" s="37"/>
      <c r="H3721" s="37"/>
      <c r="I3721" s="35"/>
      <c r="J3721" s="37"/>
    </row>
    <row r="3722" spans="1:10" ht="15.95" customHeight="1" x14ac:dyDescent="0.2">
      <c r="A3722" s="39"/>
      <c r="B3722" s="36"/>
      <c r="C3722" s="37"/>
      <c r="D3722" s="37"/>
      <c r="E3722" s="37"/>
      <c r="F3722" s="37"/>
      <c r="G3722" s="37"/>
      <c r="H3722" s="37"/>
      <c r="I3722" s="35"/>
      <c r="J3722" s="37"/>
    </row>
    <row r="3723" spans="1:10" ht="15.95" customHeight="1" x14ac:dyDescent="0.2">
      <c r="A3723" s="39"/>
      <c r="B3723" s="36"/>
      <c r="C3723" s="37"/>
      <c r="D3723" s="37"/>
      <c r="E3723" s="37"/>
      <c r="F3723" s="37"/>
      <c r="G3723" s="37"/>
      <c r="H3723" s="37"/>
      <c r="I3723" s="35"/>
      <c r="J3723" s="37"/>
    </row>
    <row r="3724" spans="1:10" ht="15.95" customHeight="1" x14ac:dyDescent="0.2">
      <c r="A3724" s="39"/>
      <c r="B3724" s="36"/>
      <c r="C3724" s="37"/>
      <c r="D3724" s="37"/>
      <c r="E3724" s="37"/>
      <c r="F3724" s="37"/>
      <c r="G3724" s="37"/>
      <c r="H3724" s="37"/>
      <c r="I3724" s="35"/>
      <c r="J3724" s="37"/>
    </row>
    <row r="3725" spans="1:10" ht="15.95" customHeight="1" x14ac:dyDescent="0.2">
      <c r="A3725" s="39"/>
      <c r="B3725" s="36"/>
      <c r="C3725" s="37"/>
      <c r="D3725" s="37"/>
      <c r="E3725" s="37"/>
      <c r="F3725" s="37"/>
      <c r="G3725" s="37"/>
      <c r="H3725" s="37"/>
      <c r="I3725" s="35"/>
      <c r="J3725" s="37"/>
    </row>
    <row r="3726" spans="1:10" ht="15.95" customHeight="1" x14ac:dyDescent="0.2">
      <c r="A3726" s="39"/>
      <c r="B3726" s="36"/>
      <c r="C3726" s="37"/>
      <c r="D3726" s="37"/>
      <c r="E3726" s="37"/>
      <c r="F3726" s="37"/>
      <c r="G3726" s="37"/>
      <c r="H3726" s="37"/>
      <c r="I3726" s="35"/>
      <c r="J3726" s="37"/>
    </row>
    <row r="3727" spans="1:10" ht="15.95" customHeight="1" x14ac:dyDescent="0.2">
      <c r="A3727" s="39"/>
      <c r="B3727" s="36"/>
      <c r="C3727" s="37"/>
      <c r="D3727" s="37"/>
      <c r="E3727" s="37"/>
      <c r="F3727" s="37"/>
      <c r="G3727" s="37"/>
      <c r="H3727" s="37"/>
      <c r="I3727" s="35"/>
      <c r="J3727" s="37"/>
    </row>
    <row r="3728" spans="1:10" ht="15.95" customHeight="1" x14ac:dyDescent="0.2">
      <c r="A3728" s="39"/>
      <c r="B3728" s="36"/>
      <c r="C3728" s="37"/>
      <c r="D3728" s="37"/>
      <c r="E3728" s="37"/>
      <c r="F3728" s="37"/>
      <c r="G3728" s="37"/>
      <c r="H3728" s="37"/>
      <c r="I3728" s="35"/>
      <c r="J3728" s="37"/>
    </row>
    <row r="3729" spans="1:10" ht="15.95" customHeight="1" x14ac:dyDescent="0.2">
      <c r="A3729" s="39"/>
      <c r="B3729" s="36"/>
      <c r="C3729" s="37"/>
      <c r="D3729" s="37"/>
      <c r="E3729" s="37"/>
      <c r="F3729" s="37"/>
      <c r="G3729" s="37"/>
      <c r="H3729" s="37"/>
      <c r="I3729" s="35"/>
      <c r="J3729" s="37"/>
    </row>
    <row r="3730" spans="1:10" ht="15.95" customHeight="1" x14ac:dyDescent="0.2">
      <c r="A3730" s="39"/>
      <c r="B3730" s="36"/>
      <c r="C3730" s="37"/>
      <c r="D3730" s="37"/>
      <c r="E3730" s="37"/>
      <c r="F3730" s="37"/>
      <c r="G3730" s="37"/>
      <c r="H3730" s="37"/>
      <c r="I3730" s="35"/>
      <c r="J3730" s="37"/>
    </row>
    <row r="3731" spans="1:10" ht="15.95" customHeight="1" x14ac:dyDescent="0.2">
      <c r="A3731" s="39"/>
      <c r="B3731" s="36"/>
      <c r="C3731" s="37"/>
      <c r="D3731" s="37"/>
      <c r="E3731" s="37"/>
      <c r="F3731" s="37"/>
      <c r="G3731" s="37"/>
      <c r="H3731" s="37"/>
      <c r="I3731" s="35"/>
      <c r="J3731" s="37"/>
    </row>
    <row r="3732" spans="1:10" ht="15.95" customHeight="1" x14ac:dyDescent="0.2">
      <c r="A3732" s="39"/>
      <c r="B3732" s="36"/>
      <c r="C3732" s="37"/>
      <c r="D3732" s="37"/>
      <c r="E3732" s="37"/>
      <c r="F3732" s="37"/>
      <c r="G3732" s="37"/>
      <c r="H3732" s="37"/>
      <c r="I3732" s="35"/>
      <c r="J3732" s="37"/>
    </row>
    <row r="3733" spans="1:10" ht="15.95" customHeight="1" x14ac:dyDescent="0.2">
      <c r="A3733" s="39"/>
      <c r="B3733" s="36"/>
      <c r="C3733" s="37"/>
      <c r="D3733" s="37"/>
      <c r="E3733" s="37"/>
      <c r="F3733" s="37"/>
      <c r="G3733" s="37"/>
      <c r="H3733" s="37"/>
      <c r="I3733" s="35"/>
      <c r="J3733" s="37"/>
    </row>
    <row r="3734" spans="1:10" ht="15.95" customHeight="1" x14ac:dyDescent="0.2">
      <c r="A3734" s="39"/>
      <c r="B3734" s="36"/>
      <c r="C3734" s="37"/>
      <c r="D3734" s="37"/>
      <c r="E3734" s="37"/>
      <c r="F3734" s="37"/>
      <c r="G3734" s="37"/>
      <c r="H3734" s="37"/>
      <c r="I3734" s="35"/>
      <c r="J3734" s="37"/>
    </row>
    <row r="3735" spans="1:10" ht="15.95" customHeight="1" x14ac:dyDescent="0.2">
      <c r="A3735" s="39"/>
      <c r="B3735" s="36"/>
      <c r="C3735" s="37"/>
      <c r="D3735" s="37"/>
      <c r="E3735" s="37"/>
      <c r="F3735" s="37"/>
      <c r="G3735" s="37"/>
      <c r="H3735" s="37"/>
      <c r="I3735" s="35"/>
      <c r="J3735" s="37"/>
    </row>
    <row r="3736" spans="1:10" ht="15.95" customHeight="1" x14ac:dyDescent="0.2">
      <c r="A3736" s="39"/>
      <c r="B3736" s="36"/>
      <c r="C3736" s="37"/>
      <c r="D3736" s="37"/>
      <c r="E3736" s="37"/>
      <c r="F3736" s="37"/>
      <c r="G3736" s="37"/>
      <c r="H3736" s="37"/>
      <c r="I3736" s="35"/>
      <c r="J3736" s="37"/>
    </row>
    <row r="3737" spans="1:10" ht="15.95" customHeight="1" x14ac:dyDescent="0.2">
      <c r="A3737" s="39"/>
      <c r="B3737" s="36"/>
      <c r="C3737" s="37"/>
      <c r="D3737" s="37"/>
      <c r="E3737" s="37"/>
      <c r="F3737" s="37"/>
      <c r="G3737" s="37"/>
      <c r="H3737" s="37"/>
      <c r="I3737" s="35"/>
      <c r="J3737" s="37"/>
    </row>
    <row r="3738" spans="1:10" ht="15.95" customHeight="1" x14ac:dyDescent="0.2">
      <c r="A3738" s="39"/>
      <c r="B3738" s="36"/>
      <c r="C3738" s="37"/>
      <c r="D3738" s="37"/>
      <c r="E3738" s="37"/>
      <c r="F3738" s="37"/>
      <c r="G3738" s="37"/>
      <c r="H3738" s="37"/>
      <c r="I3738" s="35"/>
      <c r="J3738" s="37"/>
    </row>
    <row r="3739" spans="1:10" ht="15.95" customHeight="1" x14ac:dyDescent="0.2">
      <c r="A3739" s="39"/>
      <c r="B3739" s="36"/>
      <c r="C3739" s="37"/>
      <c r="D3739" s="37"/>
      <c r="E3739" s="37"/>
      <c r="F3739" s="37"/>
      <c r="G3739" s="37"/>
      <c r="H3739" s="37"/>
      <c r="I3739" s="35"/>
      <c r="J3739" s="37"/>
    </row>
    <row r="3740" spans="1:10" ht="15.95" customHeight="1" x14ac:dyDescent="0.2">
      <c r="A3740" s="39"/>
      <c r="B3740" s="36"/>
      <c r="C3740" s="37"/>
      <c r="D3740" s="37"/>
      <c r="E3740" s="37"/>
      <c r="F3740" s="37"/>
      <c r="G3740" s="37"/>
      <c r="H3740" s="37"/>
      <c r="I3740" s="35"/>
      <c r="J3740" s="37"/>
    </row>
    <row r="3741" spans="1:10" ht="15.95" customHeight="1" x14ac:dyDescent="0.2">
      <c r="A3741" s="39"/>
      <c r="B3741" s="36"/>
      <c r="C3741" s="37"/>
      <c r="D3741" s="37"/>
      <c r="E3741" s="37"/>
      <c r="F3741" s="37"/>
      <c r="G3741" s="37"/>
      <c r="H3741" s="37"/>
      <c r="I3741" s="35"/>
      <c r="J3741" s="37"/>
    </row>
    <row r="3742" spans="1:10" ht="15.95" customHeight="1" x14ac:dyDescent="0.2">
      <c r="A3742" s="39"/>
      <c r="B3742" s="36"/>
      <c r="C3742" s="37"/>
      <c r="D3742" s="37"/>
      <c r="E3742" s="37"/>
      <c r="F3742" s="37"/>
      <c r="G3742" s="37"/>
      <c r="H3742" s="37"/>
      <c r="I3742" s="35"/>
      <c r="J3742" s="37"/>
    </row>
    <row r="3743" spans="1:10" ht="15.95" customHeight="1" x14ac:dyDescent="0.2">
      <c r="A3743" s="39"/>
      <c r="B3743" s="36"/>
      <c r="C3743" s="37"/>
      <c r="D3743" s="37"/>
      <c r="E3743" s="37"/>
      <c r="F3743" s="37"/>
      <c r="G3743" s="37"/>
      <c r="H3743" s="37"/>
      <c r="I3743" s="35"/>
      <c r="J3743" s="37"/>
    </row>
    <row r="3744" spans="1:10" ht="15.95" customHeight="1" x14ac:dyDescent="0.2">
      <c r="A3744" s="39"/>
      <c r="B3744" s="36"/>
      <c r="C3744" s="37"/>
      <c r="D3744" s="37"/>
      <c r="E3744" s="37"/>
      <c r="F3744" s="37"/>
      <c r="G3744" s="37"/>
      <c r="H3744" s="37"/>
      <c r="I3744" s="35"/>
      <c r="J3744" s="37"/>
    </row>
    <row r="3745" spans="1:10" ht="15.95" customHeight="1" x14ac:dyDescent="0.2">
      <c r="A3745" s="39"/>
      <c r="B3745" s="36"/>
      <c r="C3745" s="37"/>
      <c r="D3745" s="37"/>
      <c r="E3745" s="37"/>
      <c r="F3745" s="37"/>
      <c r="G3745" s="37"/>
      <c r="H3745" s="37"/>
      <c r="I3745" s="35"/>
      <c r="J3745" s="37"/>
    </row>
    <row r="3746" spans="1:10" ht="15.95" customHeight="1" x14ac:dyDescent="0.2">
      <c r="A3746" s="39"/>
      <c r="B3746" s="36"/>
      <c r="C3746" s="37"/>
      <c r="D3746" s="37"/>
      <c r="E3746" s="37"/>
      <c r="F3746" s="37"/>
      <c r="G3746" s="37"/>
      <c r="H3746" s="37"/>
      <c r="I3746" s="35"/>
      <c r="J3746" s="37"/>
    </row>
    <row r="3747" spans="1:10" ht="15.95" customHeight="1" x14ac:dyDescent="0.2">
      <c r="A3747" s="39"/>
      <c r="B3747" s="36"/>
      <c r="C3747" s="37"/>
      <c r="D3747" s="37"/>
      <c r="E3747" s="37"/>
      <c r="F3747" s="37"/>
      <c r="G3747" s="37"/>
      <c r="H3747" s="37"/>
      <c r="I3747" s="35"/>
      <c r="J3747" s="37"/>
    </row>
    <row r="3748" spans="1:10" ht="15.95" customHeight="1" x14ac:dyDescent="0.2">
      <c r="A3748" s="39"/>
      <c r="B3748" s="36"/>
      <c r="C3748" s="37"/>
      <c r="D3748" s="37"/>
      <c r="E3748" s="37"/>
      <c r="F3748" s="37"/>
      <c r="G3748" s="37"/>
      <c r="H3748" s="37"/>
      <c r="I3748" s="35"/>
      <c r="J3748" s="37"/>
    </row>
    <row r="3749" spans="1:10" ht="15.95" customHeight="1" x14ac:dyDescent="0.2">
      <c r="A3749" s="39"/>
      <c r="B3749" s="36"/>
      <c r="C3749" s="37"/>
      <c r="D3749" s="37"/>
      <c r="E3749" s="37"/>
      <c r="F3749" s="37"/>
      <c r="G3749" s="37"/>
      <c r="H3749" s="37"/>
      <c r="I3749" s="35"/>
      <c r="J3749" s="37"/>
    </row>
    <row r="3750" spans="1:10" ht="15.95" customHeight="1" x14ac:dyDescent="0.2">
      <c r="A3750" s="39"/>
      <c r="B3750" s="36"/>
      <c r="C3750" s="37"/>
      <c r="D3750" s="37"/>
      <c r="E3750" s="37"/>
      <c r="F3750" s="37"/>
      <c r="G3750" s="37"/>
      <c r="H3750" s="37"/>
      <c r="I3750" s="35"/>
      <c r="J3750" s="37"/>
    </row>
    <row r="3751" spans="1:10" ht="15.95" customHeight="1" x14ac:dyDescent="0.2">
      <c r="A3751" s="39"/>
      <c r="B3751" s="36"/>
      <c r="C3751" s="37"/>
      <c r="D3751" s="37"/>
      <c r="E3751" s="37"/>
      <c r="F3751" s="37"/>
      <c r="G3751" s="37"/>
      <c r="H3751" s="37"/>
      <c r="I3751" s="35"/>
      <c r="J3751" s="37"/>
    </row>
    <row r="3752" spans="1:10" ht="15.95" customHeight="1" x14ac:dyDescent="0.2">
      <c r="A3752" s="39"/>
      <c r="B3752" s="36"/>
      <c r="C3752" s="37"/>
      <c r="D3752" s="37"/>
      <c r="E3752" s="37"/>
      <c r="F3752" s="37"/>
      <c r="G3752" s="37"/>
      <c r="H3752" s="37"/>
      <c r="I3752" s="35"/>
      <c r="J3752" s="37"/>
    </row>
    <row r="3753" spans="1:10" ht="15.95" customHeight="1" x14ac:dyDescent="0.2">
      <c r="A3753" s="39"/>
      <c r="B3753" s="36"/>
      <c r="C3753" s="37"/>
      <c r="D3753" s="37"/>
      <c r="E3753" s="37"/>
      <c r="F3753" s="37"/>
      <c r="G3753" s="37"/>
      <c r="H3753" s="37"/>
      <c r="I3753" s="35"/>
      <c r="J3753" s="37"/>
    </row>
    <row r="3754" spans="1:10" ht="15.95" customHeight="1" x14ac:dyDescent="0.2">
      <c r="A3754" s="39"/>
      <c r="B3754" s="36"/>
      <c r="C3754" s="37"/>
      <c r="D3754" s="37"/>
      <c r="E3754" s="37"/>
      <c r="F3754" s="37"/>
      <c r="G3754" s="37"/>
      <c r="H3754" s="37"/>
      <c r="I3754" s="35"/>
      <c r="J3754" s="37"/>
    </row>
    <row r="3755" spans="1:10" ht="15.95" customHeight="1" x14ac:dyDescent="0.2">
      <c r="A3755" s="39"/>
      <c r="B3755" s="36"/>
      <c r="C3755" s="37"/>
      <c r="D3755" s="37"/>
      <c r="E3755" s="37"/>
      <c r="F3755" s="37"/>
      <c r="G3755" s="37"/>
      <c r="H3755" s="37"/>
      <c r="I3755" s="35"/>
      <c r="J3755" s="37"/>
    </row>
    <row r="3756" spans="1:10" ht="15.95" customHeight="1" x14ac:dyDescent="0.2">
      <c r="A3756" s="39"/>
      <c r="B3756" s="36"/>
      <c r="C3756" s="37"/>
      <c r="D3756" s="37"/>
      <c r="E3756" s="37"/>
      <c r="F3756" s="37"/>
      <c r="G3756" s="37"/>
      <c r="H3756" s="37"/>
      <c r="I3756" s="35"/>
      <c r="J3756" s="37"/>
    </row>
    <row r="3757" spans="1:10" ht="15.95" customHeight="1" x14ac:dyDescent="0.2">
      <c r="A3757" s="39"/>
      <c r="B3757" s="36"/>
      <c r="C3757" s="37"/>
      <c r="D3757" s="37"/>
      <c r="E3757" s="37"/>
      <c r="F3757" s="37"/>
      <c r="G3757" s="37"/>
      <c r="H3757" s="37"/>
      <c r="I3757" s="35"/>
      <c r="J3757" s="37"/>
    </row>
    <row r="3758" spans="1:10" ht="15.95" customHeight="1" x14ac:dyDescent="0.2">
      <c r="A3758" s="39"/>
      <c r="B3758" s="36"/>
      <c r="C3758" s="37"/>
      <c r="D3758" s="37"/>
      <c r="E3758" s="37"/>
      <c r="F3758" s="37"/>
      <c r="G3758" s="37"/>
      <c r="H3758" s="37"/>
      <c r="I3758" s="35"/>
      <c r="J3758" s="37"/>
    </row>
    <row r="3759" spans="1:10" ht="15.95" customHeight="1" x14ac:dyDescent="0.2">
      <c r="A3759" s="39"/>
      <c r="B3759" s="36"/>
      <c r="C3759" s="37"/>
      <c r="D3759" s="37"/>
      <c r="E3759" s="37"/>
      <c r="F3759" s="37"/>
      <c r="G3759" s="37"/>
      <c r="H3759" s="37"/>
      <c r="I3759" s="35"/>
      <c r="J3759" s="37"/>
    </row>
    <row r="3760" spans="1:10" ht="15.95" customHeight="1" x14ac:dyDescent="0.2">
      <c r="A3760" s="39"/>
      <c r="B3760" s="36"/>
      <c r="C3760" s="37"/>
      <c r="D3760" s="37"/>
      <c r="E3760" s="37"/>
      <c r="F3760" s="37"/>
      <c r="G3760" s="37"/>
      <c r="H3760" s="37"/>
      <c r="I3760" s="35"/>
      <c r="J3760" s="37"/>
    </row>
    <row r="3761" spans="1:10" ht="15.95" customHeight="1" x14ac:dyDescent="0.2">
      <c r="A3761" s="39"/>
      <c r="B3761" s="36"/>
      <c r="C3761" s="37"/>
      <c r="D3761" s="37"/>
      <c r="E3761" s="37"/>
      <c r="F3761" s="37"/>
      <c r="G3761" s="37"/>
      <c r="H3761" s="37"/>
      <c r="I3761" s="35"/>
      <c r="J3761" s="37"/>
    </row>
    <row r="3762" spans="1:10" ht="15.95" customHeight="1" x14ac:dyDescent="0.2">
      <c r="A3762" s="39"/>
      <c r="B3762" s="36"/>
      <c r="C3762" s="37"/>
      <c r="D3762" s="37"/>
      <c r="E3762" s="37"/>
      <c r="F3762" s="37"/>
      <c r="G3762" s="37"/>
      <c r="H3762" s="37"/>
      <c r="I3762" s="35"/>
      <c r="J3762" s="37"/>
    </row>
    <row r="3763" spans="1:10" ht="15.95" customHeight="1" x14ac:dyDescent="0.2">
      <c r="A3763" s="39"/>
      <c r="B3763" s="36"/>
      <c r="C3763" s="37"/>
      <c r="D3763" s="37"/>
      <c r="E3763" s="37"/>
      <c r="F3763" s="37"/>
      <c r="G3763" s="37"/>
      <c r="H3763" s="37"/>
      <c r="I3763" s="35"/>
      <c r="J3763" s="37"/>
    </row>
    <row r="3764" spans="1:10" ht="15.95" customHeight="1" x14ac:dyDescent="0.2">
      <c r="A3764" s="39"/>
      <c r="B3764" s="36"/>
      <c r="C3764" s="37"/>
      <c r="D3764" s="37"/>
      <c r="E3764" s="37"/>
      <c r="F3764" s="37"/>
      <c r="G3764" s="37"/>
      <c r="H3764" s="37"/>
      <c r="I3764" s="35"/>
      <c r="J3764" s="37"/>
    </row>
    <row r="3765" spans="1:10" ht="15.95" customHeight="1" x14ac:dyDescent="0.2">
      <c r="A3765" s="39"/>
      <c r="B3765" s="36"/>
      <c r="C3765" s="37"/>
      <c r="D3765" s="37"/>
      <c r="E3765" s="37"/>
      <c r="F3765" s="37"/>
      <c r="G3765" s="37"/>
      <c r="H3765" s="37"/>
      <c r="I3765" s="35"/>
      <c r="J3765" s="37"/>
    </row>
    <row r="3766" spans="1:10" ht="15.95" customHeight="1" x14ac:dyDescent="0.2">
      <c r="A3766" s="39"/>
      <c r="B3766" s="36"/>
      <c r="C3766" s="37"/>
      <c r="D3766" s="37"/>
      <c r="E3766" s="37"/>
      <c r="F3766" s="37"/>
      <c r="G3766" s="37"/>
      <c r="H3766" s="37"/>
      <c r="I3766" s="35"/>
      <c r="J3766" s="37"/>
    </row>
    <row r="3767" spans="1:10" ht="15.95" customHeight="1" x14ac:dyDescent="0.2">
      <c r="A3767" s="39"/>
      <c r="B3767" s="36"/>
      <c r="C3767" s="37"/>
      <c r="D3767" s="37"/>
      <c r="E3767" s="37"/>
      <c r="F3767" s="37"/>
      <c r="G3767" s="37"/>
      <c r="H3767" s="37"/>
      <c r="I3767" s="35"/>
      <c r="J3767" s="37"/>
    </row>
    <row r="3768" spans="1:10" ht="15.95" customHeight="1" x14ac:dyDescent="0.2">
      <c r="A3768" s="39"/>
      <c r="B3768" s="36"/>
      <c r="C3768" s="37"/>
      <c r="D3768" s="37"/>
      <c r="E3768" s="37"/>
      <c r="F3768" s="37"/>
      <c r="G3768" s="37"/>
      <c r="H3768" s="37"/>
      <c r="I3768" s="35"/>
      <c r="J3768" s="37"/>
    </row>
    <row r="3769" spans="1:10" ht="15.95" customHeight="1" x14ac:dyDescent="0.2">
      <c r="A3769" s="39"/>
      <c r="B3769" s="36"/>
      <c r="C3769" s="37"/>
      <c r="D3769" s="37"/>
      <c r="E3769" s="37"/>
      <c r="F3769" s="37"/>
      <c r="G3769" s="37"/>
      <c r="H3769" s="37"/>
      <c r="I3769" s="35"/>
      <c r="J3769" s="37"/>
    </row>
    <row r="3770" spans="1:10" ht="15.95" customHeight="1" x14ac:dyDescent="0.2">
      <c r="A3770" s="39"/>
      <c r="B3770" s="36"/>
      <c r="C3770" s="37"/>
      <c r="D3770" s="37"/>
      <c r="E3770" s="37"/>
      <c r="F3770" s="37"/>
      <c r="G3770" s="37"/>
      <c r="H3770" s="37"/>
      <c r="I3770" s="35"/>
      <c r="J3770" s="37"/>
    </row>
    <row r="3771" spans="1:10" ht="15.95" customHeight="1" x14ac:dyDescent="0.2">
      <c r="A3771" s="39"/>
      <c r="B3771" s="36"/>
      <c r="C3771" s="37"/>
      <c r="D3771" s="37"/>
      <c r="E3771" s="37"/>
      <c r="F3771" s="37"/>
      <c r="G3771" s="37"/>
      <c r="H3771" s="37"/>
      <c r="I3771" s="35"/>
      <c r="J3771" s="37"/>
    </row>
    <row r="3772" spans="1:10" ht="15.95" customHeight="1" x14ac:dyDescent="0.2">
      <c r="A3772" s="39"/>
      <c r="B3772" s="36"/>
      <c r="C3772" s="37"/>
      <c r="D3772" s="37"/>
      <c r="E3772" s="37"/>
      <c r="F3772" s="37"/>
      <c r="G3772" s="37"/>
      <c r="H3772" s="37"/>
      <c r="I3772" s="35"/>
      <c r="J3772" s="37"/>
    </row>
    <row r="3773" spans="1:10" ht="15.95" customHeight="1" x14ac:dyDescent="0.2">
      <c r="A3773" s="39"/>
      <c r="B3773" s="36"/>
      <c r="C3773" s="37"/>
      <c r="D3773" s="37"/>
      <c r="E3773" s="37"/>
      <c r="F3773" s="37"/>
      <c r="G3773" s="37"/>
      <c r="H3773" s="37"/>
      <c r="I3773" s="35"/>
      <c r="J3773" s="37"/>
    </row>
    <row r="3774" spans="1:10" ht="15.95" customHeight="1" x14ac:dyDescent="0.2">
      <c r="A3774" s="39"/>
      <c r="B3774" s="36"/>
      <c r="C3774" s="37"/>
      <c r="D3774" s="37"/>
      <c r="E3774" s="37"/>
      <c r="F3774" s="37"/>
      <c r="G3774" s="37"/>
      <c r="H3774" s="37"/>
      <c r="I3774" s="35"/>
      <c r="J3774" s="37"/>
    </row>
    <row r="3775" spans="1:10" ht="15.95" customHeight="1" x14ac:dyDescent="0.2">
      <c r="A3775" s="39"/>
      <c r="B3775" s="36"/>
      <c r="C3775" s="37"/>
      <c r="D3775" s="37"/>
      <c r="E3775" s="37"/>
      <c r="F3775" s="37"/>
      <c r="G3775" s="37"/>
      <c r="H3775" s="37"/>
      <c r="I3775" s="35"/>
      <c r="J3775" s="37"/>
    </row>
    <row r="3776" spans="1:10" ht="15.95" customHeight="1" x14ac:dyDescent="0.2">
      <c r="A3776" s="39"/>
      <c r="B3776" s="36"/>
      <c r="C3776" s="37"/>
      <c r="D3776" s="37"/>
      <c r="E3776" s="37"/>
      <c r="F3776" s="37"/>
      <c r="G3776" s="37"/>
      <c r="H3776" s="37"/>
      <c r="I3776" s="35"/>
      <c r="J3776" s="37"/>
    </row>
    <row r="3777" spans="1:10" ht="15.95" customHeight="1" x14ac:dyDescent="0.2">
      <c r="A3777" s="39"/>
      <c r="B3777" s="36"/>
      <c r="C3777" s="37"/>
      <c r="D3777" s="37"/>
      <c r="E3777" s="37"/>
      <c r="F3777" s="37"/>
      <c r="G3777" s="37"/>
      <c r="H3777" s="37"/>
      <c r="I3777" s="35"/>
      <c r="J3777" s="37"/>
    </row>
    <row r="3778" spans="1:10" ht="15.95" customHeight="1" x14ac:dyDescent="0.2">
      <c r="A3778" s="39"/>
      <c r="B3778" s="36"/>
      <c r="C3778" s="37"/>
      <c r="D3778" s="37"/>
      <c r="E3778" s="37"/>
      <c r="F3778" s="37"/>
      <c r="G3778" s="37"/>
      <c r="H3778" s="37"/>
      <c r="I3778" s="35"/>
      <c r="J3778" s="37"/>
    </row>
    <row r="3779" spans="1:10" ht="15.95" customHeight="1" x14ac:dyDescent="0.2">
      <c r="A3779" s="39"/>
      <c r="B3779" s="36"/>
      <c r="C3779" s="37"/>
      <c r="D3779" s="37"/>
      <c r="E3779" s="37"/>
      <c r="F3779" s="37"/>
      <c r="G3779" s="37"/>
      <c r="H3779" s="37"/>
      <c r="I3779" s="35"/>
      <c r="J3779" s="37"/>
    </row>
    <row r="3780" spans="1:10" ht="15.95" customHeight="1" x14ac:dyDescent="0.2">
      <c r="A3780" s="39"/>
      <c r="B3780" s="36"/>
      <c r="C3780" s="37"/>
      <c r="D3780" s="37"/>
      <c r="E3780" s="37"/>
      <c r="F3780" s="37"/>
      <c r="G3780" s="37"/>
      <c r="H3780" s="37"/>
      <c r="I3780" s="35"/>
      <c r="J3780" s="37"/>
    </row>
    <row r="3781" spans="1:10" ht="15.95" customHeight="1" x14ac:dyDescent="0.2">
      <c r="A3781" s="39"/>
      <c r="B3781" s="36"/>
      <c r="C3781" s="37"/>
      <c r="D3781" s="37"/>
      <c r="E3781" s="37"/>
      <c r="F3781" s="37"/>
      <c r="G3781" s="37"/>
      <c r="H3781" s="37"/>
      <c r="I3781" s="35"/>
      <c r="J3781" s="37"/>
    </row>
    <row r="3782" spans="1:10" ht="15.95" customHeight="1" x14ac:dyDescent="0.2">
      <c r="A3782" s="39"/>
      <c r="B3782" s="36"/>
      <c r="C3782" s="37"/>
      <c r="D3782" s="37"/>
      <c r="E3782" s="37"/>
      <c r="F3782" s="37"/>
      <c r="G3782" s="37"/>
      <c r="H3782" s="37"/>
      <c r="I3782" s="35"/>
      <c r="J3782" s="37"/>
    </row>
    <row r="3783" spans="1:10" ht="15.95" customHeight="1" x14ac:dyDescent="0.2">
      <c r="A3783" s="39"/>
      <c r="B3783" s="36"/>
      <c r="C3783" s="37"/>
      <c r="D3783" s="37"/>
      <c r="E3783" s="37"/>
      <c r="F3783" s="37"/>
      <c r="G3783" s="37"/>
      <c r="H3783" s="37"/>
      <c r="I3783" s="35"/>
      <c r="J3783" s="37"/>
    </row>
    <row r="3784" spans="1:10" ht="15.95" customHeight="1" x14ac:dyDescent="0.2">
      <c r="A3784" s="39"/>
      <c r="B3784" s="36"/>
      <c r="C3784" s="37"/>
      <c r="D3784" s="37"/>
      <c r="E3784" s="37"/>
      <c r="F3784" s="37"/>
      <c r="G3784" s="37"/>
      <c r="H3784" s="37"/>
      <c r="I3784" s="35"/>
      <c r="J3784" s="37"/>
    </row>
    <row r="3785" spans="1:10" ht="15.95" customHeight="1" x14ac:dyDescent="0.2">
      <c r="A3785" s="39"/>
      <c r="B3785" s="36"/>
      <c r="C3785" s="37"/>
      <c r="D3785" s="37"/>
      <c r="E3785" s="37"/>
      <c r="F3785" s="37"/>
      <c r="G3785" s="37"/>
      <c r="H3785" s="37"/>
      <c r="I3785" s="35"/>
      <c r="J3785" s="37"/>
    </row>
    <row r="3786" spans="1:10" ht="15.95" customHeight="1" x14ac:dyDescent="0.2">
      <c r="A3786" s="39"/>
      <c r="B3786" s="36"/>
      <c r="C3786" s="37"/>
      <c r="D3786" s="37"/>
      <c r="E3786" s="37"/>
      <c r="F3786" s="37"/>
      <c r="G3786" s="37"/>
      <c r="H3786" s="37"/>
      <c r="I3786" s="35"/>
      <c r="J3786" s="37"/>
    </row>
    <row r="3787" spans="1:10" ht="15.95" customHeight="1" x14ac:dyDescent="0.2">
      <c r="A3787" s="39"/>
      <c r="B3787" s="36"/>
      <c r="C3787" s="37"/>
      <c r="D3787" s="37"/>
      <c r="E3787" s="37"/>
      <c r="F3787" s="37"/>
      <c r="G3787" s="37"/>
      <c r="H3787" s="37"/>
      <c r="I3787" s="35"/>
      <c r="J3787" s="37"/>
    </row>
    <row r="3788" spans="1:10" ht="15.95" customHeight="1" x14ac:dyDescent="0.2">
      <c r="A3788" s="39"/>
      <c r="B3788" s="36"/>
      <c r="C3788" s="37"/>
      <c r="D3788" s="37"/>
      <c r="E3788" s="37"/>
      <c r="F3788" s="37"/>
      <c r="G3788" s="37"/>
      <c r="H3788" s="37"/>
      <c r="I3788" s="35"/>
      <c r="J3788" s="37"/>
    </row>
    <row r="3789" spans="1:10" ht="15.95" customHeight="1" x14ac:dyDescent="0.2">
      <c r="A3789" s="39"/>
      <c r="B3789" s="36"/>
      <c r="C3789" s="37"/>
      <c r="D3789" s="37"/>
      <c r="E3789" s="37"/>
      <c r="F3789" s="37"/>
      <c r="G3789" s="37"/>
      <c r="H3789" s="37"/>
      <c r="I3789" s="35"/>
      <c r="J3789" s="37"/>
    </row>
    <row r="3790" spans="1:10" ht="15.95" customHeight="1" x14ac:dyDescent="0.2">
      <c r="A3790" s="39"/>
      <c r="B3790" s="36"/>
      <c r="C3790" s="37"/>
      <c r="D3790" s="37"/>
      <c r="E3790" s="37"/>
      <c r="F3790" s="37"/>
      <c r="G3790" s="37"/>
      <c r="H3790" s="37"/>
      <c r="I3790" s="35"/>
      <c r="J3790" s="37"/>
    </row>
    <row r="3791" spans="1:10" ht="15.95" customHeight="1" x14ac:dyDescent="0.2">
      <c r="A3791" s="39"/>
      <c r="B3791" s="36"/>
      <c r="C3791" s="37"/>
      <c r="D3791" s="37"/>
      <c r="E3791" s="37"/>
      <c r="F3791" s="37"/>
      <c r="G3791" s="37"/>
      <c r="H3791" s="37"/>
      <c r="I3791" s="35"/>
      <c r="J3791" s="37"/>
    </row>
    <row r="3792" spans="1:10" ht="15.95" customHeight="1" x14ac:dyDescent="0.2">
      <c r="A3792" s="39"/>
      <c r="B3792" s="36"/>
      <c r="C3792" s="37"/>
      <c r="D3792" s="37"/>
      <c r="E3792" s="37"/>
      <c r="F3792" s="37"/>
      <c r="G3792" s="37"/>
      <c r="H3792" s="37"/>
      <c r="I3792" s="35"/>
      <c r="J3792" s="37"/>
    </row>
    <row r="3793" spans="1:10" ht="15.95" customHeight="1" x14ac:dyDescent="0.2">
      <c r="A3793" s="39"/>
      <c r="B3793" s="36"/>
      <c r="C3793" s="37"/>
      <c r="D3793" s="37"/>
      <c r="E3793" s="37"/>
      <c r="F3793" s="37"/>
      <c r="G3793" s="37"/>
      <c r="H3793" s="37"/>
      <c r="I3793" s="35"/>
      <c r="J3793" s="37"/>
    </row>
    <row r="3794" spans="1:10" ht="15.95" customHeight="1" x14ac:dyDescent="0.2">
      <c r="A3794" s="39"/>
      <c r="B3794" s="36"/>
      <c r="C3794" s="37"/>
      <c r="D3794" s="37"/>
      <c r="E3794" s="37"/>
      <c r="F3794" s="37"/>
      <c r="G3794" s="37"/>
      <c r="H3794" s="37"/>
      <c r="I3794" s="35"/>
      <c r="J3794" s="37"/>
    </row>
    <row r="3795" spans="1:10" ht="15.95" customHeight="1" x14ac:dyDescent="0.2">
      <c r="A3795" s="39"/>
      <c r="B3795" s="36"/>
      <c r="C3795" s="37"/>
      <c r="D3795" s="37"/>
      <c r="E3795" s="37"/>
      <c r="F3795" s="37"/>
      <c r="G3795" s="37"/>
      <c r="H3795" s="37"/>
      <c r="I3795" s="35"/>
      <c r="J3795" s="37"/>
    </row>
    <row r="3796" spans="1:10" ht="15.95" customHeight="1" x14ac:dyDescent="0.2">
      <c r="A3796" s="39"/>
      <c r="B3796" s="36"/>
      <c r="C3796" s="37"/>
      <c r="D3796" s="37"/>
      <c r="E3796" s="37"/>
      <c r="F3796" s="37"/>
      <c r="G3796" s="37"/>
      <c r="H3796" s="37"/>
      <c r="I3796" s="35"/>
      <c r="J3796" s="37"/>
    </row>
    <row r="3797" spans="1:10" ht="15.95" customHeight="1" x14ac:dyDescent="0.2">
      <c r="A3797" s="39"/>
      <c r="B3797" s="36"/>
      <c r="C3797" s="37"/>
      <c r="D3797" s="37"/>
      <c r="E3797" s="37"/>
      <c r="F3797" s="37"/>
      <c r="G3797" s="37"/>
      <c r="H3797" s="37"/>
      <c r="I3797" s="35"/>
      <c r="J3797" s="37"/>
    </row>
    <row r="3798" spans="1:10" ht="15.95" customHeight="1" x14ac:dyDescent="0.2">
      <c r="A3798" s="39"/>
      <c r="B3798" s="36"/>
      <c r="C3798" s="37"/>
      <c r="D3798" s="37"/>
      <c r="E3798" s="37"/>
      <c r="F3798" s="37"/>
      <c r="G3798" s="37"/>
      <c r="H3798" s="37"/>
      <c r="I3798" s="35"/>
      <c r="J3798" s="37"/>
    </row>
    <row r="3799" spans="1:10" ht="15.95" customHeight="1" x14ac:dyDescent="0.2">
      <c r="A3799" s="39"/>
      <c r="B3799" s="36"/>
      <c r="C3799" s="37"/>
      <c r="D3799" s="37"/>
      <c r="E3799" s="37"/>
      <c r="F3799" s="37"/>
      <c r="G3799" s="37"/>
      <c r="H3799" s="37"/>
      <c r="I3799" s="35"/>
      <c r="J3799" s="37"/>
    </row>
    <row r="3800" spans="1:10" ht="15.95" customHeight="1" x14ac:dyDescent="0.2">
      <c r="A3800" s="39"/>
      <c r="B3800" s="36"/>
      <c r="C3800" s="37"/>
      <c r="D3800" s="37"/>
      <c r="E3800" s="37"/>
      <c r="F3800" s="37"/>
      <c r="G3800" s="37"/>
      <c r="H3800" s="37"/>
      <c r="I3800" s="35"/>
      <c r="J3800" s="37"/>
    </row>
    <row r="3801" spans="1:10" ht="15.95" customHeight="1" x14ac:dyDescent="0.2">
      <c r="A3801" s="39"/>
      <c r="B3801" s="36"/>
      <c r="C3801" s="37"/>
      <c r="D3801" s="37"/>
      <c r="E3801" s="37"/>
      <c r="F3801" s="37"/>
      <c r="G3801" s="37"/>
      <c r="H3801" s="37"/>
      <c r="I3801" s="35"/>
      <c r="J3801" s="37"/>
    </row>
    <row r="3802" spans="1:10" ht="15.95" customHeight="1" x14ac:dyDescent="0.2">
      <c r="A3802" s="39"/>
      <c r="B3802" s="36"/>
      <c r="C3802" s="37"/>
      <c r="D3802" s="37"/>
      <c r="E3802" s="37"/>
      <c r="F3802" s="37"/>
      <c r="G3802" s="37"/>
      <c r="H3802" s="37"/>
      <c r="I3802" s="35"/>
      <c r="J3802" s="37"/>
    </row>
    <row r="3803" spans="1:10" ht="15.95" customHeight="1" x14ac:dyDescent="0.2">
      <c r="A3803" s="39"/>
      <c r="B3803" s="36"/>
      <c r="C3803" s="37"/>
      <c r="D3803" s="37"/>
      <c r="E3803" s="37"/>
      <c r="F3803" s="37"/>
      <c r="G3803" s="37"/>
      <c r="H3803" s="37"/>
      <c r="I3803" s="35"/>
      <c r="J3803" s="37"/>
    </row>
    <row r="3804" spans="1:10" ht="15.95" customHeight="1" x14ac:dyDescent="0.2">
      <c r="A3804" s="39"/>
      <c r="B3804" s="36"/>
      <c r="C3804" s="37"/>
      <c r="D3804" s="37"/>
      <c r="E3804" s="37"/>
      <c r="F3804" s="37"/>
      <c r="G3804" s="37"/>
      <c r="H3804" s="37"/>
      <c r="I3804" s="35"/>
      <c r="J3804" s="37"/>
    </row>
    <row r="3805" spans="1:10" ht="15.95" customHeight="1" x14ac:dyDescent="0.2">
      <c r="A3805" s="39"/>
      <c r="B3805" s="36"/>
      <c r="C3805" s="37"/>
      <c r="D3805" s="37"/>
      <c r="E3805" s="37"/>
      <c r="F3805" s="37"/>
      <c r="G3805" s="37"/>
      <c r="H3805" s="37"/>
      <c r="I3805" s="35"/>
      <c r="J3805" s="37"/>
    </row>
    <row r="3806" spans="1:10" ht="15.95" customHeight="1" x14ac:dyDescent="0.2">
      <c r="A3806" s="39"/>
      <c r="B3806" s="36"/>
      <c r="C3806" s="37"/>
      <c r="D3806" s="37"/>
      <c r="E3806" s="37"/>
      <c r="F3806" s="37"/>
      <c r="G3806" s="37"/>
      <c r="H3806" s="37"/>
      <c r="I3806" s="35"/>
      <c r="J3806" s="37"/>
    </row>
    <row r="3807" spans="1:10" ht="15.95" customHeight="1" x14ac:dyDescent="0.2">
      <c r="A3807" s="39"/>
      <c r="B3807" s="36"/>
      <c r="C3807" s="37"/>
      <c r="D3807" s="37"/>
      <c r="E3807" s="37"/>
      <c r="F3807" s="37"/>
      <c r="G3807" s="37"/>
      <c r="H3807" s="37"/>
      <c r="I3807" s="35"/>
      <c r="J3807" s="37"/>
    </row>
    <row r="3808" spans="1:10" ht="15.95" customHeight="1" x14ac:dyDescent="0.2">
      <c r="A3808" s="39"/>
      <c r="B3808" s="36"/>
      <c r="C3808" s="37"/>
      <c r="D3808" s="37"/>
      <c r="E3808" s="37"/>
      <c r="F3808" s="37"/>
      <c r="G3808" s="37"/>
      <c r="H3808" s="37"/>
      <c r="I3808" s="35"/>
      <c r="J3808" s="37"/>
    </row>
    <row r="3809" spans="1:10" ht="15.95" customHeight="1" x14ac:dyDescent="0.2">
      <c r="A3809" s="39"/>
      <c r="B3809" s="36"/>
      <c r="C3809" s="37"/>
      <c r="D3809" s="37"/>
      <c r="E3809" s="37"/>
      <c r="F3809" s="37"/>
      <c r="G3809" s="37"/>
      <c r="H3809" s="37"/>
      <c r="I3809" s="35"/>
      <c r="J3809" s="37"/>
    </row>
    <row r="3810" spans="1:10" ht="15.95" customHeight="1" x14ac:dyDescent="0.2">
      <c r="A3810" s="39"/>
      <c r="B3810" s="36"/>
      <c r="C3810" s="37"/>
      <c r="D3810" s="37"/>
      <c r="E3810" s="37"/>
      <c r="F3810" s="37"/>
      <c r="G3810" s="37"/>
      <c r="H3810" s="37"/>
      <c r="I3810" s="35"/>
      <c r="J3810" s="37"/>
    </row>
    <row r="3811" spans="1:10" ht="15.95" customHeight="1" x14ac:dyDescent="0.2">
      <c r="A3811" s="39"/>
      <c r="B3811" s="36"/>
      <c r="C3811" s="37"/>
      <c r="D3811" s="37"/>
      <c r="E3811" s="37"/>
      <c r="F3811" s="37"/>
      <c r="G3811" s="37"/>
      <c r="H3811" s="37"/>
      <c r="I3811" s="35"/>
      <c r="J3811" s="37"/>
    </row>
    <row r="3812" spans="1:10" ht="15.95" customHeight="1" x14ac:dyDescent="0.2">
      <c r="A3812" s="39"/>
      <c r="B3812" s="36"/>
      <c r="C3812" s="37"/>
      <c r="D3812" s="37"/>
      <c r="E3812" s="37"/>
      <c r="F3812" s="37"/>
      <c r="G3812" s="37"/>
      <c r="H3812" s="37"/>
      <c r="I3812" s="35"/>
      <c r="J3812" s="37"/>
    </row>
    <row r="3813" spans="1:10" ht="15.95" customHeight="1" x14ac:dyDescent="0.2">
      <c r="A3813" s="39"/>
      <c r="B3813" s="36"/>
      <c r="C3813" s="37"/>
      <c r="D3813" s="37"/>
      <c r="E3813" s="37"/>
      <c r="F3813" s="37"/>
      <c r="G3813" s="37"/>
      <c r="H3813" s="37"/>
      <c r="I3813" s="35"/>
      <c r="J3813" s="37"/>
    </row>
    <row r="3814" spans="1:10" ht="15.95" customHeight="1" x14ac:dyDescent="0.2">
      <c r="A3814" s="39"/>
      <c r="B3814" s="36"/>
      <c r="C3814" s="37"/>
      <c r="D3814" s="37"/>
      <c r="E3814" s="37"/>
      <c r="F3814" s="37"/>
      <c r="G3814" s="37"/>
      <c r="H3814" s="37"/>
      <c r="I3814" s="35"/>
      <c r="J3814" s="37"/>
    </row>
    <row r="3815" spans="1:10" ht="15.95" customHeight="1" x14ac:dyDescent="0.2">
      <c r="A3815" s="39"/>
      <c r="B3815" s="36"/>
      <c r="C3815" s="37"/>
      <c r="D3815" s="37"/>
      <c r="E3815" s="37"/>
      <c r="F3815" s="37"/>
      <c r="G3815" s="37"/>
      <c r="H3815" s="37"/>
      <c r="I3815" s="35"/>
      <c r="J3815" s="37"/>
    </row>
    <row r="3816" spans="1:10" ht="15.95" customHeight="1" x14ac:dyDescent="0.2">
      <c r="A3816" s="39"/>
      <c r="B3816" s="36"/>
      <c r="C3816" s="37"/>
      <c r="D3816" s="37"/>
      <c r="E3816" s="37"/>
      <c r="F3816" s="37"/>
      <c r="G3816" s="37"/>
      <c r="H3816" s="37"/>
      <c r="I3816" s="35"/>
      <c r="J3816" s="37"/>
    </row>
    <row r="3817" spans="1:10" ht="15.95" customHeight="1" x14ac:dyDescent="0.2">
      <c r="A3817" s="39"/>
      <c r="B3817" s="36"/>
      <c r="C3817" s="37"/>
      <c r="D3817" s="37"/>
      <c r="E3817" s="37"/>
      <c r="F3817" s="37"/>
      <c r="G3817" s="37"/>
      <c r="H3817" s="37"/>
      <c r="I3817" s="35"/>
      <c r="J3817" s="37"/>
    </row>
    <row r="3818" spans="1:10" ht="15.95" customHeight="1" x14ac:dyDescent="0.2">
      <c r="A3818" s="39"/>
      <c r="B3818" s="36"/>
      <c r="C3818" s="37"/>
      <c r="D3818" s="37"/>
      <c r="E3818" s="37"/>
      <c r="F3818" s="37"/>
      <c r="G3818" s="37"/>
      <c r="H3818" s="37"/>
      <c r="I3818" s="35"/>
      <c r="J3818" s="37"/>
    </row>
    <row r="3819" spans="1:10" ht="15.95" customHeight="1" x14ac:dyDescent="0.2">
      <c r="A3819" s="39"/>
      <c r="B3819" s="36"/>
      <c r="C3819" s="37"/>
      <c r="D3819" s="37"/>
      <c r="E3819" s="37"/>
      <c r="F3819" s="37"/>
      <c r="G3819" s="37"/>
      <c r="H3819" s="37"/>
      <c r="I3819" s="35"/>
      <c r="J3819" s="37"/>
    </row>
    <row r="3820" spans="1:10" ht="15.95" customHeight="1" x14ac:dyDescent="0.2">
      <c r="A3820" s="39"/>
      <c r="B3820" s="36"/>
      <c r="C3820" s="37"/>
      <c r="D3820" s="37"/>
      <c r="E3820" s="37"/>
      <c r="F3820" s="37"/>
      <c r="G3820" s="37"/>
      <c r="H3820" s="37"/>
      <c r="I3820" s="35"/>
      <c r="J3820" s="37"/>
    </row>
    <row r="3821" spans="1:10" ht="15.95" customHeight="1" x14ac:dyDescent="0.2">
      <c r="A3821" s="39"/>
      <c r="B3821" s="36"/>
      <c r="C3821" s="37"/>
      <c r="D3821" s="37"/>
      <c r="E3821" s="37"/>
      <c r="F3821" s="37"/>
      <c r="G3821" s="37"/>
      <c r="H3821" s="37"/>
      <c r="I3821" s="35"/>
      <c r="J3821" s="37"/>
    </row>
    <row r="3822" spans="1:10" ht="15.95" customHeight="1" x14ac:dyDescent="0.2">
      <c r="A3822" s="39"/>
      <c r="B3822" s="36"/>
      <c r="C3822" s="37"/>
      <c r="D3822" s="37"/>
      <c r="E3822" s="37"/>
      <c r="F3822" s="37"/>
      <c r="G3822" s="37"/>
      <c r="H3822" s="37"/>
      <c r="I3822" s="35"/>
      <c r="J3822" s="37"/>
    </row>
    <row r="3823" spans="1:10" ht="15.95" customHeight="1" x14ac:dyDescent="0.2">
      <c r="A3823" s="39"/>
      <c r="B3823" s="36"/>
      <c r="C3823" s="37"/>
      <c r="D3823" s="37"/>
      <c r="E3823" s="37"/>
      <c r="F3823" s="37"/>
      <c r="G3823" s="37"/>
      <c r="H3823" s="37"/>
      <c r="I3823" s="35"/>
      <c r="J3823" s="37"/>
    </row>
    <row r="3824" spans="1:10" ht="15.95" customHeight="1" x14ac:dyDescent="0.2">
      <c r="A3824" s="39"/>
      <c r="B3824" s="36"/>
      <c r="C3824" s="37"/>
      <c r="D3824" s="37"/>
      <c r="E3824" s="37"/>
      <c r="F3824" s="37"/>
      <c r="G3824" s="37"/>
      <c r="H3824" s="37"/>
      <c r="I3824" s="35"/>
      <c r="J3824" s="37"/>
    </row>
    <row r="3825" spans="1:10" ht="15.95" customHeight="1" x14ac:dyDescent="0.2">
      <c r="A3825" s="39"/>
      <c r="B3825" s="36"/>
      <c r="C3825" s="37"/>
      <c r="D3825" s="37"/>
      <c r="E3825" s="37"/>
      <c r="F3825" s="37"/>
      <c r="G3825" s="37"/>
      <c r="H3825" s="37"/>
      <c r="I3825" s="35"/>
      <c r="J3825" s="37"/>
    </row>
    <row r="3826" spans="1:10" ht="15.95" customHeight="1" x14ac:dyDescent="0.2">
      <c r="A3826" s="39"/>
      <c r="B3826" s="36"/>
      <c r="C3826" s="37"/>
      <c r="D3826" s="37"/>
      <c r="E3826" s="37"/>
      <c r="F3826" s="37"/>
      <c r="G3826" s="37"/>
      <c r="H3826" s="37"/>
      <c r="I3826" s="35"/>
      <c r="J3826" s="37"/>
    </row>
    <row r="3827" spans="1:10" ht="15.95" customHeight="1" x14ac:dyDescent="0.2">
      <c r="A3827" s="39"/>
      <c r="B3827" s="36"/>
      <c r="C3827" s="37"/>
      <c r="D3827" s="37"/>
      <c r="E3827" s="37"/>
      <c r="F3827" s="37"/>
      <c r="G3827" s="37"/>
      <c r="H3827" s="37"/>
      <c r="I3827" s="35"/>
      <c r="J3827" s="37"/>
    </row>
    <row r="3828" spans="1:10" ht="15.95" customHeight="1" x14ac:dyDescent="0.2">
      <c r="A3828" s="39"/>
      <c r="B3828" s="36"/>
      <c r="C3828" s="37"/>
      <c r="D3828" s="37"/>
      <c r="E3828" s="37"/>
      <c r="F3828" s="37"/>
      <c r="G3828" s="37"/>
      <c r="H3828" s="37"/>
      <c r="I3828" s="35"/>
      <c r="J3828" s="37"/>
    </row>
    <row r="3829" spans="1:10" ht="15.95" customHeight="1" x14ac:dyDescent="0.2">
      <c r="A3829" s="39"/>
      <c r="B3829" s="36"/>
      <c r="C3829" s="37"/>
      <c r="D3829" s="37"/>
      <c r="E3829" s="37"/>
      <c r="F3829" s="37"/>
      <c r="G3829" s="37"/>
      <c r="H3829" s="37"/>
      <c r="I3829" s="35"/>
      <c r="J3829" s="37"/>
    </row>
    <row r="3830" spans="1:10" ht="15.95" customHeight="1" x14ac:dyDescent="0.2">
      <c r="A3830" s="39"/>
      <c r="B3830" s="36"/>
      <c r="C3830" s="37"/>
      <c r="D3830" s="37"/>
      <c r="E3830" s="37"/>
      <c r="F3830" s="37"/>
      <c r="G3830" s="37"/>
      <c r="H3830" s="37"/>
      <c r="I3830" s="35"/>
      <c r="J3830" s="37"/>
    </row>
    <row r="3831" spans="1:10" ht="15.95" customHeight="1" x14ac:dyDescent="0.2">
      <c r="A3831" s="39"/>
      <c r="B3831" s="36"/>
      <c r="C3831" s="37"/>
      <c r="D3831" s="37"/>
      <c r="E3831" s="37"/>
      <c r="F3831" s="37"/>
      <c r="G3831" s="37"/>
      <c r="H3831" s="37"/>
      <c r="I3831" s="35"/>
      <c r="J3831" s="37"/>
    </row>
    <row r="3832" spans="1:10" ht="15.95" customHeight="1" x14ac:dyDescent="0.2">
      <c r="A3832" s="39"/>
      <c r="B3832" s="36"/>
      <c r="C3832" s="37"/>
      <c r="D3832" s="37"/>
      <c r="E3832" s="37"/>
      <c r="F3832" s="37"/>
      <c r="G3832" s="37"/>
      <c r="H3832" s="37"/>
      <c r="I3832" s="35"/>
      <c r="J3832" s="37"/>
    </row>
    <row r="3833" spans="1:10" ht="15.95" customHeight="1" x14ac:dyDescent="0.2">
      <c r="A3833" s="39"/>
      <c r="B3833" s="36"/>
      <c r="C3833" s="37"/>
      <c r="D3833" s="37"/>
      <c r="E3833" s="37"/>
      <c r="F3833" s="37"/>
      <c r="G3833" s="37"/>
      <c r="H3833" s="37"/>
      <c r="I3833" s="35"/>
      <c r="J3833" s="37"/>
    </row>
    <row r="3834" spans="1:10" ht="15.95" customHeight="1" x14ac:dyDescent="0.2">
      <c r="A3834" s="39"/>
      <c r="B3834" s="36"/>
      <c r="C3834" s="37"/>
      <c r="D3834" s="37"/>
      <c r="E3834" s="37"/>
      <c r="F3834" s="37"/>
      <c r="G3834" s="37"/>
      <c r="H3834" s="37"/>
      <c r="I3834" s="35"/>
      <c r="J3834" s="37"/>
    </row>
    <row r="3835" spans="1:10" ht="15.95" customHeight="1" x14ac:dyDescent="0.2">
      <c r="A3835" s="39"/>
      <c r="B3835" s="36"/>
      <c r="C3835" s="37"/>
      <c r="D3835" s="37"/>
      <c r="E3835" s="37"/>
      <c r="F3835" s="37"/>
      <c r="G3835" s="37"/>
      <c r="H3835" s="37"/>
      <c r="I3835" s="35"/>
      <c r="J3835" s="37"/>
    </row>
    <row r="3836" spans="1:10" ht="15.95" customHeight="1" x14ac:dyDescent="0.2">
      <c r="A3836" s="39"/>
      <c r="B3836" s="36"/>
      <c r="C3836" s="37"/>
      <c r="D3836" s="37"/>
      <c r="E3836" s="37"/>
      <c r="F3836" s="37"/>
      <c r="G3836" s="37"/>
      <c r="H3836" s="37"/>
      <c r="I3836" s="35"/>
      <c r="J3836" s="37"/>
    </row>
    <row r="3837" spans="1:10" ht="15.95" customHeight="1" x14ac:dyDescent="0.2">
      <c r="A3837" s="39"/>
      <c r="B3837" s="36"/>
      <c r="C3837" s="37"/>
      <c r="D3837" s="37"/>
      <c r="E3837" s="37"/>
      <c r="F3837" s="37"/>
      <c r="G3837" s="37"/>
      <c r="H3837" s="37"/>
      <c r="I3837" s="35"/>
      <c r="J3837" s="37"/>
    </row>
    <row r="3838" spans="1:10" ht="15.95" customHeight="1" x14ac:dyDescent="0.2">
      <c r="A3838" s="39"/>
      <c r="B3838" s="36"/>
      <c r="C3838" s="37"/>
      <c r="D3838" s="37"/>
      <c r="E3838" s="37"/>
      <c r="F3838" s="37"/>
      <c r="G3838" s="37"/>
      <c r="H3838" s="37"/>
      <c r="I3838" s="35"/>
      <c r="J3838" s="37"/>
    </row>
    <row r="3839" spans="1:10" ht="15.95" customHeight="1" x14ac:dyDescent="0.2">
      <c r="A3839" s="39"/>
      <c r="B3839" s="36"/>
      <c r="C3839" s="37"/>
      <c r="D3839" s="37"/>
      <c r="E3839" s="37"/>
      <c r="F3839" s="37"/>
      <c r="G3839" s="37"/>
      <c r="H3839" s="37"/>
      <c r="I3839" s="35"/>
      <c r="J3839" s="37"/>
    </row>
    <row r="3840" spans="1:10" ht="15.95" customHeight="1" x14ac:dyDescent="0.2">
      <c r="A3840" s="39"/>
      <c r="B3840" s="36"/>
      <c r="C3840" s="37"/>
      <c r="D3840" s="37"/>
      <c r="E3840" s="37"/>
      <c r="F3840" s="37"/>
      <c r="G3840" s="37"/>
      <c r="H3840" s="37"/>
      <c r="I3840" s="35"/>
      <c r="J3840" s="37"/>
    </row>
    <row r="3841" spans="1:10" ht="15.95" customHeight="1" x14ac:dyDescent="0.2">
      <c r="A3841" s="39"/>
      <c r="B3841" s="36"/>
      <c r="C3841" s="37"/>
      <c r="D3841" s="37"/>
      <c r="E3841" s="37"/>
      <c r="F3841" s="37"/>
      <c r="G3841" s="37"/>
      <c r="H3841" s="37"/>
      <c r="I3841" s="35"/>
      <c r="J3841" s="37"/>
    </row>
    <row r="3842" spans="1:10" ht="15.95" customHeight="1" x14ac:dyDescent="0.2">
      <c r="A3842" s="39"/>
      <c r="B3842" s="36"/>
      <c r="C3842" s="37"/>
      <c r="D3842" s="37"/>
      <c r="E3842" s="37"/>
      <c r="F3842" s="37"/>
      <c r="G3842" s="37"/>
      <c r="H3842" s="37"/>
      <c r="I3842" s="35"/>
      <c r="J3842" s="37"/>
    </row>
    <row r="3843" spans="1:10" ht="15.95" customHeight="1" x14ac:dyDescent="0.2">
      <c r="A3843" s="39"/>
      <c r="B3843" s="36"/>
      <c r="C3843" s="37"/>
      <c r="D3843" s="37"/>
      <c r="E3843" s="37"/>
      <c r="F3843" s="37"/>
      <c r="G3843" s="37"/>
      <c r="H3843" s="37"/>
      <c r="I3843" s="35"/>
      <c r="J3843" s="37"/>
    </row>
    <row r="3844" spans="1:10" ht="15.95" customHeight="1" x14ac:dyDescent="0.2">
      <c r="A3844" s="39"/>
      <c r="B3844" s="36"/>
      <c r="C3844" s="37"/>
      <c r="D3844" s="37"/>
      <c r="E3844" s="37"/>
      <c r="F3844" s="37"/>
      <c r="G3844" s="37"/>
      <c r="H3844" s="37"/>
      <c r="I3844" s="35"/>
      <c r="J3844" s="37"/>
    </row>
    <row r="3845" spans="1:10" ht="15.95" customHeight="1" x14ac:dyDescent="0.2">
      <c r="A3845" s="39"/>
      <c r="B3845" s="36"/>
      <c r="C3845" s="37"/>
      <c r="D3845" s="37"/>
      <c r="E3845" s="37"/>
      <c r="F3845" s="37"/>
      <c r="G3845" s="37"/>
      <c r="H3845" s="37"/>
      <c r="I3845" s="35"/>
      <c r="J3845" s="37"/>
    </row>
    <row r="3846" spans="1:10" ht="15.95" customHeight="1" x14ac:dyDescent="0.2">
      <c r="A3846" s="39"/>
      <c r="B3846" s="36"/>
      <c r="C3846" s="37"/>
      <c r="D3846" s="37"/>
      <c r="E3846" s="37"/>
      <c r="F3846" s="37"/>
      <c r="G3846" s="37"/>
      <c r="H3846" s="37"/>
      <c r="I3846" s="35"/>
      <c r="J3846" s="37"/>
    </row>
    <row r="3847" spans="1:10" ht="15.95" customHeight="1" x14ac:dyDescent="0.2">
      <c r="A3847" s="39"/>
      <c r="B3847" s="36"/>
      <c r="C3847" s="37"/>
      <c r="D3847" s="37"/>
      <c r="E3847" s="37"/>
      <c r="F3847" s="37"/>
      <c r="G3847" s="37"/>
      <c r="H3847" s="37"/>
      <c r="I3847" s="35"/>
      <c r="J3847" s="37"/>
    </row>
    <row r="3848" spans="1:10" ht="15.95" customHeight="1" x14ac:dyDescent="0.2">
      <c r="A3848" s="39"/>
      <c r="B3848" s="36"/>
      <c r="C3848" s="37"/>
      <c r="D3848" s="37"/>
      <c r="E3848" s="37"/>
      <c r="F3848" s="37"/>
      <c r="G3848" s="37"/>
      <c r="H3848" s="37"/>
      <c r="I3848" s="35"/>
      <c r="J3848" s="37"/>
    </row>
    <row r="3849" spans="1:10" ht="15.95" customHeight="1" x14ac:dyDescent="0.2">
      <c r="A3849" s="39"/>
      <c r="B3849" s="36"/>
      <c r="C3849" s="37"/>
      <c r="D3849" s="37"/>
      <c r="E3849" s="37"/>
      <c r="F3849" s="37"/>
      <c r="G3849" s="37"/>
      <c r="H3849" s="37"/>
      <c r="I3849" s="35"/>
      <c r="J3849" s="37"/>
    </row>
    <row r="3850" spans="1:10" ht="15.95" customHeight="1" x14ac:dyDescent="0.2">
      <c r="A3850" s="39"/>
      <c r="B3850" s="36"/>
      <c r="C3850" s="37"/>
      <c r="D3850" s="37"/>
      <c r="E3850" s="37"/>
      <c r="F3850" s="37"/>
      <c r="G3850" s="37"/>
      <c r="H3850" s="37"/>
      <c r="I3850" s="35"/>
      <c r="J3850" s="37"/>
    </row>
    <row r="3851" spans="1:10" ht="15.95" customHeight="1" x14ac:dyDescent="0.2">
      <c r="A3851" s="39"/>
      <c r="B3851" s="36"/>
      <c r="C3851" s="37"/>
      <c r="D3851" s="37"/>
      <c r="E3851" s="37"/>
      <c r="F3851" s="37"/>
      <c r="G3851" s="37"/>
      <c r="H3851" s="37"/>
      <c r="I3851" s="35"/>
      <c r="J3851" s="37"/>
    </row>
    <row r="3852" spans="1:10" ht="15.95" customHeight="1" x14ac:dyDescent="0.2">
      <c r="A3852" s="39"/>
      <c r="B3852" s="36"/>
      <c r="C3852" s="37"/>
      <c r="D3852" s="37"/>
      <c r="E3852" s="37"/>
      <c r="F3852" s="37"/>
      <c r="G3852" s="37"/>
      <c r="H3852" s="37"/>
      <c r="I3852" s="35"/>
      <c r="J3852" s="37"/>
    </row>
    <row r="3853" spans="1:10" ht="15.95" customHeight="1" x14ac:dyDescent="0.2">
      <c r="A3853" s="39"/>
      <c r="B3853" s="36"/>
      <c r="C3853" s="37"/>
      <c r="D3853" s="37"/>
      <c r="E3853" s="37"/>
      <c r="F3853" s="37"/>
      <c r="G3853" s="37"/>
      <c r="H3853" s="37"/>
      <c r="I3853" s="35"/>
      <c r="J3853" s="37"/>
    </row>
    <row r="3854" spans="1:10" ht="15.95" customHeight="1" x14ac:dyDescent="0.2">
      <c r="A3854" s="39"/>
      <c r="B3854" s="36"/>
      <c r="C3854" s="37"/>
      <c r="D3854" s="37"/>
      <c r="E3854" s="37"/>
      <c r="F3854" s="37"/>
      <c r="G3854" s="37"/>
      <c r="H3854" s="37"/>
      <c r="I3854" s="35"/>
      <c r="J3854" s="37"/>
    </row>
    <row r="3855" spans="1:10" ht="15.95" customHeight="1" x14ac:dyDescent="0.2">
      <c r="A3855" s="39"/>
      <c r="B3855" s="36"/>
      <c r="C3855" s="37"/>
      <c r="D3855" s="37"/>
      <c r="E3855" s="37"/>
      <c r="F3855" s="37"/>
      <c r="G3855" s="37"/>
      <c r="H3855" s="37"/>
      <c r="I3855" s="35"/>
      <c r="J3855" s="37"/>
    </row>
    <row r="3856" spans="1:10" ht="15.95" customHeight="1" x14ac:dyDescent="0.2">
      <c r="A3856" s="39"/>
      <c r="B3856" s="36"/>
      <c r="C3856" s="37"/>
      <c r="D3856" s="37"/>
      <c r="E3856" s="37"/>
      <c r="F3856" s="37"/>
      <c r="G3856" s="37"/>
      <c r="H3856" s="37"/>
      <c r="I3856" s="35"/>
      <c r="J3856" s="37"/>
    </row>
    <row r="3857" spans="1:10" ht="15.95" customHeight="1" x14ac:dyDescent="0.2">
      <c r="A3857" s="39"/>
      <c r="B3857" s="36"/>
      <c r="C3857" s="37"/>
      <c r="D3857" s="37"/>
      <c r="E3857" s="37"/>
      <c r="F3857" s="37"/>
      <c r="G3857" s="37"/>
      <c r="H3857" s="37"/>
      <c r="I3857" s="35"/>
      <c r="J3857" s="37"/>
    </row>
    <row r="3858" spans="1:10" ht="15.95" customHeight="1" x14ac:dyDescent="0.2">
      <c r="A3858" s="39"/>
      <c r="B3858" s="36"/>
      <c r="C3858" s="37"/>
      <c r="D3858" s="37"/>
      <c r="E3858" s="37"/>
      <c r="F3858" s="37"/>
      <c r="G3858" s="37"/>
      <c r="H3858" s="37"/>
      <c r="I3858" s="35"/>
      <c r="J3858" s="37"/>
    </row>
    <row r="3859" spans="1:10" ht="15.95" customHeight="1" x14ac:dyDescent="0.2">
      <c r="A3859" s="39"/>
      <c r="B3859" s="36"/>
      <c r="C3859" s="37"/>
      <c r="D3859" s="37"/>
      <c r="E3859" s="37"/>
      <c r="F3859" s="37"/>
      <c r="G3859" s="37"/>
      <c r="H3859" s="37"/>
      <c r="I3859" s="35"/>
      <c r="J3859" s="37"/>
    </row>
    <row r="3860" spans="1:10" ht="15.95" customHeight="1" x14ac:dyDescent="0.2">
      <c r="A3860" s="39"/>
      <c r="B3860" s="36"/>
      <c r="C3860" s="37"/>
      <c r="D3860" s="37"/>
      <c r="E3860" s="37"/>
      <c r="F3860" s="37"/>
      <c r="G3860" s="37"/>
      <c r="H3860" s="37"/>
      <c r="I3860" s="35"/>
      <c r="J3860" s="37"/>
    </row>
    <row r="3861" spans="1:10" ht="15.95" customHeight="1" x14ac:dyDescent="0.2">
      <c r="A3861" s="39"/>
      <c r="B3861" s="36"/>
      <c r="C3861" s="37"/>
      <c r="D3861" s="37"/>
      <c r="E3861" s="37"/>
      <c r="F3861" s="37"/>
      <c r="G3861" s="37"/>
      <c r="H3861" s="37"/>
      <c r="I3861" s="35"/>
      <c r="J3861" s="37"/>
    </row>
    <row r="3862" spans="1:10" ht="15.95" customHeight="1" x14ac:dyDescent="0.2">
      <c r="A3862" s="39"/>
      <c r="B3862" s="36"/>
      <c r="C3862" s="37"/>
      <c r="D3862" s="37"/>
      <c r="E3862" s="37"/>
      <c r="F3862" s="37"/>
      <c r="G3862" s="37"/>
      <c r="H3862" s="37"/>
      <c r="I3862" s="35"/>
      <c r="J3862" s="37"/>
    </row>
    <row r="3863" spans="1:10" ht="15.95" customHeight="1" x14ac:dyDescent="0.2">
      <c r="A3863" s="39"/>
      <c r="B3863" s="36"/>
      <c r="C3863" s="37"/>
      <c r="D3863" s="37"/>
      <c r="E3863" s="37"/>
      <c r="F3863" s="37"/>
      <c r="G3863" s="37"/>
      <c r="H3863" s="37"/>
      <c r="I3863" s="35"/>
      <c r="J3863" s="37"/>
    </row>
    <row r="3864" spans="1:10" ht="15.95" customHeight="1" x14ac:dyDescent="0.2">
      <c r="A3864" s="39"/>
      <c r="B3864" s="36"/>
      <c r="C3864" s="37"/>
      <c r="D3864" s="37"/>
      <c r="E3864" s="37"/>
      <c r="F3864" s="37"/>
      <c r="G3864" s="37"/>
      <c r="H3864" s="37"/>
      <c r="I3864" s="35"/>
      <c r="J3864" s="37"/>
    </row>
    <row r="3865" spans="1:10" ht="15.95" customHeight="1" x14ac:dyDescent="0.2">
      <c r="A3865" s="39"/>
      <c r="B3865" s="36"/>
      <c r="C3865" s="37"/>
      <c r="D3865" s="37"/>
      <c r="E3865" s="37"/>
      <c r="F3865" s="37"/>
      <c r="G3865" s="37"/>
      <c r="H3865" s="37"/>
      <c r="I3865" s="35"/>
      <c r="J3865" s="37"/>
    </row>
    <row r="3866" spans="1:10" ht="15.95" customHeight="1" x14ac:dyDescent="0.2">
      <c r="A3866" s="39"/>
      <c r="B3866" s="36"/>
      <c r="C3866" s="37"/>
      <c r="D3866" s="37"/>
      <c r="E3866" s="37"/>
      <c r="F3866" s="37"/>
      <c r="G3866" s="37"/>
      <c r="H3866" s="37"/>
      <c r="I3866" s="35"/>
      <c r="J3866" s="37"/>
    </row>
    <row r="3867" spans="1:10" ht="15.95" customHeight="1" x14ac:dyDescent="0.2">
      <c r="A3867" s="39"/>
      <c r="B3867" s="36"/>
      <c r="C3867" s="37"/>
      <c r="D3867" s="37"/>
      <c r="E3867" s="37"/>
      <c r="F3867" s="37"/>
      <c r="G3867" s="37"/>
      <c r="H3867" s="37"/>
      <c r="I3867" s="35"/>
      <c r="J3867" s="37"/>
    </row>
    <row r="3868" spans="1:10" ht="15.95" customHeight="1" x14ac:dyDescent="0.2">
      <c r="A3868" s="39"/>
      <c r="B3868" s="36"/>
      <c r="C3868" s="37"/>
      <c r="D3868" s="37"/>
      <c r="E3868" s="37"/>
      <c r="F3868" s="37"/>
      <c r="G3868" s="37"/>
      <c r="H3868" s="37"/>
      <c r="I3868" s="35"/>
      <c r="J3868" s="37"/>
    </row>
    <row r="3869" spans="1:10" ht="15.95" customHeight="1" x14ac:dyDescent="0.2">
      <c r="A3869" s="39"/>
      <c r="B3869" s="36"/>
      <c r="C3869" s="37"/>
      <c r="D3869" s="37"/>
      <c r="E3869" s="37"/>
      <c r="F3869" s="37"/>
      <c r="G3869" s="37"/>
      <c r="H3869" s="37"/>
      <c r="I3869" s="35"/>
      <c r="J3869" s="37"/>
    </row>
    <row r="3870" spans="1:10" ht="15.95" customHeight="1" x14ac:dyDescent="0.2">
      <c r="A3870" s="39"/>
      <c r="B3870" s="36"/>
      <c r="C3870" s="37"/>
      <c r="D3870" s="37"/>
      <c r="E3870" s="37"/>
      <c r="F3870" s="37"/>
      <c r="G3870" s="37"/>
      <c r="H3870" s="37"/>
      <c r="I3870" s="35"/>
      <c r="J3870" s="37"/>
    </row>
    <row r="3871" spans="1:10" ht="15.95" customHeight="1" x14ac:dyDescent="0.2">
      <c r="A3871" s="39"/>
      <c r="B3871" s="36"/>
      <c r="C3871" s="37"/>
      <c r="D3871" s="37"/>
      <c r="E3871" s="37"/>
      <c r="F3871" s="37"/>
      <c r="G3871" s="37"/>
      <c r="H3871" s="37"/>
      <c r="I3871" s="35"/>
      <c r="J3871" s="37"/>
    </row>
    <row r="3872" spans="1:10" ht="15.95" customHeight="1" x14ac:dyDescent="0.2">
      <c r="A3872" s="39"/>
      <c r="B3872" s="36"/>
      <c r="C3872" s="37"/>
      <c r="D3872" s="37"/>
      <c r="E3872" s="37"/>
      <c r="F3872" s="37"/>
      <c r="G3872" s="37"/>
      <c r="H3872" s="37"/>
      <c r="I3872" s="35"/>
      <c r="J3872" s="37"/>
    </row>
    <row r="3873" spans="1:10" ht="15.95" customHeight="1" x14ac:dyDescent="0.2">
      <c r="A3873" s="39"/>
      <c r="B3873" s="36"/>
      <c r="C3873" s="37"/>
      <c r="D3873" s="37"/>
      <c r="E3873" s="37"/>
      <c r="F3873" s="37"/>
      <c r="G3873" s="37"/>
      <c r="H3873" s="37"/>
      <c r="I3873" s="35"/>
      <c r="J3873" s="37"/>
    </row>
    <row r="3874" spans="1:10" ht="15.95" customHeight="1" x14ac:dyDescent="0.2">
      <c r="A3874" s="39"/>
      <c r="B3874" s="36"/>
      <c r="C3874" s="37"/>
      <c r="D3874" s="37"/>
      <c r="E3874" s="37"/>
      <c r="F3874" s="37"/>
      <c r="G3874" s="37"/>
      <c r="H3874" s="37"/>
      <c r="I3874" s="35"/>
      <c r="J3874" s="37"/>
    </row>
    <row r="3875" spans="1:10" ht="15.95" customHeight="1" x14ac:dyDescent="0.2">
      <c r="A3875" s="39"/>
      <c r="B3875" s="36"/>
      <c r="C3875" s="37"/>
      <c r="D3875" s="37"/>
      <c r="E3875" s="37"/>
      <c r="F3875" s="37"/>
      <c r="G3875" s="37"/>
      <c r="H3875" s="37"/>
      <c r="I3875" s="35"/>
      <c r="J3875" s="37"/>
    </row>
    <row r="3876" spans="1:10" ht="15.95" customHeight="1" x14ac:dyDescent="0.2">
      <c r="A3876" s="39"/>
      <c r="B3876" s="36"/>
      <c r="C3876" s="37"/>
      <c r="D3876" s="37"/>
      <c r="E3876" s="37"/>
      <c r="F3876" s="37"/>
      <c r="G3876" s="37"/>
      <c r="H3876" s="37"/>
      <c r="I3876" s="35"/>
      <c r="J3876" s="37"/>
    </row>
    <row r="3877" spans="1:10" ht="15.95" customHeight="1" x14ac:dyDescent="0.2">
      <c r="A3877" s="39"/>
      <c r="B3877" s="36"/>
      <c r="C3877" s="37"/>
      <c r="D3877" s="37"/>
      <c r="E3877" s="37"/>
      <c r="F3877" s="37"/>
      <c r="G3877" s="37"/>
      <c r="H3877" s="37"/>
      <c r="I3877" s="35"/>
      <c r="J3877" s="37"/>
    </row>
    <row r="3878" spans="1:10" ht="15.95" customHeight="1" x14ac:dyDescent="0.2">
      <c r="A3878" s="39"/>
      <c r="B3878" s="36"/>
      <c r="C3878" s="37"/>
      <c r="D3878" s="37"/>
      <c r="E3878" s="37"/>
      <c r="F3878" s="37"/>
      <c r="G3878" s="37"/>
      <c r="H3878" s="37"/>
      <c r="I3878" s="35"/>
      <c r="J3878" s="37"/>
    </row>
    <row r="3879" spans="1:10" ht="15.95" customHeight="1" x14ac:dyDescent="0.2">
      <c r="A3879" s="39"/>
      <c r="B3879" s="36"/>
      <c r="C3879" s="37"/>
      <c r="D3879" s="37"/>
      <c r="E3879" s="37"/>
      <c r="F3879" s="37"/>
      <c r="G3879" s="37"/>
      <c r="H3879" s="37"/>
      <c r="I3879" s="35"/>
      <c r="J3879" s="37"/>
    </row>
    <row r="3880" spans="1:10" ht="15.95" customHeight="1" x14ac:dyDescent="0.2">
      <c r="A3880" s="39"/>
      <c r="B3880" s="36"/>
      <c r="C3880" s="37"/>
      <c r="D3880" s="37"/>
      <c r="E3880" s="37"/>
      <c r="F3880" s="37"/>
      <c r="G3880" s="37"/>
      <c r="H3880" s="37"/>
      <c r="I3880" s="35"/>
      <c r="J3880" s="37"/>
    </row>
    <row r="3881" spans="1:10" ht="15.95" customHeight="1" x14ac:dyDescent="0.2">
      <c r="A3881" s="39"/>
      <c r="B3881" s="36"/>
      <c r="C3881" s="37"/>
      <c r="D3881" s="37"/>
      <c r="E3881" s="37"/>
      <c r="F3881" s="37"/>
      <c r="G3881" s="37"/>
      <c r="H3881" s="37"/>
      <c r="I3881" s="35"/>
      <c r="J3881" s="37"/>
    </row>
    <row r="3882" spans="1:10" ht="15.95" customHeight="1" x14ac:dyDescent="0.2">
      <c r="A3882" s="39"/>
      <c r="B3882" s="36"/>
      <c r="C3882" s="37"/>
      <c r="D3882" s="37"/>
      <c r="E3882" s="37"/>
      <c r="F3882" s="37"/>
      <c r="G3882" s="37"/>
      <c r="H3882" s="37"/>
      <c r="I3882" s="35"/>
      <c r="J3882" s="37"/>
    </row>
    <row r="3883" spans="1:10" ht="15.95" customHeight="1" x14ac:dyDescent="0.2">
      <c r="A3883" s="39"/>
      <c r="B3883" s="36"/>
      <c r="C3883" s="37"/>
      <c r="D3883" s="37"/>
      <c r="E3883" s="37"/>
      <c r="F3883" s="37"/>
      <c r="G3883" s="37"/>
      <c r="H3883" s="37"/>
      <c r="I3883" s="35"/>
      <c r="J3883" s="37"/>
    </row>
    <row r="3884" spans="1:10" ht="15.95" customHeight="1" x14ac:dyDescent="0.2">
      <c r="A3884" s="39"/>
      <c r="B3884" s="36"/>
      <c r="C3884" s="37"/>
      <c r="D3884" s="37"/>
      <c r="E3884" s="37"/>
      <c r="F3884" s="37"/>
      <c r="G3884" s="37"/>
      <c r="H3884" s="37"/>
      <c r="I3884" s="35"/>
      <c r="J3884" s="37"/>
    </row>
    <row r="3885" spans="1:10" ht="15.95" customHeight="1" x14ac:dyDescent="0.2">
      <c r="A3885" s="39"/>
      <c r="B3885" s="36"/>
      <c r="C3885" s="37"/>
      <c r="D3885" s="37"/>
      <c r="E3885" s="37"/>
      <c r="F3885" s="37"/>
      <c r="G3885" s="37"/>
      <c r="H3885" s="37"/>
      <c r="I3885" s="35"/>
      <c r="J3885" s="37"/>
    </row>
    <row r="3886" spans="1:10" ht="15.95" customHeight="1" x14ac:dyDescent="0.2">
      <c r="A3886" s="39"/>
      <c r="B3886" s="36"/>
      <c r="C3886" s="37"/>
      <c r="D3886" s="37"/>
      <c r="E3886" s="37"/>
      <c r="F3886" s="37"/>
      <c r="G3886" s="37"/>
      <c r="H3886" s="37"/>
      <c r="I3886" s="35"/>
      <c r="J3886" s="37"/>
    </row>
    <row r="3887" spans="1:10" ht="15.95" customHeight="1" x14ac:dyDescent="0.2">
      <c r="A3887" s="39"/>
      <c r="B3887" s="36"/>
      <c r="C3887" s="37"/>
      <c r="D3887" s="37"/>
      <c r="E3887" s="37"/>
      <c r="F3887" s="37"/>
      <c r="G3887" s="37"/>
      <c r="H3887" s="37"/>
      <c r="I3887" s="35"/>
      <c r="J3887" s="37"/>
    </row>
    <row r="3888" spans="1:10" ht="15.95" customHeight="1" x14ac:dyDescent="0.2">
      <c r="A3888" s="39"/>
      <c r="B3888" s="36"/>
      <c r="C3888" s="37"/>
      <c r="D3888" s="37"/>
      <c r="E3888" s="37"/>
      <c r="F3888" s="37"/>
      <c r="G3888" s="37"/>
      <c r="H3888" s="37"/>
      <c r="I3888" s="35"/>
      <c r="J3888" s="37"/>
    </row>
    <row r="3889" spans="1:10" ht="15.95" customHeight="1" x14ac:dyDescent="0.2">
      <c r="A3889" s="39"/>
      <c r="B3889" s="36"/>
      <c r="C3889" s="37"/>
      <c r="D3889" s="37"/>
      <c r="E3889" s="37"/>
      <c r="F3889" s="37"/>
      <c r="G3889" s="37"/>
      <c r="H3889" s="37"/>
      <c r="I3889" s="35"/>
      <c r="J3889" s="37"/>
    </row>
    <row r="3890" spans="1:10" ht="15.95" customHeight="1" x14ac:dyDescent="0.2">
      <c r="A3890" s="39"/>
      <c r="B3890" s="36"/>
      <c r="C3890" s="37"/>
      <c r="D3890" s="37"/>
      <c r="E3890" s="37"/>
      <c r="F3890" s="37"/>
      <c r="G3890" s="37"/>
      <c r="H3890" s="37"/>
      <c r="I3890" s="35"/>
      <c r="J3890" s="37"/>
    </row>
    <row r="3891" spans="1:10" ht="15.95" customHeight="1" x14ac:dyDescent="0.2">
      <c r="A3891" s="39"/>
      <c r="B3891" s="36"/>
      <c r="C3891" s="37"/>
      <c r="D3891" s="37"/>
      <c r="E3891" s="37"/>
      <c r="F3891" s="37"/>
      <c r="G3891" s="37"/>
      <c r="H3891" s="37"/>
      <c r="I3891" s="35"/>
      <c r="J3891" s="37"/>
    </row>
    <row r="3892" spans="1:10" ht="15.95" customHeight="1" x14ac:dyDescent="0.2">
      <c r="A3892" s="39"/>
      <c r="B3892" s="36"/>
      <c r="C3892" s="37"/>
      <c r="D3892" s="37"/>
      <c r="E3892" s="37"/>
      <c r="F3892" s="37"/>
      <c r="G3892" s="37"/>
      <c r="H3892" s="37"/>
      <c r="I3892" s="35"/>
      <c r="J3892" s="37"/>
    </row>
    <row r="3893" spans="1:10" ht="15.95" customHeight="1" x14ac:dyDescent="0.2">
      <c r="A3893" s="39"/>
      <c r="B3893" s="36"/>
      <c r="C3893" s="37"/>
      <c r="D3893" s="37"/>
      <c r="E3893" s="37"/>
      <c r="F3893" s="37"/>
      <c r="G3893" s="37"/>
      <c r="H3893" s="37"/>
      <c r="I3893" s="35"/>
      <c r="J3893" s="37"/>
    </row>
    <row r="3894" spans="1:10" ht="15.95" customHeight="1" x14ac:dyDescent="0.2">
      <c r="A3894" s="39"/>
      <c r="B3894" s="36"/>
      <c r="C3894" s="37"/>
      <c r="D3894" s="37"/>
      <c r="E3894" s="37"/>
      <c r="F3894" s="37"/>
      <c r="G3894" s="37"/>
      <c r="H3894" s="37"/>
      <c r="I3894" s="35"/>
      <c r="J3894" s="37"/>
    </row>
    <row r="3895" spans="1:10" ht="15.95" customHeight="1" x14ac:dyDescent="0.2">
      <c r="A3895" s="39"/>
      <c r="B3895" s="36"/>
      <c r="C3895" s="37"/>
      <c r="D3895" s="37"/>
      <c r="E3895" s="37"/>
      <c r="F3895" s="37"/>
      <c r="G3895" s="37"/>
      <c r="H3895" s="37"/>
      <c r="I3895" s="35"/>
      <c r="J3895" s="37"/>
    </row>
    <row r="3896" spans="1:10" ht="15.95" customHeight="1" x14ac:dyDescent="0.2">
      <c r="A3896" s="39"/>
      <c r="B3896" s="36"/>
      <c r="C3896" s="37"/>
      <c r="D3896" s="37"/>
      <c r="E3896" s="37"/>
      <c r="F3896" s="37"/>
      <c r="G3896" s="37"/>
      <c r="H3896" s="37"/>
      <c r="I3896" s="35"/>
      <c r="J3896" s="37"/>
    </row>
    <row r="3897" spans="1:10" ht="15.95" customHeight="1" x14ac:dyDescent="0.2">
      <c r="A3897" s="39"/>
      <c r="B3897" s="36"/>
      <c r="C3897" s="37"/>
      <c r="D3897" s="37"/>
      <c r="E3897" s="37"/>
      <c r="F3897" s="37"/>
      <c r="G3897" s="37"/>
      <c r="H3897" s="37"/>
      <c r="I3897" s="35"/>
      <c r="J3897" s="37"/>
    </row>
    <row r="3898" spans="1:10" ht="15.95" customHeight="1" x14ac:dyDescent="0.2">
      <c r="A3898" s="39"/>
      <c r="B3898" s="36"/>
      <c r="C3898" s="37"/>
      <c r="D3898" s="37"/>
      <c r="E3898" s="37"/>
      <c r="F3898" s="37"/>
      <c r="G3898" s="37"/>
      <c r="H3898" s="37"/>
      <c r="I3898" s="35"/>
      <c r="J3898" s="37"/>
    </row>
    <row r="3899" spans="1:10" ht="15.95" customHeight="1" x14ac:dyDescent="0.2">
      <c r="A3899" s="39"/>
      <c r="B3899" s="36"/>
      <c r="C3899" s="37"/>
      <c r="D3899" s="37"/>
      <c r="E3899" s="37"/>
      <c r="F3899" s="37"/>
      <c r="G3899" s="37"/>
      <c r="H3899" s="37"/>
      <c r="I3899" s="35"/>
      <c r="J3899" s="37"/>
    </row>
    <row r="3900" spans="1:10" ht="15.95" customHeight="1" x14ac:dyDescent="0.2">
      <c r="A3900" s="39"/>
      <c r="B3900" s="36"/>
      <c r="C3900" s="37"/>
      <c r="D3900" s="37"/>
      <c r="E3900" s="37"/>
      <c r="F3900" s="37"/>
      <c r="G3900" s="37"/>
      <c r="H3900" s="37"/>
      <c r="I3900" s="35"/>
      <c r="J3900" s="37"/>
    </row>
    <row r="3901" spans="1:10" ht="15.95" customHeight="1" x14ac:dyDescent="0.2">
      <c r="A3901" s="39"/>
      <c r="B3901" s="36"/>
      <c r="C3901" s="37"/>
      <c r="D3901" s="37"/>
      <c r="E3901" s="37"/>
      <c r="F3901" s="37"/>
      <c r="G3901" s="37"/>
      <c r="H3901" s="37"/>
      <c r="I3901" s="35"/>
      <c r="J3901" s="37"/>
    </row>
    <row r="3902" spans="1:10" ht="15.95" customHeight="1" x14ac:dyDescent="0.2">
      <c r="A3902" s="39"/>
      <c r="B3902" s="36"/>
      <c r="C3902" s="37"/>
      <c r="D3902" s="37"/>
      <c r="E3902" s="37"/>
      <c r="F3902" s="37"/>
      <c r="G3902" s="37"/>
      <c r="H3902" s="37"/>
      <c r="I3902" s="35"/>
      <c r="J3902" s="37"/>
    </row>
    <row r="3903" spans="1:10" ht="15.95" customHeight="1" x14ac:dyDescent="0.2">
      <c r="A3903" s="39"/>
      <c r="B3903" s="36"/>
      <c r="C3903" s="37"/>
      <c r="D3903" s="37"/>
      <c r="E3903" s="37"/>
      <c r="F3903" s="37"/>
      <c r="G3903" s="37"/>
      <c r="H3903" s="37"/>
      <c r="I3903" s="35"/>
      <c r="J3903" s="37"/>
    </row>
    <row r="3904" spans="1:10" ht="15.95" customHeight="1" x14ac:dyDescent="0.2">
      <c r="A3904" s="39"/>
      <c r="B3904" s="36"/>
      <c r="C3904" s="37"/>
      <c r="D3904" s="37"/>
      <c r="E3904" s="37"/>
      <c r="F3904" s="37"/>
      <c r="G3904" s="37"/>
      <c r="H3904" s="37"/>
      <c r="I3904" s="35"/>
      <c r="J3904" s="37"/>
    </row>
    <row r="3905" spans="1:10" ht="15.95" customHeight="1" x14ac:dyDescent="0.2">
      <c r="A3905" s="39"/>
      <c r="B3905" s="36"/>
      <c r="C3905" s="37"/>
      <c r="D3905" s="37"/>
      <c r="E3905" s="37"/>
      <c r="F3905" s="37"/>
      <c r="G3905" s="37"/>
      <c r="H3905" s="37"/>
      <c r="I3905" s="35"/>
      <c r="J3905" s="37"/>
    </row>
    <row r="3906" spans="1:10" ht="15.95" customHeight="1" x14ac:dyDescent="0.2">
      <c r="A3906" s="39"/>
      <c r="B3906" s="36"/>
      <c r="C3906" s="37"/>
      <c r="D3906" s="37"/>
      <c r="E3906" s="37"/>
      <c r="F3906" s="37"/>
      <c r="G3906" s="37"/>
      <c r="H3906" s="37"/>
      <c r="I3906" s="35"/>
      <c r="J3906" s="37"/>
    </row>
    <row r="3907" spans="1:10" ht="15.95" customHeight="1" x14ac:dyDescent="0.2">
      <c r="A3907" s="39"/>
      <c r="B3907" s="36"/>
      <c r="C3907" s="37"/>
      <c r="D3907" s="37"/>
      <c r="E3907" s="37"/>
      <c r="F3907" s="37"/>
      <c r="G3907" s="37"/>
      <c r="H3907" s="37"/>
      <c r="I3907" s="35"/>
      <c r="J3907" s="37"/>
    </row>
    <row r="3908" spans="1:10" ht="15.95" customHeight="1" x14ac:dyDescent="0.2">
      <c r="A3908" s="39"/>
      <c r="B3908" s="36"/>
      <c r="C3908" s="37"/>
      <c r="D3908" s="37"/>
      <c r="E3908" s="37"/>
      <c r="F3908" s="37"/>
      <c r="G3908" s="37"/>
      <c r="H3908" s="37"/>
      <c r="I3908" s="35"/>
      <c r="J3908" s="37"/>
    </row>
    <row r="3909" spans="1:10" ht="15.95" customHeight="1" x14ac:dyDescent="0.2">
      <c r="A3909" s="39"/>
      <c r="B3909" s="36"/>
      <c r="C3909" s="37"/>
      <c r="D3909" s="37"/>
      <c r="E3909" s="37"/>
      <c r="F3909" s="37"/>
      <c r="G3909" s="37"/>
      <c r="H3909" s="37"/>
      <c r="I3909" s="35"/>
      <c r="J3909" s="37"/>
    </row>
    <row r="3910" spans="1:10" ht="15.95" customHeight="1" x14ac:dyDescent="0.2">
      <c r="A3910" s="39"/>
      <c r="B3910" s="36"/>
      <c r="C3910" s="37"/>
      <c r="D3910" s="37"/>
      <c r="E3910" s="37"/>
      <c r="F3910" s="37"/>
      <c r="G3910" s="37"/>
      <c r="H3910" s="37"/>
      <c r="I3910" s="35"/>
      <c r="J3910" s="37"/>
    </row>
    <row r="3911" spans="1:10" ht="15.95" customHeight="1" x14ac:dyDescent="0.2">
      <c r="A3911" s="39"/>
      <c r="B3911" s="36"/>
      <c r="C3911" s="37"/>
      <c r="D3911" s="37"/>
      <c r="E3911" s="37"/>
      <c r="F3911" s="37"/>
      <c r="G3911" s="37"/>
      <c r="H3911" s="37"/>
      <c r="I3911" s="35"/>
      <c r="J3911" s="37"/>
    </row>
    <row r="3912" spans="1:10" ht="15.95" customHeight="1" x14ac:dyDescent="0.2">
      <c r="A3912" s="39"/>
      <c r="B3912" s="36"/>
      <c r="C3912" s="37"/>
      <c r="D3912" s="37"/>
      <c r="E3912" s="37"/>
      <c r="F3912" s="37"/>
      <c r="G3912" s="37"/>
      <c r="H3912" s="37"/>
      <c r="I3912" s="35"/>
      <c r="J3912" s="37"/>
    </row>
    <row r="3913" spans="1:10" ht="15.95" customHeight="1" x14ac:dyDescent="0.2">
      <c r="A3913" s="39"/>
      <c r="B3913" s="36"/>
      <c r="C3913" s="37"/>
      <c r="D3913" s="37"/>
      <c r="E3913" s="37"/>
      <c r="F3913" s="37"/>
      <c r="G3913" s="37"/>
      <c r="H3913" s="37"/>
      <c r="I3913" s="35"/>
      <c r="J3913" s="37"/>
    </row>
    <row r="3914" spans="1:10" ht="15.95" customHeight="1" x14ac:dyDescent="0.2">
      <c r="A3914" s="39"/>
      <c r="B3914" s="36"/>
      <c r="C3914" s="37"/>
      <c r="D3914" s="37"/>
      <c r="E3914" s="37"/>
      <c r="F3914" s="37"/>
      <c r="G3914" s="37"/>
      <c r="H3914" s="37"/>
      <c r="I3914" s="35"/>
      <c r="J3914" s="37"/>
    </row>
    <row r="3915" spans="1:10" ht="15.95" customHeight="1" x14ac:dyDescent="0.2">
      <c r="A3915" s="39"/>
      <c r="B3915" s="36"/>
      <c r="C3915" s="37"/>
      <c r="D3915" s="37"/>
      <c r="E3915" s="37"/>
      <c r="F3915" s="37"/>
      <c r="G3915" s="37"/>
      <c r="H3915" s="37"/>
      <c r="I3915" s="35"/>
      <c r="J3915" s="37"/>
    </row>
    <row r="3916" spans="1:10" ht="15.95" customHeight="1" x14ac:dyDescent="0.2">
      <c r="A3916" s="39"/>
      <c r="B3916" s="36"/>
      <c r="C3916" s="37"/>
      <c r="D3916" s="37"/>
      <c r="E3916" s="37"/>
      <c r="F3916" s="37"/>
      <c r="G3916" s="37"/>
      <c r="H3916" s="37"/>
      <c r="I3916" s="35"/>
      <c r="J3916" s="37"/>
    </row>
    <row r="3917" spans="1:10" ht="15.95" customHeight="1" x14ac:dyDescent="0.2">
      <c r="A3917" s="39"/>
      <c r="B3917" s="36"/>
      <c r="C3917" s="37"/>
      <c r="D3917" s="37"/>
      <c r="E3917" s="37"/>
      <c r="F3917" s="37"/>
      <c r="G3917" s="37"/>
      <c r="H3917" s="37"/>
      <c r="I3917" s="35"/>
      <c r="J3917" s="37"/>
    </row>
    <row r="3918" spans="1:10" ht="15.95" customHeight="1" x14ac:dyDescent="0.2">
      <c r="A3918" s="39"/>
      <c r="B3918" s="36"/>
      <c r="C3918" s="37"/>
      <c r="D3918" s="37"/>
      <c r="E3918" s="37"/>
      <c r="F3918" s="37"/>
      <c r="G3918" s="37"/>
      <c r="H3918" s="37"/>
      <c r="I3918" s="35"/>
      <c r="J3918" s="37"/>
    </row>
    <row r="3919" spans="1:10" ht="15.95" customHeight="1" x14ac:dyDescent="0.2">
      <c r="A3919" s="39"/>
      <c r="B3919" s="36"/>
      <c r="C3919" s="37"/>
      <c r="D3919" s="37"/>
      <c r="E3919" s="37"/>
      <c r="F3919" s="37"/>
      <c r="G3919" s="37"/>
      <c r="H3919" s="37"/>
      <c r="I3919" s="35"/>
      <c r="J3919" s="37"/>
    </row>
    <row r="3920" spans="1:10" ht="15.95" customHeight="1" x14ac:dyDescent="0.2">
      <c r="A3920" s="39"/>
      <c r="B3920" s="36"/>
      <c r="C3920" s="37"/>
      <c r="D3920" s="37"/>
      <c r="E3920" s="37"/>
      <c r="F3920" s="37"/>
      <c r="G3920" s="37"/>
      <c r="H3920" s="37"/>
      <c r="I3920" s="35"/>
      <c r="J3920" s="37"/>
    </row>
    <row r="3921" spans="1:10" ht="15.95" customHeight="1" x14ac:dyDescent="0.2">
      <c r="A3921" s="39"/>
      <c r="B3921" s="36"/>
      <c r="C3921" s="37"/>
      <c r="D3921" s="37"/>
      <c r="E3921" s="37"/>
      <c r="F3921" s="37"/>
      <c r="G3921" s="37"/>
      <c r="H3921" s="37"/>
      <c r="I3921" s="35"/>
      <c r="J3921" s="37"/>
    </row>
    <row r="3922" spans="1:10" ht="15.95" customHeight="1" x14ac:dyDescent="0.2">
      <c r="A3922" s="39"/>
      <c r="B3922" s="36"/>
      <c r="C3922" s="37"/>
      <c r="D3922" s="37"/>
      <c r="E3922" s="37"/>
      <c r="F3922" s="37"/>
      <c r="G3922" s="37"/>
      <c r="H3922" s="37"/>
      <c r="I3922" s="35"/>
      <c r="J3922" s="37"/>
    </row>
    <row r="3923" spans="1:10" ht="15.95" customHeight="1" x14ac:dyDescent="0.2">
      <c r="A3923" s="39"/>
      <c r="B3923" s="36"/>
      <c r="C3923" s="37"/>
      <c r="D3923" s="37"/>
      <c r="E3923" s="37"/>
      <c r="F3923" s="37"/>
      <c r="G3923" s="37"/>
      <c r="H3923" s="37"/>
      <c r="I3923" s="35"/>
      <c r="J3923" s="37"/>
    </row>
    <row r="3924" spans="1:10" ht="15.95" customHeight="1" x14ac:dyDescent="0.2">
      <c r="A3924" s="39"/>
      <c r="B3924" s="36"/>
      <c r="C3924" s="37"/>
      <c r="D3924" s="37"/>
      <c r="E3924" s="37"/>
      <c r="F3924" s="37"/>
      <c r="G3924" s="37"/>
      <c r="H3924" s="37"/>
      <c r="I3924" s="35"/>
      <c r="J3924" s="37"/>
    </row>
    <row r="3925" spans="1:10" ht="15.95" customHeight="1" x14ac:dyDescent="0.2">
      <c r="A3925" s="39"/>
      <c r="B3925" s="36"/>
      <c r="C3925" s="37"/>
      <c r="D3925" s="37"/>
      <c r="E3925" s="37"/>
      <c r="F3925" s="37"/>
      <c r="G3925" s="37"/>
      <c r="H3925" s="37"/>
      <c r="I3925" s="35"/>
      <c r="J3925" s="37"/>
    </row>
    <row r="3926" spans="1:10" ht="15.95" customHeight="1" x14ac:dyDescent="0.2">
      <c r="A3926" s="39"/>
      <c r="B3926" s="36"/>
      <c r="C3926" s="37"/>
      <c r="D3926" s="37"/>
      <c r="E3926" s="37"/>
      <c r="F3926" s="37"/>
      <c r="G3926" s="37"/>
      <c r="H3926" s="37"/>
      <c r="I3926" s="35"/>
      <c r="J3926" s="37"/>
    </row>
    <row r="3927" spans="1:10" ht="15.95" customHeight="1" x14ac:dyDescent="0.2">
      <c r="A3927" s="39"/>
      <c r="B3927" s="36"/>
      <c r="C3927" s="37"/>
      <c r="D3927" s="37"/>
      <c r="E3927" s="37"/>
      <c r="F3927" s="37"/>
      <c r="G3927" s="37"/>
      <c r="H3927" s="37"/>
      <c r="I3927" s="35"/>
      <c r="J3927" s="37"/>
    </row>
    <row r="3928" spans="1:10" ht="15.95" customHeight="1" x14ac:dyDescent="0.2">
      <c r="A3928" s="39"/>
      <c r="B3928" s="36"/>
      <c r="C3928" s="37"/>
      <c r="D3928" s="37"/>
      <c r="E3928" s="37"/>
      <c r="F3928" s="37"/>
      <c r="G3928" s="37"/>
      <c r="H3928" s="37"/>
      <c r="I3928" s="35"/>
      <c r="J3928" s="37"/>
    </row>
    <row r="3929" spans="1:10" ht="15.95" customHeight="1" x14ac:dyDescent="0.2">
      <c r="A3929" s="39"/>
      <c r="B3929" s="36"/>
      <c r="C3929" s="37"/>
      <c r="D3929" s="37"/>
      <c r="E3929" s="37"/>
      <c r="F3929" s="37"/>
      <c r="G3929" s="37"/>
      <c r="H3929" s="37"/>
      <c r="I3929" s="35"/>
      <c r="J3929" s="37"/>
    </row>
    <row r="3930" spans="1:10" ht="15.95" customHeight="1" x14ac:dyDescent="0.2">
      <c r="A3930" s="39"/>
      <c r="B3930" s="36"/>
      <c r="C3930" s="37"/>
      <c r="D3930" s="37"/>
      <c r="E3930" s="37"/>
      <c r="F3930" s="37"/>
      <c r="G3930" s="37"/>
      <c r="H3930" s="37"/>
      <c r="I3930" s="35"/>
      <c r="J3930" s="37"/>
    </row>
    <row r="3931" spans="1:10" ht="15.95" customHeight="1" x14ac:dyDescent="0.2">
      <c r="A3931" s="39"/>
      <c r="B3931" s="36"/>
      <c r="C3931" s="37"/>
      <c r="D3931" s="37"/>
      <c r="E3931" s="37"/>
      <c r="F3931" s="37"/>
      <c r="G3931" s="37"/>
      <c r="H3931" s="37"/>
      <c r="I3931" s="35"/>
      <c r="J3931" s="37"/>
    </row>
    <row r="3932" spans="1:10" ht="15.95" customHeight="1" x14ac:dyDescent="0.2">
      <c r="A3932" s="39"/>
      <c r="B3932" s="36"/>
      <c r="C3932" s="37"/>
      <c r="D3932" s="37"/>
      <c r="E3932" s="37"/>
      <c r="F3932" s="37"/>
      <c r="G3932" s="37"/>
      <c r="H3932" s="37"/>
      <c r="I3932" s="35"/>
      <c r="J3932" s="37"/>
    </row>
    <row r="3933" spans="1:10" ht="15.95" customHeight="1" x14ac:dyDescent="0.2">
      <c r="A3933" s="39"/>
      <c r="B3933" s="36"/>
      <c r="C3933" s="37"/>
      <c r="D3933" s="37"/>
      <c r="E3933" s="37"/>
      <c r="F3933" s="37"/>
      <c r="G3933" s="37"/>
      <c r="H3933" s="37"/>
      <c r="I3933" s="35"/>
      <c r="J3933" s="37"/>
    </row>
    <row r="3934" spans="1:10" ht="15.95" customHeight="1" x14ac:dyDescent="0.2">
      <c r="A3934" s="39"/>
      <c r="B3934" s="36"/>
      <c r="C3934" s="37"/>
      <c r="D3934" s="37"/>
      <c r="E3934" s="37"/>
      <c r="F3934" s="37"/>
      <c r="G3934" s="37"/>
      <c r="H3934" s="37"/>
      <c r="I3934" s="35"/>
      <c r="J3934" s="37"/>
    </row>
    <row r="3935" spans="1:10" ht="15.95" customHeight="1" x14ac:dyDescent="0.2">
      <c r="A3935" s="39"/>
      <c r="B3935" s="36"/>
      <c r="C3935" s="37"/>
      <c r="D3935" s="37"/>
      <c r="E3935" s="37"/>
      <c r="F3935" s="37"/>
      <c r="G3935" s="37"/>
      <c r="H3935" s="37"/>
      <c r="I3935" s="35"/>
      <c r="J3935" s="37"/>
    </row>
    <row r="3936" spans="1:10" ht="15.95" customHeight="1" x14ac:dyDescent="0.2">
      <c r="A3936" s="39"/>
      <c r="B3936" s="36"/>
      <c r="C3936" s="37"/>
      <c r="D3936" s="37"/>
      <c r="E3936" s="37"/>
      <c r="F3936" s="37"/>
      <c r="G3936" s="37"/>
      <c r="H3936" s="37"/>
      <c r="I3936" s="35"/>
      <c r="J3936" s="37"/>
    </row>
    <row r="3937" spans="1:10" ht="15.95" customHeight="1" x14ac:dyDescent="0.2">
      <c r="A3937" s="39"/>
      <c r="B3937" s="36"/>
      <c r="C3937" s="37"/>
      <c r="D3937" s="37"/>
      <c r="E3937" s="37"/>
      <c r="F3937" s="37"/>
      <c r="G3937" s="37"/>
      <c r="H3937" s="37"/>
      <c r="I3937" s="35"/>
      <c r="J3937" s="37"/>
    </row>
    <row r="3938" spans="1:10" ht="15.95" customHeight="1" x14ac:dyDescent="0.2">
      <c r="A3938" s="39"/>
      <c r="B3938" s="36"/>
      <c r="C3938" s="37"/>
      <c r="D3938" s="37"/>
      <c r="E3938" s="37"/>
      <c r="F3938" s="37"/>
      <c r="G3938" s="37"/>
      <c r="H3938" s="37"/>
      <c r="I3938" s="35"/>
      <c r="J3938" s="37"/>
    </row>
    <row r="3939" spans="1:10" ht="15.95" customHeight="1" x14ac:dyDescent="0.2">
      <c r="A3939" s="39"/>
      <c r="B3939" s="36"/>
      <c r="C3939" s="37"/>
      <c r="D3939" s="37"/>
      <c r="E3939" s="37"/>
      <c r="F3939" s="37"/>
      <c r="G3939" s="37"/>
      <c r="H3939" s="37"/>
      <c r="I3939" s="35"/>
      <c r="J3939" s="37"/>
    </row>
    <row r="3940" spans="1:10" ht="15.95" customHeight="1" x14ac:dyDescent="0.2">
      <c r="A3940" s="39"/>
      <c r="B3940" s="36"/>
      <c r="C3940" s="37"/>
      <c r="D3940" s="37"/>
      <c r="E3940" s="37"/>
      <c r="F3940" s="37"/>
      <c r="G3940" s="37"/>
      <c r="H3940" s="37"/>
      <c r="I3940" s="35"/>
      <c r="J3940" s="37"/>
    </row>
    <row r="3941" spans="1:10" ht="15.95" customHeight="1" x14ac:dyDescent="0.2">
      <c r="A3941" s="39"/>
      <c r="B3941" s="36"/>
      <c r="C3941" s="37"/>
      <c r="D3941" s="37"/>
      <c r="E3941" s="37"/>
      <c r="F3941" s="37"/>
      <c r="G3941" s="37"/>
      <c r="H3941" s="37"/>
      <c r="I3941" s="35"/>
      <c r="J3941" s="37"/>
    </row>
    <row r="3942" spans="1:10" ht="15.95" customHeight="1" x14ac:dyDescent="0.2">
      <c r="A3942" s="39"/>
      <c r="B3942" s="36"/>
      <c r="C3942" s="37"/>
      <c r="D3942" s="37"/>
      <c r="E3942" s="37"/>
      <c r="F3942" s="37"/>
      <c r="G3942" s="37"/>
      <c r="H3942" s="37"/>
      <c r="I3942" s="35"/>
      <c r="J3942" s="37"/>
    </row>
    <row r="3943" spans="1:10" ht="15.95" customHeight="1" x14ac:dyDescent="0.2">
      <c r="A3943" s="39"/>
      <c r="B3943" s="36"/>
      <c r="C3943" s="37"/>
      <c r="D3943" s="37"/>
      <c r="E3943" s="37"/>
      <c r="F3943" s="37"/>
      <c r="G3943" s="37"/>
      <c r="H3943" s="37"/>
      <c r="I3943" s="35"/>
      <c r="J3943" s="37"/>
    </row>
    <row r="3944" spans="1:10" ht="15.95" customHeight="1" x14ac:dyDescent="0.2">
      <c r="A3944" s="39"/>
      <c r="B3944" s="36"/>
      <c r="C3944" s="37"/>
      <c r="D3944" s="37"/>
      <c r="E3944" s="37"/>
      <c r="F3944" s="37"/>
      <c r="G3944" s="37"/>
      <c r="H3944" s="37"/>
      <c r="I3944" s="35"/>
      <c r="J3944" s="37"/>
    </row>
    <row r="3945" spans="1:10" ht="15.95" customHeight="1" x14ac:dyDescent="0.2">
      <c r="A3945" s="39"/>
      <c r="B3945" s="36"/>
      <c r="C3945" s="37"/>
      <c r="D3945" s="37"/>
      <c r="E3945" s="37"/>
      <c r="F3945" s="37"/>
      <c r="G3945" s="37"/>
      <c r="H3945" s="37"/>
      <c r="I3945" s="35"/>
      <c r="J3945" s="37"/>
    </row>
    <row r="3946" spans="1:10" ht="15.95" customHeight="1" x14ac:dyDescent="0.2">
      <c r="A3946" s="39"/>
      <c r="B3946" s="36"/>
      <c r="C3946" s="37"/>
      <c r="D3946" s="37"/>
      <c r="E3946" s="37"/>
      <c r="F3946" s="37"/>
      <c r="G3946" s="37"/>
      <c r="H3946" s="37"/>
      <c r="I3946" s="35"/>
      <c r="J3946" s="37"/>
    </row>
    <row r="3947" spans="1:10" ht="15.95" customHeight="1" x14ac:dyDescent="0.2">
      <c r="A3947" s="39"/>
      <c r="B3947" s="36"/>
      <c r="C3947" s="37"/>
      <c r="D3947" s="37"/>
      <c r="E3947" s="37"/>
      <c r="F3947" s="37"/>
      <c r="G3947" s="37"/>
      <c r="H3947" s="37"/>
      <c r="I3947" s="35"/>
      <c r="J3947" s="37"/>
    </row>
    <row r="3948" spans="1:10" ht="15.95" customHeight="1" x14ac:dyDescent="0.2">
      <c r="A3948" s="39"/>
      <c r="B3948" s="36"/>
      <c r="C3948" s="37"/>
      <c r="D3948" s="37"/>
      <c r="E3948" s="37"/>
      <c r="F3948" s="37"/>
      <c r="G3948" s="37"/>
      <c r="H3948" s="37"/>
      <c r="I3948" s="35"/>
      <c r="J3948" s="37"/>
    </row>
    <row r="3949" spans="1:10" ht="15.95" customHeight="1" x14ac:dyDescent="0.2">
      <c r="A3949" s="39"/>
      <c r="B3949" s="36"/>
      <c r="C3949" s="37"/>
      <c r="D3949" s="37"/>
      <c r="E3949" s="37"/>
      <c r="F3949" s="37"/>
      <c r="G3949" s="37"/>
      <c r="H3949" s="37"/>
      <c r="I3949" s="35"/>
      <c r="J3949" s="37"/>
    </row>
    <row r="3950" spans="1:10" ht="15.95" customHeight="1" x14ac:dyDescent="0.2">
      <c r="A3950" s="39"/>
      <c r="B3950" s="36"/>
      <c r="C3950" s="37"/>
      <c r="D3950" s="37"/>
      <c r="E3950" s="37"/>
      <c r="F3950" s="37"/>
      <c r="G3950" s="37"/>
      <c r="H3950" s="37"/>
      <c r="I3950" s="35"/>
      <c r="J3950" s="37"/>
    </row>
    <row r="3951" spans="1:10" ht="15.95" customHeight="1" x14ac:dyDescent="0.2">
      <c r="A3951" s="39"/>
      <c r="B3951" s="36"/>
      <c r="C3951" s="37"/>
      <c r="D3951" s="37"/>
      <c r="E3951" s="37"/>
      <c r="F3951" s="37"/>
      <c r="G3951" s="37"/>
      <c r="H3951" s="37"/>
      <c r="I3951" s="35"/>
      <c r="J3951" s="37"/>
    </row>
    <row r="3952" spans="1:10" ht="15.95" customHeight="1" x14ac:dyDescent="0.2">
      <c r="A3952" s="39"/>
      <c r="B3952" s="36"/>
      <c r="C3952" s="37"/>
      <c r="D3952" s="37"/>
      <c r="E3952" s="37"/>
      <c r="F3952" s="37"/>
      <c r="G3952" s="37"/>
      <c r="H3952" s="37"/>
      <c r="I3952" s="35"/>
      <c r="J3952" s="37"/>
    </row>
    <row r="3953" spans="1:10" ht="15.95" customHeight="1" x14ac:dyDescent="0.2">
      <c r="A3953" s="39"/>
      <c r="B3953" s="36"/>
      <c r="C3953" s="37"/>
      <c r="D3953" s="37"/>
      <c r="E3953" s="37"/>
      <c r="F3953" s="37"/>
      <c r="G3953" s="37"/>
      <c r="H3953" s="37"/>
      <c r="I3953" s="35"/>
      <c r="J3953" s="37"/>
    </row>
    <row r="3954" spans="1:10" ht="15.95" customHeight="1" x14ac:dyDescent="0.2">
      <c r="A3954" s="39"/>
      <c r="B3954" s="36"/>
      <c r="C3954" s="37"/>
      <c r="D3954" s="37"/>
      <c r="E3954" s="37"/>
      <c r="F3954" s="37"/>
      <c r="G3954" s="37"/>
      <c r="H3954" s="37"/>
      <c r="I3954" s="35"/>
      <c r="J3954" s="37"/>
    </row>
    <row r="3955" spans="1:10" ht="15.95" customHeight="1" x14ac:dyDescent="0.2">
      <c r="A3955" s="39"/>
      <c r="B3955" s="36"/>
      <c r="C3955" s="37"/>
      <c r="D3955" s="37"/>
      <c r="E3955" s="37"/>
      <c r="F3955" s="37"/>
      <c r="G3955" s="37"/>
      <c r="H3955" s="37"/>
      <c r="I3955" s="35"/>
      <c r="J3955" s="37"/>
    </row>
    <row r="3956" spans="1:10" ht="15.95" customHeight="1" x14ac:dyDescent="0.2">
      <c r="A3956" s="39"/>
      <c r="B3956" s="36"/>
      <c r="C3956" s="37"/>
      <c r="D3956" s="37"/>
      <c r="E3956" s="37"/>
      <c r="F3956" s="37"/>
      <c r="G3956" s="37"/>
      <c r="H3956" s="37"/>
      <c r="I3956" s="35"/>
      <c r="J3956" s="37"/>
    </row>
    <row r="3957" spans="1:10" ht="15.95" customHeight="1" x14ac:dyDescent="0.2">
      <c r="A3957" s="39"/>
      <c r="B3957" s="36"/>
      <c r="C3957" s="37"/>
      <c r="D3957" s="37"/>
      <c r="E3957" s="37"/>
      <c r="F3957" s="37"/>
      <c r="G3957" s="37"/>
      <c r="H3957" s="37"/>
      <c r="I3957" s="35"/>
      <c r="J3957" s="37"/>
    </row>
    <row r="3958" spans="1:10" ht="15.95" customHeight="1" x14ac:dyDescent="0.2">
      <c r="A3958" s="39"/>
      <c r="B3958" s="36"/>
      <c r="C3958" s="37"/>
      <c r="D3958" s="37"/>
      <c r="E3958" s="37"/>
      <c r="F3958" s="37"/>
      <c r="G3958" s="37"/>
      <c r="H3958" s="37"/>
      <c r="I3958" s="35"/>
      <c r="J3958" s="37"/>
    </row>
    <row r="3959" spans="1:10" ht="15.95" customHeight="1" x14ac:dyDescent="0.2">
      <c r="A3959" s="39"/>
      <c r="B3959" s="36"/>
      <c r="C3959" s="37"/>
      <c r="D3959" s="37"/>
      <c r="E3959" s="37"/>
      <c r="F3959" s="37"/>
      <c r="G3959" s="37"/>
      <c r="H3959" s="37"/>
      <c r="I3959" s="35"/>
      <c r="J3959" s="37"/>
    </row>
    <row r="3960" spans="1:10" ht="15.95" customHeight="1" x14ac:dyDescent="0.2">
      <c r="A3960" s="39"/>
      <c r="B3960" s="36"/>
      <c r="C3960" s="37"/>
      <c r="D3960" s="37"/>
      <c r="E3960" s="37"/>
      <c r="F3960" s="37"/>
      <c r="G3960" s="37"/>
      <c r="H3960" s="37"/>
      <c r="I3960" s="35"/>
      <c r="J3960" s="37"/>
    </row>
    <row r="3961" spans="1:10" ht="15.95" customHeight="1" x14ac:dyDescent="0.2">
      <c r="A3961" s="39"/>
      <c r="B3961" s="36"/>
      <c r="C3961" s="37"/>
      <c r="D3961" s="37"/>
      <c r="E3961" s="37"/>
      <c r="F3961" s="37"/>
      <c r="G3961" s="37"/>
      <c r="H3961" s="37"/>
      <c r="I3961" s="35"/>
      <c r="J3961" s="37"/>
    </row>
    <row r="3962" spans="1:10" ht="15.95" customHeight="1" x14ac:dyDescent="0.2">
      <c r="A3962" s="39"/>
      <c r="B3962" s="36"/>
      <c r="C3962" s="37"/>
      <c r="D3962" s="37"/>
      <c r="E3962" s="37"/>
      <c r="F3962" s="37"/>
      <c r="G3962" s="37"/>
      <c r="H3962" s="37"/>
      <c r="I3962" s="35"/>
      <c r="J3962" s="37"/>
    </row>
    <row r="3963" spans="1:10" ht="15.95" customHeight="1" x14ac:dyDescent="0.2">
      <c r="A3963" s="39"/>
      <c r="B3963" s="36"/>
      <c r="C3963" s="37"/>
      <c r="D3963" s="37"/>
      <c r="E3963" s="37"/>
      <c r="F3963" s="37"/>
      <c r="G3963" s="37"/>
      <c r="H3963" s="37"/>
      <c r="I3963" s="35"/>
      <c r="J3963" s="37"/>
    </row>
    <row r="3964" spans="1:10" ht="15.95" customHeight="1" x14ac:dyDescent="0.2">
      <c r="A3964" s="39"/>
      <c r="B3964" s="36"/>
      <c r="C3964" s="37"/>
      <c r="D3964" s="37"/>
      <c r="E3964" s="37"/>
      <c r="F3964" s="37"/>
      <c r="G3964" s="37"/>
      <c r="H3964" s="37"/>
      <c r="I3964" s="35"/>
      <c r="J3964" s="37"/>
    </row>
    <row r="3965" spans="1:10" ht="15.95" customHeight="1" x14ac:dyDescent="0.2">
      <c r="A3965" s="39"/>
      <c r="B3965" s="36"/>
      <c r="C3965" s="37"/>
      <c r="D3965" s="37"/>
      <c r="E3965" s="37"/>
      <c r="F3965" s="37"/>
      <c r="G3965" s="37"/>
      <c r="H3965" s="37"/>
      <c r="I3965" s="35"/>
      <c r="J3965" s="37"/>
    </row>
    <row r="3966" spans="1:10" ht="15.95" customHeight="1" x14ac:dyDescent="0.2">
      <c r="A3966" s="39"/>
      <c r="B3966" s="36"/>
      <c r="C3966" s="37"/>
      <c r="D3966" s="37"/>
      <c r="E3966" s="37"/>
      <c r="F3966" s="37"/>
      <c r="G3966" s="37"/>
      <c r="H3966" s="37"/>
      <c r="I3966" s="35"/>
      <c r="J3966" s="37"/>
    </row>
    <row r="3967" spans="1:10" ht="15.95" customHeight="1" x14ac:dyDescent="0.2">
      <c r="A3967" s="39"/>
      <c r="B3967" s="36"/>
      <c r="C3967" s="37"/>
      <c r="D3967" s="37"/>
      <c r="E3967" s="37"/>
      <c r="F3967" s="37"/>
      <c r="G3967" s="37"/>
      <c r="H3967" s="37"/>
      <c r="I3967" s="35"/>
      <c r="J3967" s="37"/>
    </row>
    <row r="3968" spans="1:10" ht="15.95" customHeight="1" x14ac:dyDescent="0.2">
      <c r="A3968" s="39"/>
      <c r="B3968" s="36"/>
      <c r="C3968" s="37"/>
      <c r="D3968" s="37"/>
      <c r="E3968" s="37"/>
      <c r="F3968" s="37"/>
      <c r="G3968" s="37"/>
      <c r="H3968" s="37"/>
      <c r="I3968" s="35"/>
      <c r="J3968" s="37"/>
    </row>
    <row r="3969" spans="1:10" ht="15.95" customHeight="1" x14ac:dyDescent="0.2">
      <c r="A3969" s="39"/>
      <c r="B3969" s="36"/>
      <c r="C3969" s="37"/>
      <c r="D3969" s="37"/>
      <c r="E3969" s="37"/>
      <c r="F3969" s="37"/>
      <c r="G3969" s="37"/>
      <c r="H3969" s="37"/>
      <c r="I3969" s="35"/>
      <c r="J3969" s="37"/>
    </row>
    <row r="3970" spans="1:10" ht="15.95" customHeight="1" x14ac:dyDescent="0.2">
      <c r="A3970" s="39"/>
      <c r="B3970" s="36"/>
      <c r="C3970" s="37"/>
      <c r="D3970" s="37"/>
      <c r="E3970" s="37"/>
      <c r="F3970" s="37"/>
      <c r="G3970" s="37"/>
      <c r="H3970" s="37"/>
      <c r="I3970" s="35"/>
      <c r="J3970" s="37"/>
    </row>
    <row r="3971" spans="1:10" ht="15.95" customHeight="1" x14ac:dyDescent="0.2">
      <c r="A3971" s="39"/>
      <c r="B3971" s="36"/>
      <c r="C3971" s="37"/>
      <c r="D3971" s="37"/>
      <c r="E3971" s="37"/>
      <c r="F3971" s="37"/>
      <c r="G3971" s="37"/>
      <c r="H3971" s="37"/>
      <c r="I3971" s="35"/>
      <c r="J3971" s="37"/>
    </row>
    <row r="3972" spans="1:10" ht="15.95" customHeight="1" x14ac:dyDescent="0.2">
      <c r="A3972" s="39"/>
      <c r="B3972" s="36"/>
      <c r="C3972" s="37"/>
      <c r="D3972" s="37"/>
      <c r="E3972" s="37"/>
      <c r="F3972" s="37"/>
      <c r="G3972" s="37"/>
      <c r="H3972" s="37"/>
      <c r="I3972" s="35"/>
      <c r="J3972" s="37"/>
    </row>
    <row r="3973" spans="1:10" ht="15.95" customHeight="1" x14ac:dyDescent="0.2">
      <c r="A3973" s="39"/>
      <c r="B3973" s="36"/>
      <c r="C3973" s="37"/>
      <c r="D3973" s="37"/>
      <c r="E3973" s="37"/>
      <c r="F3973" s="37"/>
      <c r="G3973" s="37"/>
      <c r="H3973" s="37"/>
      <c r="I3973" s="35"/>
      <c r="J3973" s="37"/>
    </row>
    <row r="3974" spans="1:10" ht="15.95" customHeight="1" x14ac:dyDescent="0.2">
      <c r="A3974" s="39"/>
      <c r="B3974" s="36"/>
      <c r="C3974" s="37"/>
      <c r="D3974" s="37"/>
      <c r="E3974" s="37"/>
      <c r="F3974" s="37"/>
      <c r="G3974" s="37"/>
      <c r="H3974" s="37"/>
      <c r="I3974" s="35"/>
      <c r="J3974" s="37"/>
    </row>
    <row r="3975" spans="1:10" ht="15.95" customHeight="1" x14ac:dyDescent="0.2">
      <c r="A3975" s="39"/>
      <c r="B3975" s="36"/>
      <c r="C3975" s="37"/>
      <c r="D3975" s="37"/>
      <c r="E3975" s="37"/>
      <c r="F3975" s="37"/>
      <c r="G3975" s="37"/>
      <c r="H3975" s="37"/>
      <c r="I3975" s="35"/>
      <c r="J3975" s="37"/>
    </row>
    <row r="3976" spans="1:10" ht="15.95" customHeight="1" x14ac:dyDescent="0.2">
      <c r="A3976" s="39"/>
      <c r="B3976" s="36"/>
      <c r="C3976" s="37"/>
      <c r="D3976" s="37"/>
      <c r="E3976" s="37"/>
      <c r="F3976" s="37"/>
      <c r="G3976" s="37"/>
      <c r="H3976" s="37"/>
      <c r="I3976" s="35"/>
      <c r="J3976" s="37"/>
    </row>
    <row r="3977" spans="1:10" ht="15.95" customHeight="1" x14ac:dyDescent="0.2">
      <c r="A3977" s="39"/>
      <c r="B3977" s="36"/>
      <c r="C3977" s="37"/>
      <c r="D3977" s="37"/>
      <c r="E3977" s="37"/>
      <c r="F3977" s="37"/>
      <c r="G3977" s="37"/>
      <c r="H3977" s="37"/>
      <c r="I3977" s="35"/>
      <c r="J3977" s="37"/>
    </row>
    <row r="3978" spans="1:10" ht="15.95" customHeight="1" x14ac:dyDescent="0.2">
      <c r="A3978" s="39"/>
      <c r="B3978" s="36"/>
      <c r="C3978" s="37"/>
      <c r="D3978" s="37"/>
      <c r="E3978" s="37"/>
      <c r="F3978" s="37"/>
      <c r="G3978" s="37"/>
      <c r="H3978" s="37"/>
      <c r="I3978" s="35"/>
      <c r="J3978" s="37"/>
    </row>
    <row r="3979" spans="1:10" ht="15.95" customHeight="1" x14ac:dyDescent="0.2">
      <c r="A3979" s="39"/>
      <c r="B3979" s="36"/>
      <c r="C3979" s="37"/>
      <c r="D3979" s="37"/>
      <c r="E3979" s="37"/>
      <c r="F3979" s="37"/>
      <c r="G3979" s="37"/>
      <c r="H3979" s="37"/>
      <c r="I3979" s="35"/>
      <c r="J3979" s="37"/>
    </row>
    <row r="3980" spans="1:10" ht="15.95" customHeight="1" x14ac:dyDescent="0.2">
      <c r="A3980" s="39"/>
      <c r="B3980" s="36"/>
      <c r="C3980" s="37"/>
      <c r="D3980" s="37"/>
      <c r="E3980" s="37"/>
      <c r="F3980" s="37"/>
      <c r="G3980" s="37"/>
      <c r="H3980" s="37"/>
      <c r="I3980" s="35"/>
      <c r="J3980" s="37"/>
    </row>
    <row r="3981" spans="1:10" ht="15.95" customHeight="1" x14ac:dyDescent="0.2">
      <c r="A3981" s="39"/>
      <c r="B3981" s="36"/>
      <c r="C3981" s="37"/>
      <c r="D3981" s="37"/>
      <c r="E3981" s="37"/>
      <c r="F3981" s="37"/>
      <c r="G3981" s="37"/>
      <c r="H3981" s="37"/>
      <c r="I3981" s="35"/>
      <c r="J3981" s="37"/>
    </row>
    <row r="3982" spans="1:10" ht="15.95" customHeight="1" x14ac:dyDescent="0.2">
      <c r="A3982" s="39"/>
      <c r="B3982" s="36"/>
      <c r="C3982" s="37"/>
      <c r="D3982" s="37"/>
      <c r="E3982" s="37"/>
      <c r="F3982" s="37"/>
      <c r="G3982" s="37"/>
      <c r="H3982" s="37"/>
      <c r="I3982" s="35"/>
      <c r="J3982" s="37"/>
    </row>
    <row r="3983" spans="1:10" ht="15.95" customHeight="1" x14ac:dyDescent="0.2">
      <c r="A3983" s="39"/>
      <c r="B3983" s="36"/>
      <c r="C3983" s="37"/>
      <c r="D3983" s="37"/>
      <c r="E3983" s="37"/>
      <c r="F3983" s="37"/>
      <c r="G3983" s="37"/>
      <c r="H3983" s="37"/>
      <c r="I3983" s="35"/>
      <c r="J3983" s="37"/>
    </row>
    <row r="3984" spans="1:10" ht="15.95" customHeight="1" x14ac:dyDescent="0.2">
      <c r="A3984" s="39"/>
      <c r="B3984" s="36"/>
      <c r="C3984" s="37"/>
      <c r="D3984" s="37"/>
      <c r="E3984" s="37"/>
      <c r="F3984" s="37"/>
      <c r="G3984" s="37"/>
      <c r="H3984" s="37"/>
      <c r="I3984" s="35"/>
      <c r="J3984" s="37"/>
    </row>
    <row r="3985" spans="1:10" ht="15.95" customHeight="1" x14ac:dyDescent="0.2">
      <c r="A3985" s="39"/>
      <c r="B3985" s="36"/>
      <c r="C3985" s="37"/>
      <c r="D3985" s="37"/>
      <c r="E3985" s="37"/>
      <c r="F3985" s="37"/>
      <c r="G3985" s="37"/>
      <c r="H3985" s="37"/>
      <c r="I3985" s="35"/>
      <c r="J3985" s="37"/>
    </row>
    <row r="3986" spans="1:10" ht="15.95" customHeight="1" x14ac:dyDescent="0.2">
      <c r="A3986" s="39"/>
      <c r="B3986" s="36"/>
      <c r="C3986" s="37"/>
      <c r="D3986" s="37"/>
      <c r="E3986" s="37"/>
      <c r="F3986" s="37"/>
      <c r="G3986" s="37"/>
      <c r="H3986" s="37"/>
      <c r="I3986" s="35"/>
      <c r="J3986" s="37"/>
    </row>
    <row r="3987" spans="1:10" ht="15.95" customHeight="1" x14ac:dyDescent="0.2">
      <c r="A3987" s="39"/>
      <c r="B3987" s="36"/>
      <c r="C3987" s="37"/>
      <c r="D3987" s="37"/>
      <c r="E3987" s="37"/>
      <c r="F3987" s="37"/>
      <c r="G3987" s="37"/>
      <c r="H3987" s="37"/>
      <c r="I3987" s="35"/>
      <c r="J3987" s="37"/>
    </row>
    <row r="3988" spans="1:10" ht="15.95" customHeight="1" x14ac:dyDescent="0.2">
      <c r="A3988" s="39"/>
      <c r="B3988" s="36"/>
      <c r="C3988" s="37"/>
      <c r="D3988" s="37"/>
      <c r="E3988" s="37"/>
      <c r="F3988" s="37"/>
      <c r="G3988" s="37"/>
      <c r="H3988" s="37"/>
      <c r="I3988" s="35"/>
      <c r="J3988" s="37"/>
    </row>
    <row r="3989" spans="1:10" ht="15.95" customHeight="1" x14ac:dyDescent="0.2">
      <c r="A3989" s="39"/>
      <c r="B3989" s="36"/>
      <c r="C3989" s="37"/>
      <c r="D3989" s="37"/>
      <c r="E3989" s="37"/>
      <c r="F3989" s="37"/>
      <c r="G3989" s="37"/>
      <c r="H3989" s="37"/>
      <c r="I3989" s="35"/>
      <c r="J3989" s="37"/>
    </row>
    <row r="3990" spans="1:10" ht="15.95" customHeight="1" x14ac:dyDescent="0.2">
      <c r="A3990" s="39"/>
      <c r="B3990" s="36"/>
      <c r="C3990" s="37"/>
      <c r="D3990" s="37"/>
      <c r="E3990" s="37"/>
      <c r="F3990" s="37"/>
      <c r="G3990" s="37"/>
      <c r="H3990" s="37"/>
      <c r="I3990" s="35"/>
      <c r="J3990" s="37"/>
    </row>
    <row r="3991" spans="1:10" ht="15.95" customHeight="1" x14ac:dyDescent="0.2">
      <c r="A3991" s="39"/>
      <c r="B3991" s="36"/>
      <c r="C3991" s="37"/>
      <c r="D3991" s="37"/>
      <c r="E3991" s="37"/>
      <c r="F3991" s="37"/>
      <c r="G3991" s="37"/>
      <c r="H3991" s="37"/>
      <c r="I3991" s="35"/>
      <c r="J3991" s="37"/>
    </row>
    <row r="3992" spans="1:10" ht="15.95" customHeight="1" x14ac:dyDescent="0.2">
      <c r="A3992" s="39"/>
      <c r="B3992" s="36"/>
      <c r="C3992" s="37"/>
      <c r="D3992" s="37"/>
      <c r="E3992" s="37"/>
      <c r="F3992" s="37"/>
      <c r="G3992" s="37"/>
      <c r="H3992" s="37"/>
      <c r="I3992" s="35"/>
      <c r="J3992" s="37"/>
    </row>
    <row r="3993" spans="1:10" ht="15.95" customHeight="1" x14ac:dyDescent="0.2">
      <c r="A3993" s="39"/>
      <c r="B3993" s="36"/>
      <c r="C3993" s="37"/>
      <c r="D3993" s="37"/>
      <c r="E3993" s="37"/>
      <c r="F3993" s="37"/>
      <c r="G3993" s="37"/>
      <c r="H3993" s="37"/>
      <c r="I3993" s="35"/>
      <c r="J3993" s="37"/>
    </row>
    <row r="3994" spans="1:10" ht="15.95" customHeight="1" x14ac:dyDescent="0.2">
      <c r="A3994" s="39"/>
      <c r="B3994" s="36"/>
      <c r="C3994" s="37"/>
      <c r="D3994" s="37"/>
      <c r="E3994" s="37"/>
      <c r="F3994" s="37"/>
      <c r="G3994" s="37"/>
      <c r="H3994" s="37"/>
      <c r="I3994" s="35"/>
      <c r="J3994" s="37"/>
    </row>
    <row r="3995" spans="1:10" ht="15.95" customHeight="1" x14ac:dyDescent="0.2">
      <c r="A3995" s="39"/>
      <c r="B3995" s="36"/>
      <c r="C3995" s="37"/>
      <c r="D3995" s="37"/>
      <c r="E3995" s="37"/>
      <c r="F3995" s="37"/>
      <c r="G3995" s="37"/>
      <c r="H3995" s="37"/>
      <c r="I3995" s="35"/>
      <c r="J3995" s="37"/>
    </row>
    <row r="3996" spans="1:10" ht="15.95" customHeight="1" x14ac:dyDescent="0.2">
      <c r="A3996" s="39"/>
      <c r="B3996" s="36"/>
      <c r="C3996" s="37"/>
      <c r="D3996" s="37"/>
      <c r="E3996" s="37"/>
      <c r="F3996" s="37"/>
      <c r="G3996" s="37"/>
      <c r="H3996" s="37"/>
      <c r="I3996" s="35"/>
      <c r="J3996" s="37"/>
    </row>
    <row r="3997" spans="1:10" ht="15.95" customHeight="1" x14ac:dyDescent="0.2">
      <c r="A3997" s="39"/>
      <c r="B3997" s="36"/>
      <c r="C3997" s="37"/>
      <c r="D3997" s="37"/>
      <c r="E3997" s="37"/>
      <c r="F3997" s="37"/>
      <c r="G3997" s="37"/>
      <c r="H3997" s="37"/>
      <c r="I3997" s="35"/>
      <c r="J3997" s="37"/>
    </row>
    <row r="3998" spans="1:10" ht="15.95" customHeight="1" x14ac:dyDescent="0.2">
      <c r="A3998" s="39"/>
      <c r="B3998" s="36"/>
      <c r="C3998" s="37"/>
      <c r="D3998" s="37"/>
      <c r="E3998" s="37"/>
      <c r="F3998" s="37"/>
      <c r="G3998" s="37"/>
      <c r="H3998" s="37"/>
      <c r="I3998" s="35"/>
      <c r="J3998" s="37"/>
    </row>
    <row r="3999" spans="1:10" ht="15.95" customHeight="1" x14ac:dyDescent="0.2">
      <c r="A3999" s="39"/>
      <c r="B3999" s="36"/>
      <c r="C3999" s="37"/>
      <c r="D3999" s="37"/>
      <c r="E3999" s="37"/>
      <c r="F3999" s="37"/>
      <c r="G3999" s="37"/>
      <c r="H3999" s="37"/>
      <c r="I3999" s="35"/>
      <c r="J3999" s="37"/>
    </row>
    <row r="4000" spans="1:10" ht="15.95" customHeight="1" x14ac:dyDescent="0.2">
      <c r="A4000" s="39"/>
      <c r="B4000" s="36"/>
      <c r="C4000" s="37"/>
      <c r="D4000" s="37"/>
      <c r="E4000" s="37"/>
      <c r="F4000" s="37"/>
      <c r="G4000" s="37"/>
      <c r="H4000" s="37"/>
      <c r="I4000" s="35"/>
      <c r="J4000" s="37"/>
    </row>
    <row r="4001" spans="1:10" ht="15.95" customHeight="1" x14ac:dyDescent="0.2">
      <c r="A4001" s="39"/>
      <c r="B4001" s="36"/>
      <c r="C4001" s="37"/>
      <c r="D4001" s="37"/>
      <c r="E4001" s="37"/>
      <c r="F4001" s="37"/>
      <c r="G4001" s="37"/>
      <c r="H4001" s="37"/>
      <c r="I4001" s="35"/>
      <c r="J4001" s="37"/>
    </row>
    <row r="4002" spans="1:10" ht="15.95" customHeight="1" x14ac:dyDescent="0.2">
      <c r="A4002" s="39"/>
      <c r="B4002" s="36"/>
      <c r="C4002" s="37"/>
      <c r="D4002" s="37"/>
      <c r="E4002" s="37"/>
      <c r="F4002" s="37"/>
      <c r="G4002" s="37"/>
      <c r="H4002" s="37"/>
      <c r="I4002" s="35"/>
      <c r="J4002" s="37"/>
    </row>
    <row r="4003" spans="1:10" ht="15.95" customHeight="1" x14ac:dyDescent="0.2">
      <c r="A4003" s="39"/>
      <c r="B4003" s="36"/>
      <c r="C4003" s="37"/>
      <c r="D4003" s="37"/>
      <c r="E4003" s="37"/>
      <c r="F4003" s="37"/>
      <c r="G4003" s="37"/>
      <c r="H4003" s="37"/>
      <c r="I4003" s="35"/>
      <c r="J4003" s="37"/>
    </row>
    <row r="4004" spans="1:10" ht="15.95" customHeight="1" x14ac:dyDescent="0.2">
      <c r="A4004" s="39"/>
      <c r="B4004" s="36"/>
      <c r="C4004" s="37"/>
      <c r="D4004" s="37"/>
      <c r="E4004" s="37"/>
      <c r="F4004" s="37"/>
      <c r="G4004" s="37"/>
      <c r="H4004" s="37"/>
      <c r="I4004" s="35"/>
      <c r="J4004" s="37"/>
    </row>
    <row r="4005" spans="1:10" ht="15.95" customHeight="1" x14ac:dyDescent="0.2">
      <c r="A4005" s="39"/>
      <c r="B4005" s="36"/>
      <c r="C4005" s="37"/>
      <c r="D4005" s="37"/>
      <c r="E4005" s="37"/>
      <c r="F4005" s="37"/>
      <c r="G4005" s="37"/>
      <c r="H4005" s="37"/>
      <c r="I4005" s="35"/>
      <c r="J4005" s="37"/>
    </row>
    <row r="4006" spans="1:10" ht="15.95" customHeight="1" x14ac:dyDescent="0.2">
      <c r="A4006" s="39"/>
      <c r="B4006" s="36"/>
      <c r="C4006" s="37"/>
      <c r="D4006" s="37"/>
      <c r="E4006" s="37"/>
      <c r="F4006" s="37"/>
      <c r="G4006" s="37"/>
      <c r="H4006" s="37"/>
      <c r="I4006" s="35"/>
      <c r="J4006" s="37"/>
    </row>
    <row r="4007" spans="1:10" ht="15.95" customHeight="1" x14ac:dyDescent="0.2">
      <c r="A4007" s="39"/>
      <c r="B4007" s="36"/>
      <c r="C4007" s="37"/>
      <c r="D4007" s="37"/>
      <c r="E4007" s="37"/>
      <c r="F4007" s="37"/>
      <c r="G4007" s="37"/>
      <c r="H4007" s="37"/>
      <c r="I4007" s="35"/>
      <c r="J4007" s="37"/>
    </row>
    <row r="4008" spans="1:10" ht="15.95" customHeight="1" x14ac:dyDescent="0.2">
      <c r="A4008" s="39"/>
      <c r="B4008" s="36"/>
      <c r="C4008" s="37"/>
      <c r="D4008" s="37"/>
      <c r="E4008" s="37"/>
      <c r="F4008" s="37"/>
      <c r="G4008" s="37"/>
      <c r="H4008" s="37"/>
      <c r="I4008" s="35"/>
      <c r="J4008" s="37"/>
    </row>
    <row r="4009" spans="1:10" ht="15.95" customHeight="1" x14ac:dyDescent="0.2">
      <c r="A4009" s="39"/>
      <c r="B4009" s="36"/>
      <c r="C4009" s="37"/>
      <c r="D4009" s="37"/>
      <c r="E4009" s="37"/>
      <c r="F4009" s="37"/>
      <c r="G4009" s="37"/>
      <c r="H4009" s="37"/>
      <c r="I4009" s="35"/>
      <c r="J4009" s="37"/>
    </row>
    <row r="4010" spans="1:10" ht="15.95" customHeight="1" x14ac:dyDescent="0.2">
      <c r="A4010" s="39"/>
      <c r="B4010" s="36"/>
      <c r="C4010" s="37"/>
      <c r="D4010" s="37"/>
      <c r="E4010" s="37"/>
      <c r="F4010" s="37"/>
      <c r="G4010" s="37"/>
      <c r="H4010" s="37"/>
      <c r="I4010" s="35"/>
      <c r="J4010" s="37"/>
    </row>
    <row r="4011" spans="1:10" ht="15.95" customHeight="1" x14ac:dyDescent="0.2">
      <c r="A4011" s="39"/>
      <c r="B4011" s="36"/>
      <c r="C4011" s="37"/>
      <c r="D4011" s="37"/>
      <c r="E4011" s="37"/>
      <c r="F4011" s="37"/>
      <c r="G4011" s="37"/>
      <c r="H4011" s="37"/>
      <c r="I4011" s="35"/>
      <c r="J4011" s="37"/>
    </row>
    <row r="4012" spans="1:10" ht="15.95" customHeight="1" x14ac:dyDescent="0.2">
      <c r="A4012" s="39"/>
      <c r="B4012" s="36"/>
      <c r="C4012" s="37"/>
      <c r="D4012" s="37"/>
      <c r="E4012" s="37"/>
      <c r="F4012" s="37"/>
      <c r="G4012" s="37"/>
      <c r="H4012" s="37"/>
      <c r="I4012" s="35"/>
      <c r="J4012" s="37"/>
    </row>
    <row r="4013" spans="1:10" ht="15.95" customHeight="1" x14ac:dyDescent="0.2">
      <c r="A4013" s="39"/>
      <c r="B4013" s="36"/>
      <c r="C4013" s="37"/>
      <c r="D4013" s="37"/>
      <c r="E4013" s="37"/>
      <c r="F4013" s="37"/>
      <c r="G4013" s="37"/>
      <c r="H4013" s="37"/>
      <c r="I4013" s="35"/>
      <c r="J4013" s="37"/>
    </row>
    <row r="4014" spans="1:10" ht="15.95" customHeight="1" x14ac:dyDescent="0.2">
      <c r="A4014" s="39"/>
      <c r="B4014" s="36"/>
      <c r="C4014" s="37"/>
      <c r="D4014" s="37"/>
      <c r="E4014" s="37"/>
      <c r="F4014" s="37"/>
      <c r="G4014" s="37"/>
      <c r="H4014" s="37"/>
      <c r="I4014" s="35"/>
      <c r="J4014" s="37"/>
    </row>
    <row r="4015" spans="1:10" ht="15.95" customHeight="1" x14ac:dyDescent="0.2">
      <c r="A4015" s="39"/>
      <c r="B4015" s="36"/>
      <c r="C4015" s="37"/>
      <c r="D4015" s="37"/>
      <c r="E4015" s="37"/>
      <c r="F4015" s="37"/>
      <c r="G4015" s="37"/>
      <c r="H4015" s="37"/>
      <c r="I4015" s="35"/>
      <c r="J4015" s="37"/>
    </row>
    <row r="4016" spans="1:10" ht="15.95" customHeight="1" x14ac:dyDescent="0.2">
      <c r="A4016" s="39"/>
      <c r="B4016" s="36"/>
      <c r="C4016" s="37"/>
      <c r="D4016" s="37"/>
      <c r="E4016" s="37"/>
      <c r="F4016" s="37"/>
      <c r="G4016" s="37"/>
      <c r="H4016" s="37"/>
      <c r="I4016" s="35"/>
      <c r="J4016" s="37"/>
    </row>
    <row r="4017" spans="1:10" ht="15.95" customHeight="1" x14ac:dyDescent="0.2">
      <c r="A4017" s="39"/>
      <c r="B4017" s="36"/>
      <c r="C4017" s="37"/>
      <c r="D4017" s="37"/>
      <c r="E4017" s="37"/>
      <c r="F4017" s="37"/>
      <c r="G4017" s="37"/>
      <c r="H4017" s="37"/>
      <c r="I4017" s="35"/>
      <c r="J4017" s="37"/>
    </row>
    <row r="4018" spans="1:10" ht="15.95" customHeight="1" x14ac:dyDescent="0.2">
      <c r="A4018" s="39"/>
      <c r="B4018" s="36"/>
      <c r="C4018" s="37"/>
      <c r="D4018" s="37"/>
      <c r="E4018" s="37"/>
      <c r="F4018" s="37"/>
      <c r="G4018" s="37"/>
      <c r="H4018" s="37"/>
      <c r="I4018" s="35"/>
      <c r="J4018" s="37"/>
    </row>
    <row r="4019" spans="1:10" ht="15.95" customHeight="1" x14ac:dyDescent="0.2">
      <c r="A4019" s="39"/>
      <c r="B4019" s="36"/>
      <c r="C4019" s="37"/>
      <c r="D4019" s="37"/>
      <c r="E4019" s="37"/>
      <c r="F4019" s="37"/>
      <c r="G4019" s="37"/>
      <c r="H4019" s="37"/>
      <c r="I4019" s="35"/>
      <c r="J4019" s="37"/>
    </row>
    <row r="4020" spans="1:10" ht="15.95" customHeight="1" x14ac:dyDescent="0.2">
      <c r="A4020" s="39"/>
      <c r="B4020" s="36"/>
      <c r="C4020" s="37"/>
      <c r="D4020" s="37"/>
      <c r="E4020" s="37"/>
      <c r="F4020" s="37"/>
      <c r="G4020" s="37"/>
      <c r="H4020" s="37"/>
      <c r="I4020" s="35"/>
      <c r="J4020" s="37"/>
    </row>
    <row r="4021" spans="1:10" ht="15.95" customHeight="1" x14ac:dyDescent="0.2">
      <c r="A4021" s="39"/>
      <c r="B4021" s="36"/>
      <c r="C4021" s="37"/>
      <c r="D4021" s="37"/>
      <c r="E4021" s="37"/>
      <c r="F4021" s="37"/>
      <c r="G4021" s="37"/>
      <c r="H4021" s="37"/>
      <c r="I4021" s="35"/>
      <c r="J4021" s="37"/>
    </row>
    <row r="4022" spans="1:10" ht="15.95" customHeight="1" x14ac:dyDescent="0.2">
      <c r="A4022" s="39"/>
      <c r="B4022" s="36"/>
      <c r="C4022" s="37"/>
      <c r="D4022" s="37"/>
      <c r="E4022" s="37"/>
      <c r="F4022" s="37"/>
      <c r="G4022" s="37"/>
      <c r="H4022" s="37"/>
      <c r="I4022" s="35"/>
      <c r="J4022" s="37"/>
    </row>
    <row r="4023" spans="1:10" ht="15.95" customHeight="1" x14ac:dyDescent="0.2">
      <c r="A4023" s="39"/>
      <c r="B4023" s="36"/>
      <c r="C4023" s="37"/>
      <c r="D4023" s="37"/>
      <c r="E4023" s="37"/>
      <c r="F4023" s="37"/>
      <c r="G4023" s="37"/>
      <c r="H4023" s="37"/>
      <c r="I4023" s="35"/>
      <c r="J4023" s="37"/>
    </row>
    <row r="4024" spans="1:10" ht="15.95" customHeight="1" x14ac:dyDescent="0.2">
      <c r="A4024" s="39"/>
      <c r="B4024" s="36"/>
      <c r="C4024" s="37"/>
      <c r="D4024" s="37"/>
      <c r="E4024" s="37"/>
      <c r="F4024" s="37"/>
      <c r="G4024" s="37"/>
      <c r="H4024" s="37"/>
      <c r="I4024" s="35"/>
      <c r="J4024" s="37"/>
    </row>
    <row r="4025" spans="1:10" ht="15.95" customHeight="1" x14ac:dyDescent="0.2">
      <c r="A4025" s="39"/>
      <c r="B4025" s="36"/>
      <c r="C4025" s="37"/>
      <c r="D4025" s="37"/>
      <c r="E4025" s="37"/>
      <c r="F4025" s="37"/>
      <c r="G4025" s="37"/>
      <c r="H4025" s="37"/>
      <c r="I4025" s="35"/>
      <c r="J4025" s="37"/>
    </row>
    <row r="4026" spans="1:10" ht="15.95" customHeight="1" x14ac:dyDescent="0.2">
      <c r="A4026" s="39"/>
      <c r="B4026" s="36"/>
      <c r="C4026" s="37"/>
      <c r="D4026" s="37"/>
      <c r="E4026" s="37"/>
      <c r="F4026" s="37"/>
      <c r="G4026" s="37"/>
      <c r="H4026" s="37"/>
      <c r="I4026" s="35"/>
      <c r="J4026" s="37"/>
    </row>
    <row r="4027" spans="1:10" ht="15.95" customHeight="1" x14ac:dyDescent="0.2">
      <c r="A4027" s="39"/>
      <c r="B4027" s="36"/>
      <c r="C4027" s="37"/>
      <c r="D4027" s="37"/>
      <c r="E4027" s="37"/>
      <c r="F4027" s="37"/>
      <c r="G4027" s="37"/>
      <c r="H4027" s="37"/>
      <c r="I4027" s="35"/>
      <c r="J4027" s="37"/>
    </row>
    <row r="4028" spans="1:10" ht="15.95" customHeight="1" x14ac:dyDescent="0.2">
      <c r="A4028" s="39"/>
      <c r="B4028" s="36"/>
      <c r="C4028" s="37"/>
      <c r="D4028" s="37"/>
      <c r="E4028" s="37"/>
      <c r="F4028" s="37"/>
      <c r="G4028" s="37"/>
      <c r="H4028" s="37"/>
      <c r="I4028" s="35"/>
      <c r="J4028" s="37"/>
    </row>
    <row r="4029" spans="1:10" ht="15.95" customHeight="1" x14ac:dyDescent="0.2">
      <c r="A4029" s="39"/>
      <c r="B4029" s="36"/>
      <c r="C4029" s="37"/>
      <c r="D4029" s="37"/>
      <c r="E4029" s="37"/>
      <c r="F4029" s="37"/>
      <c r="G4029" s="37"/>
      <c r="H4029" s="37"/>
      <c r="I4029" s="35"/>
      <c r="J4029" s="37"/>
    </row>
    <row r="4030" spans="1:10" ht="15.95" customHeight="1" x14ac:dyDescent="0.2">
      <c r="A4030" s="39"/>
      <c r="B4030" s="36"/>
      <c r="C4030" s="37"/>
      <c r="D4030" s="37"/>
      <c r="E4030" s="37"/>
      <c r="F4030" s="37"/>
      <c r="G4030" s="37"/>
      <c r="H4030" s="37"/>
      <c r="I4030" s="35"/>
      <c r="J4030" s="37"/>
    </row>
    <row r="4031" spans="1:10" ht="15.95" customHeight="1" x14ac:dyDescent="0.2">
      <c r="A4031" s="39"/>
      <c r="B4031" s="36"/>
      <c r="C4031" s="37"/>
      <c r="D4031" s="37"/>
      <c r="E4031" s="37"/>
      <c r="F4031" s="37"/>
      <c r="G4031" s="37"/>
      <c r="H4031" s="37"/>
      <c r="I4031" s="35"/>
      <c r="J4031" s="37"/>
    </row>
    <row r="4032" spans="1:10" ht="15.95" customHeight="1" x14ac:dyDescent="0.2">
      <c r="A4032" s="39"/>
      <c r="B4032" s="36"/>
      <c r="C4032" s="37"/>
      <c r="D4032" s="37"/>
      <c r="E4032" s="37"/>
      <c r="F4032" s="37"/>
      <c r="G4032" s="37"/>
      <c r="H4032" s="37"/>
      <c r="I4032" s="35"/>
      <c r="J4032" s="37"/>
    </row>
    <row r="4033" spans="1:10" ht="15.95" customHeight="1" x14ac:dyDescent="0.2">
      <c r="A4033" s="39"/>
      <c r="B4033" s="36"/>
      <c r="C4033" s="37"/>
      <c r="D4033" s="37"/>
      <c r="E4033" s="37"/>
      <c r="F4033" s="37"/>
      <c r="G4033" s="37"/>
      <c r="H4033" s="37"/>
      <c r="I4033" s="35"/>
      <c r="J4033" s="37"/>
    </row>
    <row r="4034" spans="1:10" ht="15.95" customHeight="1" x14ac:dyDescent="0.2">
      <c r="A4034" s="39"/>
      <c r="B4034" s="36"/>
      <c r="C4034" s="37"/>
      <c r="D4034" s="37"/>
      <c r="E4034" s="37"/>
      <c r="F4034" s="37"/>
      <c r="G4034" s="37"/>
      <c r="H4034" s="37"/>
      <c r="I4034" s="35"/>
      <c r="J4034" s="37"/>
    </row>
    <row r="4035" spans="1:10" ht="15.95" customHeight="1" x14ac:dyDescent="0.2">
      <c r="A4035" s="39"/>
      <c r="B4035" s="36"/>
      <c r="C4035" s="37"/>
      <c r="D4035" s="37"/>
      <c r="E4035" s="37"/>
      <c r="F4035" s="37"/>
      <c r="G4035" s="37"/>
      <c r="H4035" s="37"/>
      <c r="I4035" s="35"/>
      <c r="J4035" s="37"/>
    </row>
    <row r="4036" spans="1:10" ht="15.95" customHeight="1" x14ac:dyDescent="0.2">
      <c r="A4036" s="39"/>
      <c r="B4036" s="36"/>
      <c r="C4036" s="37"/>
      <c r="D4036" s="37"/>
      <c r="E4036" s="37"/>
      <c r="F4036" s="37"/>
      <c r="G4036" s="37"/>
      <c r="H4036" s="37"/>
      <c r="I4036" s="35"/>
      <c r="J4036" s="37"/>
    </row>
    <row r="4037" spans="1:10" ht="15.95" customHeight="1" x14ac:dyDescent="0.2">
      <c r="A4037" s="39"/>
      <c r="B4037" s="36"/>
      <c r="C4037" s="37"/>
      <c r="D4037" s="37"/>
      <c r="E4037" s="37"/>
      <c r="F4037" s="37"/>
      <c r="G4037" s="37"/>
      <c r="H4037" s="37"/>
      <c r="I4037" s="35"/>
      <c r="J4037" s="37"/>
    </row>
    <row r="4038" spans="1:10" ht="15.95" customHeight="1" x14ac:dyDescent="0.2">
      <c r="A4038" s="39"/>
      <c r="B4038" s="36"/>
      <c r="C4038" s="37"/>
      <c r="D4038" s="37"/>
      <c r="E4038" s="37"/>
      <c r="F4038" s="37"/>
      <c r="G4038" s="37"/>
      <c r="H4038" s="37"/>
      <c r="I4038" s="35"/>
      <c r="J4038" s="37"/>
    </row>
    <row r="4039" spans="1:10" ht="15.95" customHeight="1" x14ac:dyDescent="0.2">
      <c r="A4039" s="39"/>
      <c r="B4039" s="36"/>
      <c r="C4039" s="37"/>
      <c r="D4039" s="37"/>
      <c r="E4039" s="37"/>
      <c r="F4039" s="37"/>
      <c r="G4039" s="37"/>
      <c r="H4039" s="37"/>
      <c r="I4039" s="35"/>
      <c r="J4039" s="37"/>
    </row>
    <row r="4040" spans="1:10" ht="15.95" customHeight="1" x14ac:dyDescent="0.2">
      <c r="A4040" s="39"/>
      <c r="B4040" s="36"/>
      <c r="C4040" s="37"/>
      <c r="D4040" s="37"/>
      <c r="E4040" s="37"/>
      <c r="F4040" s="37"/>
      <c r="G4040" s="37"/>
      <c r="H4040" s="37"/>
      <c r="I4040" s="35"/>
      <c r="J4040" s="37"/>
    </row>
    <row r="4041" spans="1:10" ht="15.95" customHeight="1" x14ac:dyDescent="0.2">
      <c r="A4041" s="39"/>
      <c r="B4041" s="36"/>
      <c r="C4041" s="37"/>
      <c r="D4041" s="37"/>
      <c r="E4041" s="37"/>
      <c r="F4041" s="37"/>
      <c r="G4041" s="37"/>
      <c r="H4041" s="37"/>
      <c r="I4041" s="35"/>
      <c r="J4041" s="37"/>
    </row>
    <row r="4042" spans="1:10" ht="15.95" customHeight="1" x14ac:dyDescent="0.2">
      <c r="A4042" s="39"/>
      <c r="B4042" s="36"/>
      <c r="C4042" s="37"/>
      <c r="D4042" s="37"/>
      <c r="E4042" s="37"/>
      <c r="F4042" s="37"/>
      <c r="G4042" s="37"/>
      <c r="H4042" s="37"/>
      <c r="I4042" s="35"/>
      <c r="J4042" s="37"/>
    </row>
    <row r="4043" spans="1:10" ht="15.95" customHeight="1" x14ac:dyDescent="0.2">
      <c r="A4043" s="39"/>
      <c r="B4043" s="36"/>
      <c r="C4043" s="37"/>
      <c r="D4043" s="37"/>
      <c r="E4043" s="37"/>
      <c r="F4043" s="37"/>
      <c r="G4043" s="37"/>
      <c r="H4043" s="37"/>
      <c r="I4043" s="35"/>
      <c r="J4043" s="37"/>
    </row>
    <row r="4044" spans="1:10" ht="15.95" customHeight="1" x14ac:dyDescent="0.2">
      <c r="A4044" s="39"/>
      <c r="B4044" s="36"/>
      <c r="C4044" s="37"/>
      <c r="D4044" s="37"/>
      <c r="E4044" s="37"/>
      <c r="F4044" s="37"/>
      <c r="G4044" s="37"/>
      <c r="H4044" s="37"/>
      <c r="I4044" s="35"/>
      <c r="J4044" s="37"/>
    </row>
    <row r="4045" spans="1:10" ht="15.95" customHeight="1" x14ac:dyDescent="0.2">
      <c r="A4045" s="39"/>
      <c r="B4045" s="36"/>
      <c r="C4045" s="37"/>
      <c r="D4045" s="37"/>
      <c r="E4045" s="37"/>
      <c r="F4045" s="37"/>
      <c r="G4045" s="37"/>
      <c r="H4045" s="37"/>
      <c r="I4045" s="35"/>
      <c r="J4045" s="37"/>
    </row>
    <row r="4046" spans="1:10" ht="15.95" customHeight="1" x14ac:dyDescent="0.2">
      <c r="A4046" s="39"/>
      <c r="B4046" s="36"/>
      <c r="C4046" s="37"/>
      <c r="D4046" s="37"/>
      <c r="E4046" s="37"/>
      <c r="F4046" s="37"/>
      <c r="G4046" s="37"/>
      <c r="H4046" s="37"/>
      <c r="I4046" s="35"/>
      <c r="J4046" s="37"/>
    </row>
    <row r="4047" spans="1:10" ht="15.95" customHeight="1" x14ac:dyDescent="0.2">
      <c r="A4047" s="39"/>
      <c r="B4047" s="36"/>
      <c r="C4047" s="37"/>
      <c r="D4047" s="37"/>
      <c r="E4047" s="37"/>
      <c r="F4047" s="37"/>
      <c r="G4047" s="37"/>
      <c r="H4047" s="37"/>
      <c r="I4047" s="35"/>
      <c r="J4047" s="37"/>
    </row>
    <row r="4048" spans="1:10" ht="15.95" customHeight="1" x14ac:dyDescent="0.2">
      <c r="A4048" s="39"/>
      <c r="B4048" s="36"/>
      <c r="C4048" s="37"/>
      <c r="D4048" s="37"/>
      <c r="E4048" s="37"/>
      <c r="F4048" s="37"/>
      <c r="G4048" s="37"/>
      <c r="H4048" s="37"/>
      <c r="I4048" s="35"/>
      <c r="J4048" s="37"/>
    </row>
    <row r="4049" spans="1:10" ht="15.95" customHeight="1" x14ac:dyDescent="0.2">
      <c r="A4049" s="39"/>
      <c r="B4049" s="36"/>
      <c r="C4049" s="37"/>
      <c r="D4049" s="37"/>
      <c r="E4049" s="37"/>
      <c r="F4049" s="37"/>
      <c r="G4049" s="37"/>
      <c r="H4049" s="37"/>
      <c r="I4049" s="35"/>
      <c r="J4049" s="37"/>
    </row>
    <row r="4050" spans="1:10" ht="15.95" customHeight="1" x14ac:dyDescent="0.2">
      <c r="A4050" s="39"/>
      <c r="B4050" s="36"/>
      <c r="C4050" s="37"/>
      <c r="D4050" s="37"/>
      <c r="E4050" s="37"/>
      <c r="F4050" s="37"/>
      <c r="G4050" s="37"/>
      <c r="H4050" s="37"/>
      <c r="I4050" s="35"/>
      <c r="J4050" s="37"/>
    </row>
    <row r="4051" spans="1:10" ht="15.95" customHeight="1" x14ac:dyDescent="0.2">
      <c r="A4051" s="39"/>
      <c r="B4051" s="36"/>
      <c r="C4051" s="37"/>
      <c r="D4051" s="37"/>
      <c r="E4051" s="37"/>
      <c r="F4051" s="37"/>
      <c r="G4051" s="37"/>
      <c r="H4051" s="37"/>
      <c r="I4051" s="35"/>
      <c r="J4051" s="37"/>
    </row>
    <row r="4052" spans="1:10" ht="15.95" customHeight="1" x14ac:dyDescent="0.2">
      <c r="A4052" s="39"/>
      <c r="B4052" s="36"/>
      <c r="C4052" s="37"/>
      <c r="D4052" s="37"/>
      <c r="E4052" s="37"/>
      <c r="F4052" s="37"/>
      <c r="G4052" s="37"/>
      <c r="H4052" s="37"/>
      <c r="I4052" s="35"/>
      <c r="J4052" s="37"/>
    </row>
    <row r="4053" spans="1:10" ht="15.95" customHeight="1" x14ac:dyDescent="0.2">
      <c r="A4053" s="39"/>
      <c r="B4053" s="36"/>
      <c r="C4053" s="37"/>
      <c r="D4053" s="37"/>
      <c r="E4053" s="37"/>
      <c r="F4053" s="37"/>
      <c r="G4053" s="37"/>
      <c r="H4053" s="37"/>
      <c r="I4053" s="35"/>
      <c r="J4053" s="37"/>
    </row>
    <row r="4054" spans="1:10" ht="15.95" customHeight="1" x14ac:dyDescent="0.2">
      <c r="A4054" s="39"/>
      <c r="B4054" s="36"/>
      <c r="C4054" s="37"/>
      <c r="D4054" s="37"/>
      <c r="E4054" s="37"/>
      <c r="F4054" s="37"/>
      <c r="G4054" s="37"/>
      <c r="H4054" s="37"/>
      <c r="I4054" s="35"/>
      <c r="J4054" s="37"/>
    </row>
    <row r="4055" spans="1:10" ht="15.95" customHeight="1" x14ac:dyDescent="0.2">
      <c r="A4055" s="39"/>
      <c r="B4055" s="36"/>
      <c r="C4055" s="37"/>
      <c r="D4055" s="37"/>
      <c r="E4055" s="37"/>
      <c r="F4055" s="37"/>
      <c r="G4055" s="37"/>
      <c r="H4055" s="37"/>
      <c r="I4055" s="35"/>
      <c r="J4055" s="37"/>
    </row>
    <row r="4056" spans="1:10" ht="15.95" customHeight="1" x14ac:dyDescent="0.2">
      <c r="A4056" s="39"/>
      <c r="B4056" s="36"/>
      <c r="C4056" s="37"/>
      <c r="D4056" s="37"/>
      <c r="E4056" s="37"/>
      <c r="F4056" s="37"/>
      <c r="G4056" s="37"/>
      <c r="H4056" s="37"/>
      <c r="I4056" s="35"/>
      <c r="J4056" s="37"/>
    </row>
    <row r="4057" spans="1:10" ht="15.95" customHeight="1" x14ac:dyDescent="0.2">
      <c r="A4057" s="39"/>
      <c r="B4057" s="36"/>
      <c r="C4057" s="37"/>
      <c r="D4057" s="37"/>
      <c r="E4057" s="37"/>
      <c r="F4057" s="37"/>
      <c r="G4057" s="37"/>
      <c r="H4057" s="37"/>
      <c r="I4057" s="35"/>
      <c r="J4057" s="37"/>
    </row>
    <row r="4058" spans="1:10" ht="15.95" customHeight="1" x14ac:dyDescent="0.2">
      <c r="A4058" s="39"/>
      <c r="B4058" s="36"/>
      <c r="C4058" s="37"/>
      <c r="D4058" s="37"/>
      <c r="E4058" s="37"/>
      <c r="F4058" s="37"/>
      <c r="G4058" s="37"/>
      <c r="H4058" s="37"/>
      <c r="I4058" s="35"/>
      <c r="J4058" s="37"/>
    </row>
    <row r="4059" spans="1:10" ht="15.95" customHeight="1" x14ac:dyDescent="0.2">
      <c r="A4059" s="39"/>
      <c r="B4059" s="36"/>
      <c r="C4059" s="37"/>
      <c r="D4059" s="37"/>
      <c r="E4059" s="37"/>
      <c r="F4059" s="37"/>
      <c r="G4059" s="37"/>
      <c r="H4059" s="37"/>
      <c r="I4059" s="35"/>
      <c r="J4059" s="37"/>
    </row>
    <row r="4060" spans="1:10" ht="15.95" customHeight="1" x14ac:dyDescent="0.2">
      <c r="A4060" s="39"/>
      <c r="B4060" s="36"/>
      <c r="C4060" s="37"/>
      <c r="D4060" s="37"/>
      <c r="E4060" s="37"/>
      <c r="F4060" s="37"/>
      <c r="G4060" s="37"/>
      <c r="H4060" s="37"/>
      <c r="I4060" s="35"/>
      <c r="J4060" s="37"/>
    </row>
    <row r="4061" spans="1:10" ht="15.95" customHeight="1" x14ac:dyDescent="0.2">
      <c r="A4061" s="39"/>
      <c r="B4061" s="36"/>
      <c r="C4061" s="37"/>
      <c r="D4061" s="37"/>
      <c r="E4061" s="37"/>
      <c r="F4061" s="37"/>
      <c r="G4061" s="37"/>
      <c r="H4061" s="37"/>
      <c r="I4061" s="35"/>
      <c r="J4061" s="37"/>
    </row>
    <row r="4062" spans="1:10" ht="15.95" customHeight="1" x14ac:dyDescent="0.2">
      <c r="A4062" s="39"/>
      <c r="B4062" s="36"/>
      <c r="C4062" s="37"/>
      <c r="D4062" s="37"/>
      <c r="E4062" s="37"/>
      <c r="F4062" s="37"/>
      <c r="G4062" s="37"/>
      <c r="H4062" s="37"/>
      <c r="I4062" s="35"/>
      <c r="J4062" s="37"/>
    </row>
    <row r="4063" spans="1:10" ht="15.95" customHeight="1" x14ac:dyDescent="0.2">
      <c r="A4063" s="39"/>
      <c r="B4063" s="36"/>
      <c r="C4063" s="37"/>
      <c r="D4063" s="37"/>
      <c r="E4063" s="37"/>
      <c r="F4063" s="37"/>
      <c r="G4063" s="37"/>
      <c r="H4063" s="37"/>
      <c r="I4063" s="35"/>
      <c r="J4063" s="37"/>
    </row>
    <row r="4064" spans="1:10" ht="15.95" customHeight="1" x14ac:dyDescent="0.2">
      <c r="A4064" s="39"/>
      <c r="B4064" s="36"/>
      <c r="C4064" s="37"/>
      <c r="D4064" s="37"/>
      <c r="E4064" s="37"/>
      <c r="F4064" s="37"/>
      <c r="G4064" s="37"/>
      <c r="H4064" s="37"/>
      <c r="I4064" s="35"/>
      <c r="J4064" s="37"/>
    </row>
    <row r="4065" spans="1:10" ht="15.95" customHeight="1" x14ac:dyDescent="0.2">
      <c r="A4065" s="39"/>
      <c r="B4065" s="36"/>
      <c r="C4065" s="37"/>
      <c r="D4065" s="37"/>
      <c r="E4065" s="37"/>
      <c r="F4065" s="37"/>
      <c r="G4065" s="37"/>
      <c r="H4065" s="37"/>
      <c r="I4065" s="35"/>
      <c r="J4065" s="37"/>
    </row>
    <row r="4066" spans="1:10" ht="15.95" customHeight="1" x14ac:dyDescent="0.2">
      <c r="A4066" s="39"/>
      <c r="B4066" s="36"/>
      <c r="C4066" s="37"/>
      <c r="D4066" s="37"/>
      <c r="E4066" s="37"/>
      <c r="F4066" s="37"/>
      <c r="G4066" s="37"/>
      <c r="H4066" s="37"/>
      <c r="I4066" s="35"/>
      <c r="J4066" s="37"/>
    </row>
    <row r="4067" spans="1:10" ht="15.95" customHeight="1" x14ac:dyDescent="0.2">
      <c r="A4067" s="39"/>
      <c r="B4067" s="36"/>
      <c r="C4067" s="37"/>
      <c r="D4067" s="37"/>
      <c r="E4067" s="37"/>
      <c r="F4067" s="37"/>
      <c r="G4067" s="37"/>
      <c r="H4067" s="37"/>
      <c r="I4067" s="35"/>
      <c r="J4067" s="37"/>
    </row>
    <row r="4068" spans="1:10" ht="15.95" customHeight="1" x14ac:dyDescent="0.2">
      <c r="A4068" s="39"/>
      <c r="B4068" s="36"/>
      <c r="C4068" s="37"/>
      <c r="D4068" s="37"/>
      <c r="E4068" s="37"/>
      <c r="F4068" s="37"/>
      <c r="G4068" s="37"/>
      <c r="H4068" s="37"/>
      <c r="I4068" s="35"/>
      <c r="J4068" s="37"/>
    </row>
    <row r="4069" spans="1:10" ht="15.95" customHeight="1" x14ac:dyDescent="0.2">
      <c r="A4069" s="39"/>
      <c r="B4069" s="36"/>
      <c r="C4069" s="37"/>
      <c r="D4069" s="37"/>
      <c r="E4069" s="37"/>
      <c r="F4069" s="37"/>
      <c r="G4069" s="37"/>
      <c r="H4069" s="37"/>
      <c r="I4069" s="35"/>
      <c r="J4069" s="37"/>
    </row>
    <row r="4070" spans="1:10" ht="15.95" customHeight="1" x14ac:dyDescent="0.2">
      <c r="A4070" s="39"/>
      <c r="B4070" s="36"/>
      <c r="C4070" s="37"/>
      <c r="D4070" s="37"/>
      <c r="E4070" s="37"/>
      <c r="F4070" s="37"/>
      <c r="G4070" s="37"/>
      <c r="H4070" s="37"/>
      <c r="I4070" s="35"/>
      <c r="J4070" s="37"/>
    </row>
    <row r="4071" spans="1:10" ht="15.95" customHeight="1" x14ac:dyDescent="0.2">
      <c r="A4071" s="39"/>
      <c r="B4071" s="36"/>
      <c r="C4071" s="37"/>
      <c r="D4071" s="37"/>
      <c r="E4071" s="37"/>
      <c r="F4071" s="37"/>
      <c r="G4071" s="37"/>
      <c r="H4071" s="37"/>
      <c r="I4071" s="35"/>
      <c r="J4071" s="37"/>
    </row>
    <row r="4072" spans="1:10" ht="15.95" customHeight="1" x14ac:dyDescent="0.2">
      <c r="A4072" s="39"/>
      <c r="B4072" s="36"/>
      <c r="C4072" s="37"/>
      <c r="D4072" s="37"/>
      <c r="E4072" s="37"/>
      <c r="F4072" s="37"/>
      <c r="G4072" s="37"/>
      <c r="H4072" s="37"/>
      <c r="I4072" s="35"/>
      <c r="J4072" s="37"/>
    </row>
    <row r="4073" spans="1:10" ht="15.95" customHeight="1" x14ac:dyDescent="0.2">
      <c r="A4073" s="39"/>
      <c r="B4073" s="36"/>
      <c r="C4073" s="37"/>
      <c r="D4073" s="37"/>
      <c r="E4073" s="37"/>
      <c r="F4073" s="37"/>
      <c r="G4073" s="37"/>
      <c r="H4073" s="37"/>
      <c r="I4073" s="35"/>
      <c r="J4073" s="37"/>
    </row>
    <row r="4074" spans="1:10" ht="15.95" customHeight="1" x14ac:dyDescent="0.2">
      <c r="A4074" s="39"/>
      <c r="B4074" s="36"/>
      <c r="C4074" s="37"/>
      <c r="D4074" s="37"/>
      <c r="E4074" s="37"/>
      <c r="F4074" s="37"/>
      <c r="G4074" s="37"/>
      <c r="H4074" s="37"/>
      <c r="I4074" s="35"/>
      <c r="J4074" s="37"/>
    </row>
    <row r="4075" spans="1:10" ht="15.95" customHeight="1" x14ac:dyDescent="0.2">
      <c r="A4075" s="39"/>
      <c r="B4075" s="36"/>
      <c r="C4075" s="37"/>
      <c r="D4075" s="37"/>
      <c r="E4075" s="37"/>
      <c r="F4075" s="37"/>
      <c r="G4075" s="37"/>
      <c r="H4075" s="37"/>
      <c r="I4075" s="35"/>
      <c r="J4075" s="37"/>
    </row>
    <row r="4076" spans="1:10" ht="15.95" customHeight="1" x14ac:dyDescent="0.2">
      <c r="A4076" s="39"/>
      <c r="B4076" s="36"/>
      <c r="C4076" s="37"/>
      <c r="D4076" s="37"/>
      <c r="E4076" s="37"/>
      <c r="F4076" s="37"/>
      <c r="G4076" s="37"/>
      <c r="H4076" s="37"/>
      <c r="I4076" s="35"/>
      <c r="J4076" s="37"/>
    </row>
    <row r="4077" spans="1:10" ht="15.95" customHeight="1" x14ac:dyDescent="0.2">
      <c r="A4077" s="39"/>
      <c r="B4077" s="36"/>
      <c r="C4077" s="37"/>
      <c r="D4077" s="37"/>
      <c r="E4077" s="37"/>
      <c r="F4077" s="37"/>
      <c r="G4077" s="37"/>
      <c r="H4077" s="37"/>
      <c r="I4077" s="35"/>
      <c r="J4077" s="37"/>
    </row>
    <row r="4078" spans="1:10" ht="15.95" customHeight="1" x14ac:dyDescent="0.2">
      <c r="A4078" s="39"/>
      <c r="B4078" s="36"/>
      <c r="C4078" s="37"/>
      <c r="D4078" s="37"/>
      <c r="E4078" s="37"/>
      <c r="F4078" s="37"/>
      <c r="G4078" s="37"/>
      <c r="H4078" s="37"/>
      <c r="I4078" s="35"/>
      <c r="J4078" s="37"/>
    </row>
    <row r="4079" spans="1:10" ht="15.95" customHeight="1" x14ac:dyDescent="0.2">
      <c r="A4079" s="39"/>
      <c r="B4079" s="36"/>
      <c r="C4079" s="37"/>
      <c r="D4079" s="37"/>
      <c r="E4079" s="37"/>
      <c r="F4079" s="37"/>
      <c r="G4079" s="37"/>
      <c r="H4079" s="37"/>
      <c r="I4079" s="35"/>
      <c r="J4079" s="37"/>
    </row>
    <row r="4080" spans="1:10" ht="15.95" customHeight="1" x14ac:dyDescent="0.2">
      <c r="A4080" s="39"/>
      <c r="B4080" s="36"/>
      <c r="C4080" s="37"/>
      <c r="D4080" s="37"/>
      <c r="E4080" s="37"/>
      <c r="F4080" s="37"/>
      <c r="G4080" s="37"/>
      <c r="H4080" s="37"/>
      <c r="I4080" s="35"/>
      <c r="J4080" s="37"/>
    </row>
    <row r="4081" spans="1:10" ht="15.95" customHeight="1" x14ac:dyDescent="0.2">
      <c r="A4081" s="39"/>
      <c r="B4081" s="36"/>
      <c r="C4081" s="37"/>
      <c r="D4081" s="37"/>
      <c r="E4081" s="37"/>
      <c r="F4081" s="37"/>
      <c r="G4081" s="37"/>
      <c r="H4081" s="37"/>
      <c r="I4081" s="35"/>
      <c r="J4081" s="37"/>
    </row>
    <row r="4082" spans="1:10" ht="15.95" customHeight="1" x14ac:dyDescent="0.2">
      <c r="A4082" s="39"/>
      <c r="B4082" s="36"/>
      <c r="C4082" s="37"/>
      <c r="D4082" s="37"/>
      <c r="E4082" s="37"/>
      <c r="F4082" s="37"/>
      <c r="G4082" s="37"/>
      <c r="H4082" s="37"/>
      <c r="I4082" s="35"/>
      <c r="J4082" s="37"/>
    </row>
    <row r="4083" spans="1:10" ht="15.95" customHeight="1" x14ac:dyDescent="0.2">
      <c r="A4083" s="39"/>
      <c r="B4083" s="36"/>
      <c r="C4083" s="37"/>
      <c r="D4083" s="37"/>
      <c r="E4083" s="37"/>
      <c r="F4083" s="37"/>
      <c r="G4083" s="37"/>
      <c r="H4083" s="37"/>
      <c r="I4083" s="35"/>
      <c r="J4083" s="37"/>
    </row>
    <row r="4084" spans="1:10" ht="15.95" customHeight="1" x14ac:dyDescent="0.2">
      <c r="A4084" s="39"/>
      <c r="B4084" s="36"/>
      <c r="C4084" s="37"/>
      <c r="D4084" s="37"/>
      <c r="E4084" s="37"/>
      <c r="F4084" s="37"/>
      <c r="G4084" s="37"/>
      <c r="H4084" s="37"/>
      <c r="I4084" s="35"/>
      <c r="J4084" s="37"/>
    </row>
    <row r="4085" spans="1:10" ht="15.95" customHeight="1" x14ac:dyDescent="0.2">
      <c r="A4085" s="39"/>
      <c r="B4085" s="36"/>
      <c r="C4085" s="37"/>
      <c r="D4085" s="37"/>
      <c r="E4085" s="37"/>
      <c r="F4085" s="37"/>
      <c r="G4085" s="37"/>
      <c r="H4085" s="37"/>
      <c r="I4085" s="35"/>
      <c r="J4085" s="37"/>
    </row>
    <row r="4086" spans="1:10" ht="15.95" customHeight="1" x14ac:dyDescent="0.2">
      <c r="A4086" s="39"/>
      <c r="B4086" s="36"/>
      <c r="C4086" s="37"/>
      <c r="D4086" s="37"/>
      <c r="E4086" s="37"/>
      <c r="F4086" s="37"/>
      <c r="G4086" s="37"/>
      <c r="H4086" s="37"/>
      <c r="I4086" s="35"/>
      <c r="J4086" s="37"/>
    </row>
    <row r="4087" spans="1:10" ht="15.95" customHeight="1" x14ac:dyDescent="0.2">
      <c r="A4087" s="39"/>
      <c r="B4087" s="36"/>
      <c r="C4087" s="37"/>
      <c r="D4087" s="37"/>
      <c r="E4087" s="37"/>
      <c r="F4087" s="37"/>
      <c r="G4087" s="37"/>
      <c r="H4087" s="37"/>
      <c r="I4087" s="35"/>
      <c r="J4087" s="37"/>
    </row>
    <row r="4088" spans="1:10" ht="15.95" customHeight="1" x14ac:dyDescent="0.2">
      <c r="A4088" s="39"/>
      <c r="B4088" s="36"/>
      <c r="C4088" s="37"/>
      <c r="D4088" s="37"/>
      <c r="E4088" s="37"/>
      <c r="F4088" s="37"/>
      <c r="G4088" s="37"/>
      <c r="H4088" s="37"/>
      <c r="I4088" s="35"/>
      <c r="J4088" s="37"/>
    </row>
    <row r="4089" spans="1:10" ht="15.95" customHeight="1" x14ac:dyDescent="0.2">
      <c r="A4089" s="39"/>
      <c r="B4089" s="36"/>
      <c r="C4089" s="37"/>
      <c r="D4089" s="37"/>
      <c r="E4089" s="37"/>
      <c r="F4089" s="37"/>
      <c r="G4089" s="37"/>
      <c r="H4089" s="37"/>
      <c r="I4089" s="35"/>
      <c r="J4089" s="37"/>
    </row>
    <row r="4090" spans="1:10" ht="15.95" customHeight="1" x14ac:dyDescent="0.2">
      <c r="A4090" s="39"/>
      <c r="B4090" s="36"/>
      <c r="C4090" s="37"/>
      <c r="D4090" s="37"/>
      <c r="E4090" s="37"/>
      <c r="F4090" s="37"/>
      <c r="G4090" s="37"/>
      <c r="H4090" s="37"/>
      <c r="I4090" s="35"/>
      <c r="J4090" s="37"/>
    </row>
    <row r="4091" spans="1:10" ht="15.95" customHeight="1" x14ac:dyDescent="0.2">
      <c r="A4091" s="39"/>
      <c r="B4091" s="36"/>
      <c r="C4091" s="37"/>
      <c r="D4091" s="37"/>
      <c r="E4091" s="37"/>
      <c r="F4091" s="37"/>
      <c r="G4091" s="37"/>
      <c r="H4091" s="37"/>
      <c r="I4091" s="35"/>
      <c r="J4091" s="37"/>
    </row>
    <row r="4092" spans="1:10" ht="15.95" customHeight="1" x14ac:dyDescent="0.2">
      <c r="A4092" s="39"/>
      <c r="B4092" s="36"/>
      <c r="C4092" s="37"/>
      <c r="D4092" s="37"/>
      <c r="E4092" s="37"/>
      <c r="F4092" s="37"/>
      <c r="G4092" s="37"/>
      <c r="H4092" s="37"/>
      <c r="I4092" s="35"/>
      <c r="J4092" s="37"/>
    </row>
    <row r="4093" spans="1:10" ht="15.95" customHeight="1" x14ac:dyDescent="0.2">
      <c r="A4093" s="39"/>
      <c r="B4093" s="36"/>
      <c r="C4093" s="37"/>
      <c r="D4093" s="37"/>
      <c r="E4093" s="37"/>
      <c r="F4093" s="37"/>
      <c r="G4093" s="37"/>
      <c r="H4093" s="37"/>
      <c r="I4093" s="35"/>
      <c r="J4093" s="37"/>
    </row>
    <row r="4094" spans="1:10" ht="15.95" customHeight="1" x14ac:dyDescent="0.2">
      <c r="A4094" s="39"/>
      <c r="B4094" s="36"/>
      <c r="C4094" s="37"/>
      <c r="D4094" s="37"/>
      <c r="E4094" s="37"/>
      <c r="F4094" s="37"/>
      <c r="G4094" s="37"/>
      <c r="H4094" s="37"/>
      <c r="I4094" s="35"/>
      <c r="J4094" s="37"/>
    </row>
    <row r="4095" spans="1:10" ht="15.95" customHeight="1" x14ac:dyDescent="0.2">
      <c r="A4095" s="39"/>
      <c r="B4095" s="36"/>
      <c r="C4095" s="37"/>
      <c r="D4095" s="37"/>
      <c r="E4095" s="37"/>
      <c r="F4095" s="37"/>
      <c r="G4095" s="37"/>
      <c r="H4095" s="37"/>
      <c r="I4095" s="35"/>
      <c r="J4095" s="37"/>
    </row>
    <row r="4096" spans="1:10" ht="15.95" customHeight="1" x14ac:dyDescent="0.2">
      <c r="A4096" s="39"/>
      <c r="B4096" s="36"/>
      <c r="C4096" s="37"/>
      <c r="D4096" s="37"/>
      <c r="E4096" s="37"/>
      <c r="F4096" s="37"/>
      <c r="G4096" s="37"/>
      <c r="H4096" s="37"/>
      <c r="I4096" s="35"/>
      <c r="J4096" s="37"/>
    </row>
    <row r="4097" spans="1:10" ht="15.95" customHeight="1" x14ac:dyDescent="0.2">
      <c r="A4097" s="39"/>
      <c r="B4097" s="36"/>
      <c r="C4097" s="37"/>
      <c r="D4097" s="37"/>
      <c r="E4097" s="37"/>
      <c r="F4097" s="37"/>
      <c r="G4097" s="37"/>
      <c r="H4097" s="37"/>
      <c r="I4097" s="35"/>
      <c r="J4097" s="37"/>
    </row>
    <row r="4098" spans="1:10" ht="15.95" customHeight="1" x14ac:dyDescent="0.2">
      <c r="A4098" s="39"/>
      <c r="B4098" s="36"/>
      <c r="C4098" s="37"/>
      <c r="D4098" s="37"/>
      <c r="E4098" s="37"/>
      <c r="F4098" s="37"/>
      <c r="G4098" s="37"/>
      <c r="H4098" s="37"/>
      <c r="I4098" s="35"/>
      <c r="J4098" s="37"/>
    </row>
    <row r="4099" spans="1:10" ht="15.95" customHeight="1" x14ac:dyDescent="0.2">
      <c r="A4099" s="39"/>
      <c r="B4099" s="36"/>
      <c r="C4099" s="37"/>
      <c r="D4099" s="37"/>
      <c r="E4099" s="37"/>
      <c r="F4099" s="37"/>
      <c r="G4099" s="37"/>
      <c r="H4099" s="37"/>
      <c r="I4099" s="35"/>
      <c r="J4099" s="37"/>
    </row>
    <row r="4100" spans="1:10" ht="15.95" customHeight="1" x14ac:dyDescent="0.2">
      <c r="A4100" s="39"/>
      <c r="B4100" s="36"/>
      <c r="C4100" s="37"/>
      <c r="D4100" s="37"/>
      <c r="E4100" s="37"/>
      <c r="F4100" s="37"/>
      <c r="G4100" s="37"/>
      <c r="H4100" s="37"/>
      <c r="I4100" s="35"/>
      <c r="J4100" s="37"/>
    </row>
    <row r="4101" spans="1:10" ht="15.95" customHeight="1" x14ac:dyDescent="0.2">
      <c r="A4101" s="39"/>
      <c r="B4101" s="36"/>
      <c r="C4101" s="37"/>
      <c r="D4101" s="37"/>
      <c r="E4101" s="37"/>
      <c r="F4101" s="37"/>
      <c r="G4101" s="37"/>
      <c r="H4101" s="37"/>
      <c r="I4101" s="35"/>
      <c r="J4101" s="37"/>
    </row>
    <row r="4102" spans="1:10" ht="15.95" customHeight="1" x14ac:dyDescent="0.2">
      <c r="A4102" s="39"/>
      <c r="B4102" s="36"/>
      <c r="C4102" s="37"/>
      <c r="D4102" s="37"/>
      <c r="E4102" s="37"/>
      <c r="F4102" s="37"/>
      <c r="G4102" s="37"/>
      <c r="H4102" s="37"/>
      <c r="I4102" s="35"/>
      <c r="J4102" s="37"/>
    </row>
    <row r="4103" spans="1:10" ht="15.95" customHeight="1" x14ac:dyDescent="0.2">
      <c r="A4103" s="39"/>
      <c r="B4103" s="36"/>
      <c r="C4103" s="37"/>
      <c r="D4103" s="37"/>
      <c r="E4103" s="37"/>
      <c r="F4103" s="37"/>
      <c r="G4103" s="37"/>
      <c r="H4103" s="37"/>
      <c r="I4103" s="35"/>
      <c r="J4103" s="37"/>
    </row>
    <row r="4104" spans="1:10" ht="15.95" customHeight="1" x14ac:dyDescent="0.2">
      <c r="A4104" s="39"/>
      <c r="B4104" s="36"/>
      <c r="C4104" s="37"/>
      <c r="D4104" s="37"/>
      <c r="E4104" s="37"/>
      <c r="F4104" s="37"/>
      <c r="G4104" s="37"/>
      <c r="H4104" s="37"/>
      <c r="I4104" s="35"/>
      <c r="J4104" s="37"/>
    </row>
    <row r="4105" spans="1:10" ht="15.95" customHeight="1" x14ac:dyDescent="0.2">
      <c r="A4105" s="39"/>
      <c r="B4105" s="36"/>
      <c r="C4105" s="37"/>
      <c r="D4105" s="37"/>
      <c r="E4105" s="37"/>
      <c r="F4105" s="37"/>
      <c r="G4105" s="37"/>
      <c r="H4105" s="37"/>
      <c r="I4105" s="35"/>
      <c r="J4105" s="37"/>
    </row>
    <row r="4106" spans="1:10" ht="15.95" customHeight="1" x14ac:dyDescent="0.2">
      <c r="A4106" s="39"/>
      <c r="B4106" s="36"/>
      <c r="C4106" s="37"/>
      <c r="D4106" s="37"/>
      <c r="E4106" s="37"/>
      <c r="F4106" s="37"/>
      <c r="G4106" s="37"/>
      <c r="H4106" s="37"/>
      <c r="I4106" s="35"/>
      <c r="J4106" s="37"/>
    </row>
    <row r="4107" spans="1:10" ht="15.95" customHeight="1" x14ac:dyDescent="0.2">
      <c r="A4107" s="39"/>
      <c r="B4107" s="36"/>
      <c r="C4107" s="37"/>
      <c r="D4107" s="37"/>
      <c r="E4107" s="37"/>
      <c r="F4107" s="37"/>
      <c r="G4107" s="37"/>
      <c r="H4107" s="37"/>
      <c r="I4107" s="35"/>
      <c r="J4107" s="37"/>
    </row>
    <row r="4108" spans="1:10" ht="15.95" customHeight="1" x14ac:dyDescent="0.2">
      <c r="A4108" s="39"/>
      <c r="B4108" s="36"/>
      <c r="C4108" s="37"/>
      <c r="D4108" s="37"/>
      <c r="E4108" s="37"/>
      <c r="F4108" s="37"/>
      <c r="G4108" s="37"/>
      <c r="H4108" s="37"/>
      <c r="I4108" s="35"/>
      <c r="J4108" s="37"/>
    </row>
    <row r="4109" spans="1:10" ht="15.95" customHeight="1" x14ac:dyDescent="0.2">
      <c r="A4109" s="39"/>
      <c r="B4109" s="36"/>
      <c r="C4109" s="37"/>
      <c r="D4109" s="37"/>
      <c r="E4109" s="37"/>
      <c r="F4109" s="37"/>
      <c r="G4109" s="37"/>
      <c r="H4109" s="37"/>
      <c r="I4109" s="35"/>
      <c r="J4109" s="37"/>
    </row>
    <row r="4110" spans="1:10" ht="15.95" customHeight="1" x14ac:dyDescent="0.2">
      <c r="A4110" s="39"/>
      <c r="B4110" s="36"/>
      <c r="C4110" s="37"/>
      <c r="D4110" s="37"/>
      <c r="E4110" s="37"/>
      <c r="F4110" s="37"/>
      <c r="G4110" s="37"/>
      <c r="H4110" s="37"/>
      <c r="I4110" s="35"/>
      <c r="J4110" s="37"/>
    </row>
    <row r="4111" spans="1:10" ht="15.95" customHeight="1" x14ac:dyDescent="0.2">
      <c r="A4111" s="39"/>
      <c r="B4111" s="36"/>
      <c r="C4111" s="37"/>
      <c r="D4111" s="37"/>
      <c r="E4111" s="37"/>
      <c r="F4111" s="37"/>
      <c r="G4111" s="37"/>
      <c r="H4111" s="37"/>
      <c r="I4111" s="35"/>
      <c r="J4111" s="37"/>
    </row>
    <row r="4112" spans="1:10" ht="15.95" customHeight="1" x14ac:dyDescent="0.2">
      <c r="A4112" s="39"/>
      <c r="B4112" s="36"/>
      <c r="C4112" s="37"/>
      <c r="D4112" s="37"/>
      <c r="E4112" s="37"/>
      <c r="F4112" s="37"/>
      <c r="G4112" s="37"/>
      <c r="H4112" s="37"/>
      <c r="I4112" s="35"/>
      <c r="J4112" s="37"/>
    </row>
    <row r="4113" spans="1:10" ht="15.95" customHeight="1" x14ac:dyDescent="0.2">
      <c r="A4113" s="39"/>
      <c r="B4113" s="36"/>
      <c r="C4113" s="37"/>
      <c r="D4113" s="37"/>
      <c r="E4113" s="37"/>
      <c r="F4113" s="37"/>
      <c r="G4113" s="37"/>
      <c r="H4113" s="37"/>
      <c r="I4113" s="35"/>
      <c r="J4113" s="37"/>
    </row>
    <row r="4114" spans="1:10" ht="15.95" customHeight="1" x14ac:dyDescent="0.2">
      <c r="A4114" s="39"/>
      <c r="B4114" s="36"/>
      <c r="C4114" s="37"/>
      <c r="D4114" s="37"/>
      <c r="E4114" s="37"/>
      <c r="F4114" s="37"/>
      <c r="G4114" s="37"/>
      <c r="H4114" s="37"/>
      <c r="I4114" s="35"/>
      <c r="J4114" s="37"/>
    </row>
    <row r="4115" spans="1:10" ht="15.95" customHeight="1" x14ac:dyDescent="0.2">
      <c r="A4115" s="39"/>
      <c r="B4115" s="36"/>
      <c r="C4115" s="37"/>
      <c r="D4115" s="37"/>
      <c r="E4115" s="37"/>
      <c r="F4115" s="37"/>
      <c r="G4115" s="37"/>
      <c r="H4115" s="37"/>
      <c r="I4115" s="35"/>
      <c r="J4115" s="37"/>
    </row>
    <row r="4116" spans="1:10" ht="15.95" customHeight="1" x14ac:dyDescent="0.2">
      <c r="A4116" s="39"/>
      <c r="B4116" s="36"/>
      <c r="C4116" s="37"/>
      <c r="D4116" s="37"/>
      <c r="E4116" s="37"/>
      <c r="F4116" s="37"/>
      <c r="G4116" s="37"/>
      <c r="H4116" s="37"/>
      <c r="I4116" s="35"/>
      <c r="J4116" s="37"/>
    </row>
    <row r="4117" spans="1:10" ht="15.95" customHeight="1" x14ac:dyDescent="0.2">
      <c r="A4117" s="39"/>
      <c r="B4117" s="36"/>
      <c r="C4117" s="37"/>
      <c r="D4117" s="37"/>
      <c r="E4117" s="37"/>
      <c r="F4117" s="37"/>
      <c r="G4117" s="37"/>
      <c r="H4117" s="37"/>
      <c r="I4117" s="35"/>
      <c r="J4117" s="37"/>
    </row>
    <row r="4118" spans="1:10" ht="15.95" customHeight="1" x14ac:dyDescent="0.2">
      <c r="A4118" s="39"/>
      <c r="B4118" s="36"/>
      <c r="C4118" s="37"/>
      <c r="D4118" s="37"/>
      <c r="E4118" s="37"/>
      <c r="F4118" s="37"/>
      <c r="G4118" s="37"/>
      <c r="H4118" s="37"/>
      <c r="I4118" s="35"/>
      <c r="J4118" s="37"/>
    </row>
    <row r="4119" spans="1:10" ht="15.95" customHeight="1" x14ac:dyDescent="0.2">
      <c r="A4119" s="39"/>
      <c r="B4119" s="36"/>
      <c r="C4119" s="37"/>
      <c r="D4119" s="37"/>
      <c r="E4119" s="37"/>
      <c r="F4119" s="37"/>
      <c r="G4119" s="37"/>
      <c r="H4119" s="37"/>
      <c r="I4119" s="35"/>
      <c r="J4119" s="37"/>
    </row>
    <row r="4120" spans="1:10" ht="15.95" customHeight="1" x14ac:dyDescent="0.2">
      <c r="A4120" s="39"/>
      <c r="B4120" s="36"/>
      <c r="C4120" s="37"/>
      <c r="D4120" s="37"/>
      <c r="E4120" s="37"/>
      <c r="F4120" s="37"/>
      <c r="G4120" s="37"/>
      <c r="H4120" s="37"/>
      <c r="I4120" s="35"/>
      <c r="J4120" s="37"/>
    </row>
    <row r="4121" spans="1:10" ht="15.95" customHeight="1" x14ac:dyDescent="0.2">
      <c r="A4121" s="39"/>
      <c r="B4121" s="36"/>
      <c r="C4121" s="37"/>
      <c r="D4121" s="37"/>
      <c r="E4121" s="37"/>
      <c r="F4121" s="37"/>
      <c r="G4121" s="37"/>
      <c r="H4121" s="37"/>
      <c r="I4121" s="35"/>
      <c r="J4121" s="37"/>
    </row>
    <row r="4122" spans="1:10" ht="15.95" customHeight="1" x14ac:dyDescent="0.2">
      <c r="A4122" s="39"/>
      <c r="B4122" s="36"/>
      <c r="C4122" s="37"/>
      <c r="D4122" s="37"/>
      <c r="E4122" s="37"/>
      <c r="F4122" s="37"/>
      <c r="G4122" s="37"/>
      <c r="H4122" s="37"/>
      <c r="I4122" s="35"/>
      <c r="J4122" s="37"/>
    </row>
    <row r="4123" spans="1:10" ht="15.95" customHeight="1" x14ac:dyDescent="0.2">
      <c r="A4123" s="39"/>
      <c r="B4123" s="36"/>
      <c r="C4123" s="37"/>
      <c r="D4123" s="37"/>
      <c r="E4123" s="37"/>
      <c r="F4123" s="37"/>
      <c r="G4123" s="37"/>
      <c r="H4123" s="37"/>
      <c r="I4123" s="35"/>
      <c r="J4123" s="37"/>
    </row>
    <row r="4124" spans="1:10" ht="15.95" customHeight="1" x14ac:dyDescent="0.2">
      <c r="A4124" s="39"/>
      <c r="B4124" s="36"/>
      <c r="C4124" s="37"/>
      <c r="D4124" s="37"/>
      <c r="E4124" s="37"/>
      <c r="F4124" s="37"/>
      <c r="G4124" s="37"/>
      <c r="H4124" s="37"/>
      <c r="I4124" s="35"/>
      <c r="J4124" s="37"/>
    </row>
    <row r="4125" spans="1:10" ht="15.95" customHeight="1" x14ac:dyDescent="0.2">
      <c r="A4125" s="39"/>
      <c r="B4125" s="36"/>
      <c r="C4125" s="37"/>
      <c r="D4125" s="37"/>
      <c r="E4125" s="37"/>
      <c r="F4125" s="37"/>
      <c r="G4125" s="37"/>
      <c r="H4125" s="37"/>
      <c r="I4125" s="35"/>
      <c r="J4125" s="37"/>
    </row>
    <row r="4126" spans="1:10" ht="15.95" customHeight="1" x14ac:dyDescent="0.2">
      <c r="A4126" s="39"/>
      <c r="B4126" s="36"/>
      <c r="C4126" s="37"/>
      <c r="D4126" s="37"/>
      <c r="E4126" s="37"/>
      <c r="F4126" s="37"/>
      <c r="G4126" s="37"/>
      <c r="H4126" s="37"/>
      <c r="I4126" s="35"/>
      <c r="J4126" s="37"/>
    </row>
    <row r="4127" spans="1:10" ht="15.95" customHeight="1" x14ac:dyDescent="0.2">
      <c r="A4127" s="39"/>
      <c r="B4127" s="36"/>
      <c r="C4127" s="37"/>
      <c r="D4127" s="37"/>
      <c r="E4127" s="37"/>
      <c r="F4127" s="37"/>
      <c r="G4127" s="37"/>
      <c r="H4127" s="37"/>
      <c r="I4127" s="35"/>
      <c r="J4127" s="37"/>
    </row>
    <row r="4128" spans="1:10" ht="15.95" customHeight="1" x14ac:dyDescent="0.2">
      <c r="A4128" s="39"/>
      <c r="B4128" s="36"/>
      <c r="C4128" s="37"/>
      <c r="D4128" s="37"/>
      <c r="E4128" s="37"/>
      <c r="F4128" s="37"/>
      <c r="G4128" s="37"/>
      <c r="H4128" s="37"/>
      <c r="I4128" s="35"/>
      <c r="J4128" s="37"/>
    </row>
    <row r="4129" spans="1:10" ht="15.95" customHeight="1" x14ac:dyDescent="0.2">
      <c r="A4129" s="39"/>
      <c r="B4129" s="36"/>
      <c r="C4129" s="37"/>
      <c r="D4129" s="37"/>
      <c r="E4129" s="37"/>
      <c r="F4129" s="37"/>
      <c r="G4129" s="37"/>
      <c r="H4129" s="37"/>
      <c r="I4129" s="35"/>
      <c r="J4129" s="37"/>
    </row>
    <row r="4130" spans="1:10" ht="15.95" customHeight="1" x14ac:dyDescent="0.2">
      <c r="A4130" s="39"/>
      <c r="B4130" s="36"/>
      <c r="C4130" s="37"/>
      <c r="D4130" s="37"/>
      <c r="E4130" s="37"/>
      <c r="F4130" s="37"/>
      <c r="G4130" s="37"/>
      <c r="H4130" s="37"/>
      <c r="I4130" s="35"/>
      <c r="J4130" s="37"/>
    </row>
    <row r="4131" spans="1:10" ht="15.95" customHeight="1" x14ac:dyDescent="0.2">
      <c r="A4131" s="39"/>
      <c r="B4131" s="36"/>
      <c r="C4131" s="37"/>
      <c r="D4131" s="37"/>
      <c r="E4131" s="37"/>
      <c r="F4131" s="37"/>
      <c r="G4131" s="37"/>
      <c r="H4131" s="37"/>
      <c r="I4131" s="35"/>
      <c r="J4131" s="37"/>
    </row>
    <row r="4132" spans="1:10" ht="15.95" customHeight="1" x14ac:dyDescent="0.2">
      <c r="A4132" s="39"/>
      <c r="B4132" s="36"/>
      <c r="C4132" s="37"/>
      <c r="D4132" s="37"/>
      <c r="E4132" s="37"/>
      <c r="F4132" s="37"/>
      <c r="G4132" s="37"/>
      <c r="H4132" s="37"/>
      <c r="I4132" s="35"/>
      <c r="J4132" s="37"/>
    </row>
    <row r="4133" spans="1:10" ht="15.95" customHeight="1" x14ac:dyDescent="0.2">
      <c r="A4133" s="39"/>
      <c r="B4133" s="36"/>
      <c r="C4133" s="37"/>
      <c r="D4133" s="37"/>
      <c r="E4133" s="37"/>
      <c r="F4133" s="37"/>
      <c r="G4133" s="37"/>
      <c r="H4133" s="37"/>
      <c r="I4133" s="35"/>
      <c r="J4133" s="37"/>
    </row>
    <row r="4134" spans="1:10" ht="15.95" customHeight="1" x14ac:dyDescent="0.2">
      <c r="A4134" s="39"/>
      <c r="B4134" s="36"/>
      <c r="C4134" s="37"/>
      <c r="D4134" s="37"/>
      <c r="E4134" s="37"/>
      <c r="F4134" s="37"/>
      <c r="G4134" s="37"/>
      <c r="H4134" s="37"/>
      <c r="I4134" s="35"/>
      <c r="J4134" s="37"/>
    </row>
    <row r="4135" spans="1:10" ht="15.95" customHeight="1" x14ac:dyDescent="0.2">
      <c r="A4135" s="39"/>
      <c r="B4135" s="36"/>
      <c r="C4135" s="37"/>
      <c r="D4135" s="37"/>
      <c r="E4135" s="37"/>
      <c r="F4135" s="37"/>
      <c r="G4135" s="37"/>
      <c r="H4135" s="37"/>
      <c r="I4135" s="35"/>
      <c r="J4135" s="37"/>
    </row>
    <row r="4136" spans="1:10" ht="15.95" customHeight="1" x14ac:dyDescent="0.2">
      <c r="A4136" s="39"/>
      <c r="B4136" s="36"/>
      <c r="C4136" s="37"/>
      <c r="D4136" s="37"/>
      <c r="E4136" s="37"/>
      <c r="F4136" s="37"/>
      <c r="G4136" s="37"/>
      <c r="H4136" s="37"/>
      <c r="I4136" s="35"/>
      <c r="J4136" s="37"/>
    </row>
    <row r="4137" spans="1:10" ht="15.95" customHeight="1" x14ac:dyDescent="0.2">
      <c r="A4137" s="39"/>
      <c r="B4137" s="36"/>
      <c r="C4137" s="37"/>
      <c r="D4137" s="37"/>
      <c r="E4137" s="37"/>
      <c r="F4137" s="37"/>
      <c r="G4137" s="37"/>
      <c r="H4137" s="37"/>
      <c r="I4137" s="35"/>
      <c r="J4137" s="37"/>
    </row>
    <row r="4138" spans="1:10" ht="15.95" customHeight="1" x14ac:dyDescent="0.2">
      <c r="A4138" s="39"/>
      <c r="B4138" s="36"/>
      <c r="C4138" s="37"/>
      <c r="D4138" s="37"/>
      <c r="E4138" s="37"/>
      <c r="F4138" s="37"/>
      <c r="G4138" s="37"/>
      <c r="H4138" s="37"/>
      <c r="I4138" s="35"/>
      <c r="J4138" s="37"/>
    </row>
    <row r="4139" spans="1:10" ht="15.95" customHeight="1" x14ac:dyDescent="0.2">
      <c r="A4139" s="39"/>
      <c r="B4139" s="36"/>
      <c r="C4139" s="37"/>
      <c r="D4139" s="37"/>
      <c r="E4139" s="37"/>
      <c r="F4139" s="37"/>
      <c r="G4139" s="37"/>
      <c r="H4139" s="37"/>
      <c r="I4139" s="35"/>
      <c r="J4139" s="37"/>
    </row>
    <row r="4140" spans="1:10" ht="15.95" customHeight="1" x14ac:dyDescent="0.2">
      <c r="A4140" s="39"/>
      <c r="B4140" s="36"/>
      <c r="C4140" s="37"/>
      <c r="D4140" s="37"/>
      <c r="E4140" s="37"/>
      <c r="F4140" s="37"/>
      <c r="G4140" s="37"/>
      <c r="H4140" s="37"/>
      <c r="I4140" s="35"/>
      <c r="J4140" s="37"/>
    </row>
    <row r="4141" spans="1:10" ht="15.95" customHeight="1" x14ac:dyDescent="0.2">
      <c r="A4141" s="39"/>
      <c r="B4141" s="36"/>
      <c r="C4141" s="37"/>
      <c r="D4141" s="37"/>
      <c r="E4141" s="37"/>
      <c r="F4141" s="37"/>
      <c r="G4141" s="37"/>
      <c r="H4141" s="37"/>
      <c r="I4141" s="35"/>
      <c r="J4141" s="37"/>
    </row>
    <row r="4142" spans="1:10" ht="15.95" customHeight="1" x14ac:dyDescent="0.2">
      <c r="A4142" s="39"/>
      <c r="B4142" s="36"/>
      <c r="C4142" s="37"/>
      <c r="D4142" s="37"/>
      <c r="E4142" s="37"/>
      <c r="F4142" s="37"/>
      <c r="G4142" s="37"/>
      <c r="H4142" s="37"/>
      <c r="I4142" s="35"/>
      <c r="J4142" s="37"/>
    </row>
    <row r="4143" spans="1:10" ht="15.95" customHeight="1" x14ac:dyDescent="0.2">
      <c r="A4143" s="39"/>
      <c r="B4143" s="36"/>
      <c r="C4143" s="37"/>
      <c r="D4143" s="37"/>
      <c r="E4143" s="37"/>
      <c r="F4143" s="37"/>
      <c r="G4143" s="37"/>
      <c r="H4143" s="37"/>
      <c r="I4143" s="35"/>
      <c r="J4143" s="37"/>
    </row>
    <row r="4144" spans="1:10" ht="15.95" customHeight="1" x14ac:dyDescent="0.2">
      <c r="A4144" s="39"/>
      <c r="B4144" s="36"/>
      <c r="C4144" s="37"/>
      <c r="D4144" s="37"/>
      <c r="E4144" s="37"/>
      <c r="F4144" s="37"/>
      <c r="G4144" s="37"/>
      <c r="H4144" s="37"/>
      <c r="I4144" s="35"/>
      <c r="J4144" s="37"/>
    </row>
    <row r="4145" spans="1:10" ht="15.95" customHeight="1" x14ac:dyDescent="0.2">
      <c r="A4145" s="39"/>
      <c r="B4145" s="36"/>
      <c r="C4145" s="37"/>
      <c r="D4145" s="37"/>
      <c r="E4145" s="37"/>
      <c r="F4145" s="37"/>
      <c r="G4145" s="37"/>
      <c r="H4145" s="37"/>
      <c r="I4145" s="35"/>
      <c r="J4145" s="37"/>
    </row>
    <row r="4146" spans="1:10" ht="15.95" customHeight="1" x14ac:dyDescent="0.2">
      <c r="A4146" s="39"/>
      <c r="B4146" s="36"/>
      <c r="C4146" s="37"/>
      <c r="D4146" s="37"/>
      <c r="E4146" s="37"/>
      <c r="F4146" s="37"/>
      <c r="G4146" s="37"/>
      <c r="H4146" s="37"/>
      <c r="I4146" s="35"/>
      <c r="J4146" s="37"/>
    </row>
    <row r="4147" spans="1:10" ht="15.95" customHeight="1" x14ac:dyDescent="0.2">
      <c r="A4147" s="39"/>
      <c r="B4147" s="36"/>
      <c r="C4147" s="37"/>
      <c r="D4147" s="37"/>
      <c r="E4147" s="37"/>
      <c r="F4147" s="37"/>
      <c r="G4147" s="37"/>
      <c r="H4147" s="37"/>
      <c r="I4147" s="35"/>
      <c r="J4147" s="37"/>
    </row>
    <row r="4148" spans="1:10" ht="15.95" customHeight="1" x14ac:dyDescent="0.2">
      <c r="A4148" s="39"/>
      <c r="B4148" s="36"/>
      <c r="C4148" s="37"/>
      <c r="D4148" s="37"/>
      <c r="E4148" s="37"/>
      <c r="F4148" s="37"/>
      <c r="G4148" s="37"/>
      <c r="H4148" s="37"/>
      <c r="I4148" s="35"/>
      <c r="J4148" s="37"/>
    </row>
    <row r="4149" spans="1:10" ht="15.95" customHeight="1" x14ac:dyDescent="0.2">
      <c r="A4149" s="39"/>
      <c r="B4149" s="36"/>
      <c r="C4149" s="37"/>
      <c r="D4149" s="37"/>
      <c r="E4149" s="37"/>
      <c r="F4149" s="37"/>
      <c r="G4149" s="37"/>
      <c r="H4149" s="37"/>
      <c r="I4149" s="35"/>
      <c r="J4149" s="37"/>
    </row>
    <row r="4150" spans="1:10" ht="15.95" customHeight="1" x14ac:dyDescent="0.2">
      <c r="A4150" s="39"/>
      <c r="B4150" s="36"/>
      <c r="C4150" s="37"/>
      <c r="D4150" s="37"/>
      <c r="E4150" s="37"/>
      <c r="F4150" s="37"/>
      <c r="G4150" s="37"/>
      <c r="H4150" s="37"/>
      <c r="I4150" s="35"/>
      <c r="J4150" s="37"/>
    </row>
    <row r="4151" spans="1:10" ht="15.95" customHeight="1" x14ac:dyDescent="0.2">
      <c r="A4151" s="39"/>
      <c r="B4151" s="36"/>
      <c r="C4151" s="37"/>
      <c r="D4151" s="37"/>
      <c r="E4151" s="37"/>
      <c r="F4151" s="37"/>
      <c r="G4151" s="37"/>
      <c r="H4151" s="37"/>
      <c r="I4151" s="35"/>
      <c r="J4151" s="37"/>
    </row>
    <row r="4152" spans="1:10" ht="15.95" customHeight="1" x14ac:dyDescent="0.2">
      <c r="A4152" s="39"/>
      <c r="B4152" s="36"/>
      <c r="C4152" s="37"/>
      <c r="D4152" s="37"/>
      <c r="E4152" s="37"/>
      <c r="F4152" s="37"/>
      <c r="G4152" s="37"/>
      <c r="H4152" s="37"/>
      <c r="I4152" s="35"/>
      <c r="J4152" s="37"/>
    </row>
    <row r="4153" spans="1:10" ht="15.95" customHeight="1" x14ac:dyDescent="0.2">
      <c r="A4153" s="39"/>
      <c r="B4153" s="36"/>
      <c r="C4153" s="37"/>
      <c r="D4153" s="37"/>
      <c r="E4153" s="37"/>
      <c r="F4153" s="37"/>
      <c r="G4153" s="37"/>
      <c r="H4153" s="37"/>
      <c r="I4153" s="35"/>
      <c r="J4153" s="37"/>
    </row>
    <row r="4154" spans="1:10" ht="15.95" customHeight="1" x14ac:dyDescent="0.2">
      <c r="A4154" s="39"/>
      <c r="B4154" s="36"/>
      <c r="C4154" s="37"/>
      <c r="D4154" s="37"/>
      <c r="E4154" s="37"/>
      <c r="F4154" s="37"/>
      <c r="G4154" s="37"/>
      <c r="H4154" s="37"/>
      <c r="I4154" s="35"/>
      <c r="J4154" s="37"/>
    </row>
    <row r="4155" spans="1:10" ht="15.95" customHeight="1" x14ac:dyDescent="0.2">
      <c r="A4155" s="39"/>
      <c r="B4155" s="36"/>
      <c r="C4155" s="37"/>
      <c r="D4155" s="37"/>
      <c r="E4155" s="37"/>
      <c r="F4155" s="37"/>
      <c r="G4155" s="37"/>
      <c r="H4155" s="37"/>
      <c r="I4155" s="35"/>
      <c r="J4155" s="37"/>
    </row>
    <row r="4156" spans="1:10" ht="15.95" customHeight="1" x14ac:dyDescent="0.2">
      <c r="A4156" s="39"/>
      <c r="B4156" s="36"/>
      <c r="C4156" s="37"/>
      <c r="D4156" s="37"/>
      <c r="E4156" s="37"/>
      <c r="F4156" s="37"/>
      <c r="G4156" s="37"/>
      <c r="H4156" s="37"/>
      <c r="I4156" s="35"/>
      <c r="J4156" s="37"/>
    </row>
    <row r="4157" spans="1:10" ht="15.95" customHeight="1" x14ac:dyDescent="0.2">
      <c r="A4157" s="39"/>
      <c r="B4157" s="36"/>
      <c r="C4157" s="37"/>
      <c r="D4157" s="37"/>
      <c r="E4157" s="37"/>
      <c r="F4157" s="37"/>
      <c r="G4157" s="37"/>
      <c r="H4157" s="37"/>
      <c r="I4157" s="35"/>
      <c r="J4157" s="37"/>
    </row>
    <row r="4158" spans="1:10" ht="15.95" customHeight="1" x14ac:dyDescent="0.2">
      <c r="A4158" s="39"/>
      <c r="B4158" s="36"/>
      <c r="C4158" s="37"/>
      <c r="D4158" s="37"/>
      <c r="E4158" s="37"/>
      <c r="F4158" s="37"/>
      <c r="G4158" s="37"/>
      <c r="H4158" s="37"/>
      <c r="I4158" s="35"/>
      <c r="J4158" s="37"/>
    </row>
    <row r="4159" spans="1:10" ht="15.95" customHeight="1" x14ac:dyDescent="0.2">
      <c r="A4159" s="39"/>
      <c r="B4159" s="36"/>
      <c r="C4159" s="37"/>
      <c r="D4159" s="37"/>
      <c r="E4159" s="37"/>
      <c r="F4159" s="37"/>
      <c r="G4159" s="37"/>
      <c r="H4159" s="37"/>
      <c r="I4159" s="35"/>
      <c r="J4159" s="37"/>
    </row>
    <row r="4160" spans="1:10" ht="15.95" customHeight="1" x14ac:dyDescent="0.2">
      <c r="A4160" s="39"/>
      <c r="B4160" s="36"/>
      <c r="C4160" s="37"/>
      <c r="D4160" s="37"/>
      <c r="E4160" s="37"/>
      <c r="F4160" s="37"/>
      <c r="G4160" s="37"/>
      <c r="H4160" s="37"/>
      <c r="I4160" s="35"/>
      <c r="J4160" s="37"/>
    </row>
    <row r="4161" spans="1:10" ht="15.95" customHeight="1" x14ac:dyDescent="0.2">
      <c r="A4161" s="39"/>
      <c r="B4161" s="36"/>
      <c r="C4161" s="37"/>
      <c r="D4161" s="37"/>
      <c r="E4161" s="37"/>
      <c r="F4161" s="37"/>
      <c r="G4161" s="37"/>
      <c r="H4161" s="37"/>
      <c r="I4161" s="35"/>
      <c r="J4161" s="37"/>
    </row>
    <row r="4162" spans="1:10" ht="15.95" customHeight="1" x14ac:dyDescent="0.2">
      <c r="A4162" s="39"/>
      <c r="B4162" s="36"/>
      <c r="C4162" s="37"/>
      <c r="D4162" s="37"/>
      <c r="E4162" s="37"/>
      <c r="F4162" s="37"/>
      <c r="G4162" s="37"/>
      <c r="H4162" s="37"/>
      <c r="I4162" s="35"/>
      <c r="J4162" s="37"/>
    </row>
    <row r="4163" spans="1:10" ht="15.95" customHeight="1" x14ac:dyDescent="0.2">
      <c r="A4163" s="39"/>
      <c r="B4163" s="36"/>
      <c r="C4163" s="37"/>
      <c r="D4163" s="37"/>
      <c r="E4163" s="37"/>
      <c r="F4163" s="37"/>
      <c r="G4163" s="37"/>
      <c r="H4163" s="37"/>
      <c r="I4163" s="35"/>
      <c r="J4163" s="37"/>
    </row>
    <row r="4164" spans="1:10" ht="15.95" customHeight="1" x14ac:dyDescent="0.2">
      <c r="A4164" s="39"/>
      <c r="B4164" s="36"/>
      <c r="C4164" s="37"/>
      <c r="D4164" s="37"/>
      <c r="E4164" s="37"/>
      <c r="F4164" s="37"/>
      <c r="G4164" s="37"/>
      <c r="H4164" s="37"/>
      <c r="I4164" s="35"/>
      <c r="J4164" s="37"/>
    </row>
    <row r="4165" spans="1:10" ht="15.95" customHeight="1" x14ac:dyDescent="0.2">
      <c r="A4165" s="39"/>
      <c r="B4165" s="36"/>
      <c r="C4165" s="37"/>
      <c r="D4165" s="37"/>
      <c r="E4165" s="37"/>
      <c r="F4165" s="37"/>
      <c r="G4165" s="37"/>
      <c r="H4165" s="37"/>
      <c r="I4165" s="35"/>
      <c r="J4165" s="37"/>
    </row>
    <row r="4166" spans="1:10" ht="15.95" customHeight="1" x14ac:dyDescent="0.2">
      <c r="A4166" s="39"/>
      <c r="B4166" s="36"/>
      <c r="C4166" s="37"/>
      <c r="D4166" s="37"/>
      <c r="E4166" s="37"/>
      <c r="F4166" s="37"/>
      <c r="G4166" s="37"/>
      <c r="H4166" s="37"/>
      <c r="I4166" s="35"/>
      <c r="J4166" s="37"/>
    </row>
    <row r="4167" spans="1:10" ht="15.95" customHeight="1" x14ac:dyDescent="0.2">
      <c r="A4167" s="39"/>
      <c r="B4167" s="36"/>
      <c r="C4167" s="37"/>
      <c r="D4167" s="37"/>
      <c r="E4167" s="37"/>
      <c r="F4167" s="37"/>
      <c r="G4167" s="37"/>
      <c r="H4167" s="37"/>
      <c r="I4167" s="35"/>
      <c r="J4167" s="37"/>
    </row>
    <row r="4168" spans="1:10" ht="15.95" customHeight="1" x14ac:dyDescent="0.2">
      <c r="A4168" s="39"/>
      <c r="B4168" s="36"/>
      <c r="C4168" s="37"/>
      <c r="D4168" s="37"/>
      <c r="E4168" s="37"/>
      <c r="F4168" s="37"/>
      <c r="G4168" s="37"/>
      <c r="H4168" s="37"/>
      <c r="I4168" s="35"/>
      <c r="J4168" s="37"/>
    </row>
    <row r="4169" spans="1:10" ht="15.95" customHeight="1" x14ac:dyDescent="0.2">
      <c r="A4169" s="39"/>
      <c r="B4169" s="36"/>
      <c r="C4169" s="37"/>
      <c r="D4169" s="37"/>
      <c r="E4169" s="37"/>
      <c r="F4169" s="37"/>
      <c r="G4169" s="37"/>
      <c r="H4169" s="37"/>
      <c r="I4169" s="35"/>
      <c r="J4169" s="37"/>
    </row>
    <row r="4170" spans="1:10" ht="15.95" customHeight="1" x14ac:dyDescent="0.2">
      <c r="A4170" s="39"/>
      <c r="B4170" s="36"/>
      <c r="C4170" s="37"/>
      <c r="D4170" s="37"/>
      <c r="E4170" s="37"/>
      <c r="F4170" s="37"/>
      <c r="G4170" s="37"/>
      <c r="H4170" s="37"/>
      <c r="I4170" s="35"/>
      <c r="J4170" s="37"/>
    </row>
    <row r="4171" spans="1:10" ht="15.95" customHeight="1" x14ac:dyDescent="0.2">
      <c r="A4171" s="39"/>
      <c r="B4171" s="36"/>
      <c r="C4171" s="37"/>
      <c r="D4171" s="37"/>
      <c r="E4171" s="37"/>
      <c r="F4171" s="37"/>
      <c r="G4171" s="37"/>
      <c r="H4171" s="37"/>
      <c r="I4171" s="35"/>
      <c r="J4171" s="37"/>
    </row>
    <row r="4172" spans="1:10" ht="15.95" customHeight="1" x14ac:dyDescent="0.2">
      <c r="A4172" s="39"/>
      <c r="B4172" s="36"/>
      <c r="C4172" s="37"/>
      <c r="D4172" s="37"/>
      <c r="E4172" s="37"/>
      <c r="F4172" s="37"/>
      <c r="G4172" s="37"/>
      <c r="H4172" s="37"/>
      <c r="I4172" s="35"/>
      <c r="J4172" s="37"/>
    </row>
    <row r="4173" spans="1:10" ht="15.95" customHeight="1" x14ac:dyDescent="0.2">
      <c r="A4173" s="39"/>
      <c r="B4173" s="36"/>
      <c r="C4173" s="37"/>
      <c r="D4173" s="37"/>
      <c r="E4173" s="37"/>
      <c r="F4173" s="37"/>
      <c r="G4173" s="37"/>
      <c r="H4173" s="37"/>
      <c r="I4173" s="35"/>
      <c r="J4173" s="37"/>
    </row>
    <row r="4174" spans="1:10" ht="15.95" customHeight="1" x14ac:dyDescent="0.2">
      <c r="A4174" s="39"/>
      <c r="B4174" s="36"/>
      <c r="C4174" s="37"/>
      <c r="D4174" s="37"/>
      <c r="E4174" s="37"/>
      <c r="F4174" s="37"/>
      <c r="G4174" s="37"/>
      <c r="H4174" s="37"/>
      <c r="I4174" s="35"/>
      <c r="J4174" s="37"/>
    </row>
    <row r="4175" spans="1:10" ht="15.95" customHeight="1" x14ac:dyDescent="0.2">
      <c r="A4175" s="39"/>
      <c r="B4175" s="36"/>
      <c r="C4175" s="37"/>
      <c r="D4175" s="37"/>
      <c r="E4175" s="37"/>
      <c r="F4175" s="37"/>
      <c r="G4175" s="37"/>
      <c r="H4175" s="37"/>
      <c r="I4175" s="35"/>
      <c r="J4175" s="37"/>
    </row>
    <row r="4176" spans="1:10" ht="15.95" customHeight="1" x14ac:dyDescent="0.2">
      <c r="A4176" s="39"/>
      <c r="B4176" s="36"/>
      <c r="C4176" s="37"/>
      <c r="D4176" s="37"/>
      <c r="E4176" s="37"/>
      <c r="F4176" s="37"/>
      <c r="G4176" s="37"/>
      <c r="H4176" s="37"/>
      <c r="I4176" s="35"/>
      <c r="J4176" s="37"/>
    </row>
    <row r="4177" spans="1:10" ht="15.95" customHeight="1" x14ac:dyDescent="0.2">
      <c r="A4177" s="39"/>
      <c r="B4177" s="36"/>
      <c r="C4177" s="37"/>
      <c r="D4177" s="37"/>
      <c r="E4177" s="37"/>
      <c r="F4177" s="37"/>
      <c r="G4177" s="37"/>
      <c r="H4177" s="37"/>
      <c r="I4177" s="35"/>
      <c r="J4177" s="37"/>
    </row>
    <row r="4178" spans="1:10" ht="15.95" customHeight="1" x14ac:dyDescent="0.2">
      <c r="A4178" s="39"/>
      <c r="B4178" s="36"/>
      <c r="C4178" s="37"/>
      <c r="D4178" s="37"/>
      <c r="E4178" s="37"/>
      <c r="F4178" s="37"/>
      <c r="G4178" s="37"/>
      <c r="H4178" s="37"/>
      <c r="I4178" s="35"/>
      <c r="J4178" s="37"/>
    </row>
    <row r="4179" spans="1:10" ht="15.95" customHeight="1" x14ac:dyDescent="0.2">
      <c r="A4179" s="39"/>
      <c r="B4179" s="36"/>
      <c r="C4179" s="37"/>
      <c r="D4179" s="37"/>
      <c r="E4179" s="37"/>
      <c r="F4179" s="37"/>
      <c r="G4179" s="37"/>
      <c r="H4179" s="37"/>
      <c r="I4179" s="35"/>
      <c r="J4179" s="37"/>
    </row>
    <row r="4180" spans="1:10" ht="15.95" customHeight="1" x14ac:dyDescent="0.2">
      <c r="A4180" s="39"/>
      <c r="B4180" s="36"/>
      <c r="C4180" s="37"/>
      <c r="D4180" s="37"/>
      <c r="E4180" s="37"/>
      <c r="F4180" s="37"/>
      <c r="G4180" s="37"/>
      <c r="H4180" s="37"/>
      <c r="I4180" s="35"/>
      <c r="J4180" s="37"/>
    </row>
    <row r="4181" spans="1:10" ht="15.95" customHeight="1" x14ac:dyDescent="0.2">
      <c r="A4181" s="39"/>
      <c r="B4181" s="36"/>
      <c r="C4181" s="37"/>
      <c r="D4181" s="37"/>
      <c r="E4181" s="37"/>
      <c r="F4181" s="37"/>
      <c r="G4181" s="37"/>
      <c r="H4181" s="37"/>
      <c r="I4181" s="35"/>
      <c r="J4181" s="37"/>
    </row>
    <row r="4182" spans="1:10" ht="15.95" customHeight="1" x14ac:dyDescent="0.2">
      <c r="A4182" s="39"/>
      <c r="B4182" s="36"/>
      <c r="C4182" s="37"/>
      <c r="D4182" s="37"/>
      <c r="E4182" s="37"/>
      <c r="F4182" s="37"/>
      <c r="G4182" s="37"/>
      <c r="H4182" s="37"/>
      <c r="I4182" s="35"/>
      <c r="J4182" s="37"/>
    </row>
    <row r="4183" spans="1:10" ht="15.95" customHeight="1" x14ac:dyDescent="0.2">
      <c r="A4183" s="39"/>
      <c r="B4183" s="36"/>
      <c r="C4183" s="37"/>
      <c r="D4183" s="37"/>
      <c r="E4183" s="37"/>
      <c r="F4183" s="37"/>
      <c r="G4183" s="37"/>
      <c r="H4183" s="37"/>
      <c r="I4183" s="35"/>
      <c r="J4183" s="37"/>
    </row>
    <row r="4184" spans="1:10" ht="15.95" customHeight="1" x14ac:dyDescent="0.2">
      <c r="A4184" s="39"/>
      <c r="B4184" s="36"/>
      <c r="C4184" s="37"/>
      <c r="D4184" s="37"/>
      <c r="E4184" s="37"/>
      <c r="F4184" s="37"/>
      <c r="G4184" s="37"/>
      <c r="H4184" s="37"/>
      <c r="I4184" s="35"/>
      <c r="J4184" s="37"/>
    </row>
    <row r="4185" spans="1:10" ht="15.95" customHeight="1" x14ac:dyDescent="0.2">
      <c r="A4185" s="39"/>
      <c r="B4185" s="36"/>
      <c r="C4185" s="37"/>
      <c r="D4185" s="37"/>
      <c r="E4185" s="37"/>
      <c r="F4185" s="37"/>
      <c r="G4185" s="37"/>
      <c r="H4185" s="37"/>
      <c r="I4185" s="35"/>
      <c r="J4185" s="37"/>
    </row>
    <row r="4186" spans="1:10" ht="15.95" customHeight="1" x14ac:dyDescent="0.2">
      <c r="A4186" s="39"/>
      <c r="B4186" s="36"/>
      <c r="C4186" s="37"/>
      <c r="D4186" s="37"/>
      <c r="E4186" s="37"/>
      <c r="F4186" s="37"/>
      <c r="G4186" s="37"/>
      <c r="H4186" s="37"/>
      <c r="I4186" s="35"/>
      <c r="J4186" s="37"/>
    </row>
    <row r="4187" spans="1:10" ht="15.95" customHeight="1" x14ac:dyDescent="0.2">
      <c r="A4187" s="39"/>
      <c r="B4187" s="36"/>
      <c r="C4187" s="37"/>
      <c r="D4187" s="37"/>
      <c r="E4187" s="37"/>
      <c r="F4187" s="37"/>
      <c r="G4187" s="37"/>
      <c r="H4187" s="37"/>
      <c r="I4187" s="35"/>
      <c r="J4187" s="37"/>
    </row>
    <row r="4188" spans="1:10" ht="15.95" customHeight="1" x14ac:dyDescent="0.2">
      <c r="A4188" s="39"/>
      <c r="B4188" s="36"/>
      <c r="C4188" s="37"/>
      <c r="D4188" s="37"/>
      <c r="E4188" s="37"/>
      <c r="F4188" s="37"/>
      <c r="G4188" s="37"/>
      <c r="H4188" s="37"/>
      <c r="I4188" s="35"/>
      <c r="J4188" s="37"/>
    </row>
    <row r="4189" spans="1:10" ht="15.95" customHeight="1" x14ac:dyDescent="0.2">
      <c r="A4189" s="39"/>
      <c r="B4189" s="36"/>
      <c r="C4189" s="37"/>
      <c r="D4189" s="37"/>
      <c r="E4189" s="37"/>
      <c r="F4189" s="37"/>
      <c r="G4189" s="37"/>
      <c r="H4189" s="37"/>
      <c r="I4189" s="35"/>
      <c r="J4189" s="37"/>
    </row>
    <row r="4190" spans="1:10" ht="15.95" customHeight="1" x14ac:dyDescent="0.2">
      <c r="A4190" s="39"/>
      <c r="B4190" s="36"/>
      <c r="C4190" s="37"/>
      <c r="D4190" s="37"/>
      <c r="E4190" s="37"/>
      <c r="F4190" s="37"/>
      <c r="G4190" s="37"/>
      <c r="H4190" s="37"/>
      <c r="I4190" s="35"/>
      <c r="J4190" s="37"/>
    </row>
    <row r="4191" spans="1:10" ht="15.95" customHeight="1" x14ac:dyDescent="0.2">
      <c r="A4191" s="39"/>
      <c r="B4191" s="36"/>
      <c r="C4191" s="37"/>
      <c r="D4191" s="37"/>
      <c r="E4191" s="37"/>
      <c r="F4191" s="37"/>
      <c r="G4191" s="37"/>
      <c r="H4191" s="37"/>
      <c r="I4191" s="35"/>
      <c r="J4191" s="37"/>
    </row>
    <row r="4192" spans="1:10" ht="15.95" customHeight="1" x14ac:dyDescent="0.2">
      <c r="A4192" s="39"/>
      <c r="B4192" s="36"/>
      <c r="C4192" s="37"/>
      <c r="D4192" s="37"/>
      <c r="E4192" s="37"/>
      <c r="F4192" s="37"/>
      <c r="G4192" s="37"/>
      <c r="H4192" s="37"/>
      <c r="I4192" s="35"/>
      <c r="J4192" s="37"/>
    </row>
    <row r="4193" spans="1:10" ht="15.95" customHeight="1" x14ac:dyDescent="0.2">
      <c r="A4193" s="39"/>
      <c r="B4193" s="36"/>
      <c r="C4193" s="37"/>
      <c r="D4193" s="37"/>
      <c r="E4193" s="37"/>
      <c r="F4193" s="37"/>
      <c r="G4193" s="37"/>
      <c r="H4193" s="37"/>
      <c r="I4193" s="35"/>
      <c r="J4193" s="37"/>
    </row>
    <row r="4194" spans="1:10" ht="15.95" customHeight="1" x14ac:dyDescent="0.2">
      <c r="A4194" s="39"/>
      <c r="B4194" s="36"/>
      <c r="C4194" s="37"/>
      <c r="D4194" s="37"/>
      <c r="E4194" s="37"/>
      <c r="F4194" s="37"/>
      <c r="G4194" s="37"/>
      <c r="H4194" s="37"/>
      <c r="I4194" s="35"/>
      <c r="J4194" s="37"/>
    </row>
    <row r="4195" spans="1:10" ht="15.95" customHeight="1" x14ac:dyDescent="0.2">
      <c r="A4195" s="39"/>
      <c r="B4195" s="36"/>
      <c r="C4195" s="37"/>
      <c r="D4195" s="37"/>
      <c r="E4195" s="37"/>
      <c r="F4195" s="37"/>
      <c r="G4195" s="37"/>
      <c r="H4195" s="37"/>
      <c r="I4195" s="35"/>
      <c r="J4195" s="37"/>
    </row>
    <row r="4196" spans="1:10" ht="15.95" customHeight="1" x14ac:dyDescent="0.2">
      <c r="A4196" s="39"/>
      <c r="B4196" s="36"/>
      <c r="C4196" s="37"/>
      <c r="D4196" s="37"/>
      <c r="E4196" s="37"/>
      <c r="F4196" s="37"/>
      <c r="G4196" s="37"/>
      <c r="H4196" s="37"/>
      <c r="I4196" s="35"/>
      <c r="J4196" s="37"/>
    </row>
    <row r="4197" spans="1:10" ht="15.95" customHeight="1" x14ac:dyDescent="0.2">
      <c r="A4197" s="39"/>
      <c r="B4197" s="36"/>
      <c r="C4197" s="37"/>
      <c r="D4197" s="37"/>
      <c r="E4197" s="37"/>
      <c r="F4197" s="37"/>
      <c r="G4197" s="37"/>
      <c r="H4197" s="37"/>
      <c r="I4197" s="35"/>
      <c r="J4197" s="37"/>
    </row>
    <row r="4198" spans="1:10" ht="15.95" customHeight="1" x14ac:dyDescent="0.2">
      <c r="A4198" s="39"/>
      <c r="B4198" s="36"/>
      <c r="C4198" s="37"/>
      <c r="D4198" s="37"/>
      <c r="E4198" s="37"/>
      <c r="F4198" s="37"/>
      <c r="G4198" s="37"/>
      <c r="H4198" s="37"/>
      <c r="I4198" s="35"/>
      <c r="J4198" s="37"/>
    </row>
    <row r="4199" spans="1:10" ht="15.95" customHeight="1" x14ac:dyDescent="0.2">
      <c r="A4199" s="39"/>
      <c r="B4199" s="36"/>
      <c r="C4199" s="37"/>
      <c r="D4199" s="37"/>
      <c r="E4199" s="37"/>
      <c r="F4199" s="37"/>
      <c r="G4199" s="37"/>
      <c r="H4199" s="37"/>
      <c r="I4199" s="35"/>
      <c r="J4199" s="37"/>
    </row>
    <row r="4200" spans="1:10" ht="15.95" customHeight="1" x14ac:dyDescent="0.2">
      <c r="A4200" s="39"/>
      <c r="B4200" s="36"/>
      <c r="C4200" s="37"/>
      <c r="D4200" s="37"/>
      <c r="E4200" s="37"/>
      <c r="F4200" s="37"/>
      <c r="G4200" s="37"/>
      <c r="H4200" s="37"/>
      <c r="I4200" s="35"/>
      <c r="J4200" s="37"/>
    </row>
    <row r="4201" spans="1:10" ht="15.95" customHeight="1" x14ac:dyDescent="0.2">
      <c r="A4201" s="39"/>
      <c r="B4201" s="36"/>
      <c r="C4201" s="37"/>
      <c r="D4201" s="37"/>
      <c r="E4201" s="37"/>
      <c r="F4201" s="37"/>
      <c r="G4201" s="37"/>
      <c r="H4201" s="37"/>
      <c r="I4201" s="35"/>
      <c r="J4201" s="37"/>
    </row>
    <row r="4202" spans="1:10" ht="15.95" customHeight="1" x14ac:dyDescent="0.2">
      <c r="A4202" s="39"/>
      <c r="B4202" s="36"/>
      <c r="C4202" s="37"/>
      <c r="D4202" s="37"/>
      <c r="E4202" s="37"/>
      <c r="F4202" s="37"/>
      <c r="G4202" s="37"/>
      <c r="H4202" s="37"/>
      <c r="I4202" s="35"/>
      <c r="J4202" s="37"/>
    </row>
    <row r="4203" spans="1:10" ht="15.95" customHeight="1" x14ac:dyDescent="0.2">
      <c r="A4203" s="39"/>
      <c r="B4203" s="36"/>
      <c r="C4203" s="37"/>
      <c r="D4203" s="37"/>
      <c r="E4203" s="37"/>
      <c r="F4203" s="37"/>
      <c r="G4203" s="37"/>
      <c r="H4203" s="37"/>
      <c r="I4203" s="35"/>
      <c r="J4203" s="37"/>
    </row>
    <row r="4204" spans="1:10" ht="15.95" customHeight="1" x14ac:dyDescent="0.2">
      <c r="A4204" s="39"/>
      <c r="B4204" s="36"/>
      <c r="C4204" s="37"/>
      <c r="D4204" s="37"/>
      <c r="E4204" s="37"/>
      <c r="F4204" s="37"/>
      <c r="G4204" s="37"/>
      <c r="H4204" s="37"/>
      <c r="I4204" s="35"/>
      <c r="J4204" s="37"/>
    </row>
    <row r="4205" spans="1:10" ht="15.95" customHeight="1" x14ac:dyDescent="0.2">
      <c r="A4205" s="39"/>
      <c r="B4205" s="36"/>
      <c r="C4205" s="37"/>
      <c r="D4205" s="37"/>
      <c r="E4205" s="37"/>
      <c r="F4205" s="37"/>
      <c r="G4205" s="37"/>
      <c r="H4205" s="37"/>
      <c r="I4205" s="35"/>
      <c r="J4205" s="37"/>
    </row>
    <row r="4206" spans="1:10" ht="15.95" customHeight="1" x14ac:dyDescent="0.2">
      <c r="A4206" s="39"/>
      <c r="B4206" s="36"/>
      <c r="C4206" s="37"/>
      <c r="D4206" s="37"/>
      <c r="E4206" s="37"/>
      <c r="F4206" s="37"/>
      <c r="G4206" s="37"/>
      <c r="H4206" s="37"/>
      <c r="I4206" s="35"/>
      <c r="J4206" s="37"/>
    </row>
    <row r="4207" spans="1:10" ht="15.95" customHeight="1" x14ac:dyDescent="0.2">
      <c r="A4207" s="39"/>
      <c r="B4207" s="36"/>
      <c r="C4207" s="37"/>
      <c r="D4207" s="37"/>
      <c r="E4207" s="37"/>
      <c r="F4207" s="37"/>
      <c r="G4207" s="37"/>
      <c r="H4207" s="37"/>
      <c r="I4207" s="35"/>
      <c r="J4207" s="37"/>
    </row>
    <row r="4208" spans="1:10" ht="15.95" customHeight="1" x14ac:dyDescent="0.2">
      <c r="A4208" s="39"/>
      <c r="B4208" s="36"/>
      <c r="C4208" s="37"/>
      <c r="D4208" s="37"/>
      <c r="E4208" s="37"/>
      <c r="F4208" s="37"/>
      <c r="G4208" s="37"/>
      <c r="H4208" s="37"/>
      <c r="I4208" s="35"/>
      <c r="J4208" s="37"/>
    </row>
    <row r="4209" spans="1:10" ht="15.95" customHeight="1" x14ac:dyDescent="0.2">
      <c r="A4209" s="39"/>
      <c r="B4209" s="36"/>
      <c r="C4209" s="37"/>
      <c r="D4209" s="37"/>
      <c r="E4209" s="37"/>
      <c r="F4209" s="37"/>
      <c r="G4209" s="37"/>
      <c r="H4209" s="37"/>
      <c r="I4209" s="35"/>
      <c r="J4209" s="37"/>
    </row>
    <row r="4210" spans="1:10" ht="15.95" customHeight="1" x14ac:dyDescent="0.2">
      <c r="A4210" s="39"/>
      <c r="B4210" s="36"/>
      <c r="C4210" s="37"/>
      <c r="D4210" s="37"/>
      <c r="E4210" s="37"/>
      <c r="F4210" s="37"/>
      <c r="G4210" s="37"/>
      <c r="H4210" s="37"/>
      <c r="I4210" s="35"/>
      <c r="J4210" s="37"/>
    </row>
    <row r="4211" spans="1:10" ht="15.95" customHeight="1" x14ac:dyDescent="0.2">
      <c r="A4211" s="39"/>
      <c r="B4211" s="36"/>
      <c r="C4211" s="37"/>
      <c r="D4211" s="37"/>
      <c r="E4211" s="37"/>
      <c r="F4211" s="37"/>
      <c r="G4211" s="37"/>
      <c r="H4211" s="37"/>
      <c r="I4211" s="35"/>
      <c r="J4211" s="37"/>
    </row>
    <row r="4212" spans="1:10" ht="15.95" customHeight="1" x14ac:dyDescent="0.2">
      <c r="A4212" s="39"/>
      <c r="B4212" s="36"/>
      <c r="C4212" s="37"/>
      <c r="D4212" s="37"/>
      <c r="E4212" s="37"/>
      <c r="F4212" s="37"/>
      <c r="G4212" s="37"/>
      <c r="H4212" s="37"/>
      <c r="I4212" s="35"/>
      <c r="J4212" s="37"/>
    </row>
    <row r="4213" spans="1:10" ht="15.95" customHeight="1" x14ac:dyDescent="0.2">
      <c r="A4213" s="39"/>
      <c r="B4213" s="36"/>
      <c r="C4213" s="37"/>
      <c r="D4213" s="37"/>
      <c r="E4213" s="37"/>
      <c r="F4213" s="37"/>
      <c r="G4213" s="37"/>
      <c r="H4213" s="37"/>
      <c r="I4213" s="35"/>
      <c r="J4213" s="37"/>
    </row>
    <row r="4214" spans="1:10" ht="15.95" customHeight="1" x14ac:dyDescent="0.2">
      <c r="A4214" s="39"/>
      <c r="B4214" s="36"/>
      <c r="C4214" s="37"/>
      <c r="D4214" s="37"/>
      <c r="E4214" s="37"/>
      <c r="F4214" s="37"/>
      <c r="G4214" s="37"/>
      <c r="H4214" s="37"/>
      <c r="I4214" s="35"/>
      <c r="J4214" s="37"/>
    </row>
    <row r="4215" spans="1:10" ht="15.95" customHeight="1" x14ac:dyDescent="0.2">
      <c r="A4215" s="39"/>
      <c r="B4215" s="36"/>
      <c r="C4215" s="37"/>
      <c r="D4215" s="37"/>
      <c r="E4215" s="37"/>
      <c r="F4215" s="37"/>
      <c r="G4215" s="37"/>
      <c r="H4215" s="37"/>
      <c r="I4215" s="35"/>
      <c r="J4215" s="37"/>
    </row>
    <row r="4216" spans="1:10" ht="15.95" customHeight="1" x14ac:dyDescent="0.2">
      <c r="A4216" s="39"/>
      <c r="B4216" s="36"/>
      <c r="C4216" s="37"/>
      <c r="D4216" s="37"/>
      <c r="E4216" s="37"/>
      <c r="F4216" s="37"/>
      <c r="G4216" s="37"/>
      <c r="H4216" s="37"/>
      <c r="I4216" s="35"/>
      <c r="J4216" s="37"/>
    </row>
    <row r="4217" spans="1:10" ht="15.95" customHeight="1" x14ac:dyDescent="0.2">
      <c r="A4217" s="39"/>
      <c r="B4217" s="36"/>
      <c r="C4217" s="37"/>
      <c r="D4217" s="37"/>
      <c r="E4217" s="37"/>
      <c r="F4217" s="37"/>
      <c r="G4217" s="37"/>
      <c r="H4217" s="37"/>
      <c r="I4217" s="35"/>
      <c r="J4217" s="37"/>
    </row>
    <row r="4218" spans="1:10" ht="15.95" customHeight="1" x14ac:dyDescent="0.2">
      <c r="A4218" s="39"/>
      <c r="B4218" s="36"/>
      <c r="C4218" s="37"/>
      <c r="D4218" s="37"/>
      <c r="E4218" s="37"/>
      <c r="F4218" s="37"/>
      <c r="G4218" s="37"/>
      <c r="H4218" s="37"/>
      <c r="I4218" s="35"/>
      <c r="J4218" s="37"/>
    </row>
    <row r="4219" spans="1:10" ht="15.95" customHeight="1" x14ac:dyDescent="0.2">
      <c r="A4219" s="39"/>
      <c r="B4219" s="36"/>
      <c r="C4219" s="37"/>
      <c r="D4219" s="37"/>
      <c r="E4219" s="37"/>
      <c r="F4219" s="37"/>
      <c r="G4219" s="37"/>
      <c r="H4219" s="37"/>
      <c r="I4219" s="35"/>
      <c r="J4219" s="37"/>
    </row>
    <row r="4220" spans="1:10" ht="15.95" customHeight="1" x14ac:dyDescent="0.2">
      <c r="A4220" s="39"/>
      <c r="B4220" s="36"/>
      <c r="C4220" s="37"/>
      <c r="D4220" s="37"/>
      <c r="E4220" s="37"/>
      <c r="F4220" s="37"/>
      <c r="G4220" s="37"/>
      <c r="H4220" s="37"/>
      <c r="I4220" s="35"/>
      <c r="J4220" s="37"/>
    </row>
    <row r="4221" spans="1:10" ht="15.95" customHeight="1" x14ac:dyDescent="0.2">
      <c r="A4221" s="39"/>
      <c r="B4221" s="36"/>
      <c r="C4221" s="37"/>
      <c r="D4221" s="37"/>
      <c r="E4221" s="37"/>
      <c r="F4221" s="37"/>
      <c r="G4221" s="37"/>
      <c r="H4221" s="37"/>
      <c r="I4221" s="35"/>
      <c r="J4221" s="37"/>
    </row>
    <row r="4222" spans="1:10" ht="15.95" customHeight="1" x14ac:dyDescent="0.2">
      <c r="A4222" s="39"/>
      <c r="B4222" s="36"/>
      <c r="C4222" s="37"/>
      <c r="D4222" s="37"/>
      <c r="E4222" s="37"/>
      <c r="F4222" s="37"/>
      <c r="G4222" s="37"/>
      <c r="H4222" s="37"/>
      <c r="I4222" s="35"/>
      <c r="J4222" s="37"/>
    </row>
    <row r="4223" spans="1:10" ht="15.95" customHeight="1" x14ac:dyDescent="0.2">
      <c r="A4223" s="39"/>
      <c r="B4223" s="36"/>
      <c r="C4223" s="37"/>
      <c r="D4223" s="37"/>
      <c r="E4223" s="37"/>
      <c r="F4223" s="37"/>
      <c r="G4223" s="37"/>
      <c r="H4223" s="37"/>
      <c r="I4223" s="35"/>
      <c r="J4223" s="37"/>
    </row>
    <row r="4224" spans="1:10" ht="15.95" customHeight="1" x14ac:dyDescent="0.2">
      <c r="A4224" s="39"/>
      <c r="B4224" s="36"/>
      <c r="C4224" s="37"/>
      <c r="D4224" s="37"/>
      <c r="E4224" s="37"/>
      <c r="F4224" s="37"/>
      <c r="G4224" s="37"/>
      <c r="H4224" s="37"/>
      <c r="I4224" s="35"/>
      <c r="J4224" s="37"/>
    </row>
    <row r="4225" spans="1:10" ht="15.95" customHeight="1" x14ac:dyDescent="0.2">
      <c r="A4225" s="39"/>
      <c r="B4225" s="36"/>
      <c r="C4225" s="37"/>
      <c r="D4225" s="37"/>
      <c r="E4225" s="37"/>
      <c r="F4225" s="37"/>
      <c r="G4225" s="37"/>
      <c r="H4225" s="37"/>
      <c r="I4225" s="35"/>
      <c r="J4225" s="37"/>
    </row>
    <row r="4226" spans="1:10" ht="15.95" customHeight="1" x14ac:dyDescent="0.2">
      <c r="A4226" s="39"/>
      <c r="B4226" s="36"/>
      <c r="C4226" s="37"/>
      <c r="D4226" s="37"/>
      <c r="E4226" s="37"/>
      <c r="F4226" s="37"/>
      <c r="G4226" s="37"/>
      <c r="H4226" s="37"/>
      <c r="I4226" s="35"/>
      <c r="J4226" s="37"/>
    </row>
    <row r="4227" spans="1:10" ht="15.95" customHeight="1" x14ac:dyDescent="0.2">
      <c r="A4227" s="39"/>
      <c r="B4227" s="36"/>
      <c r="C4227" s="37"/>
      <c r="D4227" s="37"/>
      <c r="E4227" s="37"/>
      <c r="F4227" s="37"/>
      <c r="G4227" s="37"/>
      <c r="H4227" s="37"/>
      <c r="I4227" s="35"/>
      <c r="J4227" s="37"/>
    </row>
    <row r="4228" spans="1:10" ht="15.95" customHeight="1" x14ac:dyDescent="0.2">
      <c r="A4228" s="39"/>
      <c r="B4228" s="36"/>
      <c r="C4228" s="37"/>
      <c r="D4228" s="37"/>
      <c r="E4228" s="37"/>
      <c r="F4228" s="37"/>
      <c r="G4228" s="37"/>
      <c r="H4228" s="37"/>
      <c r="I4228" s="35"/>
      <c r="J4228" s="37"/>
    </row>
    <row r="4229" spans="1:10" ht="15.95" customHeight="1" x14ac:dyDescent="0.2">
      <c r="A4229" s="39"/>
      <c r="B4229" s="36"/>
      <c r="C4229" s="37"/>
      <c r="D4229" s="37"/>
      <c r="E4229" s="37"/>
      <c r="F4229" s="37"/>
      <c r="G4229" s="37"/>
      <c r="H4229" s="37"/>
      <c r="I4229" s="35"/>
      <c r="J4229" s="37"/>
    </row>
    <row r="4230" spans="1:10" ht="15.95" customHeight="1" x14ac:dyDescent="0.2">
      <c r="A4230" s="39"/>
      <c r="B4230" s="36"/>
      <c r="C4230" s="37"/>
      <c r="D4230" s="37"/>
      <c r="E4230" s="37"/>
      <c r="F4230" s="37"/>
      <c r="G4230" s="37"/>
      <c r="H4230" s="37"/>
      <c r="I4230" s="35"/>
      <c r="J4230" s="37"/>
    </row>
    <row r="4231" spans="1:10" ht="15.95" customHeight="1" x14ac:dyDescent="0.2">
      <c r="A4231" s="39"/>
      <c r="B4231" s="36"/>
      <c r="C4231" s="37"/>
      <c r="D4231" s="37"/>
      <c r="E4231" s="37"/>
      <c r="F4231" s="37"/>
      <c r="G4231" s="37"/>
      <c r="H4231" s="37"/>
      <c r="I4231" s="35"/>
      <c r="J4231" s="37"/>
    </row>
    <row r="4232" spans="1:10" ht="15.95" customHeight="1" x14ac:dyDescent="0.2">
      <c r="A4232" s="39"/>
      <c r="B4232" s="36"/>
      <c r="C4232" s="37"/>
      <c r="D4232" s="37"/>
      <c r="E4232" s="37"/>
      <c r="F4232" s="37"/>
      <c r="G4232" s="37"/>
      <c r="H4232" s="37"/>
      <c r="I4232" s="35"/>
      <c r="J4232" s="37"/>
    </row>
    <row r="4233" spans="1:10" ht="15.95" customHeight="1" x14ac:dyDescent="0.2">
      <c r="A4233" s="39"/>
      <c r="B4233" s="36"/>
      <c r="C4233" s="37"/>
      <c r="D4233" s="37"/>
      <c r="E4233" s="37"/>
      <c r="F4233" s="37"/>
      <c r="G4233" s="37"/>
      <c r="H4233" s="37"/>
      <c r="I4233" s="35"/>
      <c r="J4233" s="37"/>
    </row>
    <row r="4234" spans="1:10" ht="15.95" customHeight="1" x14ac:dyDescent="0.2">
      <c r="A4234" s="39"/>
      <c r="B4234" s="36"/>
      <c r="C4234" s="37"/>
      <c r="D4234" s="37"/>
      <c r="E4234" s="37"/>
      <c r="F4234" s="37"/>
      <c r="G4234" s="37"/>
      <c r="H4234" s="37"/>
      <c r="I4234" s="35"/>
      <c r="J4234" s="37"/>
    </row>
    <row r="4235" spans="1:10" ht="15.95" customHeight="1" x14ac:dyDescent="0.2">
      <c r="A4235" s="39"/>
      <c r="B4235" s="36"/>
      <c r="C4235" s="37"/>
      <c r="D4235" s="37"/>
      <c r="E4235" s="37"/>
      <c r="F4235" s="37"/>
      <c r="G4235" s="37"/>
      <c r="H4235" s="37"/>
      <c r="I4235" s="35"/>
      <c r="J4235" s="37"/>
    </row>
    <row r="4236" spans="1:10" ht="15.95" customHeight="1" x14ac:dyDescent="0.2">
      <c r="A4236" s="39"/>
      <c r="B4236" s="36"/>
      <c r="C4236" s="37"/>
      <c r="D4236" s="37"/>
      <c r="E4236" s="37"/>
      <c r="F4236" s="37"/>
      <c r="G4236" s="37"/>
      <c r="H4236" s="37"/>
      <c r="I4236" s="35"/>
      <c r="J4236" s="37"/>
    </row>
    <row r="4237" spans="1:10" ht="15.95" customHeight="1" x14ac:dyDescent="0.2">
      <c r="A4237" s="39"/>
      <c r="B4237" s="36"/>
      <c r="C4237" s="37"/>
      <c r="D4237" s="37"/>
      <c r="E4237" s="37"/>
      <c r="F4237" s="37"/>
      <c r="G4237" s="37"/>
      <c r="H4237" s="37"/>
      <c r="I4237" s="35"/>
      <c r="J4237" s="37"/>
    </row>
    <row r="4238" spans="1:10" ht="15.95" customHeight="1" x14ac:dyDescent="0.2">
      <c r="A4238" s="39"/>
      <c r="B4238" s="36"/>
      <c r="C4238" s="37"/>
      <c r="D4238" s="37"/>
      <c r="E4238" s="37"/>
      <c r="F4238" s="37"/>
      <c r="G4238" s="37"/>
      <c r="H4238" s="37"/>
      <c r="I4238" s="35"/>
      <c r="J4238" s="37"/>
    </row>
    <row r="4239" spans="1:10" ht="15.95" customHeight="1" x14ac:dyDescent="0.2">
      <c r="A4239" s="39"/>
      <c r="B4239" s="36"/>
      <c r="C4239" s="37"/>
      <c r="D4239" s="37"/>
      <c r="E4239" s="37"/>
      <c r="F4239" s="37"/>
      <c r="G4239" s="37"/>
      <c r="H4239" s="37"/>
      <c r="I4239" s="35"/>
      <c r="J4239" s="37"/>
    </row>
    <row r="4240" spans="1:10" ht="15.95" customHeight="1" x14ac:dyDescent="0.2">
      <c r="A4240" s="39"/>
      <c r="B4240" s="36"/>
      <c r="C4240" s="37"/>
      <c r="D4240" s="37"/>
      <c r="E4240" s="37"/>
      <c r="F4240" s="37"/>
      <c r="G4240" s="37"/>
      <c r="H4240" s="37"/>
      <c r="I4240" s="35"/>
      <c r="J4240" s="37"/>
    </row>
    <row r="4241" spans="1:10" ht="15.95" customHeight="1" x14ac:dyDescent="0.2">
      <c r="A4241" s="39"/>
      <c r="B4241" s="36"/>
      <c r="C4241" s="37"/>
      <c r="D4241" s="37"/>
      <c r="E4241" s="37"/>
      <c r="F4241" s="37"/>
      <c r="G4241" s="37"/>
      <c r="H4241" s="37"/>
      <c r="I4241" s="35"/>
      <c r="J4241" s="37"/>
    </row>
    <row r="4242" spans="1:10" ht="15.95" customHeight="1" x14ac:dyDescent="0.2">
      <c r="A4242" s="39"/>
      <c r="B4242" s="36"/>
      <c r="C4242" s="37"/>
      <c r="D4242" s="37"/>
      <c r="E4242" s="37"/>
      <c r="F4242" s="37"/>
      <c r="G4242" s="37"/>
      <c r="H4242" s="37"/>
      <c r="I4242" s="35"/>
      <c r="J4242" s="37"/>
    </row>
    <row r="4243" spans="1:10" ht="15.95" customHeight="1" x14ac:dyDescent="0.2">
      <c r="A4243" s="39"/>
      <c r="B4243" s="36"/>
      <c r="C4243" s="37"/>
      <c r="D4243" s="37"/>
      <c r="E4243" s="37"/>
      <c r="F4243" s="37"/>
      <c r="G4243" s="37"/>
      <c r="H4243" s="37"/>
      <c r="I4243" s="35"/>
      <c r="J4243" s="37"/>
    </row>
    <row r="4244" spans="1:10" ht="15.95" customHeight="1" x14ac:dyDescent="0.2">
      <c r="A4244" s="39"/>
      <c r="B4244" s="36"/>
      <c r="C4244" s="37"/>
      <c r="D4244" s="37"/>
      <c r="E4244" s="37"/>
      <c r="F4244" s="37"/>
      <c r="G4244" s="37"/>
      <c r="H4244" s="37"/>
      <c r="I4244" s="35"/>
      <c r="J4244" s="37"/>
    </row>
    <row r="4245" spans="1:10" ht="15.95" customHeight="1" x14ac:dyDescent="0.2">
      <c r="A4245" s="39"/>
      <c r="B4245" s="36"/>
      <c r="C4245" s="37"/>
      <c r="D4245" s="37"/>
      <c r="E4245" s="37"/>
      <c r="F4245" s="37"/>
      <c r="G4245" s="37"/>
      <c r="H4245" s="37"/>
      <c r="I4245" s="35"/>
      <c r="J4245" s="37"/>
    </row>
    <row r="4246" spans="1:10" ht="15.95" customHeight="1" x14ac:dyDescent="0.2">
      <c r="A4246" s="39"/>
      <c r="B4246" s="36"/>
      <c r="C4246" s="37"/>
      <c r="D4246" s="37"/>
      <c r="E4246" s="37"/>
      <c r="F4246" s="37"/>
      <c r="G4246" s="37"/>
      <c r="H4246" s="37"/>
      <c r="I4246" s="35"/>
      <c r="J4246" s="37"/>
    </row>
    <row r="4247" spans="1:10" ht="15.95" customHeight="1" x14ac:dyDescent="0.2">
      <c r="A4247" s="39"/>
      <c r="B4247" s="36"/>
      <c r="C4247" s="37"/>
      <c r="D4247" s="37"/>
      <c r="E4247" s="37"/>
      <c r="F4247" s="37"/>
      <c r="G4247" s="37"/>
      <c r="H4247" s="37"/>
      <c r="I4247" s="35"/>
      <c r="J4247" s="37"/>
    </row>
    <row r="4248" spans="1:10" ht="15.95" customHeight="1" x14ac:dyDescent="0.2">
      <c r="A4248" s="39"/>
      <c r="B4248" s="36"/>
      <c r="C4248" s="37"/>
      <c r="D4248" s="37"/>
      <c r="E4248" s="37"/>
      <c r="F4248" s="37"/>
      <c r="G4248" s="37"/>
      <c r="H4248" s="37"/>
      <c r="I4248" s="35"/>
      <c r="J4248" s="37"/>
    </row>
    <row r="4249" spans="1:10" ht="15.95" customHeight="1" x14ac:dyDescent="0.2">
      <c r="A4249" s="39"/>
      <c r="B4249" s="36"/>
      <c r="C4249" s="37"/>
      <c r="D4249" s="37"/>
      <c r="E4249" s="37"/>
      <c r="F4249" s="37"/>
      <c r="G4249" s="37"/>
      <c r="H4249" s="37"/>
      <c r="I4249" s="35"/>
      <c r="J4249" s="37"/>
    </row>
    <row r="4250" spans="1:10" ht="15.95" customHeight="1" x14ac:dyDescent="0.2">
      <c r="A4250" s="39"/>
      <c r="B4250" s="36"/>
      <c r="C4250" s="37"/>
      <c r="D4250" s="37"/>
      <c r="E4250" s="37"/>
      <c r="F4250" s="37"/>
      <c r="G4250" s="37"/>
      <c r="H4250" s="37"/>
      <c r="I4250" s="35"/>
      <c r="J4250" s="37"/>
    </row>
    <row r="4251" spans="1:10" ht="15.95" customHeight="1" x14ac:dyDescent="0.2">
      <c r="A4251" s="39"/>
      <c r="B4251" s="36"/>
      <c r="C4251" s="37"/>
      <c r="D4251" s="37"/>
      <c r="E4251" s="37"/>
      <c r="F4251" s="37"/>
      <c r="G4251" s="37"/>
      <c r="H4251" s="37"/>
      <c r="I4251" s="35"/>
      <c r="J4251" s="37"/>
    </row>
    <row r="4252" spans="1:10" ht="15.95" customHeight="1" x14ac:dyDescent="0.2">
      <c r="A4252" s="39"/>
      <c r="B4252" s="36"/>
      <c r="C4252" s="37"/>
      <c r="D4252" s="37"/>
      <c r="E4252" s="37"/>
      <c r="F4252" s="37"/>
      <c r="G4252" s="37"/>
      <c r="H4252" s="37"/>
      <c r="I4252" s="35"/>
      <c r="J4252" s="37"/>
    </row>
    <row r="4253" spans="1:10" ht="15.95" customHeight="1" x14ac:dyDescent="0.2">
      <c r="A4253" s="39"/>
      <c r="B4253" s="36"/>
      <c r="C4253" s="37"/>
      <c r="D4253" s="37"/>
      <c r="E4253" s="37"/>
      <c r="F4253" s="37"/>
      <c r="G4253" s="37"/>
      <c r="H4253" s="37"/>
      <c r="I4253" s="35"/>
      <c r="J4253" s="37"/>
    </row>
    <row r="4254" spans="1:10" ht="15.95" customHeight="1" x14ac:dyDescent="0.2">
      <c r="A4254" s="39"/>
      <c r="B4254" s="36"/>
      <c r="C4254" s="37"/>
      <c r="D4254" s="37"/>
      <c r="E4254" s="37"/>
      <c r="F4254" s="37"/>
      <c r="G4254" s="37"/>
      <c r="H4254" s="37"/>
      <c r="I4254" s="35"/>
      <c r="J4254" s="37"/>
    </row>
    <row r="4255" spans="1:10" ht="15.95" customHeight="1" x14ac:dyDescent="0.2">
      <c r="A4255" s="39"/>
      <c r="B4255" s="36"/>
      <c r="C4255" s="37"/>
      <c r="D4255" s="37"/>
      <c r="E4255" s="37"/>
      <c r="F4255" s="37"/>
      <c r="G4255" s="37"/>
      <c r="H4255" s="37"/>
      <c r="I4255" s="35"/>
      <c r="J4255" s="37"/>
    </row>
    <row r="4256" spans="1:10" ht="15.95" customHeight="1" x14ac:dyDescent="0.2">
      <c r="A4256" s="39"/>
      <c r="B4256" s="36"/>
      <c r="C4256" s="37"/>
      <c r="D4256" s="37"/>
      <c r="E4256" s="37"/>
      <c r="F4256" s="37"/>
      <c r="G4256" s="37"/>
      <c r="H4256" s="37"/>
      <c r="I4256" s="35"/>
      <c r="J4256" s="37"/>
    </row>
    <row r="4257" spans="1:10" ht="15.95" customHeight="1" x14ac:dyDescent="0.2">
      <c r="A4257" s="39"/>
      <c r="B4257" s="36"/>
      <c r="C4257" s="37"/>
      <c r="D4257" s="37"/>
      <c r="E4257" s="37"/>
      <c r="F4257" s="37"/>
      <c r="G4257" s="37"/>
      <c r="H4257" s="37"/>
      <c r="I4257" s="35"/>
      <c r="J4257" s="37"/>
    </row>
    <row r="4258" spans="1:10" ht="15.95" customHeight="1" x14ac:dyDescent="0.2">
      <c r="A4258" s="39"/>
      <c r="B4258" s="36"/>
      <c r="C4258" s="37"/>
      <c r="D4258" s="37"/>
      <c r="E4258" s="37"/>
      <c r="F4258" s="37"/>
      <c r="G4258" s="37"/>
      <c r="H4258" s="37"/>
      <c r="I4258" s="35"/>
      <c r="J4258" s="37"/>
    </row>
    <row r="4259" spans="1:10" ht="15.95" customHeight="1" x14ac:dyDescent="0.2">
      <c r="A4259" s="39"/>
      <c r="B4259" s="36"/>
      <c r="C4259" s="37"/>
      <c r="D4259" s="37"/>
      <c r="E4259" s="37"/>
      <c r="F4259" s="37"/>
      <c r="G4259" s="37"/>
      <c r="H4259" s="37"/>
      <c r="I4259" s="35"/>
      <c r="J4259" s="37"/>
    </row>
    <row r="4260" spans="1:10" ht="15.95" customHeight="1" x14ac:dyDescent="0.2">
      <c r="A4260" s="39"/>
      <c r="B4260" s="36"/>
      <c r="C4260" s="37"/>
      <c r="D4260" s="37"/>
      <c r="E4260" s="37"/>
      <c r="F4260" s="37"/>
      <c r="G4260" s="37"/>
      <c r="H4260" s="37"/>
      <c r="I4260" s="35"/>
      <c r="J4260" s="37"/>
    </row>
    <row r="4261" spans="1:10" ht="15.95" customHeight="1" x14ac:dyDescent="0.2">
      <c r="A4261" s="39"/>
      <c r="B4261" s="36"/>
      <c r="C4261" s="37"/>
      <c r="D4261" s="37"/>
      <c r="E4261" s="37"/>
      <c r="F4261" s="37"/>
      <c r="G4261" s="37"/>
      <c r="H4261" s="37"/>
      <c r="I4261" s="35"/>
      <c r="J4261" s="37"/>
    </row>
    <row r="4262" spans="1:10" ht="15.95" customHeight="1" x14ac:dyDescent="0.2">
      <c r="A4262" s="39"/>
      <c r="B4262" s="36"/>
      <c r="C4262" s="37"/>
      <c r="D4262" s="37"/>
      <c r="E4262" s="37"/>
      <c r="F4262" s="37"/>
      <c r="G4262" s="37"/>
      <c r="H4262" s="37"/>
      <c r="I4262" s="35"/>
      <c r="J4262" s="37"/>
    </row>
    <row r="4263" spans="1:10" ht="15.95" customHeight="1" x14ac:dyDescent="0.2">
      <c r="A4263" s="39"/>
      <c r="B4263" s="36"/>
      <c r="C4263" s="37"/>
      <c r="D4263" s="37"/>
      <c r="E4263" s="37"/>
      <c r="F4263" s="37"/>
      <c r="G4263" s="37"/>
      <c r="H4263" s="37"/>
      <c r="I4263" s="35"/>
      <c r="J4263" s="37"/>
    </row>
    <row r="4264" spans="1:10" ht="15.95" customHeight="1" x14ac:dyDescent="0.2">
      <c r="A4264" s="39"/>
      <c r="B4264" s="36"/>
      <c r="C4264" s="37"/>
      <c r="D4264" s="37"/>
      <c r="E4264" s="37"/>
      <c r="F4264" s="37"/>
      <c r="G4264" s="37"/>
      <c r="H4264" s="37"/>
      <c r="I4264" s="35"/>
      <c r="J4264" s="37"/>
    </row>
    <row r="4265" spans="1:10" ht="15.95" customHeight="1" x14ac:dyDescent="0.2">
      <c r="A4265" s="39"/>
      <c r="B4265" s="36"/>
      <c r="C4265" s="37"/>
      <c r="D4265" s="37"/>
      <c r="E4265" s="37"/>
      <c r="F4265" s="37"/>
      <c r="G4265" s="37"/>
      <c r="H4265" s="37"/>
      <c r="I4265" s="35"/>
      <c r="J4265" s="37"/>
    </row>
    <row r="4266" spans="1:10" ht="15.95" customHeight="1" x14ac:dyDescent="0.2">
      <c r="A4266" s="39"/>
      <c r="B4266" s="36"/>
      <c r="C4266" s="37"/>
      <c r="D4266" s="37"/>
      <c r="E4266" s="37"/>
      <c r="F4266" s="37"/>
      <c r="G4266" s="37"/>
      <c r="H4266" s="37"/>
      <c r="I4266" s="35"/>
      <c r="J4266" s="37"/>
    </row>
    <row r="4267" spans="1:10" ht="15.95" customHeight="1" x14ac:dyDescent="0.2">
      <c r="A4267" s="39"/>
      <c r="B4267" s="36"/>
      <c r="C4267" s="37"/>
      <c r="D4267" s="37"/>
      <c r="E4267" s="37"/>
      <c r="F4267" s="37"/>
      <c r="G4267" s="37"/>
      <c r="H4267" s="37"/>
      <c r="I4267" s="35"/>
      <c r="J4267" s="37"/>
    </row>
    <row r="4268" spans="1:10" ht="15.95" customHeight="1" x14ac:dyDescent="0.2">
      <c r="A4268" s="39"/>
      <c r="B4268" s="36"/>
      <c r="C4268" s="37"/>
      <c r="D4268" s="37"/>
      <c r="E4268" s="37"/>
      <c r="F4268" s="37"/>
      <c r="G4268" s="37"/>
      <c r="H4268" s="37"/>
      <c r="I4268" s="35"/>
      <c r="J4268" s="37"/>
    </row>
    <row r="4269" spans="1:10" ht="15.95" customHeight="1" x14ac:dyDescent="0.2">
      <c r="A4269" s="39"/>
      <c r="B4269" s="36"/>
      <c r="C4269" s="37"/>
      <c r="D4269" s="37"/>
      <c r="E4269" s="37"/>
      <c r="F4269" s="37"/>
      <c r="G4269" s="37"/>
      <c r="H4269" s="37"/>
      <c r="I4269" s="35"/>
      <c r="J4269" s="37"/>
    </row>
    <row r="4270" spans="1:10" ht="15.95" customHeight="1" x14ac:dyDescent="0.2">
      <c r="A4270" s="39"/>
      <c r="B4270" s="36"/>
      <c r="C4270" s="37"/>
      <c r="D4270" s="37"/>
      <c r="E4270" s="37"/>
      <c r="F4270" s="37"/>
      <c r="G4270" s="37"/>
      <c r="H4270" s="37"/>
      <c r="I4270" s="35"/>
      <c r="J4270" s="37"/>
    </row>
    <row r="4271" spans="1:10" ht="15.95" customHeight="1" x14ac:dyDescent="0.2">
      <c r="A4271" s="39"/>
      <c r="B4271" s="36"/>
      <c r="C4271" s="37"/>
      <c r="D4271" s="37"/>
      <c r="E4271" s="37"/>
      <c r="F4271" s="37"/>
      <c r="G4271" s="37"/>
      <c r="H4271" s="37"/>
      <c r="I4271" s="35"/>
      <c r="J4271" s="37"/>
    </row>
    <row r="4272" spans="1:10" ht="15.95" customHeight="1" x14ac:dyDescent="0.2">
      <c r="A4272" s="39"/>
      <c r="B4272" s="36"/>
      <c r="C4272" s="37"/>
      <c r="D4272" s="37"/>
      <c r="E4272" s="37"/>
      <c r="F4272" s="37"/>
      <c r="G4272" s="37"/>
      <c r="H4272" s="37"/>
      <c r="I4272" s="35"/>
      <c r="J4272" s="37"/>
    </row>
    <row r="4273" spans="1:10" ht="15.95" customHeight="1" x14ac:dyDescent="0.2">
      <c r="A4273" s="39"/>
      <c r="B4273" s="36"/>
      <c r="C4273" s="37"/>
      <c r="D4273" s="37"/>
      <c r="E4273" s="37"/>
      <c r="F4273" s="37"/>
      <c r="G4273" s="37"/>
      <c r="H4273" s="37"/>
      <c r="I4273" s="35"/>
      <c r="J4273" s="37"/>
    </row>
    <row r="4274" spans="1:10" ht="15.95" customHeight="1" x14ac:dyDescent="0.2">
      <c r="A4274" s="39"/>
      <c r="B4274" s="36"/>
      <c r="C4274" s="37"/>
      <c r="D4274" s="37"/>
      <c r="E4274" s="37"/>
      <c r="F4274" s="37"/>
      <c r="G4274" s="37"/>
      <c r="H4274" s="37"/>
      <c r="I4274" s="35"/>
      <c r="J4274" s="37"/>
    </row>
    <row r="4275" spans="1:10" ht="15.95" customHeight="1" x14ac:dyDescent="0.2">
      <c r="A4275" s="39"/>
      <c r="B4275" s="36"/>
      <c r="C4275" s="37"/>
      <c r="D4275" s="37"/>
      <c r="E4275" s="37"/>
      <c r="F4275" s="37"/>
      <c r="G4275" s="37"/>
      <c r="H4275" s="37"/>
      <c r="I4275" s="35"/>
      <c r="J4275" s="37"/>
    </row>
    <row r="4276" spans="1:10" ht="15.95" customHeight="1" x14ac:dyDescent="0.2">
      <c r="A4276" s="39"/>
      <c r="B4276" s="36"/>
      <c r="C4276" s="37"/>
      <c r="D4276" s="37"/>
      <c r="E4276" s="37"/>
      <c r="F4276" s="37"/>
      <c r="G4276" s="37"/>
      <c r="H4276" s="37"/>
      <c r="I4276" s="35"/>
      <c r="J4276" s="37"/>
    </row>
    <row r="4277" spans="1:10" ht="15.95" customHeight="1" x14ac:dyDescent="0.2">
      <c r="A4277" s="39"/>
      <c r="B4277" s="36"/>
      <c r="C4277" s="37"/>
      <c r="D4277" s="37"/>
      <c r="E4277" s="37"/>
      <c r="F4277" s="37"/>
      <c r="G4277" s="37"/>
      <c r="H4277" s="37"/>
      <c r="I4277" s="35"/>
      <c r="J4277" s="37"/>
    </row>
    <row r="4278" spans="1:10" ht="15.95" customHeight="1" x14ac:dyDescent="0.2">
      <c r="A4278" s="39"/>
      <c r="B4278" s="36"/>
      <c r="C4278" s="37"/>
      <c r="D4278" s="37"/>
      <c r="E4278" s="37"/>
      <c r="F4278" s="37"/>
      <c r="G4278" s="37"/>
      <c r="H4278" s="37"/>
      <c r="I4278" s="35"/>
      <c r="J4278" s="37"/>
    </row>
    <row r="4279" spans="1:10" ht="15.95" customHeight="1" x14ac:dyDescent="0.2">
      <c r="A4279" s="39"/>
      <c r="B4279" s="36"/>
      <c r="C4279" s="37"/>
      <c r="D4279" s="37"/>
      <c r="E4279" s="37"/>
      <c r="F4279" s="37"/>
      <c r="G4279" s="37"/>
      <c r="H4279" s="37"/>
      <c r="I4279" s="35"/>
      <c r="J4279" s="37"/>
    </row>
    <row r="4280" spans="1:10" ht="15.95" customHeight="1" x14ac:dyDescent="0.2">
      <c r="A4280" s="39"/>
      <c r="B4280" s="36"/>
      <c r="C4280" s="37"/>
      <c r="D4280" s="37"/>
      <c r="E4280" s="37"/>
      <c r="F4280" s="37"/>
      <c r="G4280" s="37"/>
      <c r="H4280" s="37"/>
      <c r="I4280" s="35"/>
      <c r="J4280" s="37"/>
    </row>
    <row r="4281" spans="1:10" ht="15.95" customHeight="1" x14ac:dyDescent="0.2">
      <c r="A4281" s="39"/>
      <c r="B4281" s="36"/>
      <c r="C4281" s="37"/>
      <c r="D4281" s="37"/>
      <c r="E4281" s="37"/>
      <c r="F4281" s="37"/>
      <c r="G4281" s="37"/>
      <c r="H4281" s="37"/>
      <c r="I4281" s="35"/>
      <c r="J4281" s="37"/>
    </row>
    <row r="4282" spans="1:10" ht="15.95" customHeight="1" x14ac:dyDescent="0.2">
      <c r="A4282" s="39"/>
      <c r="B4282" s="36"/>
      <c r="C4282" s="37"/>
      <c r="D4282" s="37"/>
      <c r="E4282" s="37"/>
      <c r="F4282" s="37"/>
      <c r="G4282" s="37"/>
      <c r="H4282" s="37"/>
      <c r="I4282" s="35"/>
      <c r="J4282" s="37"/>
    </row>
    <row r="4283" spans="1:10" ht="15.95" customHeight="1" x14ac:dyDescent="0.2">
      <c r="A4283" s="39"/>
      <c r="B4283" s="36"/>
      <c r="C4283" s="37"/>
      <c r="D4283" s="37"/>
      <c r="E4283" s="37"/>
      <c r="F4283" s="37"/>
      <c r="G4283" s="37"/>
      <c r="H4283" s="37"/>
      <c r="I4283" s="35"/>
      <c r="J4283" s="37"/>
    </row>
    <row r="4284" spans="1:10" ht="15.95" customHeight="1" x14ac:dyDescent="0.2">
      <c r="A4284" s="39"/>
      <c r="B4284" s="36"/>
      <c r="C4284" s="37"/>
      <c r="D4284" s="37"/>
      <c r="E4284" s="37"/>
      <c r="F4284" s="37"/>
      <c r="G4284" s="37"/>
      <c r="H4284" s="37"/>
      <c r="I4284" s="35"/>
      <c r="J4284" s="37"/>
    </row>
    <row r="4285" spans="1:10" ht="15.95" customHeight="1" x14ac:dyDescent="0.2">
      <c r="A4285" s="39"/>
      <c r="B4285" s="36"/>
      <c r="C4285" s="37"/>
      <c r="D4285" s="37"/>
      <c r="E4285" s="37"/>
      <c r="F4285" s="37"/>
      <c r="G4285" s="37"/>
      <c r="H4285" s="37"/>
      <c r="I4285" s="35"/>
      <c r="J4285" s="37"/>
    </row>
    <row r="4286" spans="1:10" ht="15.95" customHeight="1" x14ac:dyDescent="0.2">
      <c r="A4286" s="39"/>
      <c r="B4286" s="36"/>
      <c r="C4286" s="37"/>
      <c r="D4286" s="37"/>
      <c r="E4286" s="37"/>
      <c r="F4286" s="37"/>
      <c r="G4286" s="37"/>
      <c r="H4286" s="37"/>
      <c r="I4286" s="35"/>
      <c r="J4286" s="37"/>
    </row>
    <row r="4287" spans="1:10" ht="15.95" customHeight="1" x14ac:dyDescent="0.2">
      <c r="A4287" s="39"/>
      <c r="B4287" s="36"/>
      <c r="C4287" s="37"/>
      <c r="D4287" s="37"/>
      <c r="E4287" s="37"/>
      <c r="F4287" s="37"/>
      <c r="G4287" s="37"/>
      <c r="H4287" s="37"/>
      <c r="I4287" s="35"/>
      <c r="J4287" s="37"/>
    </row>
    <row r="4288" spans="1:10" ht="15.95" customHeight="1" x14ac:dyDescent="0.2">
      <c r="A4288" s="39"/>
      <c r="B4288" s="36"/>
      <c r="C4288" s="37"/>
      <c r="D4288" s="37"/>
      <c r="E4288" s="37"/>
      <c r="F4288" s="37"/>
      <c r="G4288" s="37"/>
      <c r="H4288" s="37"/>
      <c r="I4288" s="35"/>
      <c r="J4288" s="37"/>
    </row>
    <row r="4289" spans="1:10" ht="15.95" customHeight="1" x14ac:dyDescent="0.2">
      <c r="A4289" s="39"/>
      <c r="B4289" s="36"/>
      <c r="C4289" s="37"/>
      <c r="D4289" s="37"/>
      <c r="E4289" s="37"/>
      <c r="F4289" s="37"/>
      <c r="G4289" s="37"/>
      <c r="H4289" s="37"/>
      <c r="I4289" s="35"/>
      <c r="J4289" s="37"/>
    </row>
    <row r="4290" spans="1:10" ht="15.95" customHeight="1" x14ac:dyDescent="0.2">
      <c r="A4290" s="39"/>
      <c r="B4290" s="36"/>
      <c r="C4290" s="37"/>
      <c r="D4290" s="37"/>
      <c r="E4290" s="37"/>
      <c r="F4290" s="37"/>
      <c r="G4290" s="37"/>
      <c r="H4290" s="37"/>
      <c r="I4290" s="35"/>
      <c r="J4290" s="37"/>
    </row>
    <row r="4291" spans="1:10" ht="15.95" customHeight="1" x14ac:dyDescent="0.2">
      <c r="A4291" s="39"/>
      <c r="B4291" s="36"/>
      <c r="C4291" s="37"/>
      <c r="D4291" s="37"/>
      <c r="E4291" s="37"/>
      <c r="F4291" s="37"/>
      <c r="G4291" s="37"/>
      <c r="H4291" s="37"/>
      <c r="I4291" s="35"/>
      <c r="J4291" s="37"/>
    </row>
    <row r="4292" spans="1:10" ht="15.95" customHeight="1" x14ac:dyDescent="0.2">
      <c r="A4292" s="39"/>
      <c r="B4292" s="36"/>
      <c r="C4292" s="37"/>
      <c r="D4292" s="37"/>
      <c r="E4292" s="37"/>
      <c r="F4292" s="37"/>
      <c r="G4292" s="37"/>
      <c r="H4292" s="37"/>
      <c r="I4292" s="35"/>
      <c r="J4292" s="37"/>
    </row>
    <row r="4293" spans="1:10" ht="15.95" customHeight="1" x14ac:dyDescent="0.2">
      <c r="A4293" s="39"/>
      <c r="B4293" s="36"/>
      <c r="C4293" s="37"/>
      <c r="D4293" s="37"/>
      <c r="E4293" s="37"/>
      <c r="F4293" s="37"/>
      <c r="G4293" s="37"/>
      <c r="H4293" s="37"/>
      <c r="I4293" s="35"/>
      <c r="J4293" s="37"/>
    </row>
    <row r="4294" spans="1:10" ht="15.95" customHeight="1" x14ac:dyDescent="0.2">
      <c r="A4294" s="39"/>
      <c r="B4294" s="36"/>
      <c r="C4294" s="37"/>
      <c r="D4294" s="37"/>
      <c r="E4294" s="37"/>
      <c r="F4294" s="37"/>
      <c r="G4294" s="37"/>
      <c r="H4294" s="37"/>
      <c r="I4294" s="35"/>
      <c r="J4294" s="37"/>
    </row>
    <row r="4295" spans="1:10" ht="15.95" customHeight="1" x14ac:dyDescent="0.2">
      <c r="A4295" s="39"/>
      <c r="B4295" s="36"/>
      <c r="C4295" s="37"/>
      <c r="D4295" s="37"/>
      <c r="E4295" s="37"/>
      <c r="F4295" s="37"/>
      <c r="G4295" s="37"/>
      <c r="H4295" s="37"/>
      <c r="I4295" s="35"/>
      <c r="J4295" s="37"/>
    </row>
    <row r="4296" spans="1:10" ht="15.95" customHeight="1" x14ac:dyDescent="0.2">
      <c r="A4296" s="39"/>
      <c r="B4296" s="36"/>
      <c r="C4296" s="37"/>
      <c r="D4296" s="37"/>
      <c r="E4296" s="37"/>
      <c r="F4296" s="37"/>
      <c r="G4296" s="37"/>
      <c r="H4296" s="37"/>
      <c r="I4296" s="35"/>
      <c r="J4296" s="37"/>
    </row>
    <row r="4297" spans="1:10" ht="15.95" customHeight="1" x14ac:dyDescent="0.2">
      <c r="A4297" s="39"/>
      <c r="B4297" s="36"/>
      <c r="C4297" s="37"/>
      <c r="D4297" s="37"/>
      <c r="E4297" s="37"/>
      <c r="F4297" s="37"/>
      <c r="G4297" s="37"/>
      <c r="H4297" s="37"/>
      <c r="I4297" s="35"/>
      <c r="J4297" s="37"/>
    </row>
    <row r="4298" spans="1:10" ht="15.95" customHeight="1" x14ac:dyDescent="0.2">
      <c r="A4298" s="39"/>
      <c r="B4298" s="36"/>
      <c r="C4298" s="37"/>
      <c r="D4298" s="37"/>
      <c r="E4298" s="37"/>
      <c r="F4298" s="37"/>
      <c r="G4298" s="37"/>
      <c r="H4298" s="37"/>
      <c r="I4298" s="35"/>
      <c r="J4298" s="37"/>
    </row>
    <row r="4299" spans="1:10" ht="15.95" customHeight="1" x14ac:dyDescent="0.2">
      <c r="A4299" s="39"/>
      <c r="B4299" s="36"/>
      <c r="C4299" s="37"/>
      <c r="D4299" s="37"/>
      <c r="E4299" s="37"/>
      <c r="F4299" s="37"/>
      <c r="G4299" s="37"/>
      <c r="H4299" s="37"/>
      <c r="I4299" s="35"/>
      <c r="J4299" s="37"/>
    </row>
    <row r="4300" spans="1:10" ht="15.95" customHeight="1" x14ac:dyDescent="0.2">
      <c r="A4300" s="39"/>
      <c r="B4300" s="36"/>
      <c r="C4300" s="37"/>
      <c r="D4300" s="37"/>
      <c r="E4300" s="37"/>
      <c r="F4300" s="37"/>
      <c r="G4300" s="37"/>
      <c r="H4300" s="37"/>
      <c r="I4300" s="35"/>
      <c r="J4300" s="37"/>
    </row>
    <row r="4301" spans="1:10" ht="15.95" customHeight="1" x14ac:dyDescent="0.2">
      <c r="A4301" s="39"/>
      <c r="B4301" s="36"/>
      <c r="C4301" s="37"/>
      <c r="D4301" s="37"/>
      <c r="E4301" s="37"/>
      <c r="F4301" s="37"/>
      <c r="G4301" s="37"/>
      <c r="H4301" s="37"/>
      <c r="I4301" s="35"/>
      <c r="J4301" s="37"/>
    </row>
    <row r="4302" spans="1:10" ht="15.95" customHeight="1" x14ac:dyDescent="0.2">
      <c r="A4302" s="39"/>
      <c r="B4302" s="36"/>
      <c r="C4302" s="37"/>
      <c r="D4302" s="37"/>
      <c r="E4302" s="37"/>
      <c r="F4302" s="37"/>
      <c r="G4302" s="37"/>
      <c r="H4302" s="37"/>
      <c r="I4302" s="35"/>
      <c r="J4302" s="37"/>
    </row>
    <row r="4303" spans="1:10" ht="15.95" customHeight="1" x14ac:dyDescent="0.2">
      <c r="A4303" s="39"/>
      <c r="B4303" s="36"/>
      <c r="C4303" s="37"/>
      <c r="D4303" s="37"/>
      <c r="E4303" s="37"/>
      <c r="F4303" s="37"/>
      <c r="G4303" s="37"/>
      <c r="H4303" s="37"/>
      <c r="I4303" s="35"/>
      <c r="J4303" s="37"/>
    </row>
    <row r="4304" spans="1:10" ht="15.95" customHeight="1" x14ac:dyDescent="0.2">
      <c r="A4304" s="39"/>
      <c r="B4304" s="36"/>
      <c r="C4304" s="37"/>
      <c r="D4304" s="37"/>
      <c r="E4304" s="37"/>
      <c r="F4304" s="37"/>
      <c r="G4304" s="37"/>
      <c r="H4304" s="37"/>
      <c r="I4304" s="35"/>
      <c r="J4304" s="37"/>
    </row>
    <row r="4305" spans="1:10" ht="15.95" customHeight="1" x14ac:dyDescent="0.2">
      <c r="A4305" s="39"/>
      <c r="B4305" s="36"/>
      <c r="C4305" s="37"/>
      <c r="D4305" s="37"/>
      <c r="E4305" s="37"/>
      <c r="F4305" s="37"/>
      <c r="G4305" s="37"/>
      <c r="H4305" s="37"/>
      <c r="I4305" s="35"/>
      <c r="J4305" s="37"/>
    </row>
    <row r="4306" spans="1:10" ht="15.95" customHeight="1" x14ac:dyDescent="0.2">
      <c r="A4306" s="39"/>
      <c r="B4306" s="36"/>
      <c r="C4306" s="37"/>
      <c r="D4306" s="37"/>
      <c r="E4306" s="37"/>
      <c r="F4306" s="37"/>
      <c r="G4306" s="37"/>
      <c r="H4306" s="37"/>
      <c r="I4306" s="35"/>
      <c r="J4306" s="37"/>
    </row>
    <row r="4307" spans="1:10" ht="15.95" customHeight="1" x14ac:dyDescent="0.2">
      <c r="A4307" s="39"/>
      <c r="B4307" s="36"/>
      <c r="C4307" s="37"/>
      <c r="D4307" s="37"/>
      <c r="E4307" s="37"/>
      <c r="F4307" s="37"/>
      <c r="G4307" s="37"/>
      <c r="H4307" s="37"/>
      <c r="I4307" s="35"/>
      <c r="J4307" s="37"/>
    </row>
    <row r="4308" spans="1:10" ht="15.95" customHeight="1" x14ac:dyDescent="0.2">
      <c r="A4308" s="39"/>
      <c r="B4308" s="36"/>
      <c r="C4308" s="37"/>
      <c r="D4308" s="37"/>
      <c r="E4308" s="37"/>
      <c r="F4308" s="37"/>
      <c r="G4308" s="37"/>
      <c r="H4308" s="37"/>
      <c r="I4308" s="35"/>
      <c r="J4308" s="37"/>
    </row>
    <row r="4309" spans="1:10" ht="15.95" customHeight="1" x14ac:dyDescent="0.2">
      <c r="A4309" s="39"/>
      <c r="B4309" s="36"/>
      <c r="C4309" s="37"/>
      <c r="D4309" s="37"/>
      <c r="E4309" s="37"/>
      <c r="F4309" s="37"/>
      <c r="G4309" s="37"/>
      <c r="H4309" s="37"/>
      <c r="I4309" s="35"/>
      <c r="J4309" s="37"/>
    </row>
    <row r="4310" spans="1:10" ht="15.95" customHeight="1" x14ac:dyDescent="0.2">
      <c r="A4310" s="39"/>
      <c r="B4310" s="36"/>
      <c r="C4310" s="37"/>
      <c r="D4310" s="37"/>
      <c r="E4310" s="37"/>
      <c r="F4310" s="37"/>
      <c r="G4310" s="37"/>
      <c r="H4310" s="37"/>
      <c r="I4310" s="35"/>
      <c r="J4310" s="37"/>
    </row>
    <row r="4311" spans="1:10" ht="15.95" customHeight="1" x14ac:dyDescent="0.2">
      <c r="A4311" s="39"/>
      <c r="B4311" s="36"/>
      <c r="C4311" s="37"/>
      <c r="D4311" s="37"/>
      <c r="E4311" s="37"/>
      <c r="F4311" s="37"/>
      <c r="G4311" s="37"/>
      <c r="H4311" s="37"/>
      <c r="I4311" s="35"/>
      <c r="J4311" s="37"/>
    </row>
    <row r="4312" spans="1:10" ht="15.95" customHeight="1" x14ac:dyDescent="0.2">
      <c r="A4312" s="39"/>
      <c r="B4312" s="36"/>
      <c r="C4312" s="37"/>
      <c r="D4312" s="37"/>
      <c r="E4312" s="37"/>
      <c r="F4312" s="37"/>
      <c r="G4312" s="37"/>
      <c r="H4312" s="37"/>
      <c r="I4312" s="35"/>
      <c r="J4312" s="37"/>
    </row>
    <row r="4313" spans="1:10" ht="15.95" customHeight="1" x14ac:dyDescent="0.2">
      <c r="A4313" s="39"/>
      <c r="B4313" s="36"/>
      <c r="C4313" s="37"/>
      <c r="D4313" s="37"/>
      <c r="E4313" s="37"/>
      <c r="F4313" s="37"/>
      <c r="G4313" s="37"/>
      <c r="H4313" s="37"/>
      <c r="I4313" s="35"/>
      <c r="J4313" s="37"/>
    </row>
    <row r="4314" spans="1:10" ht="15.95" customHeight="1" x14ac:dyDescent="0.2">
      <c r="A4314" s="39"/>
      <c r="B4314" s="36"/>
      <c r="C4314" s="37"/>
      <c r="D4314" s="37"/>
      <c r="E4314" s="37"/>
      <c r="F4314" s="37"/>
      <c r="G4314" s="37"/>
      <c r="H4314" s="37"/>
      <c r="I4314" s="35"/>
      <c r="J4314" s="37"/>
    </row>
    <row r="4315" spans="1:10" ht="15.95" customHeight="1" x14ac:dyDescent="0.2">
      <c r="A4315" s="39"/>
      <c r="B4315" s="36"/>
      <c r="C4315" s="37"/>
      <c r="D4315" s="37"/>
      <c r="E4315" s="37"/>
      <c r="F4315" s="37"/>
      <c r="G4315" s="37"/>
      <c r="H4315" s="37"/>
      <c r="I4315" s="35"/>
      <c r="J4315" s="37"/>
    </row>
    <row r="4316" spans="1:10" ht="15.95" customHeight="1" x14ac:dyDescent="0.2">
      <c r="A4316" s="39"/>
      <c r="B4316" s="36"/>
      <c r="C4316" s="37"/>
      <c r="D4316" s="37"/>
      <c r="E4316" s="37"/>
      <c r="F4316" s="37"/>
      <c r="G4316" s="37"/>
      <c r="H4316" s="37"/>
      <c r="I4316" s="35"/>
      <c r="J4316" s="37"/>
    </row>
    <row r="4317" spans="1:10" ht="15.95" customHeight="1" x14ac:dyDescent="0.2">
      <c r="A4317" s="39"/>
      <c r="B4317" s="36"/>
      <c r="C4317" s="37"/>
      <c r="D4317" s="37"/>
      <c r="E4317" s="37"/>
      <c r="F4317" s="37"/>
      <c r="G4317" s="37"/>
      <c r="H4317" s="37"/>
      <c r="I4317" s="35"/>
      <c r="J4317" s="37"/>
    </row>
    <row r="4318" spans="1:10" ht="15.95" customHeight="1" x14ac:dyDescent="0.2">
      <c r="A4318" s="39"/>
      <c r="B4318" s="36"/>
      <c r="C4318" s="37"/>
      <c r="D4318" s="37"/>
      <c r="E4318" s="37"/>
      <c r="F4318" s="37"/>
      <c r="G4318" s="37"/>
      <c r="H4318" s="37"/>
      <c r="I4318" s="35"/>
      <c r="J4318" s="37"/>
    </row>
    <row r="4319" spans="1:10" ht="15.95" customHeight="1" x14ac:dyDescent="0.2">
      <c r="A4319" s="39"/>
      <c r="B4319" s="36"/>
      <c r="C4319" s="37"/>
      <c r="D4319" s="37"/>
      <c r="E4319" s="37"/>
      <c r="F4319" s="37"/>
      <c r="G4319" s="37"/>
      <c r="H4319" s="37"/>
      <c r="I4319" s="35"/>
      <c r="J4319" s="37"/>
    </row>
    <row r="4320" spans="1:10" ht="15.95" customHeight="1" x14ac:dyDescent="0.2">
      <c r="A4320" s="39"/>
      <c r="B4320" s="36"/>
      <c r="C4320" s="37"/>
      <c r="D4320" s="37"/>
      <c r="E4320" s="37"/>
      <c r="F4320" s="37"/>
      <c r="G4320" s="37"/>
      <c r="H4320" s="37"/>
      <c r="I4320" s="35"/>
      <c r="J4320" s="37"/>
    </row>
    <row r="4321" spans="1:10" ht="15.95" customHeight="1" x14ac:dyDescent="0.2">
      <c r="A4321" s="39"/>
      <c r="B4321" s="36"/>
      <c r="C4321" s="37"/>
      <c r="D4321" s="37"/>
      <c r="E4321" s="37"/>
      <c r="F4321" s="37"/>
      <c r="G4321" s="37"/>
      <c r="H4321" s="37"/>
      <c r="I4321" s="35"/>
      <c r="J4321" s="37"/>
    </row>
    <row r="4322" spans="1:10" ht="15.95" customHeight="1" x14ac:dyDescent="0.2">
      <c r="A4322" s="39"/>
      <c r="B4322" s="36"/>
      <c r="C4322" s="37"/>
      <c r="D4322" s="37"/>
      <c r="E4322" s="37"/>
      <c r="F4322" s="37"/>
      <c r="G4322" s="37"/>
      <c r="H4322" s="37"/>
      <c r="I4322" s="35"/>
      <c r="J4322" s="37"/>
    </row>
    <row r="4323" spans="1:10" ht="15.95" customHeight="1" x14ac:dyDescent="0.2">
      <c r="A4323" s="39"/>
      <c r="B4323" s="36"/>
      <c r="C4323" s="37"/>
      <c r="D4323" s="37"/>
      <c r="E4323" s="37"/>
      <c r="F4323" s="37"/>
      <c r="G4323" s="37"/>
      <c r="H4323" s="37"/>
      <c r="I4323" s="35"/>
      <c r="J4323" s="37"/>
    </row>
    <row r="4324" spans="1:10" ht="15.95" customHeight="1" x14ac:dyDescent="0.2">
      <c r="A4324" s="39"/>
      <c r="B4324" s="36"/>
      <c r="C4324" s="37"/>
      <c r="D4324" s="37"/>
      <c r="E4324" s="37"/>
      <c r="F4324" s="37"/>
      <c r="G4324" s="37"/>
      <c r="H4324" s="37"/>
      <c r="I4324" s="35"/>
      <c r="J4324" s="37"/>
    </row>
    <row r="4325" spans="1:10" ht="15.95" customHeight="1" x14ac:dyDescent="0.2">
      <c r="A4325" s="39"/>
      <c r="B4325" s="36"/>
      <c r="C4325" s="37"/>
      <c r="D4325" s="37"/>
      <c r="E4325" s="37"/>
      <c r="F4325" s="37"/>
      <c r="G4325" s="37"/>
      <c r="H4325" s="37"/>
      <c r="I4325" s="35"/>
      <c r="J4325" s="37"/>
    </row>
    <row r="4326" spans="1:10" ht="15.95" customHeight="1" x14ac:dyDescent="0.2">
      <c r="A4326" s="39"/>
      <c r="B4326" s="36"/>
      <c r="C4326" s="37"/>
      <c r="D4326" s="37"/>
      <c r="E4326" s="37"/>
      <c r="F4326" s="37"/>
      <c r="G4326" s="37"/>
      <c r="H4326" s="37"/>
      <c r="I4326" s="35"/>
      <c r="J4326" s="37"/>
    </row>
    <row r="4327" spans="1:10" ht="15.95" customHeight="1" x14ac:dyDescent="0.2">
      <c r="A4327" s="39"/>
      <c r="B4327" s="36"/>
      <c r="C4327" s="37"/>
      <c r="D4327" s="37"/>
      <c r="E4327" s="37"/>
      <c r="F4327" s="37"/>
      <c r="G4327" s="37"/>
      <c r="H4327" s="37"/>
      <c r="I4327" s="35"/>
      <c r="J4327" s="37"/>
    </row>
    <row r="4328" spans="1:10" ht="15.95" customHeight="1" x14ac:dyDescent="0.2">
      <c r="A4328" s="39"/>
      <c r="B4328" s="36"/>
      <c r="C4328" s="37"/>
      <c r="D4328" s="37"/>
      <c r="E4328" s="37"/>
      <c r="F4328" s="37"/>
      <c r="G4328" s="37"/>
      <c r="H4328" s="37"/>
      <c r="I4328" s="35"/>
      <c r="J4328" s="37"/>
    </row>
    <row r="4329" spans="1:10" ht="15.95" customHeight="1" x14ac:dyDescent="0.2">
      <c r="A4329" s="39"/>
      <c r="B4329" s="36"/>
      <c r="C4329" s="37"/>
      <c r="D4329" s="37"/>
      <c r="E4329" s="37"/>
      <c r="F4329" s="37"/>
      <c r="G4329" s="37"/>
      <c r="H4329" s="37"/>
      <c r="I4329" s="35"/>
      <c r="J4329" s="37"/>
    </row>
    <row r="4330" spans="1:10" ht="15.95" customHeight="1" x14ac:dyDescent="0.2">
      <c r="A4330" s="39"/>
      <c r="B4330" s="36"/>
      <c r="C4330" s="37"/>
      <c r="D4330" s="37"/>
      <c r="E4330" s="37"/>
      <c r="F4330" s="37"/>
      <c r="G4330" s="37"/>
      <c r="H4330" s="37"/>
      <c r="I4330" s="35"/>
      <c r="J4330" s="37"/>
    </row>
    <row r="4331" spans="1:10" ht="15.95" customHeight="1" x14ac:dyDescent="0.2">
      <c r="A4331" s="39"/>
      <c r="B4331" s="36"/>
      <c r="C4331" s="37"/>
      <c r="D4331" s="37"/>
      <c r="E4331" s="37"/>
      <c r="F4331" s="37"/>
      <c r="G4331" s="37"/>
      <c r="H4331" s="37"/>
      <c r="I4331" s="35"/>
      <c r="J4331" s="37"/>
    </row>
    <row r="4332" spans="1:10" ht="15.95" customHeight="1" x14ac:dyDescent="0.2">
      <c r="A4332" s="39"/>
      <c r="B4332" s="36"/>
      <c r="C4332" s="37"/>
      <c r="D4332" s="37"/>
      <c r="E4332" s="37"/>
      <c r="F4332" s="37"/>
      <c r="G4332" s="37"/>
      <c r="H4332" s="37"/>
      <c r="I4332" s="35"/>
      <c r="J4332" s="37"/>
    </row>
    <row r="4333" spans="1:10" ht="15.95" customHeight="1" x14ac:dyDescent="0.2">
      <c r="A4333" s="39"/>
      <c r="B4333" s="36"/>
      <c r="C4333" s="37"/>
      <c r="D4333" s="37"/>
      <c r="E4333" s="37"/>
      <c r="F4333" s="37"/>
      <c r="G4333" s="37"/>
      <c r="H4333" s="37"/>
      <c r="I4333" s="35"/>
      <c r="J4333" s="37"/>
    </row>
    <row r="4334" spans="1:10" ht="15.95" customHeight="1" x14ac:dyDescent="0.2">
      <c r="A4334" s="39"/>
      <c r="B4334" s="36"/>
      <c r="C4334" s="37"/>
      <c r="D4334" s="37"/>
      <c r="E4334" s="37"/>
      <c r="F4334" s="37"/>
      <c r="G4334" s="37"/>
      <c r="H4334" s="37"/>
      <c r="I4334" s="35"/>
      <c r="J4334" s="37"/>
    </row>
    <row r="4335" spans="1:10" ht="15.95" customHeight="1" x14ac:dyDescent="0.2">
      <c r="A4335" s="39"/>
      <c r="B4335" s="36"/>
      <c r="C4335" s="37"/>
      <c r="D4335" s="37"/>
      <c r="E4335" s="37"/>
      <c r="F4335" s="37"/>
      <c r="G4335" s="37"/>
      <c r="H4335" s="37"/>
      <c r="I4335" s="35"/>
      <c r="J4335" s="37"/>
    </row>
    <row r="4336" spans="1:10" ht="15.95" customHeight="1" x14ac:dyDescent="0.2">
      <c r="A4336" s="39"/>
      <c r="B4336" s="36"/>
      <c r="C4336" s="37"/>
      <c r="D4336" s="37"/>
      <c r="E4336" s="37"/>
      <c r="F4336" s="37"/>
      <c r="G4336" s="37"/>
      <c r="H4336" s="37"/>
      <c r="I4336" s="35"/>
      <c r="J4336" s="37"/>
    </row>
    <row r="4337" spans="1:10" ht="15.95" customHeight="1" x14ac:dyDescent="0.2">
      <c r="A4337" s="39"/>
      <c r="B4337" s="36"/>
      <c r="C4337" s="37"/>
      <c r="D4337" s="37"/>
      <c r="E4337" s="37"/>
      <c r="F4337" s="37"/>
      <c r="G4337" s="37"/>
      <c r="H4337" s="37"/>
      <c r="I4337" s="35"/>
      <c r="J4337" s="37"/>
    </row>
    <row r="4338" spans="1:10" ht="15.95" customHeight="1" x14ac:dyDescent="0.2">
      <c r="A4338" s="39"/>
      <c r="B4338" s="36"/>
      <c r="C4338" s="37"/>
      <c r="D4338" s="37"/>
      <c r="E4338" s="37"/>
      <c r="F4338" s="37"/>
      <c r="G4338" s="37"/>
      <c r="H4338" s="37"/>
      <c r="I4338" s="35"/>
      <c r="J4338" s="37"/>
    </row>
    <row r="4339" spans="1:10" ht="15.95" customHeight="1" x14ac:dyDescent="0.2">
      <c r="A4339" s="39"/>
      <c r="B4339" s="36"/>
      <c r="C4339" s="37"/>
      <c r="D4339" s="37"/>
      <c r="E4339" s="37"/>
      <c r="F4339" s="37"/>
      <c r="G4339" s="37"/>
      <c r="H4339" s="37"/>
      <c r="I4339" s="35"/>
      <c r="J4339" s="37"/>
    </row>
    <row r="4340" spans="1:10" ht="15.95" customHeight="1" x14ac:dyDescent="0.2">
      <c r="A4340" s="39"/>
      <c r="B4340" s="36"/>
      <c r="C4340" s="37"/>
      <c r="D4340" s="37"/>
      <c r="E4340" s="37"/>
      <c r="F4340" s="37"/>
      <c r="G4340" s="37"/>
      <c r="H4340" s="37"/>
      <c r="I4340" s="35"/>
      <c r="J4340" s="37"/>
    </row>
    <row r="4341" spans="1:10" ht="15.95" customHeight="1" x14ac:dyDescent="0.2">
      <c r="A4341" s="39"/>
      <c r="B4341" s="36"/>
      <c r="C4341" s="37"/>
      <c r="D4341" s="37"/>
      <c r="E4341" s="37"/>
      <c r="F4341" s="37"/>
      <c r="G4341" s="37"/>
      <c r="H4341" s="37"/>
      <c r="I4341" s="35"/>
      <c r="J4341" s="37"/>
    </row>
    <row r="4342" spans="1:10" ht="15.95" customHeight="1" x14ac:dyDescent="0.2">
      <c r="A4342" s="39"/>
      <c r="B4342" s="36"/>
      <c r="C4342" s="37"/>
      <c r="D4342" s="37"/>
      <c r="E4342" s="37"/>
      <c r="F4342" s="37"/>
      <c r="G4342" s="37"/>
      <c r="H4342" s="37"/>
      <c r="I4342" s="35"/>
      <c r="J4342" s="37"/>
    </row>
    <row r="4343" spans="1:10" ht="15.95" customHeight="1" x14ac:dyDescent="0.2">
      <c r="A4343" s="39"/>
      <c r="B4343" s="36"/>
      <c r="C4343" s="37"/>
      <c r="D4343" s="37"/>
      <c r="E4343" s="37"/>
      <c r="F4343" s="37"/>
      <c r="G4343" s="37"/>
      <c r="H4343" s="37"/>
      <c r="I4343" s="35"/>
      <c r="J4343" s="37"/>
    </row>
    <row r="4344" spans="1:10" ht="15.95" customHeight="1" x14ac:dyDescent="0.2">
      <c r="A4344" s="39"/>
      <c r="B4344" s="36"/>
      <c r="C4344" s="37"/>
      <c r="D4344" s="37"/>
      <c r="E4344" s="37"/>
      <c r="F4344" s="37"/>
      <c r="G4344" s="37"/>
      <c r="H4344" s="37"/>
      <c r="I4344" s="35"/>
      <c r="J4344" s="37"/>
    </row>
    <row r="4345" spans="1:10" ht="15.95" customHeight="1" x14ac:dyDescent="0.2">
      <c r="A4345" s="39"/>
      <c r="B4345" s="36"/>
      <c r="C4345" s="37"/>
      <c r="D4345" s="37"/>
      <c r="E4345" s="37"/>
      <c r="F4345" s="37"/>
      <c r="G4345" s="37"/>
      <c r="H4345" s="37"/>
      <c r="I4345" s="35"/>
      <c r="J4345" s="37"/>
    </row>
    <row r="4346" spans="1:10" ht="15.95" customHeight="1" x14ac:dyDescent="0.2">
      <c r="A4346" s="39"/>
      <c r="B4346" s="36"/>
      <c r="C4346" s="37"/>
      <c r="D4346" s="37"/>
      <c r="E4346" s="37"/>
      <c r="F4346" s="37"/>
      <c r="G4346" s="37"/>
      <c r="H4346" s="37"/>
      <c r="I4346" s="35"/>
      <c r="J4346" s="37"/>
    </row>
    <row r="4347" spans="1:10" ht="15.95" customHeight="1" x14ac:dyDescent="0.2">
      <c r="A4347" s="39"/>
      <c r="B4347" s="36"/>
      <c r="C4347" s="37"/>
      <c r="D4347" s="37"/>
      <c r="E4347" s="37"/>
      <c r="F4347" s="37"/>
      <c r="G4347" s="37"/>
      <c r="H4347" s="37"/>
      <c r="I4347" s="35"/>
      <c r="J4347" s="37"/>
    </row>
    <row r="4348" spans="1:10" ht="15.95" customHeight="1" x14ac:dyDescent="0.2">
      <c r="A4348" s="39"/>
      <c r="B4348" s="36"/>
      <c r="C4348" s="37"/>
      <c r="D4348" s="37"/>
      <c r="E4348" s="37"/>
      <c r="F4348" s="37"/>
      <c r="G4348" s="37"/>
      <c r="H4348" s="37"/>
      <c r="I4348" s="35"/>
      <c r="J4348" s="37"/>
    </row>
    <row r="4349" spans="1:10" ht="15.95" customHeight="1" x14ac:dyDescent="0.2">
      <c r="A4349" s="39"/>
      <c r="B4349" s="36"/>
      <c r="C4349" s="37"/>
      <c r="D4349" s="37"/>
      <c r="E4349" s="37"/>
      <c r="F4349" s="37"/>
      <c r="G4349" s="37"/>
      <c r="H4349" s="37"/>
      <c r="I4349" s="35"/>
      <c r="J4349" s="37"/>
    </row>
    <row r="4350" spans="1:10" ht="15.95" customHeight="1" x14ac:dyDescent="0.2">
      <c r="A4350" s="39"/>
      <c r="B4350" s="36"/>
      <c r="C4350" s="37"/>
      <c r="D4350" s="37"/>
      <c r="E4350" s="37"/>
      <c r="F4350" s="37"/>
      <c r="G4350" s="37"/>
      <c r="H4350" s="37"/>
      <c r="I4350" s="35"/>
      <c r="J4350" s="37"/>
    </row>
    <row r="4351" spans="1:10" ht="15.95" customHeight="1" x14ac:dyDescent="0.2">
      <c r="A4351" s="39"/>
      <c r="B4351" s="36"/>
      <c r="C4351" s="37"/>
      <c r="D4351" s="37"/>
      <c r="E4351" s="37"/>
      <c r="F4351" s="37"/>
      <c r="G4351" s="37"/>
      <c r="H4351" s="37"/>
      <c r="I4351" s="35"/>
      <c r="J4351" s="37"/>
    </row>
    <row r="4352" spans="1:10" ht="15.95" customHeight="1" x14ac:dyDescent="0.2">
      <c r="A4352" s="39"/>
      <c r="B4352" s="36"/>
      <c r="C4352" s="37"/>
      <c r="D4352" s="37"/>
      <c r="E4352" s="37"/>
      <c r="F4352" s="37"/>
      <c r="G4352" s="37"/>
      <c r="H4352" s="37"/>
      <c r="I4352" s="35"/>
      <c r="J4352" s="37"/>
    </row>
    <row r="4353" spans="1:10" ht="15.95" customHeight="1" x14ac:dyDescent="0.2">
      <c r="A4353" s="39"/>
      <c r="B4353" s="36"/>
      <c r="C4353" s="37"/>
      <c r="D4353" s="37"/>
      <c r="E4353" s="37"/>
      <c r="F4353" s="37"/>
      <c r="G4353" s="37"/>
      <c r="H4353" s="37"/>
      <c r="I4353" s="35"/>
      <c r="J4353" s="37"/>
    </row>
    <row r="4354" spans="1:10" ht="15.95" customHeight="1" x14ac:dyDescent="0.2">
      <c r="A4354" s="39"/>
      <c r="B4354" s="36"/>
      <c r="C4354" s="37"/>
      <c r="D4354" s="37"/>
      <c r="E4354" s="37"/>
      <c r="F4354" s="37"/>
      <c r="G4354" s="37"/>
      <c r="H4354" s="37"/>
      <c r="I4354" s="35"/>
      <c r="J4354" s="37"/>
    </row>
    <row r="4355" spans="1:10" ht="15.95" customHeight="1" x14ac:dyDescent="0.2">
      <c r="A4355" s="39"/>
      <c r="B4355" s="36"/>
      <c r="C4355" s="37"/>
      <c r="D4355" s="37"/>
      <c r="E4355" s="37"/>
      <c r="F4355" s="37"/>
      <c r="G4355" s="37"/>
      <c r="H4355" s="37"/>
      <c r="I4355" s="35"/>
      <c r="J4355" s="37"/>
    </row>
    <row r="4356" spans="1:10" ht="15.95" customHeight="1" x14ac:dyDescent="0.2">
      <c r="A4356" s="39"/>
      <c r="B4356" s="36"/>
      <c r="C4356" s="37"/>
      <c r="D4356" s="37"/>
      <c r="E4356" s="37"/>
      <c r="F4356" s="37"/>
      <c r="G4356" s="37"/>
      <c r="H4356" s="37"/>
      <c r="I4356" s="35"/>
      <c r="J4356" s="37"/>
    </row>
    <row r="4357" spans="1:10" ht="15.95" customHeight="1" x14ac:dyDescent="0.2">
      <c r="A4357" s="39"/>
      <c r="B4357" s="36"/>
      <c r="C4357" s="37"/>
      <c r="D4357" s="37"/>
      <c r="E4357" s="37"/>
      <c r="F4357" s="37"/>
      <c r="G4357" s="37"/>
      <c r="H4357" s="37"/>
      <c r="I4357" s="35"/>
      <c r="J4357" s="37"/>
    </row>
    <row r="4358" spans="1:10" ht="15.95" customHeight="1" x14ac:dyDescent="0.2">
      <c r="A4358" s="39"/>
      <c r="B4358" s="36"/>
      <c r="C4358" s="37"/>
      <c r="D4358" s="37"/>
      <c r="E4358" s="37"/>
      <c r="F4358" s="37"/>
      <c r="G4358" s="37"/>
      <c r="H4358" s="37"/>
      <c r="I4358" s="35"/>
      <c r="J4358" s="37"/>
    </row>
    <row r="4359" spans="1:10" ht="15.95" customHeight="1" x14ac:dyDescent="0.2">
      <c r="A4359" s="39"/>
      <c r="B4359" s="36"/>
      <c r="C4359" s="37"/>
      <c r="D4359" s="37"/>
      <c r="E4359" s="37"/>
      <c r="F4359" s="37"/>
      <c r="G4359" s="37"/>
      <c r="H4359" s="37"/>
      <c r="I4359" s="35"/>
      <c r="J4359" s="37"/>
    </row>
    <row r="4360" spans="1:10" ht="15.95" customHeight="1" x14ac:dyDescent="0.2">
      <c r="A4360" s="39"/>
      <c r="B4360" s="36"/>
      <c r="C4360" s="37"/>
      <c r="D4360" s="37"/>
      <c r="E4360" s="37"/>
      <c r="F4360" s="37"/>
      <c r="G4360" s="37"/>
      <c r="H4360" s="37"/>
      <c r="I4360" s="35"/>
      <c r="J4360" s="37"/>
    </row>
    <row r="4361" spans="1:10" ht="15.95" customHeight="1" x14ac:dyDescent="0.2">
      <c r="A4361" s="39"/>
      <c r="B4361" s="36"/>
      <c r="C4361" s="37"/>
      <c r="D4361" s="37"/>
      <c r="E4361" s="37"/>
      <c r="F4361" s="37"/>
      <c r="G4361" s="37"/>
      <c r="H4361" s="37"/>
      <c r="I4361" s="35"/>
      <c r="J4361" s="37"/>
    </row>
    <row r="4362" spans="1:10" ht="15.95" customHeight="1" x14ac:dyDescent="0.2">
      <c r="A4362" s="39"/>
      <c r="B4362" s="36"/>
      <c r="C4362" s="37"/>
      <c r="D4362" s="37"/>
      <c r="E4362" s="37"/>
      <c r="F4362" s="37"/>
      <c r="G4362" s="37"/>
      <c r="H4362" s="37"/>
      <c r="I4362" s="35"/>
      <c r="J4362" s="37"/>
    </row>
    <row r="4363" spans="1:10" ht="15.95" customHeight="1" x14ac:dyDescent="0.2">
      <c r="A4363" s="39"/>
      <c r="B4363" s="36"/>
      <c r="C4363" s="37"/>
      <c r="D4363" s="37"/>
      <c r="E4363" s="37"/>
      <c r="F4363" s="37"/>
      <c r="G4363" s="37"/>
      <c r="H4363" s="37"/>
      <c r="I4363" s="35"/>
      <c r="J4363" s="37"/>
    </row>
    <row r="4364" spans="1:10" ht="15.95" customHeight="1" x14ac:dyDescent="0.2">
      <c r="A4364" s="39"/>
      <c r="B4364" s="36"/>
      <c r="C4364" s="37"/>
      <c r="D4364" s="37"/>
      <c r="E4364" s="37"/>
      <c r="F4364" s="37"/>
      <c r="G4364" s="37"/>
      <c r="H4364" s="37"/>
      <c r="I4364" s="35"/>
      <c r="J4364" s="37"/>
    </row>
    <row r="4365" spans="1:10" ht="15.95" customHeight="1" x14ac:dyDescent="0.2">
      <c r="A4365" s="39"/>
      <c r="B4365" s="36"/>
      <c r="C4365" s="37"/>
      <c r="D4365" s="37"/>
      <c r="E4365" s="37"/>
      <c r="F4365" s="37"/>
      <c r="G4365" s="37"/>
      <c r="H4365" s="37"/>
      <c r="I4365" s="35"/>
      <c r="J4365" s="37"/>
    </row>
    <row r="4366" spans="1:10" ht="15.95" customHeight="1" x14ac:dyDescent="0.2">
      <c r="A4366" s="39"/>
      <c r="B4366" s="36"/>
      <c r="C4366" s="37"/>
      <c r="D4366" s="37"/>
      <c r="E4366" s="37"/>
      <c r="F4366" s="37"/>
      <c r="G4366" s="37"/>
      <c r="H4366" s="37"/>
      <c r="I4366" s="35"/>
      <c r="J4366" s="37"/>
    </row>
    <row r="4367" spans="1:10" ht="15.95" customHeight="1" x14ac:dyDescent="0.2">
      <c r="A4367" s="39"/>
      <c r="B4367" s="36"/>
      <c r="C4367" s="37"/>
      <c r="D4367" s="37"/>
      <c r="E4367" s="37"/>
      <c r="F4367" s="37"/>
      <c r="G4367" s="37"/>
      <c r="H4367" s="37"/>
      <c r="I4367" s="35"/>
      <c r="J4367" s="37"/>
    </row>
    <row r="4368" spans="1:10" ht="15.95" customHeight="1" x14ac:dyDescent="0.2">
      <c r="A4368" s="39"/>
      <c r="B4368" s="36"/>
      <c r="C4368" s="37"/>
      <c r="D4368" s="37"/>
      <c r="E4368" s="37"/>
      <c r="F4368" s="37"/>
      <c r="G4368" s="37"/>
      <c r="H4368" s="37"/>
      <c r="I4368" s="35"/>
      <c r="J4368" s="37"/>
    </row>
    <row r="4369" spans="1:10" ht="15.95" customHeight="1" x14ac:dyDescent="0.2">
      <c r="A4369" s="39"/>
      <c r="B4369" s="36"/>
      <c r="C4369" s="37"/>
      <c r="D4369" s="37"/>
      <c r="E4369" s="37"/>
      <c r="F4369" s="37"/>
      <c r="G4369" s="37"/>
      <c r="H4369" s="37"/>
      <c r="I4369" s="35"/>
      <c r="J4369" s="37"/>
    </row>
    <row r="4370" spans="1:10" ht="15.95" customHeight="1" x14ac:dyDescent="0.2">
      <c r="A4370" s="39"/>
      <c r="B4370" s="36"/>
      <c r="C4370" s="37"/>
      <c r="D4370" s="37"/>
      <c r="E4370" s="37"/>
      <c r="F4370" s="37"/>
      <c r="G4370" s="37"/>
      <c r="H4370" s="37"/>
      <c r="I4370" s="35"/>
      <c r="J4370" s="37"/>
    </row>
    <row r="4371" spans="1:10" ht="15.95" customHeight="1" x14ac:dyDescent="0.2">
      <c r="A4371" s="39"/>
      <c r="B4371" s="36"/>
      <c r="C4371" s="37"/>
      <c r="D4371" s="37"/>
      <c r="E4371" s="37"/>
      <c r="F4371" s="37"/>
      <c r="G4371" s="37"/>
      <c r="H4371" s="37"/>
      <c r="I4371" s="35"/>
      <c r="J4371" s="37"/>
    </row>
    <row r="4372" spans="1:10" ht="15.95" customHeight="1" x14ac:dyDescent="0.2">
      <c r="A4372" s="39"/>
      <c r="B4372" s="36"/>
      <c r="C4372" s="37"/>
      <c r="D4372" s="37"/>
      <c r="E4372" s="37"/>
      <c r="F4372" s="37"/>
      <c r="G4372" s="37"/>
      <c r="H4372" s="37"/>
      <c r="I4372" s="35"/>
      <c r="J4372" s="37"/>
    </row>
    <row r="4373" spans="1:10" ht="15.95" customHeight="1" x14ac:dyDescent="0.2">
      <c r="A4373" s="39"/>
      <c r="B4373" s="36"/>
      <c r="C4373" s="37"/>
      <c r="D4373" s="37"/>
      <c r="E4373" s="37"/>
      <c r="F4373" s="37"/>
      <c r="G4373" s="37"/>
      <c r="H4373" s="37"/>
      <c r="I4373" s="35"/>
      <c r="J4373" s="37"/>
    </row>
    <row r="4374" spans="1:10" ht="15.95" customHeight="1" x14ac:dyDescent="0.2">
      <c r="A4374" s="39"/>
      <c r="B4374" s="36"/>
      <c r="C4374" s="37"/>
      <c r="D4374" s="37"/>
      <c r="E4374" s="37"/>
      <c r="F4374" s="37"/>
      <c r="G4374" s="37"/>
      <c r="H4374" s="37"/>
      <c r="I4374" s="35"/>
      <c r="J4374" s="37"/>
    </row>
    <row r="4375" spans="1:10" ht="15.95" customHeight="1" x14ac:dyDescent="0.2">
      <c r="A4375" s="39"/>
      <c r="B4375" s="36"/>
      <c r="C4375" s="37"/>
      <c r="D4375" s="37"/>
      <c r="E4375" s="37"/>
      <c r="F4375" s="37"/>
      <c r="G4375" s="37"/>
      <c r="H4375" s="37"/>
      <c r="I4375" s="35"/>
      <c r="J4375" s="37"/>
    </row>
    <row r="4376" spans="1:10" ht="15.95" customHeight="1" x14ac:dyDescent="0.2">
      <c r="A4376" s="39"/>
      <c r="B4376" s="36"/>
      <c r="C4376" s="37"/>
      <c r="D4376" s="37"/>
      <c r="E4376" s="37"/>
      <c r="F4376" s="37"/>
      <c r="G4376" s="37"/>
      <c r="H4376" s="37"/>
      <c r="I4376" s="35"/>
      <c r="J4376" s="37"/>
    </row>
    <row r="4377" spans="1:10" ht="15.95" customHeight="1" x14ac:dyDescent="0.2">
      <c r="A4377" s="39"/>
      <c r="B4377" s="36"/>
      <c r="C4377" s="37"/>
      <c r="D4377" s="37"/>
      <c r="E4377" s="37"/>
      <c r="F4377" s="37"/>
      <c r="G4377" s="37"/>
      <c r="H4377" s="37"/>
      <c r="I4377" s="35"/>
      <c r="J4377" s="37"/>
    </row>
    <row r="4378" spans="1:10" ht="15.95" customHeight="1" x14ac:dyDescent="0.2">
      <c r="A4378" s="39"/>
      <c r="B4378" s="36"/>
      <c r="C4378" s="37"/>
      <c r="D4378" s="37"/>
      <c r="E4378" s="37"/>
      <c r="F4378" s="37"/>
      <c r="G4378" s="37"/>
      <c r="H4378" s="37"/>
      <c r="I4378" s="35"/>
      <c r="J4378" s="37"/>
    </row>
    <row r="4379" spans="1:10" ht="15.95" customHeight="1" x14ac:dyDescent="0.2">
      <c r="A4379" s="39"/>
      <c r="B4379" s="36"/>
      <c r="C4379" s="37"/>
      <c r="D4379" s="37"/>
      <c r="E4379" s="37"/>
      <c r="F4379" s="37"/>
      <c r="G4379" s="37"/>
      <c r="H4379" s="37"/>
      <c r="I4379" s="35"/>
      <c r="J4379" s="37"/>
    </row>
    <row r="4380" spans="1:10" ht="15.95" customHeight="1" x14ac:dyDescent="0.2">
      <c r="A4380" s="39"/>
      <c r="B4380" s="36"/>
      <c r="C4380" s="37"/>
      <c r="D4380" s="37"/>
      <c r="E4380" s="37"/>
      <c r="F4380" s="37"/>
      <c r="G4380" s="37"/>
      <c r="H4380" s="37"/>
      <c r="I4380" s="35"/>
      <c r="J4380" s="37"/>
    </row>
    <row r="4381" spans="1:10" ht="15.95" customHeight="1" x14ac:dyDescent="0.2">
      <c r="A4381" s="39"/>
      <c r="B4381" s="36"/>
      <c r="C4381" s="37"/>
      <c r="D4381" s="37"/>
      <c r="E4381" s="37"/>
      <c r="F4381" s="37"/>
      <c r="G4381" s="37"/>
      <c r="H4381" s="37"/>
      <c r="I4381" s="35"/>
      <c r="J4381" s="37"/>
    </row>
    <row r="4382" spans="1:10" ht="15.95" customHeight="1" x14ac:dyDescent="0.2">
      <c r="A4382" s="39"/>
      <c r="B4382" s="36"/>
      <c r="C4382" s="37"/>
      <c r="D4382" s="37"/>
      <c r="E4382" s="37"/>
      <c r="F4382" s="37"/>
      <c r="G4382" s="37"/>
      <c r="H4382" s="37"/>
      <c r="I4382" s="35"/>
      <c r="J4382" s="37"/>
    </row>
    <row r="4383" spans="1:10" ht="15.95" customHeight="1" x14ac:dyDescent="0.2">
      <c r="A4383" s="39"/>
      <c r="B4383" s="36"/>
      <c r="C4383" s="37"/>
      <c r="D4383" s="37"/>
      <c r="E4383" s="37"/>
      <c r="F4383" s="37"/>
      <c r="G4383" s="37"/>
      <c r="H4383" s="37"/>
      <c r="I4383" s="35"/>
      <c r="J4383" s="37"/>
    </row>
    <row r="4384" spans="1:10" ht="15.95" customHeight="1" x14ac:dyDescent="0.2">
      <c r="A4384" s="39"/>
      <c r="B4384" s="36"/>
      <c r="C4384" s="37"/>
      <c r="D4384" s="37"/>
      <c r="E4384" s="37"/>
      <c r="F4384" s="37"/>
      <c r="G4384" s="37"/>
      <c r="H4384" s="37"/>
      <c r="I4384" s="35"/>
      <c r="J4384" s="37"/>
    </row>
    <row r="4385" spans="1:10" ht="15.95" customHeight="1" x14ac:dyDescent="0.2">
      <c r="A4385" s="39"/>
      <c r="B4385" s="36"/>
      <c r="C4385" s="37"/>
      <c r="D4385" s="37"/>
      <c r="E4385" s="37"/>
      <c r="F4385" s="37"/>
      <c r="G4385" s="37"/>
      <c r="H4385" s="37"/>
      <c r="I4385" s="35"/>
      <c r="J4385" s="37"/>
    </row>
    <row r="4386" spans="1:10" ht="15.95" customHeight="1" x14ac:dyDescent="0.2">
      <c r="A4386" s="39"/>
      <c r="B4386" s="36"/>
      <c r="C4386" s="37"/>
      <c r="D4386" s="37"/>
      <c r="E4386" s="37"/>
      <c r="F4386" s="37"/>
      <c r="G4386" s="37"/>
      <c r="H4386" s="37"/>
      <c r="I4386" s="35"/>
      <c r="J4386" s="37"/>
    </row>
    <row r="4387" spans="1:10" ht="15.95" customHeight="1" x14ac:dyDescent="0.2">
      <c r="A4387" s="39"/>
      <c r="B4387" s="36"/>
      <c r="C4387" s="37"/>
      <c r="D4387" s="37"/>
      <c r="E4387" s="37"/>
      <c r="F4387" s="37"/>
      <c r="G4387" s="37"/>
      <c r="H4387" s="37"/>
      <c r="I4387" s="35"/>
      <c r="J4387" s="37"/>
    </row>
    <row r="4388" spans="1:10" ht="15.95" customHeight="1" x14ac:dyDescent="0.2">
      <c r="A4388" s="39"/>
      <c r="B4388" s="36"/>
      <c r="C4388" s="37"/>
      <c r="D4388" s="37"/>
      <c r="E4388" s="37"/>
      <c r="F4388" s="37"/>
      <c r="G4388" s="37"/>
      <c r="H4388" s="37"/>
      <c r="I4388" s="35"/>
      <c r="J4388" s="37"/>
    </row>
    <row r="4389" spans="1:10" ht="15.95" customHeight="1" x14ac:dyDescent="0.2">
      <c r="A4389" s="39"/>
      <c r="B4389" s="36"/>
      <c r="C4389" s="37"/>
      <c r="D4389" s="37"/>
      <c r="E4389" s="37"/>
      <c r="F4389" s="37"/>
      <c r="G4389" s="37"/>
      <c r="H4389" s="37"/>
      <c r="I4389" s="35"/>
      <c r="J4389" s="37"/>
    </row>
    <row r="4390" spans="1:10" ht="15.95" customHeight="1" x14ac:dyDescent="0.2">
      <c r="A4390" s="39"/>
      <c r="B4390" s="36"/>
      <c r="C4390" s="37"/>
      <c r="D4390" s="37"/>
      <c r="E4390" s="37"/>
      <c r="F4390" s="37"/>
      <c r="G4390" s="37"/>
      <c r="H4390" s="37"/>
      <c r="I4390" s="35"/>
      <c r="J4390" s="37"/>
    </row>
    <row r="4391" spans="1:10" ht="15.95" customHeight="1" x14ac:dyDescent="0.2">
      <c r="A4391" s="39"/>
      <c r="B4391" s="36"/>
      <c r="C4391" s="37"/>
      <c r="D4391" s="37"/>
      <c r="E4391" s="37"/>
      <c r="F4391" s="37"/>
      <c r="G4391" s="37"/>
      <c r="H4391" s="37"/>
      <c r="I4391" s="35"/>
      <c r="J4391" s="37"/>
    </row>
    <row r="4392" spans="1:10" ht="15.95" customHeight="1" x14ac:dyDescent="0.2">
      <c r="A4392" s="39"/>
      <c r="B4392" s="36"/>
      <c r="C4392" s="37"/>
      <c r="D4392" s="37"/>
      <c r="E4392" s="37"/>
      <c r="F4392" s="37"/>
      <c r="G4392" s="37"/>
      <c r="H4392" s="37"/>
      <c r="I4392" s="35"/>
      <c r="J4392" s="37"/>
    </row>
    <row r="4393" spans="1:10" ht="15.95" customHeight="1" x14ac:dyDescent="0.2">
      <c r="A4393" s="39"/>
      <c r="B4393" s="36"/>
      <c r="C4393" s="37"/>
      <c r="D4393" s="37"/>
      <c r="E4393" s="37"/>
      <c r="F4393" s="37"/>
      <c r="G4393" s="37"/>
      <c r="H4393" s="37"/>
      <c r="I4393" s="35"/>
      <c r="J4393" s="37"/>
    </row>
    <row r="4394" spans="1:10" ht="15.95" customHeight="1" x14ac:dyDescent="0.2">
      <c r="A4394" s="39"/>
      <c r="B4394" s="36"/>
      <c r="C4394" s="37"/>
      <c r="D4394" s="37"/>
      <c r="E4394" s="37"/>
      <c r="F4394" s="37"/>
      <c r="G4394" s="37"/>
      <c r="H4394" s="37"/>
      <c r="I4394" s="35"/>
      <c r="J4394" s="37"/>
    </row>
    <row r="4395" spans="1:10" ht="15.95" customHeight="1" x14ac:dyDescent="0.2">
      <c r="A4395" s="39"/>
      <c r="B4395" s="36"/>
      <c r="C4395" s="37"/>
      <c r="D4395" s="37"/>
      <c r="E4395" s="37"/>
      <c r="F4395" s="37"/>
      <c r="G4395" s="37"/>
      <c r="H4395" s="37"/>
      <c r="I4395" s="35"/>
      <c r="J4395" s="37"/>
    </row>
    <row r="4396" spans="1:10" ht="15.95" customHeight="1" x14ac:dyDescent="0.2">
      <c r="A4396" s="39"/>
      <c r="B4396" s="36"/>
      <c r="C4396" s="37"/>
      <c r="D4396" s="37"/>
      <c r="E4396" s="37"/>
      <c r="F4396" s="37"/>
      <c r="G4396" s="37"/>
      <c r="H4396" s="37"/>
      <c r="I4396" s="35"/>
      <c r="J4396" s="37"/>
    </row>
    <row r="4397" spans="1:10" ht="15.95" customHeight="1" x14ac:dyDescent="0.2">
      <c r="A4397" s="39"/>
      <c r="B4397" s="36"/>
      <c r="C4397" s="37"/>
      <c r="D4397" s="37"/>
      <c r="E4397" s="37"/>
      <c r="F4397" s="37"/>
      <c r="G4397" s="37"/>
      <c r="H4397" s="37"/>
      <c r="I4397" s="35"/>
      <c r="J4397" s="37"/>
    </row>
    <row r="4398" spans="1:10" ht="15.95" customHeight="1" x14ac:dyDescent="0.2">
      <c r="A4398" s="39"/>
      <c r="B4398" s="36"/>
      <c r="C4398" s="37"/>
      <c r="D4398" s="37"/>
      <c r="E4398" s="37"/>
      <c r="F4398" s="37"/>
      <c r="G4398" s="37"/>
      <c r="H4398" s="37"/>
      <c r="I4398" s="35"/>
      <c r="J4398" s="37"/>
    </row>
    <row r="4399" spans="1:10" ht="15.95" customHeight="1" x14ac:dyDescent="0.2">
      <c r="A4399" s="39"/>
      <c r="B4399" s="36"/>
      <c r="C4399" s="37"/>
      <c r="D4399" s="37"/>
      <c r="E4399" s="37"/>
      <c r="F4399" s="37"/>
      <c r="G4399" s="37"/>
      <c r="H4399" s="37"/>
      <c r="I4399" s="35"/>
      <c r="J4399" s="37"/>
    </row>
    <row r="4400" spans="1:10" ht="15.95" customHeight="1" x14ac:dyDescent="0.2">
      <c r="A4400" s="39"/>
      <c r="B4400" s="36"/>
      <c r="C4400" s="37"/>
      <c r="D4400" s="37"/>
      <c r="E4400" s="37"/>
      <c r="F4400" s="37"/>
      <c r="G4400" s="37"/>
      <c r="H4400" s="37"/>
      <c r="I4400" s="35"/>
      <c r="J4400" s="37"/>
    </row>
    <row r="4401" spans="1:10" ht="15.95" customHeight="1" x14ac:dyDescent="0.2">
      <c r="A4401" s="39"/>
      <c r="B4401" s="36"/>
      <c r="C4401" s="37"/>
      <c r="D4401" s="37"/>
      <c r="E4401" s="37"/>
      <c r="F4401" s="37"/>
      <c r="G4401" s="37"/>
      <c r="H4401" s="37"/>
      <c r="I4401" s="35"/>
      <c r="J4401" s="37"/>
    </row>
    <row r="4402" spans="1:10" ht="15.95" customHeight="1" x14ac:dyDescent="0.2">
      <c r="A4402" s="39"/>
      <c r="B4402" s="36"/>
      <c r="C4402" s="37"/>
      <c r="D4402" s="37"/>
      <c r="E4402" s="37"/>
      <c r="F4402" s="37"/>
      <c r="G4402" s="37"/>
      <c r="H4402" s="37"/>
      <c r="I4402" s="35"/>
      <c r="J4402" s="37"/>
    </row>
    <row r="4403" spans="1:10" ht="15.95" customHeight="1" x14ac:dyDescent="0.2">
      <c r="A4403" s="39"/>
      <c r="B4403" s="36"/>
      <c r="C4403" s="37"/>
      <c r="D4403" s="37"/>
      <c r="E4403" s="37"/>
      <c r="F4403" s="37"/>
      <c r="G4403" s="37"/>
      <c r="H4403" s="37"/>
      <c r="I4403" s="35"/>
      <c r="J4403" s="37"/>
    </row>
    <row r="4404" spans="1:10" ht="15.95" customHeight="1" x14ac:dyDescent="0.2">
      <c r="A4404" s="39"/>
      <c r="B4404" s="36"/>
      <c r="C4404" s="37"/>
      <c r="D4404" s="37"/>
      <c r="E4404" s="37"/>
      <c r="F4404" s="37"/>
      <c r="G4404" s="37"/>
      <c r="H4404" s="37"/>
      <c r="I4404" s="35"/>
      <c r="J4404" s="37"/>
    </row>
    <row r="4405" spans="1:10" ht="15.95" customHeight="1" x14ac:dyDescent="0.2">
      <c r="A4405" s="39"/>
      <c r="B4405" s="36"/>
      <c r="C4405" s="37"/>
      <c r="D4405" s="37"/>
      <c r="E4405" s="37"/>
      <c r="F4405" s="37"/>
      <c r="G4405" s="37"/>
      <c r="H4405" s="37"/>
      <c r="I4405" s="35"/>
      <c r="J4405" s="37"/>
    </row>
    <row r="4406" spans="1:10" ht="15.95" customHeight="1" x14ac:dyDescent="0.2">
      <c r="A4406" s="39"/>
      <c r="B4406" s="36"/>
      <c r="C4406" s="37"/>
      <c r="D4406" s="37"/>
      <c r="E4406" s="37"/>
      <c r="F4406" s="37"/>
      <c r="G4406" s="37"/>
      <c r="H4406" s="37"/>
      <c r="I4406" s="35"/>
      <c r="J4406" s="37"/>
    </row>
    <row r="4407" spans="1:10" ht="15.95" customHeight="1" x14ac:dyDescent="0.2">
      <c r="A4407" s="39"/>
      <c r="B4407" s="36"/>
      <c r="C4407" s="37"/>
      <c r="D4407" s="37"/>
      <c r="E4407" s="37"/>
      <c r="F4407" s="37"/>
      <c r="G4407" s="37"/>
      <c r="H4407" s="37"/>
      <c r="I4407" s="35"/>
      <c r="J4407" s="37"/>
    </row>
    <row r="4408" spans="1:10" ht="15.95" customHeight="1" x14ac:dyDescent="0.2">
      <c r="A4408" s="39"/>
      <c r="B4408" s="36"/>
      <c r="C4408" s="37"/>
      <c r="D4408" s="37"/>
      <c r="E4408" s="37"/>
      <c r="F4408" s="37"/>
      <c r="G4408" s="37"/>
      <c r="H4408" s="37"/>
      <c r="I4408" s="35"/>
      <c r="J4408" s="37"/>
    </row>
    <row r="4409" spans="1:10" ht="15.95" customHeight="1" x14ac:dyDescent="0.2">
      <c r="A4409" s="39"/>
      <c r="B4409" s="36"/>
      <c r="C4409" s="37"/>
      <c r="D4409" s="37"/>
      <c r="E4409" s="37"/>
      <c r="F4409" s="37"/>
      <c r="G4409" s="37"/>
      <c r="H4409" s="37"/>
      <c r="I4409" s="35"/>
      <c r="J4409" s="37"/>
    </row>
    <row r="4410" spans="1:10" ht="15.95" customHeight="1" x14ac:dyDescent="0.2">
      <c r="A4410" s="39"/>
      <c r="B4410" s="36"/>
      <c r="C4410" s="37"/>
      <c r="D4410" s="37"/>
      <c r="E4410" s="37"/>
      <c r="F4410" s="37"/>
      <c r="G4410" s="37"/>
      <c r="H4410" s="37"/>
      <c r="I4410" s="35"/>
      <c r="J4410" s="37"/>
    </row>
    <row r="4411" spans="1:10" ht="15.95" customHeight="1" x14ac:dyDescent="0.2">
      <c r="A4411" s="39"/>
      <c r="B4411" s="36"/>
      <c r="C4411" s="37"/>
      <c r="D4411" s="37"/>
      <c r="E4411" s="37"/>
      <c r="F4411" s="37"/>
      <c r="G4411" s="37"/>
      <c r="H4411" s="37"/>
      <c r="I4411" s="35"/>
      <c r="J4411" s="37"/>
    </row>
    <row r="4412" spans="1:10" ht="15.95" customHeight="1" x14ac:dyDescent="0.2">
      <c r="A4412" s="39"/>
      <c r="B4412" s="36"/>
      <c r="C4412" s="37"/>
      <c r="D4412" s="37"/>
      <c r="E4412" s="37"/>
      <c r="F4412" s="37"/>
      <c r="G4412" s="37"/>
      <c r="H4412" s="37"/>
      <c r="I4412" s="35"/>
      <c r="J4412" s="37"/>
    </row>
    <row r="4413" spans="1:10" ht="15.95" customHeight="1" x14ac:dyDescent="0.2">
      <c r="A4413" s="39"/>
      <c r="B4413" s="36"/>
      <c r="C4413" s="37"/>
      <c r="D4413" s="37"/>
      <c r="E4413" s="37"/>
      <c r="F4413" s="37"/>
      <c r="G4413" s="37"/>
      <c r="H4413" s="37"/>
      <c r="I4413" s="35"/>
      <c r="J4413" s="37"/>
    </row>
    <row r="4414" spans="1:10" ht="15.95" customHeight="1" x14ac:dyDescent="0.2">
      <c r="A4414" s="39"/>
      <c r="B4414" s="36"/>
      <c r="C4414" s="37"/>
      <c r="D4414" s="37"/>
      <c r="E4414" s="37"/>
      <c r="F4414" s="37"/>
      <c r="G4414" s="37"/>
      <c r="H4414" s="37"/>
      <c r="I4414" s="35"/>
      <c r="J4414" s="37"/>
    </row>
    <row r="4415" spans="1:10" ht="15.95" customHeight="1" x14ac:dyDescent="0.2">
      <c r="A4415" s="39"/>
      <c r="B4415" s="36"/>
      <c r="C4415" s="37"/>
      <c r="D4415" s="37"/>
      <c r="E4415" s="37"/>
      <c r="F4415" s="37"/>
      <c r="G4415" s="37"/>
      <c r="H4415" s="37"/>
      <c r="I4415" s="35"/>
      <c r="J4415" s="37"/>
    </row>
    <row r="4416" spans="1:10" ht="15.95" customHeight="1" x14ac:dyDescent="0.2">
      <c r="A4416" s="39"/>
      <c r="B4416" s="36"/>
      <c r="C4416" s="37"/>
      <c r="D4416" s="37"/>
      <c r="E4416" s="37"/>
      <c r="F4416" s="37"/>
      <c r="G4416" s="37"/>
      <c r="H4416" s="37"/>
      <c r="I4416" s="35"/>
      <c r="J4416" s="37"/>
    </row>
    <row r="4417" spans="1:10" ht="15.95" customHeight="1" x14ac:dyDescent="0.2">
      <c r="A4417" s="39"/>
      <c r="B4417" s="36"/>
      <c r="C4417" s="37"/>
      <c r="D4417" s="37"/>
      <c r="E4417" s="37"/>
      <c r="F4417" s="37"/>
      <c r="G4417" s="37"/>
      <c r="H4417" s="37"/>
      <c r="I4417" s="35"/>
      <c r="J4417" s="37"/>
    </row>
    <row r="4418" spans="1:10" ht="15.95" customHeight="1" x14ac:dyDescent="0.2">
      <c r="A4418" s="39"/>
      <c r="B4418" s="36"/>
      <c r="C4418" s="37"/>
      <c r="D4418" s="37"/>
      <c r="E4418" s="37"/>
      <c r="F4418" s="37"/>
      <c r="G4418" s="37"/>
      <c r="H4418" s="37"/>
      <c r="I4418" s="35"/>
      <c r="J4418" s="37"/>
    </row>
    <row r="4419" spans="1:10" ht="15.95" customHeight="1" x14ac:dyDescent="0.2">
      <c r="A4419" s="39"/>
      <c r="B4419" s="36"/>
      <c r="C4419" s="37"/>
      <c r="D4419" s="37"/>
      <c r="E4419" s="37"/>
      <c r="F4419" s="37"/>
      <c r="G4419" s="37"/>
      <c r="H4419" s="37"/>
      <c r="I4419" s="35"/>
      <c r="J4419" s="37"/>
    </row>
    <row r="4420" spans="1:10" ht="15.95" customHeight="1" x14ac:dyDescent="0.2">
      <c r="A4420" s="39"/>
      <c r="B4420" s="36"/>
      <c r="C4420" s="37"/>
      <c r="D4420" s="37"/>
      <c r="E4420" s="37"/>
      <c r="F4420" s="37"/>
      <c r="G4420" s="37"/>
      <c r="H4420" s="37"/>
      <c r="I4420" s="35"/>
      <c r="J4420" s="37"/>
    </row>
    <row r="4421" spans="1:10" ht="15.95" customHeight="1" x14ac:dyDescent="0.2">
      <c r="A4421" s="39"/>
      <c r="B4421" s="36"/>
      <c r="C4421" s="37"/>
      <c r="D4421" s="37"/>
      <c r="E4421" s="37"/>
      <c r="F4421" s="37"/>
      <c r="G4421" s="37"/>
      <c r="H4421" s="37"/>
      <c r="I4421" s="35"/>
      <c r="J4421" s="37"/>
    </row>
    <row r="4422" spans="1:10" ht="15.95" customHeight="1" x14ac:dyDescent="0.2">
      <c r="A4422" s="39"/>
      <c r="B4422" s="36"/>
      <c r="C4422" s="37"/>
      <c r="D4422" s="37"/>
      <c r="E4422" s="37"/>
      <c r="F4422" s="37"/>
      <c r="G4422" s="37"/>
      <c r="H4422" s="37"/>
      <c r="I4422" s="35"/>
      <c r="J4422" s="37"/>
    </row>
    <row r="4423" spans="1:10" ht="15.95" customHeight="1" x14ac:dyDescent="0.2">
      <c r="A4423" s="39"/>
      <c r="B4423" s="36"/>
      <c r="C4423" s="37"/>
      <c r="D4423" s="37"/>
      <c r="E4423" s="37"/>
      <c r="F4423" s="37"/>
      <c r="G4423" s="37"/>
      <c r="H4423" s="37"/>
      <c r="I4423" s="35"/>
      <c r="J4423" s="37"/>
    </row>
    <row r="4424" spans="1:10" ht="15.95" customHeight="1" x14ac:dyDescent="0.2">
      <c r="A4424" s="39"/>
      <c r="B4424" s="36"/>
      <c r="C4424" s="37"/>
      <c r="D4424" s="37"/>
      <c r="E4424" s="37"/>
      <c r="F4424" s="37"/>
      <c r="G4424" s="37"/>
      <c r="H4424" s="37"/>
      <c r="I4424" s="35"/>
      <c r="J4424" s="37"/>
    </row>
    <row r="4425" spans="1:10" ht="15.95" customHeight="1" x14ac:dyDescent="0.2">
      <c r="A4425" s="39"/>
      <c r="B4425" s="36"/>
      <c r="C4425" s="37"/>
      <c r="D4425" s="37"/>
      <c r="E4425" s="37"/>
      <c r="F4425" s="37"/>
      <c r="G4425" s="37"/>
      <c r="H4425" s="37"/>
      <c r="I4425" s="35"/>
      <c r="J4425" s="37"/>
    </row>
    <row r="4426" spans="1:10" ht="15.95" customHeight="1" x14ac:dyDescent="0.2">
      <c r="A4426" s="39"/>
      <c r="B4426" s="36"/>
      <c r="C4426" s="37"/>
      <c r="D4426" s="37"/>
      <c r="E4426" s="37"/>
      <c r="F4426" s="37"/>
      <c r="G4426" s="37"/>
      <c r="H4426" s="37"/>
      <c r="I4426" s="35"/>
      <c r="J4426" s="37"/>
    </row>
    <row r="4427" spans="1:10" ht="15.95" customHeight="1" x14ac:dyDescent="0.2">
      <c r="A4427" s="39"/>
      <c r="B4427" s="36"/>
      <c r="C4427" s="37"/>
      <c r="D4427" s="37"/>
      <c r="E4427" s="37"/>
      <c r="F4427" s="37"/>
      <c r="G4427" s="37"/>
      <c r="H4427" s="37"/>
      <c r="I4427" s="35"/>
      <c r="J4427" s="37"/>
    </row>
    <row r="4428" spans="1:10" ht="15.95" customHeight="1" x14ac:dyDescent="0.2">
      <c r="A4428" s="39"/>
      <c r="B4428" s="36"/>
      <c r="C4428" s="37"/>
      <c r="D4428" s="37"/>
      <c r="E4428" s="37"/>
      <c r="F4428" s="37"/>
      <c r="G4428" s="37"/>
      <c r="H4428" s="37"/>
      <c r="I4428" s="35"/>
      <c r="J4428" s="37"/>
    </row>
    <row r="4429" spans="1:10" ht="15.95" customHeight="1" x14ac:dyDescent="0.2">
      <c r="A4429" s="39"/>
      <c r="B4429" s="36"/>
      <c r="C4429" s="37"/>
      <c r="D4429" s="37"/>
      <c r="E4429" s="37"/>
      <c r="F4429" s="37"/>
      <c r="G4429" s="37"/>
      <c r="H4429" s="37"/>
      <c r="I4429" s="35"/>
      <c r="J4429" s="37"/>
    </row>
    <row r="4430" spans="1:10" ht="15.95" customHeight="1" x14ac:dyDescent="0.2">
      <c r="A4430" s="39"/>
      <c r="B4430" s="36"/>
      <c r="C4430" s="37"/>
      <c r="D4430" s="37"/>
      <c r="E4430" s="37"/>
      <c r="F4430" s="37"/>
      <c r="G4430" s="37"/>
      <c r="H4430" s="37"/>
      <c r="I4430" s="35"/>
      <c r="J4430" s="37"/>
    </row>
    <row r="4431" spans="1:10" ht="15.95" customHeight="1" x14ac:dyDescent="0.2">
      <c r="A4431" s="39"/>
      <c r="B4431" s="36"/>
      <c r="C4431" s="37"/>
      <c r="D4431" s="37"/>
      <c r="E4431" s="37"/>
      <c r="F4431" s="37"/>
      <c r="G4431" s="37"/>
      <c r="H4431" s="37"/>
      <c r="I4431" s="35"/>
      <c r="J4431" s="37"/>
    </row>
    <row r="4432" spans="1:10" ht="15.95" customHeight="1" x14ac:dyDescent="0.2">
      <c r="A4432" s="39"/>
      <c r="B4432" s="36"/>
      <c r="C4432" s="37"/>
      <c r="D4432" s="37"/>
      <c r="E4432" s="37"/>
      <c r="F4432" s="37"/>
      <c r="G4432" s="37"/>
      <c r="H4432" s="37"/>
      <c r="I4432" s="35"/>
      <c r="J4432" s="37"/>
    </row>
    <row r="4433" spans="1:10" ht="15.95" customHeight="1" x14ac:dyDescent="0.2">
      <c r="A4433" s="39"/>
      <c r="B4433" s="36"/>
      <c r="C4433" s="37"/>
      <c r="D4433" s="37"/>
      <c r="E4433" s="37"/>
      <c r="F4433" s="37"/>
      <c r="G4433" s="37"/>
      <c r="H4433" s="37"/>
      <c r="I4433" s="35"/>
      <c r="J4433" s="37"/>
    </row>
    <row r="4434" spans="1:10" ht="15.95" customHeight="1" x14ac:dyDescent="0.2">
      <c r="A4434" s="39"/>
      <c r="B4434" s="36"/>
      <c r="C4434" s="37"/>
      <c r="D4434" s="37"/>
      <c r="E4434" s="37"/>
      <c r="F4434" s="37"/>
      <c r="G4434" s="37"/>
      <c r="H4434" s="37"/>
      <c r="I4434" s="35"/>
      <c r="J4434" s="37"/>
    </row>
    <row r="4435" spans="1:10" ht="15.95" customHeight="1" x14ac:dyDescent="0.2">
      <c r="A4435" s="39"/>
      <c r="B4435" s="36"/>
      <c r="C4435" s="37"/>
      <c r="D4435" s="37"/>
      <c r="E4435" s="37"/>
      <c r="F4435" s="37"/>
      <c r="G4435" s="37"/>
      <c r="H4435" s="37"/>
      <c r="I4435" s="35"/>
      <c r="J4435" s="37"/>
    </row>
    <row r="4436" spans="1:10" ht="15.95" customHeight="1" x14ac:dyDescent="0.2">
      <c r="A4436" s="39"/>
      <c r="B4436" s="36"/>
      <c r="C4436" s="37"/>
      <c r="D4436" s="37"/>
      <c r="E4436" s="37"/>
      <c r="F4436" s="37"/>
      <c r="G4436" s="37"/>
      <c r="H4436" s="37"/>
      <c r="I4436" s="35"/>
      <c r="J4436" s="37"/>
    </row>
    <row r="4437" spans="1:10" ht="15.95" customHeight="1" x14ac:dyDescent="0.2">
      <c r="A4437" s="39"/>
      <c r="B4437" s="36"/>
      <c r="C4437" s="37"/>
      <c r="D4437" s="37"/>
      <c r="E4437" s="37"/>
      <c r="F4437" s="37"/>
      <c r="G4437" s="37"/>
      <c r="H4437" s="37"/>
      <c r="I4437" s="35"/>
      <c r="J4437" s="37"/>
    </row>
    <row r="4438" spans="1:10" ht="15.95" customHeight="1" x14ac:dyDescent="0.2">
      <c r="A4438" s="39"/>
      <c r="B4438" s="36"/>
      <c r="C4438" s="37"/>
      <c r="D4438" s="37"/>
      <c r="E4438" s="37"/>
      <c r="F4438" s="37"/>
      <c r="G4438" s="37"/>
      <c r="H4438" s="37"/>
      <c r="I4438" s="35"/>
      <c r="J4438" s="37"/>
    </row>
    <row r="4439" spans="1:10" ht="15.95" customHeight="1" x14ac:dyDescent="0.2">
      <c r="A4439" s="39"/>
      <c r="B4439" s="36"/>
      <c r="C4439" s="37"/>
      <c r="D4439" s="37"/>
      <c r="E4439" s="37"/>
      <c r="F4439" s="37"/>
      <c r="G4439" s="37"/>
      <c r="H4439" s="37"/>
      <c r="I4439" s="35"/>
      <c r="J4439" s="37"/>
    </row>
    <row r="4440" spans="1:10" ht="15.95" customHeight="1" x14ac:dyDescent="0.2">
      <c r="A4440" s="39"/>
      <c r="B4440" s="36"/>
      <c r="C4440" s="37"/>
      <c r="D4440" s="37"/>
      <c r="E4440" s="37"/>
      <c r="F4440" s="37"/>
      <c r="G4440" s="37"/>
      <c r="H4440" s="37"/>
      <c r="I4440" s="35"/>
      <c r="J4440" s="37"/>
    </row>
    <row r="4441" spans="1:10" ht="15.95" customHeight="1" x14ac:dyDescent="0.2">
      <c r="A4441" s="39"/>
      <c r="B4441" s="36"/>
      <c r="C4441" s="37"/>
      <c r="D4441" s="37"/>
      <c r="E4441" s="37"/>
      <c r="F4441" s="37"/>
      <c r="G4441" s="37"/>
      <c r="H4441" s="37"/>
      <c r="I4441" s="35"/>
      <c r="J4441" s="37"/>
    </row>
    <row r="4442" spans="1:10" ht="15.95" customHeight="1" x14ac:dyDescent="0.2">
      <c r="A4442" s="39"/>
      <c r="B4442" s="36"/>
      <c r="C4442" s="37"/>
      <c r="D4442" s="37"/>
      <c r="E4442" s="37"/>
      <c r="F4442" s="37"/>
      <c r="G4442" s="37"/>
      <c r="H4442" s="37"/>
      <c r="I4442" s="35"/>
      <c r="J4442" s="37"/>
    </row>
    <row r="4443" spans="1:10" ht="15.95" customHeight="1" x14ac:dyDescent="0.2">
      <c r="A4443" s="39"/>
      <c r="B4443" s="36"/>
      <c r="C4443" s="37"/>
      <c r="D4443" s="37"/>
      <c r="E4443" s="37"/>
      <c r="F4443" s="37"/>
      <c r="G4443" s="37"/>
      <c r="H4443" s="37"/>
      <c r="I4443" s="35"/>
      <c r="J4443" s="37"/>
    </row>
    <row r="4444" spans="1:10" ht="15.95" customHeight="1" x14ac:dyDescent="0.2">
      <c r="A4444" s="39"/>
      <c r="B4444" s="36"/>
      <c r="C4444" s="37"/>
      <c r="D4444" s="37"/>
      <c r="E4444" s="37"/>
      <c r="F4444" s="37"/>
      <c r="G4444" s="37"/>
      <c r="H4444" s="37"/>
      <c r="I4444" s="35"/>
      <c r="J4444" s="37"/>
    </row>
    <row r="4445" spans="1:10" ht="15.95" customHeight="1" x14ac:dyDescent="0.2">
      <c r="A4445" s="39"/>
      <c r="B4445" s="36"/>
      <c r="C4445" s="37"/>
      <c r="D4445" s="37"/>
      <c r="E4445" s="37"/>
      <c r="F4445" s="37"/>
      <c r="G4445" s="37"/>
      <c r="H4445" s="37"/>
      <c r="I4445" s="35"/>
      <c r="J4445" s="37"/>
    </row>
    <row r="4446" spans="1:10" ht="15.95" customHeight="1" x14ac:dyDescent="0.2">
      <c r="A4446" s="39"/>
      <c r="B4446" s="36"/>
      <c r="C4446" s="37"/>
      <c r="D4446" s="37"/>
      <c r="E4446" s="37"/>
      <c r="F4446" s="37"/>
      <c r="G4446" s="37"/>
      <c r="H4446" s="37"/>
      <c r="I4446" s="35"/>
      <c r="J4446" s="37"/>
    </row>
    <row r="4447" spans="1:10" ht="15.95" customHeight="1" x14ac:dyDescent="0.2">
      <c r="A4447" s="39"/>
      <c r="B4447" s="36"/>
      <c r="C4447" s="37"/>
      <c r="D4447" s="37"/>
      <c r="E4447" s="37"/>
      <c r="F4447" s="37"/>
      <c r="G4447" s="37"/>
      <c r="H4447" s="37"/>
      <c r="I4447" s="35"/>
      <c r="J4447" s="37"/>
    </row>
    <row r="4448" spans="1:10" ht="15.95" customHeight="1" x14ac:dyDescent="0.2">
      <c r="A4448" s="39"/>
      <c r="B4448" s="36"/>
      <c r="C4448" s="37"/>
      <c r="D4448" s="37"/>
      <c r="E4448" s="37"/>
      <c r="F4448" s="37"/>
      <c r="G4448" s="37"/>
      <c r="H4448" s="37"/>
      <c r="I4448" s="35"/>
      <c r="J4448" s="37"/>
    </row>
    <row r="4449" spans="1:10" ht="15.95" customHeight="1" x14ac:dyDescent="0.2">
      <c r="A4449" s="39"/>
      <c r="B4449" s="36"/>
      <c r="C4449" s="37"/>
      <c r="D4449" s="37"/>
      <c r="E4449" s="37"/>
      <c r="F4449" s="37"/>
      <c r="G4449" s="37"/>
      <c r="H4449" s="37"/>
      <c r="I4449" s="35"/>
      <c r="J4449" s="37"/>
    </row>
    <row r="4450" spans="1:10" ht="15.95" customHeight="1" x14ac:dyDescent="0.2">
      <c r="A4450" s="39"/>
      <c r="B4450" s="36"/>
      <c r="C4450" s="37"/>
      <c r="D4450" s="37"/>
      <c r="E4450" s="37"/>
      <c r="F4450" s="37"/>
      <c r="G4450" s="37"/>
      <c r="H4450" s="37"/>
      <c r="I4450" s="35"/>
      <c r="J4450" s="37"/>
    </row>
    <row r="4451" spans="1:10" ht="15.95" customHeight="1" x14ac:dyDescent="0.2">
      <c r="A4451" s="39"/>
      <c r="B4451" s="36"/>
      <c r="C4451" s="37"/>
      <c r="D4451" s="37"/>
      <c r="E4451" s="37"/>
      <c r="F4451" s="37"/>
      <c r="G4451" s="37"/>
      <c r="H4451" s="37"/>
      <c r="I4451" s="35"/>
      <c r="J4451" s="37"/>
    </row>
    <row r="4452" spans="1:10" ht="15.95" customHeight="1" x14ac:dyDescent="0.2">
      <c r="A4452" s="39"/>
      <c r="B4452" s="36"/>
      <c r="C4452" s="37"/>
      <c r="D4452" s="37"/>
      <c r="E4452" s="37"/>
      <c r="F4452" s="37"/>
      <c r="G4452" s="37"/>
      <c r="H4452" s="37"/>
      <c r="I4452" s="35"/>
      <c r="J4452" s="37"/>
    </row>
    <row r="4453" spans="1:10" ht="15.95" customHeight="1" x14ac:dyDescent="0.2">
      <c r="A4453" s="39"/>
      <c r="B4453" s="36"/>
      <c r="C4453" s="37"/>
      <c r="D4453" s="37"/>
      <c r="E4453" s="37"/>
      <c r="F4453" s="37"/>
      <c r="G4453" s="37"/>
      <c r="H4453" s="37"/>
      <c r="I4453" s="35"/>
      <c r="J4453" s="37"/>
    </row>
    <row r="4454" spans="1:10" ht="15.95" customHeight="1" x14ac:dyDescent="0.2">
      <c r="A4454" s="39"/>
      <c r="B4454" s="36"/>
      <c r="C4454" s="37"/>
      <c r="D4454" s="37"/>
      <c r="E4454" s="37"/>
      <c r="F4454" s="37"/>
      <c r="G4454" s="37"/>
      <c r="H4454" s="37"/>
      <c r="I4454" s="35"/>
      <c r="J4454" s="37"/>
    </row>
    <row r="4455" spans="1:10" ht="15.95" customHeight="1" x14ac:dyDescent="0.2">
      <c r="A4455" s="39"/>
      <c r="B4455" s="36"/>
      <c r="C4455" s="37"/>
      <c r="D4455" s="37"/>
      <c r="E4455" s="37"/>
      <c r="F4455" s="37"/>
      <c r="G4455" s="37"/>
      <c r="H4455" s="37"/>
      <c r="I4455" s="35"/>
      <c r="J4455" s="37"/>
    </row>
    <row r="4456" spans="1:10" ht="15.95" customHeight="1" x14ac:dyDescent="0.2">
      <c r="A4456" s="39"/>
      <c r="B4456" s="36"/>
      <c r="C4456" s="37"/>
      <c r="D4456" s="37"/>
      <c r="E4456" s="37"/>
      <c r="F4456" s="37"/>
      <c r="G4456" s="37"/>
      <c r="H4456" s="37"/>
      <c r="I4456" s="35"/>
      <c r="J4456" s="37"/>
    </row>
    <row r="4457" spans="1:10" ht="15.95" customHeight="1" x14ac:dyDescent="0.2">
      <c r="A4457" s="39"/>
      <c r="B4457" s="36"/>
      <c r="C4457" s="37"/>
      <c r="D4457" s="37"/>
      <c r="E4457" s="37"/>
      <c r="F4457" s="37"/>
      <c r="G4457" s="37"/>
      <c r="H4457" s="37"/>
      <c r="I4457" s="35"/>
      <c r="J4457" s="37"/>
    </row>
    <row r="4458" spans="1:10" ht="15.95" customHeight="1" x14ac:dyDescent="0.2">
      <c r="A4458" s="39"/>
      <c r="B4458" s="36"/>
      <c r="C4458" s="37"/>
      <c r="D4458" s="37"/>
      <c r="E4458" s="37"/>
      <c r="F4458" s="37"/>
      <c r="G4458" s="37"/>
      <c r="H4458" s="37"/>
      <c r="I4458" s="35"/>
      <c r="J4458" s="37"/>
    </row>
    <row r="4459" spans="1:10" ht="15.95" customHeight="1" x14ac:dyDescent="0.2">
      <c r="A4459" s="39"/>
      <c r="B4459" s="36"/>
      <c r="C4459" s="37"/>
      <c r="D4459" s="37"/>
      <c r="E4459" s="37"/>
      <c r="F4459" s="37"/>
      <c r="G4459" s="37"/>
      <c r="H4459" s="37"/>
      <c r="I4459" s="35"/>
      <c r="J4459" s="37"/>
    </row>
    <row r="4460" spans="1:10" ht="15.95" customHeight="1" x14ac:dyDescent="0.2">
      <c r="A4460" s="39"/>
      <c r="B4460" s="36"/>
      <c r="C4460" s="37"/>
      <c r="D4460" s="37"/>
      <c r="E4460" s="37"/>
      <c r="F4460" s="37"/>
      <c r="G4460" s="37"/>
      <c r="H4460" s="37"/>
      <c r="I4460" s="35"/>
      <c r="J4460" s="37"/>
    </row>
    <row r="4461" spans="1:10" ht="15.95" customHeight="1" x14ac:dyDescent="0.2">
      <c r="A4461" s="39"/>
      <c r="B4461" s="36"/>
      <c r="C4461" s="37"/>
      <c r="D4461" s="37"/>
      <c r="E4461" s="37"/>
      <c r="F4461" s="37"/>
      <c r="G4461" s="37"/>
      <c r="H4461" s="37"/>
      <c r="I4461" s="35"/>
      <c r="J4461" s="37"/>
    </row>
    <row r="4462" spans="1:10" ht="15.95" customHeight="1" x14ac:dyDescent="0.2">
      <c r="A4462" s="39"/>
      <c r="B4462" s="36"/>
      <c r="C4462" s="37"/>
      <c r="D4462" s="37"/>
      <c r="E4462" s="37"/>
      <c r="F4462" s="37"/>
      <c r="G4462" s="37"/>
      <c r="H4462" s="37"/>
      <c r="I4462" s="35"/>
      <c r="J4462" s="37"/>
    </row>
    <row r="4463" spans="1:10" ht="15.95" customHeight="1" x14ac:dyDescent="0.2">
      <c r="A4463" s="39"/>
      <c r="B4463" s="36"/>
      <c r="C4463" s="37"/>
      <c r="D4463" s="37"/>
      <c r="E4463" s="37"/>
      <c r="F4463" s="37"/>
      <c r="G4463" s="37"/>
      <c r="H4463" s="37"/>
      <c r="I4463" s="35"/>
      <c r="J4463" s="37"/>
    </row>
    <row r="4464" spans="1:10" ht="15.95" customHeight="1" x14ac:dyDescent="0.2">
      <c r="A4464" s="39"/>
      <c r="B4464" s="36"/>
      <c r="C4464" s="37"/>
      <c r="D4464" s="37"/>
      <c r="E4464" s="37"/>
      <c r="F4464" s="37"/>
      <c r="G4464" s="37"/>
      <c r="H4464" s="37"/>
      <c r="I4464" s="35"/>
      <c r="J4464" s="37"/>
    </row>
    <row r="4465" spans="1:10" ht="15.95" customHeight="1" x14ac:dyDescent="0.2">
      <c r="A4465" s="39"/>
      <c r="B4465" s="36"/>
      <c r="C4465" s="37"/>
      <c r="D4465" s="37"/>
      <c r="E4465" s="37"/>
      <c r="F4465" s="37"/>
      <c r="G4465" s="37"/>
      <c r="H4465" s="37"/>
      <c r="I4465" s="35"/>
      <c r="J4465" s="37"/>
    </row>
    <row r="4466" spans="1:10" ht="15.95" customHeight="1" x14ac:dyDescent="0.2">
      <c r="A4466" s="39"/>
      <c r="B4466" s="36"/>
      <c r="C4466" s="37"/>
      <c r="D4466" s="37"/>
      <c r="E4466" s="37"/>
      <c r="F4466" s="37"/>
      <c r="G4466" s="37"/>
      <c r="H4466" s="37"/>
      <c r="I4466" s="35"/>
      <c r="J4466" s="37"/>
    </row>
    <row r="4467" spans="1:10" ht="15.95" customHeight="1" x14ac:dyDescent="0.2">
      <c r="A4467" s="39"/>
      <c r="B4467" s="36"/>
      <c r="C4467" s="37"/>
      <c r="D4467" s="37"/>
      <c r="E4467" s="37"/>
      <c r="F4467" s="37"/>
      <c r="G4467" s="37"/>
      <c r="H4467" s="37"/>
      <c r="I4467" s="35"/>
      <c r="J4467" s="37"/>
    </row>
    <row r="4468" spans="1:10" ht="15.95" customHeight="1" x14ac:dyDescent="0.2">
      <c r="A4468" s="39"/>
      <c r="B4468" s="36"/>
      <c r="C4468" s="37"/>
      <c r="D4468" s="37"/>
      <c r="E4468" s="37"/>
      <c r="F4468" s="37"/>
      <c r="G4468" s="37"/>
      <c r="H4468" s="37"/>
      <c r="I4468" s="35"/>
      <c r="J4468" s="37"/>
    </row>
    <row r="4469" spans="1:10" ht="15.95" customHeight="1" x14ac:dyDescent="0.2">
      <c r="A4469" s="39"/>
      <c r="B4469" s="36"/>
      <c r="C4469" s="37"/>
      <c r="D4469" s="37"/>
      <c r="E4469" s="37"/>
      <c r="F4469" s="37"/>
      <c r="G4469" s="37"/>
      <c r="H4469" s="37"/>
      <c r="I4469" s="35"/>
      <c r="J4469" s="37"/>
    </row>
    <row r="4470" spans="1:10" ht="15.95" customHeight="1" x14ac:dyDescent="0.2">
      <c r="A4470" s="39"/>
      <c r="B4470" s="36"/>
      <c r="C4470" s="37"/>
      <c r="D4470" s="37"/>
      <c r="E4470" s="37"/>
      <c r="F4470" s="37"/>
      <c r="G4470" s="37"/>
      <c r="H4470" s="37"/>
      <c r="I4470" s="35"/>
      <c r="J4470" s="37"/>
    </row>
    <row r="4471" spans="1:10" ht="15.95" customHeight="1" x14ac:dyDescent="0.2">
      <c r="A4471" s="39"/>
      <c r="B4471" s="36"/>
      <c r="C4471" s="37"/>
      <c r="D4471" s="37"/>
      <c r="E4471" s="37"/>
      <c r="F4471" s="37"/>
      <c r="G4471" s="37"/>
      <c r="H4471" s="37"/>
      <c r="I4471" s="35"/>
      <c r="J4471" s="37"/>
    </row>
    <row r="4472" spans="1:10" ht="15.95" customHeight="1" x14ac:dyDescent="0.2">
      <c r="A4472" s="39"/>
      <c r="B4472" s="36"/>
      <c r="C4472" s="37"/>
      <c r="D4472" s="37"/>
      <c r="E4472" s="37"/>
      <c r="F4472" s="37"/>
      <c r="G4472" s="37"/>
      <c r="H4472" s="37"/>
      <c r="I4472" s="35"/>
      <c r="J4472" s="37"/>
    </row>
    <row r="4473" spans="1:10" ht="15.95" customHeight="1" x14ac:dyDescent="0.2">
      <c r="A4473" s="39"/>
      <c r="B4473" s="36"/>
      <c r="C4473" s="37"/>
      <c r="D4473" s="37"/>
      <c r="E4473" s="37"/>
      <c r="F4473" s="37"/>
      <c r="G4473" s="37"/>
      <c r="H4473" s="37"/>
      <c r="I4473" s="35"/>
      <c r="J4473" s="37"/>
    </row>
    <row r="4474" spans="1:10" ht="15.95" customHeight="1" x14ac:dyDescent="0.2">
      <c r="A4474" s="39"/>
      <c r="B4474" s="36"/>
      <c r="C4474" s="37"/>
      <c r="D4474" s="37"/>
      <c r="E4474" s="37"/>
      <c r="F4474" s="37"/>
      <c r="G4474" s="37"/>
      <c r="H4474" s="37"/>
      <c r="I4474" s="35"/>
      <c r="J4474" s="37"/>
    </row>
    <row r="4475" spans="1:10" ht="15.95" customHeight="1" x14ac:dyDescent="0.2">
      <c r="A4475" s="39"/>
      <c r="B4475" s="36"/>
      <c r="C4475" s="37"/>
      <c r="D4475" s="37"/>
      <c r="E4475" s="37"/>
      <c r="F4475" s="37"/>
      <c r="G4475" s="37"/>
      <c r="H4475" s="37"/>
      <c r="I4475" s="35"/>
      <c r="J4475" s="37"/>
    </row>
    <row r="4476" spans="1:10" ht="15.95" customHeight="1" x14ac:dyDescent="0.2">
      <c r="A4476" s="39"/>
      <c r="B4476" s="36"/>
      <c r="C4476" s="37"/>
      <c r="D4476" s="37"/>
      <c r="E4476" s="37"/>
      <c r="F4476" s="37"/>
      <c r="G4476" s="37"/>
      <c r="H4476" s="37"/>
      <c r="I4476" s="35"/>
      <c r="J4476" s="37"/>
    </row>
    <row r="4477" spans="1:10" ht="15.95" customHeight="1" x14ac:dyDescent="0.2">
      <c r="A4477" s="39"/>
      <c r="B4477" s="36"/>
      <c r="C4477" s="37"/>
      <c r="D4477" s="37"/>
      <c r="E4477" s="37"/>
      <c r="F4477" s="37"/>
      <c r="G4477" s="37"/>
      <c r="H4477" s="37"/>
      <c r="I4477" s="35"/>
      <c r="J4477" s="37"/>
    </row>
    <row r="4478" spans="1:10" ht="15.95" customHeight="1" x14ac:dyDescent="0.2">
      <c r="A4478" s="39"/>
      <c r="B4478" s="36"/>
      <c r="C4478" s="37"/>
      <c r="D4478" s="37"/>
      <c r="E4478" s="37"/>
      <c r="F4478" s="37"/>
      <c r="G4478" s="37"/>
      <c r="H4478" s="37"/>
      <c r="I4478" s="35"/>
      <c r="J4478" s="37"/>
    </row>
    <row r="4479" spans="1:10" ht="15.95" customHeight="1" x14ac:dyDescent="0.2">
      <c r="A4479" s="39"/>
      <c r="B4479" s="36"/>
      <c r="C4479" s="37"/>
      <c r="D4479" s="37"/>
      <c r="E4479" s="37"/>
      <c r="F4479" s="37"/>
      <c r="G4479" s="37"/>
      <c r="H4479" s="37"/>
      <c r="I4479" s="35"/>
      <c r="J4479" s="37"/>
    </row>
    <row r="4480" spans="1:10" ht="15.95" customHeight="1" x14ac:dyDescent="0.2">
      <c r="A4480" s="39"/>
      <c r="B4480" s="36"/>
      <c r="C4480" s="37"/>
      <c r="D4480" s="37"/>
      <c r="E4480" s="37"/>
      <c r="F4480" s="37"/>
      <c r="G4480" s="37"/>
      <c r="H4480" s="37"/>
      <c r="I4480" s="35"/>
      <c r="J4480" s="37"/>
    </row>
    <row r="4481" spans="1:10" ht="15.95" customHeight="1" x14ac:dyDescent="0.2">
      <c r="A4481" s="39"/>
      <c r="B4481" s="36"/>
      <c r="C4481" s="37"/>
      <c r="D4481" s="37"/>
      <c r="E4481" s="37"/>
      <c r="F4481" s="37"/>
      <c r="G4481" s="37"/>
      <c r="H4481" s="37"/>
      <c r="I4481" s="35"/>
      <c r="J4481" s="37"/>
    </row>
    <row r="4482" spans="1:10" ht="15.95" customHeight="1" x14ac:dyDescent="0.2">
      <c r="A4482" s="39"/>
      <c r="B4482" s="36"/>
      <c r="C4482" s="37"/>
      <c r="D4482" s="37"/>
      <c r="E4482" s="37"/>
      <c r="F4482" s="37"/>
      <c r="G4482" s="37"/>
      <c r="H4482" s="37"/>
      <c r="I4482" s="35"/>
      <c r="J4482" s="37"/>
    </row>
    <row r="4483" spans="1:10" ht="15.95" customHeight="1" x14ac:dyDescent="0.2">
      <c r="A4483" s="39"/>
      <c r="B4483" s="36"/>
      <c r="C4483" s="37"/>
      <c r="D4483" s="37"/>
      <c r="E4483" s="37"/>
      <c r="F4483" s="37"/>
      <c r="G4483" s="37"/>
      <c r="H4483" s="37"/>
      <c r="I4483" s="35"/>
      <c r="J4483" s="37"/>
    </row>
    <row r="4484" spans="1:10" ht="15.95" customHeight="1" x14ac:dyDescent="0.2">
      <c r="A4484" s="39"/>
      <c r="B4484" s="36"/>
      <c r="C4484" s="37"/>
      <c r="D4484" s="37"/>
      <c r="E4484" s="37"/>
      <c r="F4484" s="37"/>
      <c r="G4484" s="37"/>
      <c r="H4484" s="37"/>
      <c r="I4484" s="35"/>
      <c r="J4484" s="37"/>
    </row>
    <row r="4485" spans="1:10" ht="15.95" customHeight="1" x14ac:dyDescent="0.2">
      <c r="A4485" s="39"/>
      <c r="B4485" s="36"/>
      <c r="C4485" s="37"/>
      <c r="D4485" s="37"/>
      <c r="E4485" s="37"/>
      <c r="F4485" s="37"/>
      <c r="G4485" s="37"/>
      <c r="H4485" s="37"/>
      <c r="I4485" s="35"/>
      <c r="J4485" s="37"/>
    </row>
    <row r="4486" spans="1:10" ht="15.95" customHeight="1" x14ac:dyDescent="0.2">
      <c r="A4486" s="39"/>
      <c r="B4486" s="36"/>
      <c r="C4486" s="37"/>
      <c r="D4486" s="37"/>
      <c r="E4486" s="37"/>
      <c r="F4486" s="37"/>
      <c r="G4486" s="37"/>
      <c r="H4486" s="37"/>
      <c r="I4486" s="35"/>
      <c r="J4486" s="37"/>
    </row>
    <row r="4487" spans="1:10" ht="15.95" customHeight="1" x14ac:dyDescent="0.2">
      <c r="A4487" s="39"/>
      <c r="B4487" s="36"/>
      <c r="C4487" s="37"/>
      <c r="D4487" s="37"/>
      <c r="E4487" s="37"/>
      <c r="F4487" s="37"/>
      <c r="G4487" s="37"/>
      <c r="H4487" s="37"/>
      <c r="I4487" s="35"/>
      <c r="J4487" s="37"/>
    </row>
    <row r="4488" spans="1:10" ht="15.95" customHeight="1" x14ac:dyDescent="0.2">
      <c r="A4488" s="39"/>
      <c r="B4488" s="36"/>
      <c r="C4488" s="37"/>
      <c r="D4488" s="37"/>
      <c r="E4488" s="37"/>
      <c r="F4488" s="37"/>
      <c r="G4488" s="37"/>
      <c r="H4488" s="37"/>
      <c r="I4488" s="35"/>
      <c r="J4488" s="37"/>
    </row>
    <row r="4489" spans="1:10" ht="15.95" customHeight="1" x14ac:dyDescent="0.2">
      <c r="A4489" s="39"/>
      <c r="B4489" s="36"/>
      <c r="C4489" s="37"/>
      <c r="D4489" s="37"/>
      <c r="E4489" s="37"/>
      <c r="F4489" s="37"/>
      <c r="G4489" s="37"/>
      <c r="H4489" s="37"/>
      <c r="I4489" s="35"/>
      <c r="J4489" s="37"/>
    </row>
    <row r="4490" spans="1:10" ht="15.95" customHeight="1" x14ac:dyDescent="0.2">
      <c r="A4490" s="39"/>
      <c r="B4490" s="36"/>
      <c r="C4490" s="37"/>
      <c r="D4490" s="37"/>
      <c r="E4490" s="37"/>
      <c r="F4490" s="37"/>
      <c r="G4490" s="37"/>
      <c r="H4490" s="37"/>
      <c r="I4490" s="35"/>
      <c r="J4490" s="37"/>
    </row>
    <row r="4491" spans="1:10" ht="15.95" customHeight="1" x14ac:dyDescent="0.2">
      <c r="A4491" s="39"/>
      <c r="B4491" s="36"/>
      <c r="C4491" s="37"/>
      <c r="D4491" s="37"/>
      <c r="E4491" s="37"/>
      <c r="F4491" s="37"/>
      <c r="G4491" s="37"/>
      <c r="H4491" s="37"/>
      <c r="I4491" s="35"/>
      <c r="J4491" s="37"/>
    </row>
    <row r="4492" spans="1:10" ht="15.95" customHeight="1" x14ac:dyDescent="0.2">
      <c r="A4492" s="39"/>
      <c r="B4492" s="36"/>
      <c r="C4492" s="37"/>
      <c r="D4492" s="37"/>
      <c r="E4492" s="37"/>
      <c r="F4492" s="37"/>
      <c r="G4492" s="37"/>
      <c r="H4492" s="37"/>
      <c r="I4492" s="35"/>
      <c r="J4492" s="37"/>
    </row>
    <row r="4493" spans="1:10" ht="15.95" customHeight="1" x14ac:dyDescent="0.2">
      <c r="A4493" s="39"/>
      <c r="B4493" s="36"/>
      <c r="C4493" s="37"/>
      <c r="D4493" s="37"/>
      <c r="E4493" s="37"/>
      <c r="F4493" s="37"/>
      <c r="G4493" s="37"/>
      <c r="H4493" s="37"/>
      <c r="I4493" s="35"/>
      <c r="J4493" s="37"/>
    </row>
    <row r="4494" spans="1:10" ht="15.95" customHeight="1" x14ac:dyDescent="0.2">
      <c r="A4494" s="39"/>
      <c r="B4494" s="36"/>
      <c r="C4494" s="37"/>
      <c r="D4494" s="37"/>
      <c r="E4494" s="37"/>
      <c r="F4494" s="37"/>
      <c r="G4494" s="37"/>
      <c r="H4494" s="37"/>
      <c r="I4494" s="35"/>
      <c r="J4494" s="37"/>
    </row>
    <row r="4495" spans="1:10" ht="15.95" customHeight="1" x14ac:dyDescent="0.2">
      <c r="A4495" s="39"/>
      <c r="B4495" s="36"/>
      <c r="C4495" s="37"/>
      <c r="D4495" s="37"/>
      <c r="E4495" s="37"/>
      <c r="F4495" s="37"/>
      <c r="G4495" s="37"/>
      <c r="H4495" s="37"/>
      <c r="I4495" s="35"/>
      <c r="J4495" s="37"/>
    </row>
    <row r="4496" spans="1:10" ht="15.95" customHeight="1" x14ac:dyDescent="0.2">
      <c r="A4496" s="39"/>
      <c r="B4496" s="36"/>
      <c r="C4496" s="37"/>
      <c r="D4496" s="37"/>
      <c r="E4496" s="37"/>
      <c r="F4496" s="37"/>
      <c r="G4496" s="37"/>
      <c r="H4496" s="37"/>
      <c r="I4496" s="35"/>
      <c r="J4496" s="37"/>
    </row>
    <row r="4497" spans="1:10" ht="15.95" customHeight="1" x14ac:dyDescent="0.2">
      <c r="A4497" s="39"/>
      <c r="B4497" s="36"/>
      <c r="C4497" s="37"/>
      <c r="D4497" s="37"/>
      <c r="E4497" s="37"/>
      <c r="F4497" s="37"/>
      <c r="G4497" s="37"/>
      <c r="H4497" s="37"/>
      <c r="I4497" s="35"/>
      <c r="J4497" s="37"/>
    </row>
    <row r="4498" spans="1:10" ht="15.95" customHeight="1" x14ac:dyDescent="0.2">
      <c r="A4498" s="39"/>
      <c r="B4498" s="36"/>
      <c r="C4498" s="37"/>
      <c r="D4498" s="37"/>
      <c r="E4498" s="37"/>
      <c r="F4498" s="37"/>
      <c r="G4498" s="37"/>
      <c r="H4498" s="37"/>
      <c r="I4498" s="35"/>
      <c r="J4498" s="37"/>
    </row>
    <row r="4499" spans="1:10" ht="15.95" customHeight="1" x14ac:dyDescent="0.2">
      <c r="A4499" s="39"/>
      <c r="B4499" s="36"/>
      <c r="C4499" s="37"/>
      <c r="D4499" s="37"/>
      <c r="E4499" s="37"/>
      <c r="F4499" s="37"/>
      <c r="G4499" s="37"/>
      <c r="H4499" s="37"/>
      <c r="I4499" s="35"/>
      <c r="J4499" s="37"/>
    </row>
    <row r="4500" spans="1:10" ht="15.95" customHeight="1" x14ac:dyDescent="0.2">
      <c r="A4500" s="39"/>
      <c r="B4500" s="36"/>
      <c r="C4500" s="37"/>
      <c r="D4500" s="37"/>
      <c r="E4500" s="37"/>
      <c r="F4500" s="37"/>
      <c r="G4500" s="37"/>
      <c r="H4500" s="37"/>
      <c r="I4500" s="35"/>
      <c r="J4500" s="37"/>
    </row>
    <row r="4501" spans="1:10" ht="15.95" customHeight="1" x14ac:dyDescent="0.2">
      <c r="A4501" s="39"/>
      <c r="B4501" s="36"/>
      <c r="C4501" s="37"/>
      <c r="D4501" s="37"/>
      <c r="E4501" s="37"/>
      <c r="F4501" s="37"/>
      <c r="G4501" s="37"/>
      <c r="H4501" s="37"/>
      <c r="I4501" s="35"/>
      <c r="J4501" s="37"/>
    </row>
    <row r="4502" spans="1:10" ht="15.95" customHeight="1" x14ac:dyDescent="0.2">
      <c r="A4502" s="39"/>
      <c r="B4502" s="36"/>
      <c r="C4502" s="37"/>
      <c r="D4502" s="37"/>
      <c r="E4502" s="37"/>
      <c r="F4502" s="37"/>
      <c r="G4502" s="37"/>
      <c r="H4502" s="37"/>
      <c r="I4502" s="35"/>
      <c r="J4502" s="37"/>
    </row>
    <row r="4503" spans="1:10" ht="15.95" customHeight="1" x14ac:dyDescent="0.2">
      <c r="A4503" s="39"/>
      <c r="B4503" s="36"/>
      <c r="C4503" s="37"/>
      <c r="D4503" s="37"/>
      <c r="E4503" s="37"/>
      <c r="F4503" s="37"/>
      <c r="G4503" s="37"/>
      <c r="H4503" s="37"/>
      <c r="I4503" s="35"/>
      <c r="J4503" s="37"/>
    </row>
    <row r="4504" spans="1:10" ht="15.95" customHeight="1" x14ac:dyDescent="0.2">
      <c r="A4504" s="39"/>
      <c r="B4504" s="36"/>
      <c r="C4504" s="37"/>
      <c r="D4504" s="37"/>
      <c r="E4504" s="37"/>
      <c r="F4504" s="37"/>
      <c r="G4504" s="37"/>
      <c r="H4504" s="37"/>
      <c r="I4504" s="35"/>
      <c r="J4504" s="37"/>
    </row>
    <row r="4505" spans="1:10" ht="15.95" customHeight="1" x14ac:dyDescent="0.2">
      <c r="A4505" s="39"/>
      <c r="B4505" s="36"/>
      <c r="C4505" s="37"/>
      <c r="D4505" s="37"/>
      <c r="E4505" s="37"/>
      <c r="F4505" s="37"/>
      <c r="G4505" s="37"/>
      <c r="H4505" s="37"/>
      <c r="I4505" s="35"/>
      <c r="J4505" s="37"/>
    </row>
    <row r="4506" spans="1:10" ht="15.95" customHeight="1" x14ac:dyDescent="0.2">
      <c r="A4506" s="39"/>
      <c r="B4506" s="36"/>
      <c r="C4506" s="37"/>
      <c r="D4506" s="37"/>
      <c r="E4506" s="37"/>
      <c r="F4506" s="37"/>
      <c r="G4506" s="37"/>
      <c r="H4506" s="37"/>
      <c r="I4506" s="35"/>
      <c r="J4506" s="37"/>
    </row>
    <row r="4507" spans="1:10" ht="15.95" customHeight="1" x14ac:dyDescent="0.2">
      <c r="A4507" s="39"/>
      <c r="B4507" s="36"/>
      <c r="C4507" s="37"/>
      <c r="D4507" s="37"/>
      <c r="E4507" s="37"/>
      <c r="F4507" s="37"/>
      <c r="G4507" s="37"/>
      <c r="H4507" s="37"/>
      <c r="I4507" s="35"/>
      <c r="J4507" s="37"/>
    </row>
    <row r="4508" spans="1:10" ht="15.95" customHeight="1" x14ac:dyDescent="0.2">
      <c r="A4508" s="39"/>
      <c r="B4508" s="36"/>
      <c r="C4508" s="37"/>
      <c r="D4508" s="37"/>
      <c r="E4508" s="37"/>
      <c r="F4508" s="37"/>
      <c r="G4508" s="37"/>
      <c r="H4508" s="37"/>
      <c r="I4508" s="35"/>
      <c r="J4508" s="37"/>
    </row>
    <row r="4509" spans="1:10" ht="15.95" customHeight="1" x14ac:dyDescent="0.2">
      <c r="A4509" s="39"/>
      <c r="B4509" s="36"/>
      <c r="C4509" s="37"/>
      <c r="D4509" s="37"/>
      <c r="E4509" s="37"/>
      <c r="F4509" s="37"/>
      <c r="G4509" s="37"/>
      <c r="H4509" s="37"/>
      <c r="I4509" s="35"/>
      <c r="J4509" s="37"/>
    </row>
    <row r="4510" spans="1:10" ht="15.95" customHeight="1" x14ac:dyDescent="0.2">
      <c r="A4510" s="39"/>
      <c r="B4510" s="36"/>
      <c r="C4510" s="37"/>
      <c r="D4510" s="37"/>
      <c r="E4510" s="37"/>
      <c r="F4510" s="37"/>
      <c r="G4510" s="37"/>
      <c r="H4510" s="37"/>
      <c r="I4510" s="35"/>
      <c r="J4510" s="37"/>
    </row>
    <row r="4511" spans="1:10" ht="15.95" customHeight="1" x14ac:dyDescent="0.2">
      <c r="A4511" s="39"/>
      <c r="B4511" s="36"/>
      <c r="C4511" s="37"/>
      <c r="D4511" s="37"/>
      <c r="E4511" s="37"/>
      <c r="F4511" s="37"/>
      <c r="G4511" s="37"/>
      <c r="H4511" s="37"/>
      <c r="I4511" s="35"/>
      <c r="J4511" s="37"/>
    </row>
    <row r="4512" spans="1:10" ht="15.95" customHeight="1" x14ac:dyDescent="0.2">
      <c r="A4512" s="39"/>
      <c r="B4512" s="36"/>
      <c r="C4512" s="37"/>
      <c r="D4512" s="37"/>
      <c r="E4512" s="37"/>
      <c r="F4512" s="37"/>
      <c r="G4512" s="37"/>
      <c r="H4512" s="37"/>
      <c r="I4512" s="35"/>
      <c r="J4512" s="37"/>
    </row>
    <row r="4513" spans="1:10" ht="15.95" customHeight="1" x14ac:dyDescent="0.2">
      <c r="A4513" s="39"/>
      <c r="B4513" s="36"/>
      <c r="C4513" s="37"/>
      <c r="D4513" s="37"/>
      <c r="E4513" s="37"/>
      <c r="F4513" s="37"/>
      <c r="G4513" s="37"/>
      <c r="H4513" s="37"/>
      <c r="I4513" s="35"/>
      <c r="J4513" s="37"/>
    </row>
    <row r="4514" spans="1:10" ht="15.95" customHeight="1" x14ac:dyDescent="0.2">
      <c r="A4514" s="39"/>
      <c r="B4514" s="36"/>
      <c r="C4514" s="37"/>
      <c r="D4514" s="37"/>
      <c r="E4514" s="37"/>
      <c r="F4514" s="37"/>
      <c r="G4514" s="37"/>
      <c r="H4514" s="37"/>
      <c r="I4514" s="35"/>
      <c r="J4514" s="37"/>
    </row>
    <row r="4515" spans="1:10" ht="15.95" customHeight="1" x14ac:dyDescent="0.2">
      <c r="A4515" s="39"/>
      <c r="B4515" s="36"/>
      <c r="C4515" s="37"/>
      <c r="D4515" s="37"/>
      <c r="E4515" s="37"/>
      <c r="F4515" s="37"/>
      <c r="G4515" s="37"/>
      <c r="H4515" s="37"/>
      <c r="I4515" s="35"/>
      <c r="J4515" s="37"/>
    </row>
    <row r="4516" spans="1:10" ht="15.95" customHeight="1" x14ac:dyDescent="0.2">
      <c r="A4516" s="39"/>
      <c r="B4516" s="36"/>
      <c r="C4516" s="37"/>
      <c r="D4516" s="37"/>
      <c r="E4516" s="37"/>
      <c r="F4516" s="37"/>
      <c r="G4516" s="37"/>
      <c r="H4516" s="37"/>
      <c r="I4516" s="35"/>
      <c r="J4516" s="37"/>
    </row>
    <row r="4517" spans="1:10" ht="15.95" customHeight="1" x14ac:dyDescent="0.2">
      <c r="A4517" s="39"/>
      <c r="B4517" s="36"/>
      <c r="C4517" s="37"/>
      <c r="D4517" s="37"/>
      <c r="E4517" s="37"/>
      <c r="F4517" s="37"/>
      <c r="G4517" s="37"/>
      <c r="H4517" s="37"/>
      <c r="I4517" s="35"/>
      <c r="J4517" s="37"/>
    </row>
    <row r="4518" spans="1:10" ht="15.95" customHeight="1" x14ac:dyDescent="0.2">
      <c r="A4518" s="39"/>
      <c r="B4518" s="36"/>
      <c r="C4518" s="37"/>
      <c r="D4518" s="37"/>
      <c r="E4518" s="37"/>
      <c r="F4518" s="37"/>
      <c r="G4518" s="37"/>
      <c r="H4518" s="37"/>
      <c r="I4518" s="35"/>
      <c r="J4518" s="37"/>
    </row>
    <row r="4519" spans="1:10" ht="15.95" customHeight="1" x14ac:dyDescent="0.2">
      <c r="A4519" s="39"/>
      <c r="B4519" s="36"/>
      <c r="C4519" s="37"/>
      <c r="D4519" s="37"/>
      <c r="E4519" s="37"/>
      <c r="F4519" s="37"/>
      <c r="G4519" s="37"/>
      <c r="H4519" s="37"/>
      <c r="I4519" s="35"/>
      <c r="J4519" s="37"/>
    </row>
    <row r="4520" spans="1:10" ht="15.95" customHeight="1" x14ac:dyDescent="0.2">
      <c r="A4520" s="39"/>
      <c r="B4520" s="36"/>
      <c r="C4520" s="37"/>
      <c r="D4520" s="37"/>
      <c r="E4520" s="37"/>
      <c r="F4520" s="37"/>
      <c r="G4520" s="37"/>
      <c r="H4520" s="37"/>
      <c r="I4520" s="35"/>
      <c r="J4520" s="37"/>
    </row>
    <row r="4521" spans="1:10" ht="15.95" customHeight="1" x14ac:dyDescent="0.2">
      <c r="A4521" s="39"/>
      <c r="B4521" s="36"/>
      <c r="C4521" s="37"/>
      <c r="D4521" s="37"/>
      <c r="E4521" s="37"/>
      <c r="F4521" s="37"/>
      <c r="G4521" s="37"/>
      <c r="H4521" s="37"/>
      <c r="I4521" s="35"/>
      <c r="J4521" s="37"/>
    </row>
    <row r="4522" spans="1:10" ht="15.95" customHeight="1" x14ac:dyDescent="0.2">
      <c r="A4522" s="39"/>
      <c r="B4522" s="36"/>
      <c r="C4522" s="37"/>
      <c r="D4522" s="37"/>
      <c r="E4522" s="37"/>
      <c r="F4522" s="37"/>
      <c r="G4522" s="37"/>
      <c r="H4522" s="37"/>
      <c r="I4522" s="35"/>
      <c r="J4522" s="37"/>
    </row>
    <row r="4523" spans="1:10" ht="15.95" customHeight="1" x14ac:dyDescent="0.2">
      <c r="A4523" s="39"/>
      <c r="B4523" s="36"/>
      <c r="C4523" s="37"/>
      <c r="D4523" s="37"/>
      <c r="E4523" s="37"/>
      <c r="F4523" s="37"/>
      <c r="G4523" s="37"/>
      <c r="H4523" s="37"/>
      <c r="I4523" s="35"/>
      <c r="J4523" s="37"/>
    </row>
    <row r="4524" spans="1:10" ht="15.95" customHeight="1" x14ac:dyDescent="0.2">
      <c r="A4524" s="39"/>
      <c r="B4524" s="36"/>
      <c r="C4524" s="37"/>
      <c r="D4524" s="37"/>
      <c r="E4524" s="37"/>
      <c r="F4524" s="37"/>
      <c r="G4524" s="37"/>
      <c r="H4524" s="37"/>
      <c r="I4524" s="35"/>
      <c r="J4524" s="37"/>
    </row>
    <row r="4525" spans="1:10" ht="15.95" customHeight="1" x14ac:dyDescent="0.2">
      <c r="A4525" s="39"/>
      <c r="B4525" s="36"/>
      <c r="C4525" s="37"/>
      <c r="D4525" s="37"/>
      <c r="E4525" s="37"/>
      <c r="F4525" s="37"/>
      <c r="G4525" s="37"/>
      <c r="H4525" s="37"/>
      <c r="I4525" s="35"/>
      <c r="J4525" s="37"/>
    </row>
    <row r="4526" spans="1:10" ht="15.95" customHeight="1" x14ac:dyDescent="0.2">
      <c r="A4526" s="39"/>
      <c r="B4526" s="36"/>
      <c r="C4526" s="37"/>
      <c r="D4526" s="37"/>
      <c r="E4526" s="37"/>
      <c r="F4526" s="37"/>
      <c r="G4526" s="37"/>
      <c r="H4526" s="37"/>
      <c r="I4526" s="35"/>
      <c r="J4526" s="37"/>
    </row>
    <row r="4527" spans="1:10" ht="15.95" customHeight="1" x14ac:dyDescent="0.2">
      <c r="A4527" s="39"/>
      <c r="B4527" s="36"/>
      <c r="C4527" s="37"/>
      <c r="D4527" s="37"/>
      <c r="E4527" s="37"/>
      <c r="F4527" s="37"/>
      <c r="G4527" s="37"/>
      <c r="H4527" s="37"/>
      <c r="I4527" s="35"/>
      <c r="J4527" s="37"/>
    </row>
    <row r="4528" spans="1:10" ht="15.95" customHeight="1" x14ac:dyDescent="0.2">
      <c r="A4528" s="39"/>
      <c r="B4528" s="36"/>
      <c r="C4528" s="37"/>
      <c r="D4528" s="37"/>
      <c r="E4528" s="37"/>
      <c r="F4528" s="37"/>
      <c r="G4528" s="37"/>
      <c r="H4528" s="37"/>
      <c r="I4528" s="35"/>
      <c r="J4528" s="37"/>
    </row>
    <row r="4529" spans="1:10" ht="15.95" customHeight="1" x14ac:dyDescent="0.2">
      <c r="A4529" s="39"/>
      <c r="B4529" s="36"/>
      <c r="C4529" s="37"/>
      <c r="D4529" s="37"/>
      <c r="E4529" s="37"/>
      <c r="F4529" s="37"/>
      <c r="G4529" s="37"/>
      <c r="H4529" s="37"/>
      <c r="I4529" s="35"/>
      <c r="J4529" s="37"/>
    </row>
    <row r="4530" spans="1:10" ht="15.95" customHeight="1" x14ac:dyDescent="0.2">
      <c r="A4530" s="39"/>
      <c r="B4530" s="36"/>
      <c r="C4530" s="37"/>
      <c r="D4530" s="37"/>
      <c r="E4530" s="37"/>
      <c r="F4530" s="37"/>
      <c r="G4530" s="37"/>
      <c r="H4530" s="37"/>
      <c r="I4530" s="35"/>
      <c r="J4530" s="37"/>
    </row>
    <row r="4531" spans="1:10" ht="15.95" customHeight="1" x14ac:dyDescent="0.2">
      <c r="A4531" s="39"/>
      <c r="B4531" s="36"/>
      <c r="C4531" s="37"/>
      <c r="D4531" s="37"/>
      <c r="E4531" s="37"/>
      <c r="F4531" s="37"/>
      <c r="G4531" s="37"/>
      <c r="H4531" s="37"/>
      <c r="I4531" s="35"/>
      <c r="J4531" s="37"/>
    </row>
    <row r="4532" spans="1:10" ht="15.95" customHeight="1" x14ac:dyDescent="0.2">
      <c r="A4532" s="39"/>
      <c r="B4532" s="36"/>
      <c r="C4532" s="37"/>
      <c r="D4532" s="37"/>
      <c r="E4532" s="37"/>
      <c r="F4532" s="37"/>
      <c r="G4532" s="37"/>
      <c r="H4532" s="37"/>
      <c r="I4532" s="35"/>
      <c r="J4532" s="37"/>
    </row>
    <row r="4533" spans="1:10" ht="15.95" customHeight="1" x14ac:dyDescent="0.2">
      <c r="A4533" s="39"/>
      <c r="B4533" s="36"/>
      <c r="C4533" s="37"/>
      <c r="D4533" s="37"/>
      <c r="E4533" s="37"/>
      <c r="F4533" s="37"/>
      <c r="G4533" s="37"/>
      <c r="H4533" s="37"/>
      <c r="I4533" s="35"/>
      <c r="J4533" s="37"/>
    </row>
    <row r="4534" spans="1:10" ht="15.95" customHeight="1" x14ac:dyDescent="0.2">
      <c r="A4534" s="39"/>
      <c r="B4534" s="36"/>
      <c r="C4534" s="37"/>
      <c r="D4534" s="37"/>
      <c r="E4534" s="37"/>
      <c r="F4534" s="37"/>
      <c r="G4534" s="37"/>
      <c r="H4534" s="37"/>
      <c r="I4534" s="35"/>
      <c r="J4534" s="37"/>
    </row>
    <row r="4535" spans="1:10" ht="15.95" customHeight="1" x14ac:dyDescent="0.2">
      <c r="A4535" s="39"/>
      <c r="B4535" s="36"/>
      <c r="C4535" s="37"/>
      <c r="D4535" s="37"/>
      <c r="E4535" s="37"/>
      <c r="F4535" s="37"/>
      <c r="G4535" s="37"/>
      <c r="H4535" s="37"/>
      <c r="I4535" s="35"/>
      <c r="J4535" s="37"/>
    </row>
    <row r="4536" spans="1:10" ht="15.95" customHeight="1" x14ac:dyDescent="0.2">
      <c r="A4536" s="39"/>
      <c r="B4536" s="36"/>
      <c r="C4536" s="37"/>
      <c r="D4536" s="37"/>
      <c r="E4536" s="37"/>
      <c r="F4536" s="37"/>
      <c r="G4536" s="37"/>
      <c r="H4536" s="37"/>
      <c r="I4536" s="35"/>
      <c r="J4536" s="37"/>
    </row>
    <row r="4537" spans="1:10" ht="15.95" customHeight="1" x14ac:dyDescent="0.2">
      <c r="A4537" s="39"/>
      <c r="B4537" s="36"/>
      <c r="C4537" s="37"/>
      <c r="D4537" s="37"/>
      <c r="E4537" s="37"/>
      <c r="F4537" s="37"/>
      <c r="G4537" s="37"/>
      <c r="H4537" s="37"/>
      <c r="I4537" s="35"/>
      <c r="J4537" s="37"/>
    </row>
    <row r="4538" spans="1:10" ht="15.95" customHeight="1" x14ac:dyDescent="0.2">
      <c r="A4538" s="39"/>
      <c r="B4538" s="36"/>
      <c r="C4538" s="37"/>
      <c r="D4538" s="37"/>
      <c r="E4538" s="37"/>
      <c r="F4538" s="37"/>
      <c r="G4538" s="37"/>
      <c r="H4538" s="37"/>
      <c r="I4538" s="35"/>
      <c r="J4538" s="37"/>
    </row>
    <row r="4539" spans="1:10" ht="15.95" customHeight="1" x14ac:dyDescent="0.2">
      <c r="A4539" s="39"/>
      <c r="B4539" s="36"/>
      <c r="C4539" s="37"/>
      <c r="D4539" s="37"/>
      <c r="E4539" s="37"/>
      <c r="F4539" s="37"/>
      <c r="G4539" s="37"/>
      <c r="H4539" s="37"/>
      <c r="I4539" s="35"/>
      <c r="J4539" s="37"/>
    </row>
    <row r="4540" spans="1:10" ht="15.95" customHeight="1" x14ac:dyDescent="0.2">
      <c r="A4540" s="39"/>
      <c r="B4540" s="36"/>
      <c r="C4540" s="37"/>
      <c r="D4540" s="37"/>
      <c r="E4540" s="37"/>
      <c r="F4540" s="37"/>
      <c r="G4540" s="37"/>
      <c r="H4540" s="37"/>
      <c r="I4540" s="35"/>
      <c r="J4540" s="37"/>
    </row>
    <row r="4541" spans="1:10" ht="15.95" customHeight="1" x14ac:dyDescent="0.2">
      <c r="A4541" s="39"/>
      <c r="B4541" s="36"/>
      <c r="C4541" s="37"/>
      <c r="D4541" s="37"/>
      <c r="E4541" s="37"/>
      <c r="F4541" s="37"/>
      <c r="G4541" s="37"/>
      <c r="H4541" s="37"/>
      <c r="I4541" s="35"/>
      <c r="J4541" s="37"/>
    </row>
    <row r="4542" spans="1:10" ht="15.95" customHeight="1" x14ac:dyDescent="0.2">
      <c r="A4542" s="39"/>
      <c r="B4542" s="36"/>
      <c r="C4542" s="37"/>
      <c r="D4542" s="37"/>
      <c r="E4542" s="37"/>
      <c r="F4542" s="37"/>
      <c r="G4542" s="37"/>
      <c r="H4542" s="37"/>
      <c r="I4542" s="35"/>
      <c r="J4542" s="37"/>
    </row>
    <row r="4543" spans="1:10" ht="15.95" customHeight="1" x14ac:dyDescent="0.2">
      <c r="A4543" s="39"/>
      <c r="B4543" s="36"/>
      <c r="C4543" s="37"/>
      <c r="D4543" s="37"/>
      <c r="E4543" s="37"/>
      <c r="F4543" s="37"/>
      <c r="G4543" s="37"/>
      <c r="H4543" s="37"/>
      <c r="I4543" s="35"/>
      <c r="J4543" s="37"/>
    </row>
    <row r="4544" spans="1:10" ht="15.95" customHeight="1" x14ac:dyDescent="0.2">
      <c r="A4544" s="39"/>
      <c r="B4544" s="36"/>
      <c r="C4544" s="37"/>
      <c r="D4544" s="37"/>
      <c r="E4544" s="37"/>
      <c r="F4544" s="37"/>
      <c r="G4544" s="37"/>
      <c r="H4544" s="37"/>
      <c r="I4544" s="35"/>
      <c r="J4544" s="37"/>
    </row>
    <row r="4545" spans="1:10" ht="15.95" customHeight="1" x14ac:dyDescent="0.2">
      <c r="A4545" s="39"/>
      <c r="B4545" s="36"/>
      <c r="C4545" s="37"/>
      <c r="D4545" s="37"/>
      <c r="E4545" s="37"/>
      <c r="F4545" s="37"/>
      <c r="G4545" s="37"/>
      <c r="H4545" s="37"/>
      <c r="I4545" s="35"/>
      <c r="J4545" s="37"/>
    </row>
    <row r="4546" spans="1:10" ht="15.95" customHeight="1" x14ac:dyDescent="0.2">
      <c r="A4546" s="39"/>
      <c r="B4546" s="36"/>
      <c r="C4546" s="37"/>
      <c r="D4546" s="37"/>
      <c r="E4546" s="37"/>
      <c r="F4546" s="37"/>
      <c r="G4546" s="37"/>
      <c r="H4546" s="37"/>
      <c r="I4546" s="35"/>
      <c r="J4546" s="37"/>
    </row>
    <row r="4547" spans="1:10" ht="15.95" customHeight="1" x14ac:dyDescent="0.2">
      <c r="A4547" s="39"/>
      <c r="B4547" s="36"/>
      <c r="C4547" s="37"/>
      <c r="D4547" s="37"/>
      <c r="E4547" s="37"/>
      <c r="F4547" s="37"/>
      <c r="G4547" s="37"/>
      <c r="H4547" s="37"/>
      <c r="I4547" s="35"/>
      <c r="J4547" s="37"/>
    </row>
    <row r="4548" spans="1:10" ht="15.95" customHeight="1" x14ac:dyDescent="0.2">
      <c r="A4548" s="39"/>
      <c r="B4548" s="36"/>
      <c r="C4548" s="37"/>
      <c r="D4548" s="37"/>
      <c r="E4548" s="37"/>
      <c r="F4548" s="37"/>
      <c r="G4548" s="37"/>
      <c r="H4548" s="37"/>
      <c r="I4548" s="35"/>
      <c r="J4548" s="37"/>
    </row>
    <row r="4549" spans="1:10" ht="15.95" customHeight="1" x14ac:dyDescent="0.2">
      <c r="A4549" s="39"/>
      <c r="B4549" s="36"/>
      <c r="C4549" s="37"/>
      <c r="D4549" s="37"/>
      <c r="E4549" s="37"/>
      <c r="F4549" s="37"/>
      <c r="G4549" s="37"/>
      <c r="H4549" s="37"/>
      <c r="I4549" s="35"/>
      <c r="J4549" s="37"/>
    </row>
    <row r="4550" spans="1:10" ht="15.95" customHeight="1" x14ac:dyDescent="0.2">
      <c r="A4550" s="39"/>
      <c r="B4550" s="36"/>
      <c r="C4550" s="37"/>
      <c r="D4550" s="37"/>
      <c r="E4550" s="37"/>
      <c r="F4550" s="37"/>
      <c r="G4550" s="37"/>
      <c r="H4550" s="37"/>
      <c r="I4550" s="35"/>
      <c r="J4550" s="37"/>
    </row>
    <row r="4551" spans="1:10" ht="15.95" customHeight="1" x14ac:dyDescent="0.2">
      <c r="A4551" s="39"/>
      <c r="B4551" s="36"/>
      <c r="C4551" s="37"/>
      <c r="D4551" s="37"/>
      <c r="E4551" s="37"/>
      <c r="F4551" s="37"/>
      <c r="G4551" s="37"/>
      <c r="H4551" s="37"/>
      <c r="I4551" s="35"/>
      <c r="J4551" s="37"/>
    </row>
    <row r="4552" spans="1:10" ht="15.95" customHeight="1" x14ac:dyDescent="0.2">
      <c r="A4552" s="39"/>
      <c r="B4552" s="36"/>
      <c r="C4552" s="37"/>
      <c r="D4552" s="37"/>
      <c r="E4552" s="37"/>
      <c r="F4552" s="37"/>
      <c r="G4552" s="37"/>
      <c r="H4552" s="37"/>
      <c r="I4552" s="35"/>
      <c r="J4552" s="37"/>
    </row>
    <row r="4553" spans="1:10" ht="15.95" customHeight="1" x14ac:dyDescent="0.2">
      <c r="A4553" s="39"/>
      <c r="B4553" s="36"/>
      <c r="C4553" s="37"/>
      <c r="D4553" s="37"/>
      <c r="E4553" s="37"/>
      <c r="F4553" s="37"/>
      <c r="G4553" s="37"/>
      <c r="H4553" s="37"/>
      <c r="I4553" s="35"/>
      <c r="J4553" s="37"/>
    </row>
    <row r="4554" spans="1:10" ht="15.95" customHeight="1" x14ac:dyDescent="0.2">
      <c r="A4554" s="39"/>
      <c r="B4554" s="36"/>
      <c r="C4554" s="37"/>
      <c r="D4554" s="37"/>
      <c r="E4554" s="37"/>
      <c r="F4554" s="37"/>
      <c r="G4554" s="37"/>
      <c r="H4554" s="37"/>
      <c r="I4554" s="35"/>
      <c r="J4554" s="37"/>
    </row>
    <row r="4555" spans="1:10" ht="15.95" customHeight="1" x14ac:dyDescent="0.2">
      <c r="A4555" s="39"/>
      <c r="B4555" s="36"/>
      <c r="C4555" s="37"/>
      <c r="D4555" s="37"/>
      <c r="E4555" s="37"/>
      <c r="F4555" s="37"/>
      <c r="G4555" s="37"/>
      <c r="H4555" s="37"/>
      <c r="I4555" s="35"/>
      <c r="J4555" s="37"/>
    </row>
    <row r="4556" spans="1:10" ht="15.95" customHeight="1" x14ac:dyDescent="0.2">
      <c r="A4556" s="39"/>
      <c r="B4556" s="36"/>
      <c r="C4556" s="37"/>
      <c r="D4556" s="37"/>
      <c r="E4556" s="37"/>
      <c r="F4556" s="37"/>
      <c r="G4556" s="37"/>
      <c r="H4556" s="37"/>
      <c r="I4556" s="35"/>
      <c r="J4556" s="37"/>
    </row>
    <row r="4557" spans="1:10" ht="15.95" customHeight="1" x14ac:dyDescent="0.2">
      <c r="A4557" s="39"/>
      <c r="B4557" s="36"/>
      <c r="C4557" s="37"/>
      <c r="D4557" s="37"/>
      <c r="E4557" s="37"/>
      <c r="F4557" s="37"/>
      <c r="G4557" s="37"/>
      <c r="H4557" s="37"/>
      <c r="I4557" s="35"/>
      <c r="J4557" s="37"/>
    </row>
    <row r="4558" spans="1:10" ht="15.95" customHeight="1" x14ac:dyDescent="0.2">
      <c r="A4558" s="39"/>
      <c r="B4558" s="36"/>
      <c r="C4558" s="37"/>
      <c r="D4558" s="37"/>
      <c r="E4558" s="37"/>
      <c r="F4558" s="37"/>
      <c r="G4558" s="37"/>
      <c r="H4558" s="37"/>
      <c r="I4558" s="35"/>
      <c r="J4558" s="37"/>
    </row>
    <row r="4559" spans="1:10" ht="15.95" customHeight="1" x14ac:dyDescent="0.2">
      <c r="A4559" s="39"/>
      <c r="B4559" s="36"/>
      <c r="C4559" s="37"/>
      <c r="D4559" s="37"/>
      <c r="E4559" s="37"/>
      <c r="F4559" s="37"/>
      <c r="G4559" s="37"/>
      <c r="H4559" s="37"/>
      <c r="I4559" s="35"/>
      <c r="J4559" s="37"/>
    </row>
    <row r="4560" spans="1:10" ht="15.95" customHeight="1" x14ac:dyDescent="0.2">
      <c r="A4560" s="39"/>
      <c r="B4560" s="36"/>
      <c r="C4560" s="37"/>
      <c r="D4560" s="37"/>
      <c r="E4560" s="37"/>
      <c r="F4560" s="37"/>
      <c r="G4560" s="37"/>
      <c r="H4560" s="37"/>
      <c r="I4560" s="35"/>
      <c r="J4560" s="37"/>
    </row>
    <row r="4561" spans="1:10" ht="15.95" customHeight="1" x14ac:dyDescent="0.2">
      <c r="A4561" s="39"/>
      <c r="B4561" s="36"/>
      <c r="C4561" s="37"/>
      <c r="D4561" s="37"/>
      <c r="E4561" s="37"/>
      <c r="F4561" s="37"/>
      <c r="G4561" s="37"/>
      <c r="H4561" s="37"/>
      <c r="I4561" s="35"/>
      <c r="J4561" s="37"/>
    </row>
    <row r="4562" spans="1:10" ht="15.95" customHeight="1" x14ac:dyDescent="0.2">
      <c r="A4562" s="39"/>
      <c r="B4562" s="36"/>
      <c r="C4562" s="37"/>
      <c r="D4562" s="37"/>
      <c r="E4562" s="37"/>
      <c r="F4562" s="37"/>
      <c r="G4562" s="37"/>
      <c r="H4562" s="37"/>
      <c r="I4562" s="35"/>
      <c r="J4562" s="37"/>
    </row>
    <row r="4563" spans="1:10" ht="15.95" customHeight="1" x14ac:dyDescent="0.2">
      <c r="A4563" s="39"/>
      <c r="B4563" s="36"/>
      <c r="C4563" s="37"/>
      <c r="D4563" s="37"/>
      <c r="E4563" s="37"/>
      <c r="F4563" s="37"/>
      <c r="G4563" s="37"/>
      <c r="H4563" s="37"/>
      <c r="I4563" s="35"/>
      <c r="J4563" s="37"/>
    </row>
    <row r="4564" spans="1:10" ht="15.95" customHeight="1" x14ac:dyDescent="0.2">
      <c r="A4564" s="39"/>
      <c r="B4564" s="36"/>
      <c r="C4564" s="37"/>
      <c r="D4564" s="37"/>
      <c r="E4564" s="37"/>
      <c r="F4564" s="37"/>
      <c r="G4564" s="37"/>
      <c r="H4564" s="37"/>
      <c r="I4564" s="35"/>
      <c r="J4564" s="37"/>
    </row>
    <row r="4565" spans="1:10" ht="15.95" customHeight="1" x14ac:dyDescent="0.2">
      <c r="A4565" s="39"/>
      <c r="B4565" s="36"/>
      <c r="C4565" s="37"/>
      <c r="D4565" s="37"/>
      <c r="E4565" s="37"/>
      <c r="F4565" s="37"/>
      <c r="G4565" s="37"/>
      <c r="H4565" s="37"/>
      <c r="I4565" s="35"/>
      <c r="J4565" s="37"/>
    </row>
    <row r="4566" spans="1:10" ht="15.95" customHeight="1" x14ac:dyDescent="0.2">
      <c r="A4566" s="39"/>
      <c r="B4566" s="36"/>
      <c r="C4566" s="37"/>
      <c r="D4566" s="37"/>
      <c r="E4566" s="37"/>
      <c r="F4566" s="37"/>
      <c r="G4566" s="37"/>
      <c r="H4566" s="37"/>
      <c r="I4566" s="35"/>
      <c r="J4566" s="37"/>
    </row>
    <row r="4567" spans="1:10" ht="15.95" customHeight="1" x14ac:dyDescent="0.2">
      <c r="A4567" s="39"/>
      <c r="B4567" s="36"/>
      <c r="C4567" s="37"/>
      <c r="D4567" s="37"/>
      <c r="E4567" s="37"/>
      <c r="F4567" s="37"/>
      <c r="G4567" s="37"/>
      <c r="H4567" s="37"/>
      <c r="I4567" s="35"/>
      <c r="J4567" s="37"/>
    </row>
    <row r="4568" spans="1:10" ht="15.95" customHeight="1" x14ac:dyDescent="0.2">
      <c r="A4568" s="39"/>
      <c r="B4568" s="36"/>
      <c r="C4568" s="37"/>
      <c r="D4568" s="37"/>
      <c r="E4568" s="37"/>
      <c r="F4568" s="37"/>
      <c r="G4568" s="37"/>
      <c r="H4568" s="37"/>
      <c r="I4568" s="35"/>
      <c r="J4568" s="37"/>
    </row>
    <row r="4569" spans="1:10" ht="15.95" customHeight="1" x14ac:dyDescent="0.2">
      <c r="A4569" s="39"/>
      <c r="B4569" s="36"/>
      <c r="C4569" s="37"/>
      <c r="D4569" s="37"/>
      <c r="E4569" s="37"/>
      <c r="F4569" s="37"/>
      <c r="G4569" s="37"/>
      <c r="H4569" s="37"/>
      <c r="I4569" s="35"/>
      <c r="J4569" s="37"/>
    </row>
    <row r="4570" spans="1:10" ht="15.95" customHeight="1" x14ac:dyDescent="0.2">
      <c r="A4570" s="39"/>
      <c r="B4570" s="36"/>
      <c r="C4570" s="37"/>
      <c r="D4570" s="37"/>
      <c r="E4570" s="37"/>
      <c r="F4570" s="37"/>
      <c r="G4570" s="37"/>
      <c r="H4570" s="37"/>
      <c r="I4570" s="35"/>
      <c r="J4570" s="37"/>
    </row>
    <row r="4571" spans="1:10" ht="15.95" customHeight="1" x14ac:dyDescent="0.2">
      <c r="A4571" s="39"/>
      <c r="B4571" s="36"/>
      <c r="C4571" s="37"/>
      <c r="D4571" s="37"/>
      <c r="E4571" s="37"/>
      <c r="F4571" s="37"/>
      <c r="G4571" s="37"/>
      <c r="H4571" s="37"/>
      <c r="I4571" s="35"/>
      <c r="J4571" s="37"/>
    </row>
    <row r="4572" spans="1:10" ht="15.95" customHeight="1" x14ac:dyDescent="0.2">
      <c r="A4572" s="39"/>
      <c r="B4572" s="36"/>
      <c r="C4572" s="37"/>
      <c r="D4572" s="37"/>
      <c r="E4572" s="37"/>
      <c r="F4572" s="37"/>
      <c r="G4572" s="37"/>
      <c r="H4572" s="37"/>
      <c r="I4572" s="35"/>
      <c r="J4572" s="37"/>
    </row>
    <row r="4573" spans="1:10" ht="15.95" customHeight="1" x14ac:dyDescent="0.2">
      <c r="A4573" s="39"/>
      <c r="B4573" s="36"/>
      <c r="C4573" s="37"/>
      <c r="D4573" s="37"/>
      <c r="E4573" s="37"/>
      <c r="F4573" s="37"/>
      <c r="G4573" s="37"/>
      <c r="H4573" s="37"/>
      <c r="I4573" s="35"/>
      <c r="J4573" s="37"/>
    </row>
    <row r="4574" spans="1:10" ht="15.95" customHeight="1" x14ac:dyDescent="0.2">
      <c r="A4574" s="39"/>
      <c r="B4574" s="36"/>
      <c r="C4574" s="37"/>
      <c r="D4574" s="37"/>
      <c r="E4574" s="37"/>
      <c r="F4574" s="37"/>
      <c r="G4574" s="37"/>
      <c r="H4574" s="37"/>
      <c r="I4574" s="35"/>
      <c r="J4574" s="37"/>
    </row>
    <row r="4575" spans="1:10" ht="15.95" customHeight="1" x14ac:dyDescent="0.2">
      <c r="A4575" s="39"/>
      <c r="B4575" s="36"/>
      <c r="C4575" s="37"/>
      <c r="D4575" s="37"/>
      <c r="E4575" s="37"/>
      <c r="F4575" s="37"/>
      <c r="G4575" s="37"/>
      <c r="H4575" s="37"/>
      <c r="I4575" s="35"/>
      <c r="J4575" s="37"/>
    </row>
    <row r="4576" spans="1:10" ht="15.95" customHeight="1" x14ac:dyDescent="0.2">
      <c r="A4576" s="39"/>
      <c r="B4576" s="36"/>
      <c r="C4576" s="37"/>
      <c r="D4576" s="37"/>
      <c r="E4576" s="37"/>
      <c r="F4576" s="37"/>
      <c r="G4576" s="37"/>
      <c r="H4576" s="37"/>
      <c r="I4576" s="35"/>
      <c r="J4576" s="37"/>
    </row>
    <row r="4577" spans="1:10" ht="15.95" customHeight="1" x14ac:dyDescent="0.2">
      <c r="A4577" s="39"/>
      <c r="B4577" s="36"/>
      <c r="C4577" s="37"/>
      <c r="D4577" s="37"/>
      <c r="E4577" s="37"/>
      <c r="F4577" s="37"/>
      <c r="G4577" s="37"/>
      <c r="H4577" s="37"/>
      <c r="I4577" s="35"/>
      <c r="J4577" s="37"/>
    </row>
    <row r="4578" spans="1:10" ht="15.95" customHeight="1" x14ac:dyDescent="0.2">
      <c r="A4578" s="39"/>
      <c r="B4578" s="36"/>
      <c r="C4578" s="37"/>
      <c r="D4578" s="37"/>
      <c r="E4578" s="37"/>
      <c r="F4578" s="37"/>
      <c r="G4578" s="37"/>
      <c r="H4578" s="37"/>
      <c r="I4578" s="35"/>
      <c r="J4578" s="37"/>
    </row>
    <row r="4579" spans="1:10" ht="15.95" customHeight="1" x14ac:dyDescent="0.2">
      <c r="A4579" s="39"/>
      <c r="B4579" s="36"/>
      <c r="C4579" s="37"/>
      <c r="D4579" s="37"/>
      <c r="E4579" s="37"/>
      <c r="F4579" s="37"/>
      <c r="G4579" s="37"/>
      <c r="H4579" s="37"/>
      <c r="I4579" s="35"/>
      <c r="J4579" s="37"/>
    </row>
    <row r="4580" spans="1:10" ht="15.95" customHeight="1" x14ac:dyDescent="0.2">
      <c r="A4580" s="39"/>
      <c r="B4580" s="36"/>
      <c r="C4580" s="37"/>
      <c r="D4580" s="37"/>
      <c r="E4580" s="37"/>
      <c r="F4580" s="37"/>
      <c r="G4580" s="37"/>
      <c r="H4580" s="37"/>
      <c r="I4580" s="35"/>
      <c r="J4580" s="37"/>
    </row>
    <row r="4581" spans="1:10" ht="15.95" customHeight="1" x14ac:dyDescent="0.2">
      <c r="A4581" s="39"/>
      <c r="B4581" s="36"/>
      <c r="C4581" s="37"/>
      <c r="D4581" s="37"/>
      <c r="E4581" s="37"/>
      <c r="F4581" s="37"/>
      <c r="G4581" s="37"/>
      <c r="H4581" s="37"/>
      <c r="I4581" s="35"/>
      <c r="J4581" s="37"/>
    </row>
    <row r="4582" spans="1:10" ht="15.95" customHeight="1" x14ac:dyDescent="0.2">
      <c r="A4582" s="39"/>
      <c r="B4582" s="36"/>
      <c r="C4582" s="37"/>
      <c r="D4582" s="37"/>
      <c r="E4582" s="37"/>
      <c r="F4582" s="37"/>
      <c r="G4582" s="37"/>
      <c r="H4582" s="37"/>
      <c r="I4582" s="35"/>
      <c r="J4582" s="37"/>
    </row>
    <row r="4583" spans="1:10" ht="15.95" customHeight="1" x14ac:dyDescent="0.2">
      <c r="A4583" s="39"/>
      <c r="B4583" s="36"/>
      <c r="C4583" s="37"/>
      <c r="D4583" s="37"/>
      <c r="E4583" s="37"/>
      <c r="F4583" s="37"/>
      <c r="G4583" s="37"/>
      <c r="H4583" s="37"/>
      <c r="I4583" s="35"/>
      <c r="J4583" s="37"/>
    </row>
    <row r="4584" spans="1:10" ht="15.95" customHeight="1" x14ac:dyDescent="0.2">
      <c r="A4584" s="39"/>
      <c r="B4584" s="36"/>
      <c r="C4584" s="37"/>
      <c r="D4584" s="37"/>
      <c r="E4584" s="37"/>
      <c r="F4584" s="37"/>
      <c r="G4584" s="37"/>
      <c r="H4584" s="37"/>
      <c r="I4584" s="35"/>
      <c r="J4584" s="37"/>
    </row>
    <row r="4585" spans="1:10" ht="15.95" customHeight="1" x14ac:dyDescent="0.2">
      <c r="A4585" s="39"/>
      <c r="B4585" s="36"/>
      <c r="C4585" s="37"/>
      <c r="D4585" s="37"/>
      <c r="E4585" s="37"/>
      <c r="F4585" s="37"/>
      <c r="G4585" s="37"/>
      <c r="H4585" s="37"/>
      <c r="I4585" s="35"/>
      <c r="J4585" s="37"/>
    </row>
    <row r="4586" spans="1:10" ht="15.95" customHeight="1" x14ac:dyDescent="0.2">
      <c r="A4586" s="39"/>
      <c r="B4586" s="36"/>
      <c r="C4586" s="37"/>
      <c r="D4586" s="37"/>
      <c r="E4586" s="37"/>
      <c r="F4586" s="37"/>
      <c r="G4586" s="37"/>
      <c r="H4586" s="37"/>
      <c r="I4586" s="35"/>
      <c r="J4586" s="37"/>
    </row>
    <row r="4587" spans="1:10" ht="15.95" customHeight="1" x14ac:dyDescent="0.2">
      <c r="A4587" s="39"/>
      <c r="B4587" s="36"/>
      <c r="C4587" s="37"/>
      <c r="D4587" s="37"/>
      <c r="E4587" s="37"/>
      <c r="F4587" s="37"/>
      <c r="G4587" s="37"/>
      <c r="H4587" s="37"/>
      <c r="I4587" s="35"/>
      <c r="J4587" s="37"/>
    </row>
    <row r="4588" spans="1:10" ht="15.95" customHeight="1" x14ac:dyDescent="0.2">
      <c r="A4588" s="39"/>
      <c r="B4588" s="36"/>
      <c r="C4588" s="37"/>
      <c r="D4588" s="37"/>
      <c r="E4588" s="37"/>
      <c r="F4588" s="37"/>
      <c r="G4588" s="37"/>
      <c r="H4588" s="37"/>
      <c r="I4588" s="35"/>
      <c r="J4588" s="37"/>
    </row>
    <row r="4589" spans="1:10" ht="15.95" customHeight="1" x14ac:dyDescent="0.2">
      <c r="A4589" s="39"/>
      <c r="B4589" s="36"/>
      <c r="C4589" s="37"/>
      <c r="D4589" s="37"/>
      <c r="E4589" s="37"/>
      <c r="F4589" s="37"/>
      <c r="G4589" s="37"/>
      <c r="H4589" s="37"/>
      <c r="I4589" s="35"/>
      <c r="J4589" s="37"/>
    </row>
    <row r="4590" spans="1:10" ht="15.95" customHeight="1" x14ac:dyDescent="0.2">
      <c r="A4590" s="39"/>
      <c r="B4590" s="36"/>
      <c r="C4590" s="37"/>
      <c r="D4590" s="37"/>
      <c r="E4590" s="37"/>
      <c r="F4590" s="37"/>
      <c r="G4590" s="37"/>
      <c r="H4590" s="37"/>
      <c r="I4590" s="35"/>
      <c r="J4590" s="37"/>
    </row>
    <row r="4591" spans="1:10" ht="15.95" customHeight="1" x14ac:dyDescent="0.2">
      <c r="A4591" s="39"/>
      <c r="B4591" s="36"/>
      <c r="C4591" s="37"/>
      <c r="D4591" s="37"/>
      <c r="E4591" s="37"/>
      <c r="F4591" s="37"/>
      <c r="G4591" s="37"/>
      <c r="H4591" s="37"/>
      <c r="I4591" s="35"/>
      <c r="J4591" s="37"/>
    </row>
    <row r="4592" spans="1:10" ht="15.95" customHeight="1" x14ac:dyDescent="0.2">
      <c r="A4592" s="39"/>
      <c r="B4592" s="36"/>
      <c r="C4592" s="37"/>
      <c r="D4592" s="37"/>
      <c r="E4592" s="37"/>
      <c r="F4592" s="37"/>
      <c r="G4592" s="37"/>
      <c r="H4592" s="37"/>
      <c r="I4592" s="35"/>
      <c r="J4592" s="37"/>
    </row>
    <row r="4593" spans="1:10" ht="15.95" customHeight="1" x14ac:dyDescent="0.2">
      <c r="A4593" s="39"/>
      <c r="B4593" s="36"/>
      <c r="C4593" s="37"/>
      <c r="D4593" s="37"/>
      <c r="E4593" s="37"/>
      <c r="F4593" s="37"/>
      <c r="G4593" s="37"/>
      <c r="H4593" s="37"/>
      <c r="I4593" s="35"/>
      <c r="J4593" s="37"/>
    </row>
    <row r="4594" spans="1:10" ht="15.95" customHeight="1" x14ac:dyDescent="0.2">
      <c r="A4594" s="39"/>
      <c r="B4594" s="36"/>
      <c r="C4594" s="37"/>
      <c r="D4594" s="37"/>
      <c r="E4594" s="37"/>
      <c r="F4594" s="37"/>
      <c r="G4594" s="37"/>
      <c r="H4594" s="37"/>
      <c r="I4594" s="35"/>
      <c r="J4594" s="37"/>
    </row>
    <row r="4595" spans="1:10" ht="15.95" customHeight="1" x14ac:dyDescent="0.2">
      <c r="A4595" s="39"/>
      <c r="B4595" s="36"/>
      <c r="C4595" s="37"/>
      <c r="D4595" s="37"/>
      <c r="E4595" s="37"/>
      <c r="F4595" s="37"/>
      <c r="G4595" s="37"/>
      <c r="H4595" s="37"/>
      <c r="I4595" s="35"/>
      <c r="J4595" s="37"/>
    </row>
    <row r="4596" spans="1:10" ht="15.95" customHeight="1" x14ac:dyDescent="0.2">
      <c r="A4596" s="39"/>
      <c r="B4596" s="36"/>
      <c r="C4596" s="37"/>
      <c r="D4596" s="37"/>
      <c r="E4596" s="37"/>
      <c r="F4596" s="37"/>
      <c r="G4596" s="37"/>
      <c r="H4596" s="37"/>
      <c r="I4596" s="35"/>
      <c r="J4596" s="37"/>
    </row>
    <row r="4597" spans="1:10" ht="15.95" customHeight="1" x14ac:dyDescent="0.2">
      <c r="A4597" s="39"/>
      <c r="B4597" s="36"/>
      <c r="C4597" s="37"/>
      <c r="D4597" s="37"/>
      <c r="E4597" s="37"/>
      <c r="F4597" s="37"/>
      <c r="G4597" s="37"/>
      <c r="H4597" s="37"/>
      <c r="I4597" s="35"/>
      <c r="J4597" s="37"/>
    </row>
    <row r="4598" spans="1:10" ht="15.95" customHeight="1" x14ac:dyDescent="0.2">
      <c r="A4598" s="39"/>
      <c r="B4598" s="36"/>
      <c r="C4598" s="37"/>
      <c r="D4598" s="37"/>
      <c r="E4598" s="37"/>
      <c r="F4598" s="37"/>
      <c r="G4598" s="37"/>
      <c r="H4598" s="37"/>
      <c r="I4598" s="35"/>
      <c r="J4598" s="37"/>
    </row>
    <row r="4599" spans="1:10" ht="15.95" customHeight="1" x14ac:dyDescent="0.2">
      <c r="A4599" s="39"/>
      <c r="B4599" s="36"/>
      <c r="C4599" s="37"/>
      <c r="D4599" s="37"/>
      <c r="E4599" s="37"/>
      <c r="F4599" s="37"/>
      <c r="G4599" s="37"/>
      <c r="H4599" s="37"/>
      <c r="I4599" s="35"/>
      <c r="J4599" s="37"/>
    </row>
    <row r="4600" spans="1:10" ht="15.95" customHeight="1" x14ac:dyDescent="0.2">
      <c r="A4600" s="39"/>
      <c r="B4600" s="36"/>
      <c r="C4600" s="37"/>
      <c r="D4600" s="37"/>
      <c r="E4600" s="37"/>
      <c r="F4600" s="37"/>
      <c r="G4600" s="37"/>
      <c r="H4600" s="37"/>
      <c r="I4600" s="35"/>
      <c r="J4600" s="37"/>
    </row>
    <row r="4601" spans="1:10" ht="15.95" customHeight="1" x14ac:dyDescent="0.2">
      <c r="A4601" s="39"/>
      <c r="B4601" s="36"/>
      <c r="C4601" s="37"/>
      <c r="D4601" s="37"/>
      <c r="E4601" s="37"/>
      <c r="F4601" s="37"/>
      <c r="G4601" s="37"/>
      <c r="H4601" s="37"/>
      <c r="I4601" s="35"/>
      <c r="J4601" s="37"/>
    </row>
    <row r="4602" spans="1:10" ht="15.95" customHeight="1" x14ac:dyDescent="0.2">
      <c r="A4602" s="39"/>
      <c r="B4602" s="36"/>
      <c r="C4602" s="37"/>
      <c r="D4602" s="37"/>
      <c r="E4602" s="37"/>
      <c r="F4602" s="37"/>
      <c r="G4602" s="37"/>
      <c r="H4602" s="37"/>
      <c r="I4602" s="35"/>
      <c r="J4602" s="37"/>
    </row>
    <row r="4603" spans="1:10" ht="15.95" customHeight="1" x14ac:dyDescent="0.2">
      <c r="A4603" s="39"/>
      <c r="B4603" s="36"/>
      <c r="C4603" s="37"/>
      <c r="D4603" s="37"/>
      <c r="E4603" s="37"/>
      <c r="F4603" s="37"/>
      <c r="G4603" s="37"/>
      <c r="H4603" s="37"/>
      <c r="I4603" s="35"/>
      <c r="J4603" s="37"/>
    </row>
    <row r="4604" spans="1:10" ht="15.95" customHeight="1" x14ac:dyDescent="0.2">
      <c r="A4604" s="39"/>
      <c r="B4604" s="36"/>
      <c r="C4604" s="37"/>
      <c r="D4604" s="37"/>
      <c r="E4604" s="37"/>
      <c r="F4604" s="37"/>
      <c r="G4604" s="37"/>
      <c r="H4604" s="37"/>
      <c r="I4604" s="35"/>
      <c r="J4604" s="37"/>
    </row>
    <row r="4605" spans="1:10" ht="15.95" customHeight="1" x14ac:dyDescent="0.2">
      <c r="A4605" s="39"/>
      <c r="B4605" s="36"/>
      <c r="C4605" s="37"/>
      <c r="D4605" s="37"/>
      <c r="E4605" s="37"/>
      <c r="F4605" s="37"/>
      <c r="G4605" s="37"/>
      <c r="H4605" s="37"/>
      <c r="I4605" s="35"/>
      <c r="J4605" s="37"/>
    </row>
    <row r="4606" spans="1:10" ht="15.95" customHeight="1" x14ac:dyDescent="0.2">
      <c r="A4606" s="39"/>
      <c r="B4606" s="36"/>
      <c r="C4606" s="37"/>
      <c r="D4606" s="37"/>
      <c r="E4606" s="37"/>
      <c r="F4606" s="37"/>
      <c r="G4606" s="37"/>
      <c r="H4606" s="37"/>
      <c r="I4606" s="35"/>
      <c r="J4606" s="37"/>
    </row>
    <row r="4607" spans="1:10" ht="15.95" customHeight="1" x14ac:dyDescent="0.2">
      <c r="A4607" s="39"/>
      <c r="B4607" s="36"/>
      <c r="C4607" s="37"/>
      <c r="D4607" s="37"/>
      <c r="E4607" s="37"/>
      <c r="F4607" s="37"/>
      <c r="G4607" s="37"/>
      <c r="H4607" s="37"/>
      <c r="I4607" s="35"/>
      <c r="J4607" s="37"/>
    </row>
    <row r="4608" spans="1:10" ht="15.95" customHeight="1" x14ac:dyDescent="0.2">
      <c r="A4608" s="39"/>
      <c r="B4608" s="36"/>
      <c r="C4608" s="37"/>
      <c r="D4608" s="37"/>
      <c r="E4608" s="37"/>
      <c r="F4608" s="37"/>
      <c r="G4608" s="37"/>
      <c r="H4608" s="37"/>
      <c r="I4608" s="35"/>
      <c r="J4608" s="37"/>
    </row>
    <row r="4609" spans="1:10" ht="15.95" customHeight="1" x14ac:dyDescent="0.2">
      <c r="A4609" s="39"/>
      <c r="B4609" s="36"/>
      <c r="C4609" s="37"/>
      <c r="D4609" s="37"/>
      <c r="E4609" s="37"/>
      <c r="F4609" s="37"/>
      <c r="G4609" s="37"/>
      <c r="H4609" s="37"/>
      <c r="I4609" s="35"/>
      <c r="J4609" s="37"/>
    </row>
    <row r="4610" spans="1:10" ht="15.95" customHeight="1" x14ac:dyDescent="0.2">
      <c r="A4610" s="39"/>
      <c r="B4610" s="36"/>
      <c r="C4610" s="37"/>
      <c r="D4610" s="37"/>
      <c r="E4610" s="37"/>
      <c r="F4610" s="37"/>
      <c r="G4610" s="37"/>
      <c r="H4610" s="37"/>
      <c r="I4610" s="35"/>
      <c r="J4610" s="37"/>
    </row>
    <row r="4611" spans="1:10" ht="15.95" customHeight="1" x14ac:dyDescent="0.2">
      <c r="A4611" s="39"/>
      <c r="B4611" s="36"/>
      <c r="C4611" s="37"/>
      <c r="D4611" s="37"/>
      <c r="E4611" s="37"/>
      <c r="F4611" s="37"/>
      <c r="G4611" s="37"/>
      <c r="H4611" s="37"/>
      <c r="I4611" s="35"/>
      <c r="J4611" s="37"/>
    </row>
    <row r="4612" spans="1:10" ht="15.95" customHeight="1" x14ac:dyDescent="0.2">
      <c r="A4612" s="39"/>
      <c r="B4612" s="36"/>
      <c r="C4612" s="37"/>
      <c r="D4612" s="37"/>
      <c r="E4612" s="37"/>
      <c r="F4612" s="37"/>
      <c r="G4612" s="37"/>
      <c r="H4612" s="37"/>
      <c r="I4612" s="35"/>
      <c r="J4612" s="37"/>
    </row>
    <row r="4613" spans="1:10" ht="15.95" customHeight="1" x14ac:dyDescent="0.2">
      <c r="A4613" s="39"/>
      <c r="B4613" s="36"/>
      <c r="C4613" s="37"/>
      <c r="D4613" s="37"/>
      <c r="E4613" s="37"/>
      <c r="F4613" s="37"/>
      <c r="G4613" s="37"/>
      <c r="H4613" s="37"/>
      <c r="I4613" s="35"/>
      <c r="J4613" s="37"/>
    </row>
    <row r="4614" spans="1:10" ht="15.95" customHeight="1" x14ac:dyDescent="0.2">
      <c r="A4614" s="39"/>
      <c r="B4614" s="36"/>
      <c r="C4614" s="37"/>
      <c r="D4614" s="37"/>
      <c r="E4614" s="37"/>
      <c r="F4614" s="37"/>
      <c r="G4614" s="37"/>
      <c r="H4614" s="37"/>
      <c r="I4614" s="35"/>
      <c r="J4614" s="37"/>
    </row>
    <row r="4615" spans="1:10" ht="15.95" customHeight="1" x14ac:dyDescent="0.2">
      <c r="A4615" s="39"/>
      <c r="B4615" s="36"/>
      <c r="C4615" s="37"/>
      <c r="D4615" s="37"/>
      <c r="E4615" s="37"/>
      <c r="F4615" s="37"/>
      <c r="G4615" s="37"/>
      <c r="H4615" s="37"/>
      <c r="I4615" s="35"/>
      <c r="J4615" s="37"/>
    </row>
    <row r="4616" spans="1:10" ht="15.95" customHeight="1" x14ac:dyDescent="0.2">
      <c r="A4616" s="39"/>
      <c r="B4616" s="36"/>
      <c r="C4616" s="37"/>
      <c r="D4616" s="37"/>
      <c r="E4616" s="37"/>
      <c r="F4616" s="37"/>
      <c r="G4616" s="37"/>
      <c r="H4616" s="37"/>
      <c r="I4616" s="35"/>
      <c r="J4616" s="37"/>
    </row>
    <row r="4617" spans="1:10" ht="15.95" customHeight="1" x14ac:dyDescent="0.2">
      <c r="A4617" s="39"/>
      <c r="B4617" s="36"/>
      <c r="C4617" s="37"/>
      <c r="D4617" s="37"/>
      <c r="E4617" s="37"/>
      <c r="F4617" s="37"/>
      <c r="G4617" s="37"/>
      <c r="H4617" s="37"/>
      <c r="I4617" s="35"/>
      <c r="J4617" s="37"/>
    </row>
    <row r="4618" spans="1:10" ht="15.95" customHeight="1" x14ac:dyDescent="0.2">
      <c r="A4618" s="39"/>
      <c r="B4618" s="36"/>
      <c r="C4618" s="37"/>
      <c r="D4618" s="37"/>
      <c r="E4618" s="37"/>
      <c r="F4618" s="37"/>
      <c r="G4618" s="37"/>
      <c r="H4618" s="37"/>
      <c r="I4618" s="35"/>
      <c r="J4618" s="37"/>
    </row>
    <row r="4619" spans="1:10" ht="15.95" customHeight="1" x14ac:dyDescent="0.2">
      <c r="A4619" s="39"/>
      <c r="B4619" s="36"/>
      <c r="C4619" s="37"/>
      <c r="D4619" s="37"/>
      <c r="E4619" s="37"/>
      <c r="F4619" s="37"/>
      <c r="G4619" s="37"/>
      <c r="H4619" s="37"/>
      <c r="I4619" s="35"/>
      <c r="J4619" s="37"/>
    </row>
    <row r="4620" spans="1:10" ht="15.95" customHeight="1" x14ac:dyDescent="0.2">
      <c r="A4620" s="39"/>
      <c r="B4620" s="36"/>
      <c r="C4620" s="37"/>
      <c r="D4620" s="37"/>
      <c r="E4620" s="37"/>
      <c r="F4620" s="37"/>
      <c r="G4620" s="37"/>
      <c r="H4620" s="37"/>
      <c r="I4620" s="35"/>
      <c r="J4620" s="37"/>
    </row>
    <row r="4621" spans="1:10" ht="15.95" customHeight="1" x14ac:dyDescent="0.2">
      <c r="A4621" s="39"/>
      <c r="B4621" s="36"/>
      <c r="C4621" s="37"/>
      <c r="D4621" s="37"/>
      <c r="E4621" s="37"/>
      <c r="F4621" s="37"/>
      <c r="G4621" s="37"/>
      <c r="H4621" s="37"/>
      <c r="I4621" s="35"/>
      <c r="J4621" s="37"/>
    </row>
    <row r="4622" spans="1:10" ht="15.95" customHeight="1" x14ac:dyDescent="0.2">
      <c r="A4622" s="39"/>
      <c r="B4622" s="36"/>
      <c r="C4622" s="37"/>
      <c r="D4622" s="37"/>
      <c r="E4622" s="37"/>
      <c r="F4622" s="37"/>
      <c r="G4622" s="37"/>
      <c r="H4622" s="37"/>
      <c r="I4622" s="35"/>
      <c r="J4622" s="37"/>
    </row>
    <row r="4623" spans="1:10" ht="15.95" customHeight="1" x14ac:dyDescent="0.2">
      <c r="A4623" s="39"/>
      <c r="B4623" s="36"/>
      <c r="C4623" s="37"/>
      <c r="D4623" s="37"/>
      <c r="E4623" s="37"/>
      <c r="F4623" s="37"/>
      <c r="G4623" s="37"/>
      <c r="H4623" s="37"/>
      <c r="I4623" s="35"/>
      <c r="J4623" s="37"/>
    </row>
    <row r="4624" spans="1:10" ht="15.95" customHeight="1" x14ac:dyDescent="0.2">
      <c r="A4624" s="39"/>
      <c r="B4624" s="36"/>
      <c r="C4624" s="37"/>
      <c r="D4624" s="37"/>
      <c r="E4624" s="37"/>
      <c r="F4624" s="37"/>
      <c r="G4624" s="37"/>
      <c r="H4624" s="37"/>
      <c r="I4624" s="35"/>
      <c r="J4624" s="37"/>
    </row>
    <row r="4625" spans="1:10" ht="15.95" customHeight="1" x14ac:dyDescent="0.2">
      <c r="A4625" s="39"/>
      <c r="B4625" s="36"/>
      <c r="C4625" s="37"/>
      <c r="D4625" s="37"/>
      <c r="E4625" s="37"/>
      <c r="F4625" s="37"/>
      <c r="G4625" s="37"/>
      <c r="H4625" s="37"/>
      <c r="I4625" s="35"/>
      <c r="J4625" s="37"/>
    </row>
    <row r="4626" spans="1:10" ht="15.95" customHeight="1" x14ac:dyDescent="0.2">
      <c r="A4626" s="39"/>
      <c r="B4626" s="36"/>
      <c r="C4626" s="37"/>
      <c r="D4626" s="37"/>
      <c r="E4626" s="37"/>
      <c r="F4626" s="37"/>
      <c r="G4626" s="37"/>
      <c r="H4626" s="37"/>
      <c r="I4626" s="35"/>
      <c r="J4626" s="37"/>
    </row>
    <row r="4627" spans="1:10" ht="15.95" customHeight="1" x14ac:dyDescent="0.2">
      <c r="A4627" s="39"/>
      <c r="B4627" s="36"/>
      <c r="C4627" s="37"/>
      <c r="D4627" s="37"/>
      <c r="E4627" s="37"/>
      <c r="F4627" s="37"/>
      <c r="G4627" s="37"/>
      <c r="H4627" s="37"/>
      <c r="I4627" s="35"/>
      <c r="J4627" s="37"/>
    </row>
    <row r="4628" spans="1:10" ht="15.95" customHeight="1" x14ac:dyDescent="0.2">
      <c r="A4628" s="39"/>
      <c r="B4628" s="36"/>
      <c r="C4628" s="37"/>
      <c r="D4628" s="37"/>
      <c r="E4628" s="37"/>
      <c r="F4628" s="37"/>
      <c r="G4628" s="37"/>
      <c r="H4628" s="37"/>
      <c r="I4628" s="35"/>
      <c r="J4628" s="37"/>
    </row>
    <row r="4629" spans="1:10" ht="15.95" customHeight="1" x14ac:dyDescent="0.2">
      <c r="A4629" s="39"/>
      <c r="B4629" s="36"/>
      <c r="C4629" s="37"/>
      <c r="D4629" s="37"/>
      <c r="E4629" s="37"/>
      <c r="F4629" s="37"/>
      <c r="G4629" s="37"/>
      <c r="H4629" s="37"/>
      <c r="I4629" s="35"/>
      <c r="J4629" s="37"/>
    </row>
    <row r="4630" spans="1:10" ht="15.95" customHeight="1" x14ac:dyDescent="0.2">
      <c r="A4630" s="39"/>
      <c r="B4630" s="36"/>
      <c r="C4630" s="37"/>
      <c r="D4630" s="37"/>
      <c r="E4630" s="37"/>
      <c r="F4630" s="37"/>
      <c r="G4630" s="37"/>
      <c r="H4630" s="37"/>
      <c r="I4630" s="35"/>
      <c r="J4630" s="37"/>
    </row>
    <row r="4631" spans="1:10" ht="15.95" customHeight="1" x14ac:dyDescent="0.2">
      <c r="A4631" s="39"/>
      <c r="B4631" s="36"/>
      <c r="C4631" s="37"/>
      <c r="D4631" s="37"/>
      <c r="E4631" s="37"/>
      <c r="F4631" s="37"/>
      <c r="G4631" s="37"/>
      <c r="H4631" s="37"/>
      <c r="I4631" s="35"/>
      <c r="J4631" s="37"/>
    </row>
    <row r="4632" spans="1:10" ht="15.95" customHeight="1" x14ac:dyDescent="0.2">
      <c r="A4632" s="39"/>
      <c r="B4632" s="36"/>
      <c r="C4632" s="37"/>
      <c r="D4632" s="37"/>
      <c r="E4632" s="37"/>
      <c r="F4632" s="37"/>
      <c r="G4632" s="37"/>
      <c r="H4632" s="37"/>
      <c r="I4632" s="35"/>
      <c r="J4632" s="37"/>
    </row>
    <row r="4633" spans="1:10" ht="15.95" customHeight="1" x14ac:dyDescent="0.2">
      <c r="A4633" s="39"/>
      <c r="B4633" s="36"/>
      <c r="C4633" s="37"/>
      <c r="D4633" s="37"/>
      <c r="E4633" s="37"/>
      <c r="F4633" s="37"/>
      <c r="G4633" s="37"/>
      <c r="H4633" s="37"/>
      <c r="I4633" s="35"/>
      <c r="J4633" s="37"/>
    </row>
    <row r="4634" spans="1:10" ht="15.95" customHeight="1" x14ac:dyDescent="0.2">
      <c r="A4634" s="39"/>
      <c r="B4634" s="36"/>
      <c r="C4634" s="37"/>
      <c r="D4634" s="37"/>
      <c r="E4634" s="37"/>
      <c r="F4634" s="37"/>
      <c r="G4634" s="37"/>
      <c r="H4634" s="37"/>
      <c r="I4634" s="35"/>
      <c r="J4634" s="37"/>
    </row>
    <row r="4635" spans="1:10" ht="15.95" customHeight="1" x14ac:dyDescent="0.2">
      <c r="A4635" s="39"/>
      <c r="B4635" s="36"/>
      <c r="C4635" s="37"/>
      <c r="D4635" s="37"/>
      <c r="E4635" s="37"/>
      <c r="F4635" s="37"/>
      <c r="G4635" s="37"/>
      <c r="H4635" s="37"/>
      <c r="I4635" s="35"/>
      <c r="J4635" s="37"/>
    </row>
    <row r="4636" spans="1:10" ht="15.95" customHeight="1" x14ac:dyDescent="0.2">
      <c r="A4636" s="39"/>
      <c r="B4636" s="36"/>
      <c r="C4636" s="37"/>
      <c r="D4636" s="37"/>
      <c r="E4636" s="37"/>
      <c r="F4636" s="37"/>
      <c r="G4636" s="37"/>
      <c r="H4636" s="37"/>
      <c r="I4636" s="35"/>
      <c r="J4636" s="37"/>
    </row>
    <row r="4637" spans="1:10" ht="15.95" customHeight="1" x14ac:dyDescent="0.2">
      <c r="A4637" s="39"/>
      <c r="B4637" s="36"/>
      <c r="C4637" s="37"/>
      <c r="D4637" s="37"/>
      <c r="E4637" s="37"/>
      <c r="F4637" s="37"/>
      <c r="G4637" s="37"/>
      <c r="H4637" s="37"/>
      <c r="I4637" s="35"/>
      <c r="J4637" s="37"/>
    </row>
    <row r="4638" spans="1:10" ht="15.95" customHeight="1" x14ac:dyDescent="0.2">
      <c r="A4638" s="39"/>
      <c r="B4638" s="36"/>
      <c r="C4638" s="37"/>
      <c r="D4638" s="37"/>
      <c r="E4638" s="37"/>
      <c r="F4638" s="37"/>
      <c r="G4638" s="37"/>
      <c r="H4638" s="37"/>
      <c r="I4638" s="35"/>
      <c r="J4638" s="37"/>
    </row>
    <row r="4639" spans="1:10" ht="15.95" customHeight="1" x14ac:dyDescent="0.2">
      <c r="A4639" s="39"/>
      <c r="B4639" s="36"/>
      <c r="C4639" s="37"/>
      <c r="D4639" s="37"/>
      <c r="E4639" s="37"/>
      <c r="F4639" s="37"/>
      <c r="G4639" s="37"/>
      <c r="H4639" s="37"/>
      <c r="I4639" s="35"/>
      <c r="J4639" s="37"/>
    </row>
    <row r="4640" spans="1:10" ht="15.95" customHeight="1" x14ac:dyDescent="0.2">
      <c r="A4640" s="39"/>
      <c r="B4640" s="36"/>
      <c r="C4640" s="37"/>
      <c r="D4640" s="37"/>
      <c r="E4640" s="37"/>
      <c r="F4640" s="37"/>
      <c r="G4640" s="37"/>
      <c r="H4640" s="37"/>
      <c r="I4640" s="35"/>
      <c r="J4640" s="37"/>
    </row>
    <row r="4641" spans="1:10" ht="15.95" customHeight="1" x14ac:dyDescent="0.2">
      <c r="A4641" s="39"/>
      <c r="B4641" s="36"/>
      <c r="C4641" s="37"/>
      <c r="D4641" s="37"/>
      <c r="E4641" s="37"/>
      <c r="F4641" s="37"/>
      <c r="G4641" s="37"/>
      <c r="H4641" s="37"/>
      <c r="I4641" s="35"/>
      <c r="J4641" s="37"/>
    </row>
    <row r="4642" spans="1:10" ht="15.95" customHeight="1" x14ac:dyDescent="0.2">
      <c r="A4642" s="39"/>
      <c r="B4642" s="36"/>
      <c r="C4642" s="37"/>
      <c r="D4642" s="37"/>
      <c r="E4642" s="37"/>
      <c r="F4642" s="37"/>
      <c r="G4642" s="37"/>
      <c r="H4642" s="37"/>
      <c r="I4642" s="35"/>
      <c r="J4642" s="37"/>
    </row>
    <row r="4643" spans="1:10" ht="15.95" customHeight="1" x14ac:dyDescent="0.2">
      <c r="A4643" s="39"/>
      <c r="B4643" s="36"/>
      <c r="C4643" s="37"/>
      <c r="D4643" s="37"/>
      <c r="E4643" s="37"/>
      <c r="F4643" s="37"/>
      <c r="G4643" s="37"/>
      <c r="H4643" s="37"/>
      <c r="I4643" s="35"/>
      <c r="J4643" s="37"/>
    </row>
    <row r="4644" spans="1:10" ht="15.95" customHeight="1" x14ac:dyDescent="0.2">
      <c r="A4644" s="39"/>
      <c r="B4644" s="36"/>
      <c r="C4644" s="37"/>
      <c r="D4644" s="37"/>
      <c r="E4644" s="37"/>
      <c r="F4644" s="37"/>
      <c r="G4644" s="37"/>
      <c r="H4644" s="37"/>
      <c r="I4644" s="35"/>
      <c r="J4644" s="37"/>
    </row>
    <row r="4645" spans="1:10" ht="15.95" customHeight="1" x14ac:dyDescent="0.2">
      <c r="A4645" s="39"/>
      <c r="B4645" s="36"/>
      <c r="C4645" s="37"/>
      <c r="D4645" s="37"/>
      <c r="E4645" s="37"/>
      <c r="F4645" s="37"/>
      <c r="G4645" s="37"/>
      <c r="H4645" s="37"/>
      <c r="I4645" s="35"/>
      <c r="J4645" s="37"/>
    </row>
    <row r="4646" spans="1:10" ht="15.95" customHeight="1" x14ac:dyDescent="0.2">
      <c r="A4646" s="39"/>
      <c r="B4646" s="36"/>
      <c r="C4646" s="37"/>
      <c r="D4646" s="37"/>
      <c r="E4646" s="37"/>
      <c r="F4646" s="37"/>
      <c r="G4646" s="37"/>
      <c r="H4646" s="37"/>
      <c r="I4646" s="35"/>
      <c r="J4646" s="37"/>
    </row>
    <row r="4647" spans="1:10" ht="15.95" customHeight="1" x14ac:dyDescent="0.2">
      <c r="A4647" s="39"/>
      <c r="B4647" s="36"/>
      <c r="C4647" s="37"/>
      <c r="D4647" s="37"/>
      <c r="E4647" s="37"/>
      <c r="F4647" s="37"/>
      <c r="G4647" s="37"/>
      <c r="H4647" s="37"/>
      <c r="I4647" s="35"/>
      <c r="J4647" s="37"/>
    </row>
    <row r="4648" spans="1:10" ht="15.95" customHeight="1" x14ac:dyDescent="0.2">
      <c r="A4648" s="39"/>
      <c r="B4648" s="36"/>
      <c r="C4648" s="37"/>
      <c r="D4648" s="37"/>
      <c r="E4648" s="37"/>
      <c r="F4648" s="37"/>
      <c r="G4648" s="37"/>
      <c r="H4648" s="37"/>
      <c r="I4648" s="35"/>
      <c r="J4648" s="37"/>
    </row>
    <row r="4649" spans="1:10" ht="15.95" customHeight="1" x14ac:dyDescent="0.2">
      <c r="A4649" s="39"/>
      <c r="B4649" s="36"/>
      <c r="C4649" s="37"/>
      <c r="D4649" s="37"/>
      <c r="E4649" s="37"/>
      <c r="F4649" s="37"/>
      <c r="G4649" s="37"/>
      <c r="H4649" s="37"/>
      <c r="I4649" s="35"/>
      <c r="J4649" s="37"/>
    </row>
    <row r="4650" spans="1:10" ht="15.95" customHeight="1" x14ac:dyDescent="0.2">
      <c r="A4650" s="39"/>
      <c r="B4650" s="36"/>
      <c r="C4650" s="37"/>
      <c r="D4650" s="37"/>
      <c r="E4650" s="37"/>
      <c r="F4650" s="37"/>
      <c r="G4650" s="37"/>
      <c r="H4650" s="37"/>
      <c r="I4650" s="35"/>
      <c r="J4650" s="37"/>
    </row>
    <row r="4651" spans="1:10" ht="15.95" customHeight="1" x14ac:dyDescent="0.2">
      <c r="A4651" s="39"/>
      <c r="B4651" s="36"/>
      <c r="C4651" s="37"/>
      <c r="D4651" s="37"/>
      <c r="E4651" s="37"/>
      <c r="F4651" s="37"/>
      <c r="G4651" s="37"/>
      <c r="H4651" s="37"/>
      <c r="I4651" s="35"/>
      <c r="J4651" s="37"/>
    </row>
    <row r="4652" spans="1:10" ht="15.95" customHeight="1" x14ac:dyDescent="0.2">
      <c r="A4652" s="39"/>
      <c r="B4652" s="36"/>
      <c r="C4652" s="37"/>
      <c r="D4652" s="37"/>
      <c r="E4652" s="37"/>
      <c r="F4652" s="37"/>
      <c r="G4652" s="37"/>
      <c r="H4652" s="37"/>
      <c r="I4652" s="35"/>
      <c r="J4652" s="37"/>
    </row>
    <row r="4653" spans="1:10" ht="15.95" customHeight="1" x14ac:dyDescent="0.2">
      <c r="A4653" s="39"/>
      <c r="B4653" s="36"/>
      <c r="C4653" s="37"/>
      <c r="D4653" s="37"/>
      <c r="E4653" s="37"/>
      <c r="F4653" s="37"/>
      <c r="G4653" s="37"/>
      <c r="H4653" s="37"/>
      <c r="I4653" s="35"/>
      <c r="J4653" s="37"/>
    </row>
    <row r="4654" spans="1:10" ht="15.95" customHeight="1" x14ac:dyDescent="0.2">
      <c r="A4654" s="39"/>
      <c r="B4654" s="36"/>
      <c r="C4654" s="37"/>
      <c r="D4654" s="37"/>
      <c r="E4654" s="37"/>
      <c r="F4654" s="37"/>
      <c r="G4654" s="37"/>
      <c r="H4654" s="37"/>
      <c r="I4654" s="35"/>
      <c r="J4654" s="37"/>
    </row>
    <row r="4655" spans="1:10" ht="15.95" customHeight="1" x14ac:dyDescent="0.2">
      <c r="A4655" s="39"/>
      <c r="B4655" s="36"/>
      <c r="C4655" s="37"/>
      <c r="D4655" s="37"/>
      <c r="E4655" s="37"/>
      <c r="F4655" s="37"/>
      <c r="G4655" s="37"/>
      <c r="H4655" s="37"/>
      <c r="I4655" s="35"/>
      <c r="J4655" s="37"/>
    </row>
    <row r="4656" spans="1:10" ht="15.95" customHeight="1" x14ac:dyDescent="0.2">
      <c r="A4656" s="39"/>
      <c r="B4656" s="36"/>
      <c r="C4656" s="37"/>
      <c r="D4656" s="37"/>
      <c r="E4656" s="37"/>
      <c r="F4656" s="37"/>
      <c r="G4656" s="37"/>
      <c r="H4656" s="37"/>
      <c r="I4656" s="35"/>
      <c r="J4656" s="37"/>
    </row>
    <row r="4657" spans="1:10" ht="15.95" customHeight="1" x14ac:dyDescent="0.2">
      <c r="A4657" s="39"/>
      <c r="B4657" s="36"/>
      <c r="C4657" s="37"/>
      <c r="D4657" s="37"/>
      <c r="E4657" s="37"/>
      <c r="F4657" s="37"/>
      <c r="G4657" s="37"/>
      <c r="H4657" s="37"/>
      <c r="I4657" s="35"/>
      <c r="J4657" s="37"/>
    </row>
    <row r="4658" spans="1:10" ht="15.95" customHeight="1" x14ac:dyDescent="0.2">
      <c r="A4658" s="39"/>
      <c r="B4658" s="36"/>
      <c r="C4658" s="37"/>
      <c r="D4658" s="37"/>
      <c r="E4658" s="37"/>
      <c r="F4658" s="37"/>
      <c r="G4658" s="37"/>
      <c r="H4658" s="37"/>
      <c r="I4658" s="35"/>
      <c r="J4658" s="37"/>
    </row>
    <row r="4659" spans="1:10" ht="15.95" customHeight="1" x14ac:dyDescent="0.2">
      <c r="A4659" s="39"/>
      <c r="B4659" s="36"/>
      <c r="C4659" s="37"/>
      <c r="D4659" s="37"/>
      <c r="E4659" s="37"/>
      <c r="F4659" s="37"/>
      <c r="G4659" s="37"/>
      <c r="H4659" s="37"/>
      <c r="I4659" s="35"/>
      <c r="J4659" s="37"/>
    </row>
    <row r="4660" spans="1:10" ht="15.95" customHeight="1" x14ac:dyDescent="0.2">
      <c r="A4660" s="39"/>
      <c r="B4660" s="36"/>
      <c r="C4660" s="37"/>
      <c r="D4660" s="37"/>
      <c r="E4660" s="37"/>
      <c r="F4660" s="37"/>
      <c r="G4660" s="37"/>
      <c r="H4660" s="37"/>
      <c r="I4660" s="35"/>
      <c r="J4660" s="37"/>
    </row>
    <row r="4661" spans="1:10" ht="15.95" customHeight="1" x14ac:dyDescent="0.2">
      <c r="A4661" s="39"/>
      <c r="B4661" s="36"/>
      <c r="C4661" s="37"/>
      <c r="D4661" s="37"/>
      <c r="E4661" s="37"/>
      <c r="F4661" s="37"/>
      <c r="G4661" s="37"/>
      <c r="H4661" s="37"/>
      <c r="I4661" s="35"/>
      <c r="J4661" s="37"/>
    </row>
    <row r="4662" spans="1:10" ht="15.95" customHeight="1" x14ac:dyDescent="0.2">
      <c r="A4662" s="39"/>
      <c r="B4662" s="36"/>
      <c r="C4662" s="37"/>
      <c r="D4662" s="37"/>
      <c r="E4662" s="37"/>
      <c r="F4662" s="37"/>
      <c r="G4662" s="37"/>
      <c r="H4662" s="37"/>
      <c r="I4662" s="35"/>
      <c r="J4662" s="37"/>
    </row>
    <row r="4663" spans="1:10" ht="15.95" customHeight="1" x14ac:dyDescent="0.2">
      <c r="A4663" s="39"/>
      <c r="B4663" s="36"/>
      <c r="C4663" s="37"/>
      <c r="D4663" s="37"/>
      <c r="E4663" s="37"/>
      <c r="F4663" s="37"/>
      <c r="G4663" s="37"/>
      <c r="H4663" s="37"/>
      <c r="I4663" s="35"/>
      <c r="J4663" s="37"/>
    </row>
    <row r="4664" spans="1:10" ht="15.95" customHeight="1" x14ac:dyDescent="0.2">
      <c r="A4664" s="39"/>
      <c r="B4664" s="36"/>
      <c r="C4664" s="37"/>
      <c r="D4664" s="37"/>
      <c r="E4664" s="37"/>
      <c r="F4664" s="37"/>
      <c r="G4664" s="37"/>
      <c r="H4664" s="37"/>
      <c r="I4664" s="35"/>
      <c r="J4664" s="37"/>
    </row>
    <row r="4665" spans="1:10" ht="15.95" customHeight="1" x14ac:dyDescent="0.2">
      <c r="A4665" s="39"/>
      <c r="B4665" s="36"/>
      <c r="C4665" s="37"/>
      <c r="D4665" s="37"/>
      <c r="E4665" s="37"/>
      <c r="F4665" s="37"/>
      <c r="G4665" s="37"/>
      <c r="H4665" s="37"/>
      <c r="I4665" s="35"/>
      <c r="J4665" s="37"/>
    </row>
    <row r="4666" spans="1:10" ht="15.95" customHeight="1" x14ac:dyDescent="0.2">
      <c r="A4666" s="39"/>
      <c r="B4666" s="36"/>
      <c r="C4666" s="37"/>
      <c r="D4666" s="37"/>
      <c r="E4666" s="37"/>
      <c r="F4666" s="37"/>
      <c r="G4666" s="37"/>
      <c r="H4666" s="37"/>
      <c r="I4666" s="35"/>
      <c r="J4666" s="37"/>
    </row>
    <row r="4667" spans="1:10" ht="15.95" customHeight="1" x14ac:dyDescent="0.2">
      <c r="A4667" s="39"/>
      <c r="B4667" s="36"/>
      <c r="C4667" s="37"/>
      <c r="D4667" s="37"/>
      <c r="E4667" s="37"/>
      <c r="F4667" s="37"/>
      <c r="G4667" s="37"/>
      <c r="H4667" s="37"/>
      <c r="I4667" s="35"/>
      <c r="J4667" s="37"/>
    </row>
    <row r="4668" spans="1:10" ht="15.95" customHeight="1" x14ac:dyDescent="0.2">
      <c r="A4668" s="39"/>
      <c r="B4668" s="36"/>
      <c r="C4668" s="37"/>
      <c r="D4668" s="37"/>
      <c r="E4668" s="37"/>
      <c r="F4668" s="37"/>
      <c r="G4668" s="37"/>
      <c r="H4668" s="37"/>
      <c r="I4668" s="35"/>
      <c r="J4668" s="37"/>
    </row>
    <row r="4669" spans="1:10" ht="15.95" customHeight="1" x14ac:dyDescent="0.2">
      <c r="A4669" s="39"/>
      <c r="B4669" s="36"/>
      <c r="C4669" s="37"/>
      <c r="D4669" s="37"/>
      <c r="E4669" s="37"/>
      <c r="F4669" s="37"/>
      <c r="G4669" s="37"/>
      <c r="H4669" s="37"/>
      <c r="I4669" s="35"/>
      <c r="J4669" s="37"/>
    </row>
    <row r="4670" spans="1:10" ht="15.95" customHeight="1" x14ac:dyDescent="0.2">
      <c r="A4670" s="39"/>
      <c r="B4670" s="36"/>
      <c r="C4670" s="37"/>
      <c r="D4670" s="37"/>
      <c r="E4670" s="37"/>
      <c r="F4670" s="37"/>
      <c r="G4670" s="37"/>
      <c r="H4670" s="37"/>
      <c r="I4670" s="35"/>
      <c r="J4670" s="37"/>
    </row>
    <row r="4671" spans="1:10" ht="15.95" customHeight="1" x14ac:dyDescent="0.2">
      <c r="A4671" s="39"/>
      <c r="B4671" s="36"/>
      <c r="C4671" s="37"/>
      <c r="D4671" s="37"/>
      <c r="E4671" s="37"/>
      <c r="F4671" s="37"/>
      <c r="G4671" s="37"/>
      <c r="H4671" s="37"/>
      <c r="I4671" s="35"/>
      <c r="J4671" s="37"/>
    </row>
    <row r="4672" spans="1:10" ht="15.95" customHeight="1" x14ac:dyDescent="0.2">
      <c r="A4672" s="39"/>
      <c r="B4672" s="36"/>
      <c r="C4672" s="37"/>
      <c r="D4672" s="37"/>
      <c r="E4672" s="37"/>
      <c r="F4672" s="37"/>
      <c r="G4672" s="37"/>
      <c r="H4672" s="37"/>
      <c r="I4672" s="35"/>
      <c r="J4672" s="37"/>
    </row>
    <row r="4673" spans="1:10" ht="15.95" customHeight="1" x14ac:dyDescent="0.2">
      <c r="A4673" s="39"/>
      <c r="B4673" s="36"/>
      <c r="C4673" s="37"/>
      <c r="D4673" s="37"/>
      <c r="E4673" s="37"/>
      <c r="F4673" s="37"/>
      <c r="G4673" s="37"/>
      <c r="H4673" s="37"/>
      <c r="I4673" s="35"/>
      <c r="J4673" s="37"/>
    </row>
    <row r="4674" spans="1:10" ht="15.95" customHeight="1" x14ac:dyDescent="0.2">
      <c r="A4674" s="39"/>
      <c r="B4674" s="36"/>
      <c r="C4674" s="37"/>
      <c r="D4674" s="37"/>
      <c r="E4674" s="37"/>
      <c r="F4674" s="37"/>
      <c r="G4674" s="37"/>
      <c r="H4674" s="37"/>
      <c r="I4674" s="35"/>
      <c r="J4674" s="37"/>
    </row>
    <row r="4675" spans="1:10" ht="15.95" customHeight="1" x14ac:dyDescent="0.2">
      <c r="A4675" s="39"/>
      <c r="B4675" s="36"/>
      <c r="C4675" s="37"/>
      <c r="D4675" s="37"/>
      <c r="E4675" s="37"/>
      <c r="F4675" s="37"/>
      <c r="G4675" s="37"/>
      <c r="H4675" s="37"/>
      <c r="I4675" s="35"/>
      <c r="J4675" s="37"/>
    </row>
    <row r="4676" spans="1:10" ht="15.95" customHeight="1" x14ac:dyDescent="0.2">
      <c r="A4676" s="39"/>
      <c r="B4676" s="36"/>
      <c r="C4676" s="37"/>
      <c r="D4676" s="37"/>
      <c r="E4676" s="37"/>
      <c r="F4676" s="37"/>
      <c r="G4676" s="37"/>
      <c r="H4676" s="37"/>
      <c r="I4676" s="35"/>
      <c r="J4676" s="37"/>
    </row>
    <row r="4677" spans="1:10" ht="15.95" customHeight="1" x14ac:dyDescent="0.2">
      <c r="A4677" s="39"/>
      <c r="B4677" s="36"/>
      <c r="C4677" s="37"/>
      <c r="D4677" s="37"/>
      <c r="E4677" s="37"/>
      <c r="F4677" s="37"/>
      <c r="G4677" s="37"/>
      <c r="H4677" s="37"/>
      <c r="I4677" s="35"/>
      <c r="J4677" s="37"/>
    </row>
    <row r="4678" spans="1:10" ht="15.95" customHeight="1" x14ac:dyDescent="0.2">
      <c r="A4678" s="39"/>
      <c r="B4678" s="36"/>
      <c r="C4678" s="37"/>
      <c r="D4678" s="37"/>
      <c r="E4678" s="37"/>
      <c r="F4678" s="37"/>
      <c r="G4678" s="37"/>
      <c r="H4678" s="37"/>
      <c r="I4678" s="35"/>
      <c r="J4678" s="37"/>
    </row>
    <row r="4679" spans="1:10" ht="15.95" customHeight="1" x14ac:dyDescent="0.2">
      <c r="A4679" s="39"/>
      <c r="B4679" s="36"/>
      <c r="C4679" s="37"/>
      <c r="D4679" s="37"/>
      <c r="E4679" s="37"/>
      <c r="F4679" s="37"/>
      <c r="G4679" s="37"/>
      <c r="H4679" s="37"/>
      <c r="I4679" s="35"/>
      <c r="J4679" s="37"/>
    </row>
    <row r="4680" spans="1:10" ht="15.95" customHeight="1" x14ac:dyDescent="0.2">
      <c r="A4680" s="39"/>
      <c r="B4680" s="36"/>
      <c r="C4680" s="37"/>
      <c r="D4680" s="37"/>
      <c r="E4680" s="37"/>
      <c r="F4680" s="37"/>
      <c r="G4680" s="37"/>
      <c r="H4680" s="37"/>
      <c r="I4680" s="35"/>
      <c r="J4680" s="37"/>
    </row>
    <row r="4681" spans="1:10" ht="15.95" customHeight="1" x14ac:dyDescent="0.2">
      <c r="A4681" s="39"/>
      <c r="B4681" s="36"/>
      <c r="C4681" s="37"/>
      <c r="D4681" s="37"/>
      <c r="E4681" s="37"/>
      <c r="F4681" s="37"/>
      <c r="G4681" s="37"/>
      <c r="H4681" s="37"/>
      <c r="I4681" s="35"/>
      <c r="J4681" s="37"/>
    </row>
    <row r="4682" spans="1:10" ht="15.95" customHeight="1" x14ac:dyDescent="0.2">
      <c r="A4682" s="39"/>
      <c r="B4682" s="36"/>
      <c r="C4682" s="37"/>
      <c r="D4682" s="37"/>
      <c r="E4682" s="37"/>
      <c r="F4682" s="37"/>
      <c r="G4682" s="37"/>
      <c r="H4682" s="37"/>
      <c r="I4682" s="35"/>
      <c r="J4682" s="37"/>
    </row>
    <row r="4683" spans="1:10" ht="15.95" customHeight="1" x14ac:dyDescent="0.2">
      <c r="A4683" s="39"/>
      <c r="B4683" s="36"/>
      <c r="C4683" s="37"/>
      <c r="D4683" s="37"/>
      <c r="E4683" s="37"/>
      <c r="F4683" s="37"/>
      <c r="G4683" s="37"/>
      <c r="H4683" s="37"/>
      <c r="I4683" s="35"/>
      <c r="J4683" s="37"/>
    </row>
    <row r="4684" spans="1:10" ht="15.95" customHeight="1" x14ac:dyDescent="0.2">
      <c r="A4684" s="39"/>
      <c r="B4684" s="36"/>
      <c r="C4684" s="37"/>
      <c r="D4684" s="37"/>
      <c r="E4684" s="37"/>
      <c r="F4684" s="37"/>
      <c r="G4684" s="37"/>
      <c r="H4684" s="37"/>
      <c r="I4684" s="35"/>
      <c r="J4684" s="37"/>
    </row>
    <row r="4685" spans="1:10" ht="15.95" customHeight="1" x14ac:dyDescent="0.2">
      <c r="A4685" s="39"/>
      <c r="B4685" s="36"/>
      <c r="C4685" s="37"/>
      <c r="D4685" s="37"/>
      <c r="E4685" s="37"/>
      <c r="F4685" s="37"/>
      <c r="G4685" s="37"/>
      <c r="H4685" s="37"/>
      <c r="I4685" s="35"/>
      <c r="J4685" s="37"/>
    </row>
    <row r="4686" spans="1:10" ht="15.95" customHeight="1" x14ac:dyDescent="0.2">
      <c r="A4686" s="39"/>
      <c r="B4686" s="36"/>
      <c r="C4686" s="37"/>
      <c r="D4686" s="37"/>
      <c r="E4686" s="37"/>
      <c r="F4686" s="37"/>
      <c r="G4686" s="37"/>
      <c r="H4686" s="37"/>
      <c r="I4686" s="35"/>
      <c r="J4686" s="37"/>
    </row>
    <row r="4687" spans="1:10" ht="15.95" customHeight="1" x14ac:dyDescent="0.2">
      <c r="A4687" s="39"/>
      <c r="B4687" s="36"/>
      <c r="C4687" s="37"/>
      <c r="D4687" s="37"/>
      <c r="E4687" s="37"/>
      <c r="F4687" s="37"/>
      <c r="G4687" s="37"/>
      <c r="H4687" s="37"/>
      <c r="I4687" s="35"/>
      <c r="J4687" s="37"/>
    </row>
    <row r="4688" spans="1:10" ht="15.95" customHeight="1" x14ac:dyDescent="0.2">
      <c r="A4688" s="39"/>
      <c r="B4688" s="36"/>
      <c r="C4688" s="37"/>
      <c r="D4688" s="37"/>
      <c r="E4688" s="37"/>
      <c r="F4688" s="37"/>
      <c r="G4688" s="37"/>
      <c r="H4688" s="37"/>
      <c r="I4688" s="35"/>
      <c r="J4688" s="37"/>
    </row>
    <row r="4689" spans="1:10" ht="15.95" customHeight="1" x14ac:dyDescent="0.2">
      <c r="A4689" s="39"/>
      <c r="B4689" s="36"/>
      <c r="C4689" s="37"/>
      <c r="D4689" s="37"/>
      <c r="E4689" s="37"/>
      <c r="F4689" s="37"/>
      <c r="G4689" s="37"/>
      <c r="H4689" s="37"/>
      <c r="I4689" s="35"/>
      <c r="J4689" s="37"/>
    </row>
    <row r="4690" spans="1:10" ht="15.95" customHeight="1" x14ac:dyDescent="0.2">
      <c r="A4690" s="39"/>
      <c r="B4690" s="36"/>
      <c r="C4690" s="37"/>
      <c r="D4690" s="37"/>
      <c r="E4690" s="37"/>
      <c r="F4690" s="37"/>
      <c r="G4690" s="37"/>
      <c r="H4690" s="37"/>
      <c r="I4690" s="35"/>
      <c r="J4690" s="37"/>
    </row>
    <row r="4691" spans="1:10" ht="15.95" customHeight="1" x14ac:dyDescent="0.2">
      <c r="A4691" s="39"/>
      <c r="B4691" s="36"/>
      <c r="C4691" s="37"/>
      <c r="D4691" s="37"/>
      <c r="E4691" s="37"/>
      <c r="F4691" s="37"/>
      <c r="G4691" s="37"/>
      <c r="H4691" s="37"/>
      <c r="I4691" s="35"/>
      <c r="J4691" s="37"/>
    </row>
    <row r="4692" spans="1:10" ht="15.95" customHeight="1" x14ac:dyDescent="0.2">
      <c r="A4692" s="39"/>
      <c r="B4692" s="36"/>
      <c r="C4692" s="37"/>
      <c r="D4692" s="37"/>
      <c r="E4692" s="37"/>
      <c r="F4692" s="37"/>
      <c r="G4692" s="37"/>
      <c r="H4692" s="37"/>
      <c r="I4692" s="35"/>
      <c r="J4692" s="37"/>
    </row>
    <row r="4693" spans="1:10" ht="15.95" customHeight="1" x14ac:dyDescent="0.2">
      <c r="A4693" s="39"/>
      <c r="B4693" s="36"/>
      <c r="C4693" s="37"/>
      <c r="D4693" s="37"/>
      <c r="E4693" s="37"/>
      <c r="F4693" s="37"/>
      <c r="G4693" s="37"/>
      <c r="H4693" s="37"/>
      <c r="I4693" s="35"/>
      <c r="J4693" s="37"/>
    </row>
    <row r="4694" spans="1:10" ht="15.95" customHeight="1" x14ac:dyDescent="0.2">
      <c r="A4694" s="39"/>
      <c r="B4694" s="36"/>
      <c r="C4694" s="37"/>
      <c r="D4694" s="37"/>
      <c r="E4694" s="37"/>
      <c r="F4694" s="37"/>
      <c r="G4694" s="37"/>
      <c r="H4694" s="37"/>
      <c r="I4694" s="35"/>
      <c r="J4694" s="37"/>
    </row>
    <row r="4695" spans="1:10" ht="15.95" customHeight="1" x14ac:dyDescent="0.2">
      <c r="A4695" s="39"/>
      <c r="B4695" s="36"/>
      <c r="C4695" s="37"/>
      <c r="D4695" s="37"/>
      <c r="E4695" s="37"/>
      <c r="F4695" s="37"/>
      <c r="G4695" s="37"/>
      <c r="H4695" s="37"/>
      <c r="I4695" s="35"/>
      <c r="J4695" s="37"/>
    </row>
    <row r="4696" spans="1:10" ht="15.95" customHeight="1" x14ac:dyDescent="0.2">
      <c r="A4696" s="39"/>
      <c r="B4696" s="36"/>
      <c r="C4696" s="37"/>
      <c r="D4696" s="37"/>
      <c r="E4696" s="37"/>
      <c r="F4696" s="37"/>
      <c r="G4696" s="37"/>
      <c r="H4696" s="37"/>
      <c r="I4696" s="35"/>
      <c r="J4696" s="37"/>
    </row>
    <row r="4697" spans="1:10" ht="15.95" customHeight="1" x14ac:dyDescent="0.2">
      <c r="A4697" s="39"/>
      <c r="B4697" s="36"/>
      <c r="C4697" s="37"/>
      <c r="D4697" s="37"/>
      <c r="E4697" s="37"/>
      <c r="F4697" s="37"/>
      <c r="G4697" s="37"/>
      <c r="H4697" s="37"/>
      <c r="I4697" s="35"/>
      <c r="J4697" s="37"/>
    </row>
    <row r="4698" spans="1:10" ht="15.95" customHeight="1" x14ac:dyDescent="0.2">
      <c r="A4698" s="39"/>
      <c r="B4698" s="36"/>
      <c r="C4698" s="37"/>
      <c r="D4698" s="37"/>
      <c r="E4698" s="37"/>
      <c r="F4698" s="37"/>
      <c r="G4698" s="37"/>
      <c r="H4698" s="37"/>
      <c r="I4698" s="35"/>
      <c r="J4698" s="37"/>
    </row>
    <row r="4699" spans="1:10" ht="15.95" customHeight="1" x14ac:dyDescent="0.2">
      <c r="A4699" s="39"/>
      <c r="B4699" s="36"/>
      <c r="C4699" s="37"/>
      <c r="D4699" s="37"/>
      <c r="E4699" s="37"/>
      <c r="F4699" s="37"/>
      <c r="G4699" s="37"/>
      <c r="H4699" s="37"/>
      <c r="I4699" s="35"/>
      <c r="J4699" s="37"/>
    </row>
    <row r="4700" spans="1:10" ht="15.95" customHeight="1" x14ac:dyDescent="0.2">
      <c r="A4700" s="39"/>
      <c r="B4700" s="36"/>
      <c r="C4700" s="37"/>
      <c r="D4700" s="37"/>
      <c r="E4700" s="37"/>
      <c r="F4700" s="37"/>
      <c r="G4700" s="37"/>
      <c r="H4700" s="37"/>
      <c r="I4700" s="35"/>
      <c r="J4700" s="37"/>
    </row>
    <row r="4701" spans="1:10" ht="15.95" customHeight="1" x14ac:dyDescent="0.2">
      <c r="A4701" s="39"/>
      <c r="B4701" s="36"/>
      <c r="C4701" s="37"/>
      <c r="D4701" s="37"/>
      <c r="E4701" s="37"/>
      <c r="F4701" s="37"/>
      <c r="G4701" s="37"/>
      <c r="H4701" s="37"/>
      <c r="I4701" s="35"/>
      <c r="J4701" s="37"/>
    </row>
    <row r="4702" spans="1:10" ht="15.95" customHeight="1" x14ac:dyDescent="0.2">
      <c r="A4702" s="39"/>
      <c r="B4702" s="36"/>
      <c r="C4702" s="37"/>
      <c r="D4702" s="37"/>
      <c r="E4702" s="37"/>
      <c r="F4702" s="37"/>
      <c r="G4702" s="37"/>
      <c r="H4702" s="37"/>
      <c r="I4702" s="35"/>
      <c r="J4702" s="37"/>
    </row>
    <row r="4703" spans="1:10" ht="15.95" customHeight="1" x14ac:dyDescent="0.2">
      <c r="A4703" s="39"/>
      <c r="B4703" s="36"/>
      <c r="C4703" s="37"/>
      <c r="D4703" s="37"/>
      <c r="E4703" s="37"/>
      <c r="F4703" s="37"/>
      <c r="G4703" s="37"/>
      <c r="H4703" s="37"/>
      <c r="I4703" s="35"/>
      <c r="J4703" s="37"/>
    </row>
    <row r="4704" spans="1:10" ht="15.95" customHeight="1" x14ac:dyDescent="0.2">
      <c r="A4704" s="39"/>
      <c r="B4704" s="36"/>
      <c r="C4704" s="37"/>
      <c r="D4704" s="37"/>
      <c r="E4704" s="37"/>
      <c r="F4704" s="37"/>
      <c r="G4704" s="37"/>
      <c r="H4704" s="37"/>
      <c r="I4704" s="35"/>
      <c r="J4704" s="37"/>
    </row>
    <row r="4705" spans="1:10" ht="15.95" customHeight="1" x14ac:dyDescent="0.2">
      <c r="A4705" s="39"/>
      <c r="B4705" s="36"/>
      <c r="C4705" s="37"/>
      <c r="D4705" s="37"/>
      <c r="E4705" s="37"/>
      <c r="F4705" s="37"/>
      <c r="G4705" s="37"/>
      <c r="H4705" s="37"/>
      <c r="I4705" s="35"/>
      <c r="J4705" s="37"/>
    </row>
    <row r="4706" spans="1:10" ht="15.95" customHeight="1" x14ac:dyDescent="0.2">
      <c r="A4706" s="39"/>
      <c r="B4706" s="36"/>
      <c r="C4706" s="37"/>
      <c r="D4706" s="37"/>
      <c r="E4706" s="37"/>
      <c r="F4706" s="37"/>
      <c r="G4706" s="37"/>
      <c r="H4706" s="37"/>
      <c r="I4706" s="35"/>
      <c r="J4706" s="37"/>
    </row>
    <row r="4707" spans="1:10" ht="15.95" customHeight="1" x14ac:dyDescent="0.2">
      <c r="A4707" s="39"/>
      <c r="B4707" s="36"/>
      <c r="C4707" s="37"/>
      <c r="D4707" s="37"/>
      <c r="E4707" s="37"/>
      <c r="F4707" s="37"/>
      <c r="G4707" s="37"/>
      <c r="H4707" s="37"/>
      <c r="I4707" s="35"/>
      <c r="J4707" s="37"/>
    </row>
    <row r="4708" spans="1:10" ht="15.95" customHeight="1" x14ac:dyDescent="0.2">
      <c r="A4708" s="39"/>
      <c r="B4708" s="36"/>
      <c r="C4708" s="37"/>
      <c r="D4708" s="37"/>
      <c r="E4708" s="37"/>
      <c r="F4708" s="37"/>
      <c r="G4708" s="37"/>
      <c r="H4708" s="37"/>
      <c r="I4708" s="35"/>
      <c r="J4708" s="37"/>
    </row>
    <row r="4709" spans="1:10" ht="15.95" customHeight="1" x14ac:dyDescent="0.2">
      <c r="A4709" s="39"/>
      <c r="B4709" s="36"/>
      <c r="C4709" s="37"/>
      <c r="D4709" s="37"/>
      <c r="E4709" s="37"/>
      <c r="F4709" s="37"/>
      <c r="G4709" s="37"/>
      <c r="H4709" s="37"/>
      <c r="I4709" s="35"/>
      <c r="J4709" s="37"/>
    </row>
    <row r="4710" spans="1:10" ht="15.95" customHeight="1" x14ac:dyDescent="0.2">
      <c r="A4710" s="39"/>
      <c r="B4710" s="36"/>
      <c r="C4710" s="37"/>
      <c r="D4710" s="37"/>
      <c r="E4710" s="37"/>
      <c r="F4710" s="37"/>
      <c r="G4710" s="37"/>
      <c r="H4710" s="37"/>
      <c r="I4710" s="35"/>
      <c r="J4710" s="37"/>
    </row>
    <row r="4711" spans="1:10" ht="15.95" customHeight="1" x14ac:dyDescent="0.2">
      <c r="A4711" s="39"/>
      <c r="B4711" s="36"/>
      <c r="C4711" s="37"/>
      <c r="D4711" s="37"/>
      <c r="E4711" s="37"/>
      <c r="F4711" s="37"/>
      <c r="G4711" s="37"/>
      <c r="H4711" s="37"/>
      <c r="I4711" s="35"/>
      <c r="J4711" s="37"/>
    </row>
    <row r="4712" spans="1:10" ht="15.95" customHeight="1" x14ac:dyDescent="0.2">
      <c r="A4712" s="39"/>
      <c r="B4712" s="36"/>
      <c r="C4712" s="37"/>
      <c r="D4712" s="37"/>
      <c r="E4712" s="37"/>
      <c r="F4712" s="37"/>
      <c r="G4712" s="37"/>
      <c r="H4712" s="37"/>
      <c r="I4712" s="35"/>
      <c r="J4712" s="37"/>
    </row>
    <row r="4713" spans="1:10" ht="15.95" customHeight="1" x14ac:dyDescent="0.2">
      <c r="A4713" s="39"/>
      <c r="B4713" s="36"/>
      <c r="C4713" s="37"/>
      <c r="D4713" s="37"/>
      <c r="E4713" s="37"/>
      <c r="F4713" s="37"/>
      <c r="G4713" s="37"/>
      <c r="H4713" s="37"/>
      <c r="I4713" s="35"/>
      <c r="J4713" s="37"/>
    </row>
    <row r="4714" spans="1:10" ht="15.95" customHeight="1" x14ac:dyDescent="0.2">
      <c r="A4714" s="39"/>
      <c r="B4714" s="36"/>
      <c r="C4714" s="37"/>
      <c r="D4714" s="37"/>
      <c r="E4714" s="37"/>
      <c r="F4714" s="37"/>
      <c r="G4714" s="37"/>
      <c r="H4714" s="37"/>
      <c r="I4714" s="35"/>
      <c r="J4714" s="37"/>
    </row>
    <row r="4715" spans="1:10" ht="15.95" customHeight="1" x14ac:dyDescent="0.2">
      <c r="A4715" s="39"/>
      <c r="B4715" s="36"/>
      <c r="C4715" s="37"/>
      <c r="D4715" s="37"/>
      <c r="E4715" s="37"/>
      <c r="F4715" s="37"/>
      <c r="G4715" s="37"/>
      <c r="H4715" s="37"/>
      <c r="I4715" s="35"/>
      <c r="J4715" s="37"/>
    </row>
    <row r="4716" spans="1:10" ht="15.95" customHeight="1" x14ac:dyDescent="0.2">
      <c r="A4716" s="39"/>
      <c r="B4716" s="36"/>
      <c r="C4716" s="37"/>
      <c r="D4716" s="37"/>
      <c r="E4716" s="37"/>
      <c r="F4716" s="37"/>
      <c r="G4716" s="37"/>
      <c r="H4716" s="37"/>
      <c r="I4716" s="35"/>
      <c r="J4716" s="37"/>
    </row>
    <row r="4717" spans="1:10" ht="15.95" customHeight="1" x14ac:dyDescent="0.2">
      <c r="A4717" s="39"/>
      <c r="B4717" s="36"/>
      <c r="C4717" s="37"/>
      <c r="D4717" s="37"/>
      <c r="E4717" s="37"/>
      <c r="F4717" s="37"/>
      <c r="G4717" s="37"/>
      <c r="H4717" s="37"/>
      <c r="I4717" s="35"/>
      <c r="J4717" s="37"/>
    </row>
    <row r="4718" spans="1:10" ht="15.95" customHeight="1" x14ac:dyDescent="0.2">
      <c r="A4718" s="39"/>
      <c r="B4718" s="36"/>
      <c r="C4718" s="37"/>
      <c r="D4718" s="37"/>
      <c r="E4718" s="37"/>
      <c r="F4718" s="37"/>
      <c r="G4718" s="37"/>
      <c r="H4718" s="37"/>
      <c r="I4718" s="35"/>
      <c r="J4718" s="37"/>
    </row>
    <row r="4719" spans="1:10" ht="15.95" customHeight="1" x14ac:dyDescent="0.2">
      <c r="A4719" s="39"/>
      <c r="B4719" s="36"/>
      <c r="C4719" s="37"/>
      <c r="D4719" s="37"/>
      <c r="E4719" s="37"/>
      <c r="F4719" s="37"/>
      <c r="G4719" s="37"/>
      <c r="H4719" s="37"/>
      <c r="I4719" s="35"/>
      <c r="J4719" s="37"/>
    </row>
    <row r="4720" spans="1:10" ht="15.95" customHeight="1" x14ac:dyDescent="0.2">
      <c r="A4720" s="39"/>
      <c r="B4720" s="36"/>
      <c r="C4720" s="37"/>
      <c r="D4720" s="37"/>
      <c r="E4720" s="37"/>
      <c r="F4720" s="37"/>
      <c r="G4720" s="37"/>
      <c r="H4720" s="37"/>
      <c r="I4720" s="35"/>
      <c r="J4720" s="37"/>
    </row>
    <row r="4721" spans="1:10" ht="15.95" customHeight="1" x14ac:dyDescent="0.2">
      <c r="A4721" s="39"/>
      <c r="B4721" s="36"/>
      <c r="C4721" s="37"/>
      <c r="D4721" s="37"/>
      <c r="E4721" s="37"/>
      <c r="F4721" s="37"/>
      <c r="G4721" s="37"/>
      <c r="H4721" s="37"/>
      <c r="I4721" s="35"/>
      <c r="J4721" s="37"/>
    </row>
    <row r="4722" spans="1:10" ht="15.95" customHeight="1" x14ac:dyDescent="0.2">
      <c r="A4722" s="39"/>
      <c r="B4722" s="36"/>
      <c r="C4722" s="37"/>
      <c r="D4722" s="37"/>
      <c r="E4722" s="37"/>
      <c r="F4722" s="37"/>
      <c r="G4722" s="37"/>
      <c r="H4722" s="37"/>
      <c r="I4722" s="35"/>
      <c r="J4722" s="37"/>
    </row>
    <row r="4723" spans="1:10" ht="15.95" customHeight="1" x14ac:dyDescent="0.2">
      <c r="A4723" s="39"/>
      <c r="B4723" s="36"/>
      <c r="C4723" s="37"/>
      <c r="D4723" s="37"/>
      <c r="E4723" s="37"/>
      <c r="F4723" s="37"/>
      <c r="G4723" s="37"/>
      <c r="H4723" s="37"/>
      <c r="I4723" s="35"/>
      <c r="J4723" s="37"/>
    </row>
    <row r="4724" spans="1:10" ht="15.95" customHeight="1" x14ac:dyDescent="0.2">
      <c r="A4724" s="39"/>
      <c r="B4724" s="36"/>
      <c r="C4724" s="37"/>
      <c r="D4724" s="37"/>
      <c r="E4724" s="37"/>
      <c r="F4724" s="37"/>
      <c r="G4724" s="37"/>
      <c r="H4724" s="37"/>
      <c r="I4724" s="35"/>
      <c r="J4724" s="37"/>
    </row>
    <row r="4725" spans="1:10" ht="15.95" customHeight="1" x14ac:dyDescent="0.2">
      <c r="A4725" s="39"/>
      <c r="B4725" s="36"/>
      <c r="C4725" s="37"/>
      <c r="D4725" s="37"/>
      <c r="E4725" s="37"/>
      <c r="F4725" s="37"/>
      <c r="G4725" s="37"/>
      <c r="H4725" s="37"/>
      <c r="I4725" s="35"/>
      <c r="J4725" s="37"/>
    </row>
    <row r="4726" spans="1:10" ht="15.95" customHeight="1" x14ac:dyDescent="0.2">
      <c r="A4726" s="39"/>
      <c r="B4726" s="36"/>
      <c r="C4726" s="37"/>
      <c r="D4726" s="37"/>
      <c r="E4726" s="37"/>
      <c r="F4726" s="37"/>
      <c r="G4726" s="37"/>
      <c r="H4726" s="37"/>
      <c r="I4726" s="35"/>
      <c r="J4726" s="37"/>
    </row>
    <row r="4727" spans="1:10" ht="15.95" customHeight="1" x14ac:dyDescent="0.2">
      <c r="A4727" s="39"/>
      <c r="B4727" s="36"/>
      <c r="C4727" s="37"/>
      <c r="D4727" s="37"/>
      <c r="E4727" s="37"/>
      <c r="F4727" s="37"/>
      <c r="G4727" s="37"/>
      <c r="H4727" s="37"/>
      <c r="I4727" s="35"/>
      <c r="J4727" s="37"/>
    </row>
    <row r="4728" spans="1:10" ht="15.95" customHeight="1" x14ac:dyDescent="0.2">
      <c r="A4728" s="39"/>
      <c r="B4728" s="36"/>
      <c r="C4728" s="37"/>
      <c r="D4728" s="37"/>
      <c r="E4728" s="37"/>
      <c r="F4728" s="37"/>
      <c r="G4728" s="37"/>
      <c r="H4728" s="37"/>
      <c r="I4728" s="35"/>
      <c r="J4728" s="37"/>
    </row>
    <row r="4729" spans="1:10" ht="15.95" customHeight="1" x14ac:dyDescent="0.2">
      <c r="A4729" s="39"/>
      <c r="B4729" s="36"/>
      <c r="C4729" s="37"/>
      <c r="D4729" s="37"/>
      <c r="E4729" s="37"/>
      <c r="F4729" s="37"/>
      <c r="G4729" s="37"/>
      <c r="H4729" s="37"/>
      <c r="I4729" s="35"/>
      <c r="J4729" s="37"/>
    </row>
    <row r="4730" spans="1:10" ht="15.95" customHeight="1" x14ac:dyDescent="0.2">
      <c r="A4730" s="39"/>
      <c r="B4730" s="36"/>
      <c r="C4730" s="37"/>
      <c r="D4730" s="37"/>
      <c r="E4730" s="37"/>
      <c r="F4730" s="37"/>
      <c r="G4730" s="37"/>
      <c r="H4730" s="37"/>
      <c r="I4730" s="35"/>
      <c r="J4730" s="37"/>
    </row>
    <row r="4731" spans="1:10" ht="15.95" customHeight="1" x14ac:dyDescent="0.2">
      <c r="A4731" s="39"/>
      <c r="B4731" s="36"/>
      <c r="C4731" s="37"/>
      <c r="D4731" s="37"/>
      <c r="E4731" s="37"/>
      <c r="F4731" s="37"/>
      <c r="G4731" s="37"/>
      <c r="H4731" s="37"/>
      <c r="I4731" s="35"/>
      <c r="J4731" s="37"/>
    </row>
    <row r="4732" spans="1:10" ht="15.95" customHeight="1" x14ac:dyDescent="0.2">
      <c r="A4732" s="39"/>
      <c r="B4732" s="36"/>
      <c r="C4732" s="37"/>
      <c r="D4732" s="37"/>
      <c r="E4732" s="37"/>
      <c r="F4732" s="37"/>
      <c r="G4732" s="37"/>
      <c r="H4732" s="37"/>
      <c r="I4732" s="35"/>
      <c r="J4732" s="37"/>
    </row>
    <row r="4733" spans="1:10" ht="15.95" customHeight="1" x14ac:dyDescent="0.2">
      <c r="A4733" s="39"/>
      <c r="B4733" s="36"/>
      <c r="C4733" s="37"/>
      <c r="D4733" s="37"/>
      <c r="E4733" s="37"/>
      <c r="F4733" s="37"/>
      <c r="G4733" s="37"/>
      <c r="H4733" s="37"/>
      <c r="I4733" s="35"/>
      <c r="J4733" s="37"/>
    </row>
    <row r="4734" spans="1:10" ht="15.95" customHeight="1" x14ac:dyDescent="0.2">
      <c r="A4734" s="39"/>
      <c r="B4734" s="36"/>
      <c r="C4734" s="37"/>
      <c r="D4734" s="37"/>
      <c r="E4734" s="37"/>
      <c r="F4734" s="37"/>
      <c r="G4734" s="37"/>
      <c r="H4734" s="37"/>
      <c r="I4734" s="35"/>
      <c r="J4734" s="37"/>
    </row>
    <row r="4735" spans="1:10" ht="15.95" customHeight="1" x14ac:dyDescent="0.2">
      <c r="A4735" s="39"/>
      <c r="B4735" s="36"/>
      <c r="C4735" s="37"/>
      <c r="D4735" s="37"/>
      <c r="E4735" s="37"/>
      <c r="F4735" s="37"/>
      <c r="G4735" s="37"/>
      <c r="H4735" s="37"/>
      <c r="I4735" s="35"/>
      <c r="J4735" s="37"/>
    </row>
    <row r="4736" spans="1:10" ht="15.95" customHeight="1" x14ac:dyDescent="0.2">
      <c r="A4736" s="39"/>
      <c r="B4736" s="36"/>
      <c r="C4736" s="37"/>
      <c r="D4736" s="37"/>
      <c r="E4736" s="37"/>
      <c r="F4736" s="37"/>
      <c r="G4736" s="37"/>
      <c r="H4736" s="37"/>
      <c r="I4736" s="35"/>
      <c r="J4736" s="37"/>
    </row>
    <row r="4737" spans="1:10" ht="15.95" customHeight="1" x14ac:dyDescent="0.2">
      <c r="A4737" s="39"/>
      <c r="B4737" s="36"/>
      <c r="C4737" s="37"/>
      <c r="D4737" s="37"/>
      <c r="E4737" s="37"/>
      <c r="F4737" s="37"/>
      <c r="G4737" s="37"/>
      <c r="H4737" s="37"/>
      <c r="I4737" s="35"/>
      <c r="J4737" s="37"/>
    </row>
    <row r="4738" spans="1:10" ht="15.95" customHeight="1" x14ac:dyDescent="0.2">
      <c r="A4738" s="39"/>
      <c r="B4738" s="36"/>
      <c r="C4738" s="37"/>
      <c r="D4738" s="37"/>
      <c r="E4738" s="37"/>
      <c r="F4738" s="37"/>
      <c r="G4738" s="37"/>
      <c r="H4738" s="37"/>
      <c r="I4738" s="35"/>
      <c r="J4738" s="37"/>
    </row>
    <row r="4739" spans="1:10" ht="15.95" customHeight="1" x14ac:dyDescent="0.2">
      <c r="A4739" s="39"/>
      <c r="B4739" s="36"/>
      <c r="C4739" s="37"/>
      <c r="D4739" s="37"/>
      <c r="E4739" s="37"/>
      <c r="F4739" s="37"/>
      <c r="G4739" s="37"/>
      <c r="H4739" s="37"/>
      <c r="I4739" s="35"/>
      <c r="J4739" s="37"/>
    </row>
    <row r="4740" spans="1:10" ht="15.95" customHeight="1" x14ac:dyDescent="0.2">
      <c r="A4740" s="39"/>
      <c r="B4740" s="36"/>
      <c r="C4740" s="37"/>
      <c r="D4740" s="37"/>
      <c r="E4740" s="37"/>
      <c r="F4740" s="37"/>
      <c r="G4740" s="37"/>
      <c r="H4740" s="37"/>
      <c r="I4740" s="35"/>
      <c r="J4740" s="37"/>
    </row>
    <row r="4741" spans="1:10" ht="15.95" customHeight="1" x14ac:dyDescent="0.2">
      <c r="A4741" s="39"/>
      <c r="B4741" s="36"/>
      <c r="C4741" s="37"/>
      <c r="D4741" s="37"/>
      <c r="E4741" s="37"/>
      <c r="F4741" s="37"/>
      <c r="G4741" s="37"/>
      <c r="H4741" s="37"/>
      <c r="I4741" s="35"/>
      <c r="J4741" s="37"/>
    </row>
    <row r="4742" spans="1:10" ht="15.95" customHeight="1" x14ac:dyDescent="0.2">
      <c r="A4742" s="39"/>
      <c r="B4742" s="36"/>
      <c r="C4742" s="37"/>
      <c r="D4742" s="37"/>
      <c r="E4742" s="37"/>
      <c r="F4742" s="37"/>
      <c r="G4742" s="37"/>
      <c r="H4742" s="37"/>
      <c r="I4742" s="35"/>
      <c r="J4742" s="37"/>
    </row>
    <row r="4743" spans="1:10" ht="15.95" customHeight="1" x14ac:dyDescent="0.2">
      <c r="A4743" s="39"/>
      <c r="B4743" s="36"/>
      <c r="C4743" s="37"/>
      <c r="D4743" s="37"/>
      <c r="E4743" s="37"/>
      <c r="F4743" s="37"/>
      <c r="G4743" s="37"/>
      <c r="H4743" s="37"/>
      <c r="I4743" s="35"/>
      <c r="J4743" s="37"/>
    </row>
    <row r="4744" spans="1:10" ht="15.95" customHeight="1" x14ac:dyDescent="0.2">
      <c r="A4744" s="39"/>
      <c r="B4744" s="36"/>
      <c r="C4744" s="37"/>
      <c r="D4744" s="37"/>
      <c r="E4744" s="37"/>
      <c r="F4744" s="37"/>
      <c r="G4744" s="37"/>
      <c r="H4744" s="37"/>
      <c r="I4744" s="35"/>
      <c r="J4744" s="37"/>
    </row>
    <row r="4745" spans="1:10" ht="15.95" customHeight="1" x14ac:dyDescent="0.2">
      <c r="A4745" s="39"/>
      <c r="B4745" s="36"/>
      <c r="C4745" s="37"/>
      <c r="D4745" s="37"/>
      <c r="E4745" s="37"/>
      <c r="F4745" s="37"/>
      <c r="G4745" s="37"/>
      <c r="H4745" s="37"/>
      <c r="I4745" s="35"/>
      <c r="J4745" s="37"/>
    </row>
    <row r="4746" spans="1:10" ht="15.95" customHeight="1" x14ac:dyDescent="0.2">
      <c r="A4746" s="39"/>
      <c r="B4746" s="36"/>
      <c r="C4746" s="37"/>
      <c r="D4746" s="37"/>
      <c r="E4746" s="37"/>
      <c r="F4746" s="37"/>
      <c r="G4746" s="37"/>
      <c r="H4746" s="37"/>
      <c r="I4746" s="35"/>
      <c r="J4746" s="37"/>
    </row>
    <row r="4747" spans="1:10" ht="15.95" customHeight="1" x14ac:dyDescent="0.2">
      <c r="A4747" s="39"/>
      <c r="B4747" s="36"/>
      <c r="C4747" s="37"/>
      <c r="D4747" s="37"/>
      <c r="E4747" s="37"/>
      <c r="F4747" s="37"/>
      <c r="G4747" s="37"/>
      <c r="H4747" s="37"/>
      <c r="I4747" s="35"/>
      <c r="J4747" s="37"/>
    </row>
    <row r="4748" spans="1:10" ht="15.95" customHeight="1" x14ac:dyDescent="0.2">
      <c r="A4748" s="39"/>
      <c r="B4748" s="36"/>
      <c r="C4748" s="37"/>
      <c r="D4748" s="37"/>
      <c r="E4748" s="37"/>
      <c r="F4748" s="37"/>
      <c r="G4748" s="37"/>
      <c r="H4748" s="37"/>
      <c r="I4748" s="35"/>
      <c r="J4748" s="37"/>
    </row>
    <row r="4749" spans="1:10" ht="15.95" customHeight="1" x14ac:dyDescent="0.2">
      <c r="A4749" s="39"/>
      <c r="B4749" s="36"/>
      <c r="C4749" s="37"/>
      <c r="D4749" s="37"/>
      <c r="E4749" s="37"/>
      <c r="F4749" s="37"/>
      <c r="G4749" s="37"/>
      <c r="H4749" s="37"/>
      <c r="I4749" s="35"/>
      <c r="J4749" s="37"/>
    </row>
    <row r="4750" spans="1:10" ht="15.95" customHeight="1" x14ac:dyDescent="0.2">
      <c r="A4750" s="39"/>
      <c r="B4750" s="36"/>
      <c r="C4750" s="37"/>
      <c r="D4750" s="37"/>
      <c r="E4750" s="37"/>
      <c r="F4750" s="37"/>
      <c r="G4750" s="37"/>
      <c r="H4750" s="37"/>
      <c r="I4750" s="35"/>
      <c r="J4750" s="37"/>
    </row>
    <row r="4751" spans="1:10" ht="15.95" customHeight="1" x14ac:dyDescent="0.2">
      <c r="A4751" s="39"/>
      <c r="B4751" s="36"/>
      <c r="C4751" s="37"/>
      <c r="D4751" s="37"/>
      <c r="E4751" s="37"/>
      <c r="F4751" s="37"/>
      <c r="G4751" s="37"/>
      <c r="H4751" s="37"/>
      <c r="I4751" s="35"/>
      <c r="J4751" s="37"/>
    </row>
    <row r="4752" spans="1:10" ht="15.95" customHeight="1" x14ac:dyDescent="0.2">
      <c r="A4752" s="39"/>
      <c r="B4752" s="36"/>
      <c r="C4752" s="37"/>
      <c r="D4752" s="37"/>
      <c r="E4752" s="37"/>
      <c r="F4752" s="37"/>
      <c r="G4752" s="37"/>
      <c r="H4752" s="37"/>
      <c r="I4752" s="35"/>
      <c r="J4752" s="37"/>
    </row>
    <row r="4753" spans="1:10" ht="15.95" customHeight="1" x14ac:dyDescent="0.2">
      <c r="A4753" s="39"/>
      <c r="B4753" s="36"/>
      <c r="C4753" s="37"/>
      <c r="D4753" s="37"/>
      <c r="E4753" s="37"/>
      <c r="F4753" s="37"/>
      <c r="G4753" s="37"/>
      <c r="H4753" s="37"/>
      <c r="I4753" s="35"/>
      <c r="J4753" s="37"/>
    </row>
    <row r="4754" spans="1:10" ht="15.95" customHeight="1" x14ac:dyDescent="0.2">
      <c r="A4754" s="39"/>
      <c r="B4754" s="36"/>
      <c r="C4754" s="37"/>
      <c r="D4754" s="37"/>
      <c r="E4754" s="37"/>
      <c r="F4754" s="37"/>
      <c r="G4754" s="37"/>
      <c r="H4754" s="37"/>
      <c r="I4754" s="35"/>
      <c r="J4754" s="37"/>
    </row>
    <row r="4755" spans="1:10" ht="15.95" customHeight="1" x14ac:dyDescent="0.2">
      <c r="A4755" s="39"/>
      <c r="B4755" s="36"/>
      <c r="C4755" s="37"/>
      <c r="D4755" s="37"/>
      <c r="E4755" s="37"/>
      <c r="F4755" s="37"/>
      <c r="G4755" s="37"/>
      <c r="H4755" s="37"/>
      <c r="I4755" s="35"/>
      <c r="J4755" s="37"/>
    </row>
    <row r="4756" spans="1:10" ht="15.95" customHeight="1" x14ac:dyDescent="0.2">
      <c r="A4756" s="39"/>
      <c r="B4756" s="36"/>
      <c r="C4756" s="37"/>
      <c r="D4756" s="37"/>
      <c r="E4756" s="37"/>
      <c r="F4756" s="37"/>
      <c r="G4756" s="37"/>
      <c r="H4756" s="37"/>
      <c r="I4756" s="35"/>
      <c r="J4756" s="37"/>
    </row>
    <row r="4757" spans="1:10" ht="15.95" customHeight="1" x14ac:dyDescent="0.2">
      <c r="A4757" s="39"/>
      <c r="B4757" s="36"/>
      <c r="C4757" s="37"/>
      <c r="D4757" s="37"/>
      <c r="E4757" s="37"/>
      <c r="F4757" s="37"/>
      <c r="G4757" s="37"/>
      <c r="H4757" s="37"/>
      <c r="I4757" s="35"/>
      <c r="J4757" s="37"/>
    </row>
    <row r="4758" spans="1:10" ht="15.95" customHeight="1" x14ac:dyDescent="0.2">
      <c r="A4758" s="39"/>
      <c r="B4758" s="36"/>
      <c r="C4758" s="37"/>
      <c r="D4758" s="37"/>
      <c r="E4758" s="37"/>
      <c r="F4758" s="37"/>
      <c r="G4758" s="37"/>
      <c r="H4758" s="37"/>
      <c r="I4758" s="35"/>
      <c r="J4758" s="37"/>
    </row>
    <row r="4759" spans="1:10" ht="15.95" customHeight="1" x14ac:dyDescent="0.2">
      <c r="A4759" s="39"/>
      <c r="B4759" s="36"/>
      <c r="C4759" s="37"/>
      <c r="D4759" s="37"/>
      <c r="E4759" s="37"/>
      <c r="F4759" s="37"/>
      <c r="G4759" s="37"/>
      <c r="H4759" s="37"/>
      <c r="I4759" s="35"/>
      <c r="J4759" s="37"/>
    </row>
    <row r="4760" spans="1:10" ht="15.95" customHeight="1" x14ac:dyDescent="0.2">
      <c r="A4760" s="39"/>
      <c r="B4760" s="36"/>
      <c r="C4760" s="37"/>
      <c r="D4760" s="37"/>
      <c r="E4760" s="37"/>
      <c r="F4760" s="37"/>
      <c r="G4760" s="37"/>
      <c r="H4760" s="37"/>
      <c r="I4760" s="35"/>
      <c r="J4760" s="37"/>
    </row>
    <row r="4761" spans="1:10" ht="15.95" customHeight="1" x14ac:dyDescent="0.2">
      <c r="A4761" s="39"/>
      <c r="B4761" s="36"/>
      <c r="C4761" s="37"/>
      <c r="D4761" s="37"/>
      <c r="E4761" s="37"/>
      <c r="F4761" s="37"/>
      <c r="G4761" s="37"/>
      <c r="H4761" s="37"/>
      <c r="I4761" s="35"/>
      <c r="J4761" s="37"/>
    </row>
    <row r="4762" spans="1:10" ht="15.95" customHeight="1" x14ac:dyDescent="0.2">
      <c r="A4762" s="39"/>
      <c r="B4762" s="36"/>
      <c r="C4762" s="37"/>
      <c r="D4762" s="37"/>
      <c r="E4762" s="37"/>
      <c r="F4762" s="37"/>
      <c r="G4762" s="37"/>
      <c r="H4762" s="37"/>
      <c r="I4762" s="35"/>
      <c r="J4762" s="37"/>
    </row>
    <row r="4763" spans="1:10" ht="15.95" customHeight="1" x14ac:dyDescent="0.2">
      <c r="A4763" s="39"/>
      <c r="B4763" s="36"/>
      <c r="C4763" s="37"/>
      <c r="D4763" s="37"/>
      <c r="E4763" s="37"/>
      <c r="F4763" s="37"/>
      <c r="G4763" s="37"/>
      <c r="H4763" s="37"/>
      <c r="I4763" s="35"/>
      <c r="J4763" s="37"/>
    </row>
    <row r="4764" spans="1:10" ht="15.95" customHeight="1" x14ac:dyDescent="0.2">
      <c r="A4764" s="39"/>
      <c r="B4764" s="36"/>
      <c r="C4764" s="37"/>
      <c r="D4764" s="37"/>
      <c r="E4764" s="37"/>
      <c r="F4764" s="37"/>
      <c r="G4764" s="37"/>
      <c r="H4764" s="37"/>
      <c r="I4764" s="35"/>
      <c r="J4764" s="37"/>
    </row>
    <row r="4765" spans="1:10" ht="15.95" customHeight="1" x14ac:dyDescent="0.2">
      <c r="A4765" s="39"/>
      <c r="B4765" s="36"/>
      <c r="C4765" s="37"/>
      <c r="D4765" s="37"/>
      <c r="E4765" s="37"/>
      <c r="F4765" s="37"/>
      <c r="G4765" s="37"/>
      <c r="H4765" s="37"/>
      <c r="I4765" s="35"/>
      <c r="J4765" s="37"/>
    </row>
    <row r="4766" spans="1:10" ht="15.95" customHeight="1" x14ac:dyDescent="0.2">
      <c r="A4766" s="39"/>
      <c r="B4766" s="36"/>
      <c r="C4766" s="37"/>
      <c r="D4766" s="37"/>
      <c r="E4766" s="37"/>
      <c r="F4766" s="37"/>
      <c r="G4766" s="37"/>
      <c r="H4766" s="37"/>
      <c r="I4766" s="35"/>
      <c r="J4766" s="37"/>
    </row>
    <row r="4767" spans="1:10" ht="15.95" customHeight="1" x14ac:dyDescent="0.2">
      <c r="A4767" s="39"/>
      <c r="B4767" s="36"/>
      <c r="C4767" s="37"/>
      <c r="D4767" s="37"/>
      <c r="E4767" s="37"/>
      <c r="F4767" s="37"/>
      <c r="G4767" s="37"/>
      <c r="H4767" s="37"/>
      <c r="I4767" s="35"/>
      <c r="J4767" s="37"/>
    </row>
    <row r="4768" spans="1:10" ht="15.95" customHeight="1" x14ac:dyDescent="0.2">
      <c r="A4768" s="39"/>
      <c r="B4768" s="36"/>
      <c r="C4768" s="37"/>
      <c r="D4768" s="37"/>
      <c r="E4768" s="37"/>
      <c r="F4768" s="37"/>
      <c r="G4768" s="37"/>
      <c r="H4768" s="37"/>
      <c r="I4768" s="35"/>
      <c r="J4768" s="37"/>
    </row>
    <row r="4769" spans="1:10" ht="15.95" customHeight="1" x14ac:dyDescent="0.2">
      <c r="A4769" s="39"/>
      <c r="B4769" s="36"/>
      <c r="C4769" s="37"/>
      <c r="D4769" s="37"/>
      <c r="E4769" s="37"/>
      <c r="F4769" s="37"/>
      <c r="G4769" s="37"/>
      <c r="H4769" s="37"/>
      <c r="I4769" s="35"/>
      <c r="J4769" s="37"/>
    </row>
    <row r="4770" spans="1:10" ht="15.95" customHeight="1" x14ac:dyDescent="0.2">
      <c r="A4770" s="39"/>
      <c r="B4770" s="36"/>
      <c r="C4770" s="37"/>
      <c r="D4770" s="37"/>
      <c r="E4770" s="37"/>
      <c r="F4770" s="37"/>
      <c r="G4770" s="37"/>
      <c r="H4770" s="37"/>
      <c r="I4770" s="35"/>
      <c r="J4770" s="37"/>
    </row>
    <row r="4771" spans="1:10" ht="15.95" customHeight="1" x14ac:dyDescent="0.2">
      <c r="A4771" s="39"/>
      <c r="B4771" s="36"/>
      <c r="C4771" s="37"/>
      <c r="D4771" s="37"/>
      <c r="E4771" s="37"/>
      <c r="F4771" s="37"/>
      <c r="G4771" s="37"/>
      <c r="H4771" s="37"/>
      <c r="I4771" s="35"/>
      <c r="J4771" s="37"/>
    </row>
    <row r="4772" spans="1:10" ht="15.95" customHeight="1" x14ac:dyDescent="0.2">
      <c r="A4772" s="39"/>
      <c r="B4772" s="36"/>
      <c r="C4772" s="37"/>
      <c r="D4772" s="37"/>
      <c r="E4772" s="37"/>
      <c r="F4772" s="37"/>
      <c r="G4772" s="37"/>
      <c r="H4772" s="37"/>
      <c r="I4772" s="35"/>
      <c r="J4772" s="37"/>
    </row>
    <row r="4773" spans="1:10" ht="15.95" customHeight="1" x14ac:dyDescent="0.2">
      <c r="A4773" s="39"/>
      <c r="B4773" s="36"/>
      <c r="C4773" s="37"/>
      <c r="D4773" s="37"/>
      <c r="E4773" s="37"/>
      <c r="F4773" s="37"/>
      <c r="G4773" s="37"/>
      <c r="H4773" s="37"/>
      <c r="I4773" s="35"/>
      <c r="J4773" s="37"/>
    </row>
    <row r="4774" spans="1:10" ht="15.95" customHeight="1" x14ac:dyDescent="0.2">
      <c r="A4774" s="39"/>
      <c r="B4774" s="36"/>
      <c r="C4774" s="37"/>
      <c r="D4774" s="37"/>
      <c r="E4774" s="37"/>
      <c r="F4774" s="37"/>
      <c r="G4774" s="37"/>
      <c r="H4774" s="37"/>
      <c r="I4774" s="35"/>
      <c r="J4774" s="37"/>
    </row>
    <row r="4775" spans="1:10" ht="15.95" customHeight="1" x14ac:dyDescent="0.2">
      <c r="A4775" s="39"/>
      <c r="B4775" s="36"/>
      <c r="C4775" s="37"/>
      <c r="D4775" s="37"/>
      <c r="E4775" s="37"/>
      <c r="F4775" s="37"/>
      <c r="G4775" s="37"/>
      <c r="H4775" s="37"/>
      <c r="I4775" s="35"/>
      <c r="J4775" s="37"/>
    </row>
    <row r="4776" spans="1:10" ht="15.95" customHeight="1" x14ac:dyDescent="0.2">
      <c r="A4776" s="39"/>
      <c r="B4776" s="36"/>
      <c r="C4776" s="37"/>
      <c r="D4776" s="37"/>
      <c r="E4776" s="37"/>
      <c r="F4776" s="37"/>
      <c r="G4776" s="37"/>
      <c r="H4776" s="37"/>
      <c r="I4776" s="35"/>
      <c r="J4776" s="37"/>
    </row>
    <row r="4777" spans="1:10" ht="15.95" customHeight="1" x14ac:dyDescent="0.2">
      <c r="A4777" s="39"/>
      <c r="B4777" s="36"/>
      <c r="C4777" s="37"/>
      <c r="D4777" s="37"/>
      <c r="E4777" s="37"/>
      <c r="F4777" s="37"/>
      <c r="G4777" s="37"/>
      <c r="H4777" s="37"/>
      <c r="I4777" s="35"/>
      <c r="J4777" s="37"/>
    </row>
    <row r="4778" spans="1:10" ht="15.95" customHeight="1" x14ac:dyDescent="0.2">
      <c r="A4778" s="39"/>
      <c r="B4778" s="36"/>
      <c r="C4778" s="37"/>
      <c r="D4778" s="37"/>
      <c r="E4778" s="37"/>
      <c r="F4778" s="37"/>
      <c r="G4778" s="37"/>
      <c r="H4778" s="37"/>
      <c r="I4778" s="35"/>
      <c r="J4778" s="37"/>
    </row>
    <row r="4779" spans="1:10" ht="15.95" customHeight="1" x14ac:dyDescent="0.2">
      <c r="A4779" s="39"/>
      <c r="B4779" s="36"/>
      <c r="C4779" s="37"/>
      <c r="D4779" s="37"/>
      <c r="E4779" s="37"/>
      <c r="F4779" s="37"/>
      <c r="G4779" s="37"/>
      <c r="H4779" s="37"/>
      <c r="I4779" s="35"/>
      <c r="J4779" s="37"/>
    </row>
    <row r="4780" spans="1:10" ht="15.95" customHeight="1" x14ac:dyDescent="0.2">
      <c r="A4780" s="39"/>
      <c r="B4780" s="36"/>
      <c r="C4780" s="37"/>
      <c r="D4780" s="37"/>
      <c r="E4780" s="37"/>
      <c r="F4780" s="37"/>
      <c r="G4780" s="37"/>
      <c r="H4780" s="37"/>
      <c r="I4780" s="35"/>
      <c r="J4780" s="37"/>
    </row>
    <row r="4781" spans="1:10" ht="15.95" customHeight="1" x14ac:dyDescent="0.2">
      <c r="A4781" s="39"/>
      <c r="B4781" s="36"/>
      <c r="C4781" s="37"/>
      <c r="D4781" s="37"/>
      <c r="E4781" s="37"/>
      <c r="F4781" s="37"/>
      <c r="G4781" s="37"/>
      <c r="H4781" s="37"/>
      <c r="I4781" s="35"/>
      <c r="J4781" s="37"/>
    </row>
    <row r="4782" spans="1:10" ht="15.95" customHeight="1" x14ac:dyDescent="0.2">
      <c r="A4782" s="39"/>
      <c r="B4782" s="36"/>
      <c r="C4782" s="37"/>
      <c r="D4782" s="37"/>
      <c r="E4782" s="37"/>
      <c r="F4782" s="37"/>
      <c r="G4782" s="37"/>
      <c r="H4782" s="37"/>
      <c r="I4782" s="35"/>
      <c r="J4782" s="37"/>
    </row>
    <row r="4783" spans="1:10" ht="15.95" customHeight="1" x14ac:dyDescent="0.2">
      <c r="A4783" s="39"/>
      <c r="B4783" s="36"/>
      <c r="C4783" s="37"/>
      <c r="D4783" s="37"/>
      <c r="E4783" s="37"/>
      <c r="F4783" s="37"/>
      <c r="G4783" s="37"/>
      <c r="H4783" s="37"/>
      <c r="I4783" s="35"/>
      <c r="J4783" s="37"/>
    </row>
    <row r="4784" spans="1:10" ht="15.95" customHeight="1" x14ac:dyDescent="0.2">
      <c r="A4784" s="39"/>
      <c r="B4784" s="36"/>
      <c r="C4784" s="37"/>
      <c r="D4784" s="37"/>
      <c r="E4784" s="37"/>
      <c r="F4784" s="37"/>
      <c r="G4784" s="37"/>
      <c r="H4784" s="37"/>
      <c r="I4784" s="35"/>
      <c r="J4784" s="37"/>
    </row>
    <row r="4785" spans="1:10" ht="15.95" customHeight="1" x14ac:dyDescent="0.2">
      <c r="A4785" s="39"/>
      <c r="B4785" s="36"/>
      <c r="C4785" s="37"/>
      <c r="D4785" s="37"/>
      <c r="E4785" s="37"/>
      <c r="F4785" s="37"/>
      <c r="G4785" s="37"/>
      <c r="H4785" s="37"/>
      <c r="I4785" s="35"/>
      <c r="J4785" s="37"/>
    </row>
    <row r="4786" spans="1:10" ht="15.95" customHeight="1" x14ac:dyDescent="0.2">
      <c r="A4786" s="39"/>
      <c r="B4786" s="36"/>
      <c r="C4786" s="37"/>
      <c r="D4786" s="37"/>
      <c r="E4786" s="37"/>
      <c r="F4786" s="37"/>
      <c r="G4786" s="37"/>
      <c r="H4786" s="37"/>
      <c r="I4786" s="35"/>
      <c r="J4786" s="37"/>
    </row>
    <row r="4787" spans="1:10" ht="15.95" customHeight="1" x14ac:dyDescent="0.2">
      <c r="A4787" s="39"/>
      <c r="B4787" s="36"/>
      <c r="C4787" s="37"/>
      <c r="D4787" s="37"/>
      <c r="E4787" s="37"/>
      <c r="F4787" s="37"/>
      <c r="G4787" s="37"/>
      <c r="H4787" s="37"/>
      <c r="I4787" s="35"/>
      <c r="J4787" s="37"/>
    </row>
    <row r="4788" spans="1:10" ht="15.95" customHeight="1" x14ac:dyDescent="0.2">
      <c r="A4788" s="39"/>
      <c r="B4788" s="36"/>
      <c r="C4788" s="37"/>
      <c r="D4788" s="37"/>
      <c r="E4788" s="37"/>
      <c r="F4788" s="37"/>
      <c r="G4788" s="37"/>
      <c r="H4788" s="37"/>
      <c r="I4788" s="35"/>
      <c r="J4788" s="37"/>
    </row>
    <row r="4789" spans="1:10" ht="15.95" customHeight="1" x14ac:dyDescent="0.2">
      <c r="A4789" s="39"/>
      <c r="B4789" s="36"/>
      <c r="C4789" s="37"/>
      <c r="D4789" s="37"/>
      <c r="E4789" s="37"/>
      <c r="F4789" s="37"/>
      <c r="G4789" s="37"/>
      <c r="H4789" s="37"/>
      <c r="I4789" s="35"/>
      <c r="J4789" s="37"/>
    </row>
    <row r="4790" spans="1:10" ht="15.95" customHeight="1" x14ac:dyDescent="0.2">
      <c r="A4790" s="39"/>
      <c r="B4790" s="36"/>
      <c r="C4790" s="37"/>
      <c r="D4790" s="37"/>
      <c r="E4790" s="37"/>
      <c r="F4790" s="37"/>
      <c r="G4790" s="37"/>
      <c r="H4790" s="37"/>
      <c r="I4790" s="35"/>
      <c r="J4790" s="37"/>
    </row>
    <row r="4791" spans="1:10" ht="15.95" customHeight="1" x14ac:dyDescent="0.2">
      <c r="A4791" s="39"/>
      <c r="B4791" s="36"/>
      <c r="C4791" s="37"/>
      <c r="D4791" s="37"/>
      <c r="E4791" s="37"/>
      <c r="F4791" s="37"/>
      <c r="G4791" s="37"/>
      <c r="H4791" s="37"/>
      <c r="I4791" s="35"/>
      <c r="J4791" s="37"/>
    </row>
    <row r="4792" spans="1:10" ht="15.95" customHeight="1" x14ac:dyDescent="0.2">
      <c r="A4792" s="39"/>
      <c r="B4792" s="36"/>
      <c r="C4792" s="37"/>
      <c r="D4792" s="37"/>
      <c r="E4792" s="37"/>
      <c r="F4792" s="37"/>
      <c r="G4792" s="37"/>
      <c r="H4792" s="37"/>
      <c r="I4792" s="35"/>
      <c r="J4792" s="37"/>
    </row>
    <row r="4793" spans="1:10" ht="15.95" customHeight="1" x14ac:dyDescent="0.2">
      <c r="A4793" s="39"/>
      <c r="B4793" s="36"/>
      <c r="C4793" s="37"/>
      <c r="D4793" s="37"/>
      <c r="E4793" s="37"/>
      <c r="F4793" s="37"/>
      <c r="G4793" s="37"/>
      <c r="H4793" s="37"/>
      <c r="I4793" s="35"/>
      <c r="J4793" s="37"/>
    </row>
    <row r="4794" spans="1:10" ht="15.95" customHeight="1" x14ac:dyDescent="0.2">
      <c r="A4794" s="39"/>
      <c r="B4794" s="36"/>
      <c r="C4794" s="37"/>
      <c r="D4794" s="37"/>
      <c r="E4794" s="37"/>
      <c r="F4794" s="37"/>
      <c r="G4794" s="37"/>
      <c r="H4794" s="37"/>
      <c r="I4794" s="35"/>
      <c r="J4794" s="37"/>
    </row>
    <row r="4795" spans="1:10" ht="15.95" customHeight="1" x14ac:dyDescent="0.2">
      <c r="A4795" s="39"/>
      <c r="B4795" s="36"/>
      <c r="C4795" s="37"/>
      <c r="D4795" s="37"/>
      <c r="E4795" s="37"/>
      <c r="F4795" s="37"/>
      <c r="G4795" s="37"/>
      <c r="H4795" s="37"/>
      <c r="I4795" s="35"/>
      <c r="J4795" s="37"/>
    </row>
    <row r="4796" spans="1:10" ht="15.95" customHeight="1" x14ac:dyDescent="0.2">
      <c r="A4796" s="39"/>
      <c r="B4796" s="36"/>
      <c r="C4796" s="37"/>
      <c r="D4796" s="37"/>
      <c r="E4796" s="37"/>
      <c r="F4796" s="37"/>
      <c r="G4796" s="37"/>
      <c r="H4796" s="37"/>
      <c r="I4796" s="35"/>
      <c r="J4796" s="37"/>
    </row>
    <row r="4797" spans="1:10" ht="15.95" customHeight="1" x14ac:dyDescent="0.2">
      <c r="A4797" s="39"/>
      <c r="B4797" s="36"/>
      <c r="C4797" s="37"/>
      <c r="D4797" s="37"/>
      <c r="E4797" s="37"/>
      <c r="F4797" s="37"/>
      <c r="G4797" s="37"/>
      <c r="H4797" s="37"/>
      <c r="I4797" s="35"/>
      <c r="J4797" s="37"/>
    </row>
    <row r="4798" spans="1:10" ht="15.95" customHeight="1" x14ac:dyDescent="0.2">
      <c r="A4798" s="39"/>
      <c r="B4798" s="36"/>
      <c r="C4798" s="37"/>
      <c r="D4798" s="37"/>
      <c r="E4798" s="37"/>
      <c r="F4798" s="37"/>
      <c r="G4798" s="37"/>
      <c r="H4798" s="37"/>
      <c r="I4798" s="35"/>
      <c r="J4798" s="37"/>
    </row>
    <row r="4799" spans="1:10" ht="15.95" customHeight="1" x14ac:dyDescent="0.2">
      <c r="A4799" s="39"/>
      <c r="B4799" s="36"/>
      <c r="C4799" s="37"/>
      <c r="D4799" s="37"/>
      <c r="E4799" s="37"/>
      <c r="F4799" s="37"/>
      <c r="G4799" s="37"/>
      <c r="H4799" s="37"/>
      <c r="I4799" s="35"/>
      <c r="J4799" s="37"/>
    </row>
    <row r="4800" spans="1:10" ht="15.95" customHeight="1" x14ac:dyDescent="0.2">
      <c r="A4800" s="39"/>
      <c r="B4800" s="36"/>
      <c r="C4800" s="37"/>
      <c r="D4800" s="37"/>
      <c r="E4800" s="37"/>
      <c r="F4800" s="37"/>
      <c r="G4800" s="37"/>
      <c r="H4800" s="37"/>
      <c r="I4800" s="35"/>
      <c r="J4800" s="37"/>
    </row>
    <row r="4801" spans="1:10" ht="15.95" customHeight="1" x14ac:dyDescent="0.2">
      <c r="A4801" s="39"/>
      <c r="B4801" s="36"/>
      <c r="C4801" s="37"/>
      <c r="D4801" s="37"/>
      <c r="E4801" s="37"/>
      <c r="F4801" s="37"/>
      <c r="G4801" s="37"/>
      <c r="H4801" s="37"/>
      <c r="I4801" s="35"/>
      <c r="J4801" s="37"/>
    </row>
    <row r="4802" spans="1:10" ht="15.95" customHeight="1" x14ac:dyDescent="0.2">
      <c r="A4802" s="39"/>
      <c r="B4802" s="36"/>
      <c r="C4802" s="37"/>
      <c r="D4802" s="37"/>
      <c r="E4802" s="37"/>
      <c r="F4802" s="37"/>
      <c r="G4802" s="37"/>
      <c r="H4802" s="37"/>
      <c r="I4802" s="35"/>
      <c r="J4802" s="37"/>
    </row>
    <row r="4803" spans="1:10" ht="15.95" customHeight="1" x14ac:dyDescent="0.2">
      <c r="A4803" s="39"/>
      <c r="B4803" s="36"/>
      <c r="C4803" s="37"/>
      <c r="D4803" s="37"/>
      <c r="E4803" s="37"/>
      <c r="F4803" s="37"/>
      <c r="G4803" s="37"/>
      <c r="H4803" s="37"/>
      <c r="I4803" s="35"/>
      <c r="J4803" s="37"/>
    </row>
    <row r="4804" spans="1:10" ht="15.95" customHeight="1" x14ac:dyDescent="0.2">
      <c r="A4804" s="39"/>
      <c r="B4804" s="36"/>
      <c r="C4804" s="37"/>
      <c r="D4804" s="37"/>
      <c r="E4804" s="37"/>
      <c r="F4804" s="37"/>
      <c r="G4804" s="37"/>
      <c r="H4804" s="37"/>
      <c r="I4804" s="35"/>
      <c r="J4804" s="37"/>
    </row>
    <row r="4805" spans="1:10" ht="15.95" customHeight="1" x14ac:dyDescent="0.2">
      <c r="A4805" s="39"/>
      <c r="B4805" s="36"/>
      <c r="C4805" s="37"/>
      <c r="D4805" s="37"/>
      <c r="E4805" s="37"/>
      <c r="F4805" s="37"/>
      <c r="G4805" s="37"/>
      <c r="H4805" s="37"/>
      <c r="I4805" s="35"/>
      <c r="J4805" s="37"/>
    </row>
    <row r="4806" spans="1:10" ht="15.95" customHeight="1" x14ac:dyDescent="0.2">
      <c r="A4806" s="39"/>
      <c r="B4806" s="36"/>
      <c r="C4806" s="37"/>
      <c r="D4806" s="37"/>
      <c r="E4806" s="37"/>
      <c r="F4806" s="37"/>
      <c r="G4806" s="37"/>
      <c r="H4806" s="37"/>
      <c r="I4806" s="35"/>
      <c r="J4806" s="37"/>
    </row>
    <row r="4807" spans="1:10" ht="15.95" customHeight="1" x14ac:dyDescent="0.2">
      <c r="A4807" s="39"/>
      <c r="B4807" s="36"/>
      <c r="C4807" s="37"/>
      <c r="D4807" s="37"/>
      <c r="E4807" s="37"/>
      <c r="F4807" s="37"/>
      <c r="G4807" s="37"/>
      <c r="H4807" s="37"/>
      <c r="I4807" s="35"/>
      <c r="J4807" s="37"/>
    </row>
    <row r="4808" spans="1:10" ht="15.95" customHeight="1" x14ac:dyDescent="0.2">
      <c r="A4808" s="39"/>
      <c r="B4808" s="36"/>
      <c r="C4808" s="37"/>
      <c r="D4808" s="37"/>
      <c r="E4808" s="37"/>
      <c r="F4808" s="37"/>
      <c r="G4808" s="37"/>
      <c r="H4808" s="37"/>
      <c r="I4808" s="35"/>
      <c r="J4808" s="37"/>
    </row>
    <row r="4809" spans="1:10" ht="15.95" customHeight="1" x14ac:dyDescent="0.2">
      <c r="A4809" s="39"/>
      <c r="B4809" s="36"/>
      <c r="C4809" s="37"/>
      <c r="D4809" s="37"/>
      <c r="E4809" s="37"/>
      <c r="F4809" s="37"/>
      <c r="G4809" s="37"/>
      <c r="H4809" s="37"/>
      <c r="I4809" s="35"/>
      <c r="J4809" s="37"/>
    </row>
    <row r="4810" spans="1:10" ht="15.95" customHeight="1" x14ac:dyDescent="0.2">
      <c r="A4810" s="39"/>
      <c r="B4810" s="36"/>
      <c r="C4810" s="37"/>
      <c r="D4810" s="37"/>
      <c r="E4810" s="37"/>
      <c r="F4810" s="37"/>
      <c r="G4810" s="37"/>
      <c r="H4810" s="37"/>
      <c r="I4810" s="35"/>
      <c r="J4810" s="37"/>
    </row>
    <row r="4811" spans="1:10" ht="15.95" customHeight="1" x14ac:dyDescent="0.2">
      <c r="A4811" s="39"/>
      <c r="B4811" s="36"/>
      <c r="C4811" s="37"/>
      <c r="D4811" s="37"/>
      <c r="E4811" s="37"/>
      <c r="F4811" s="37"/>
      <c r="G4811" s="37"/>
      <c r="H4811" s="37"/>
      <c r="I4811" s="35"/>
      <c r="J4811" s="37"/>
    </row>
    <row r="4812" spans="1:10" ht="15.95" customHeight="1" x14ac:dyDescent="0.2">
      <c r="A4812" s="39"/>
      <c r="B4812" s="36"/>
      <c r="C4812" s="37"/>
      <c r="D4812" s="37"/>
      <c r="E4812" s="37"/>
      <c r="F4812" s="37"/>
      <c r="G4812" s="37"/>
      <c r="H4812" s="37"/>
      <c r="I4812" s="35"/>
      <c r="J4812" s="37"/>
    </row>
    <row r="4813" spans="1:10" ht="15.95" customHeight="1" x14ac:dyDescent="0.2">
      <c r="A4813" s="39"/>
      <c r="B4813" s="36"/>
      <c r="C4813" s="37"/>
      <c r="D4813" s="37"/>
      <c r="E4813" s="37"/>
      <c r="F4813" s="37"/>
      <c r="G4813" s="37"/>
      <c r="H4813" s="37"/>
      <c r="I4813" s="35"/>
      <c r="J4813" s="37"/>
    </row>
    <row r="4814" spans="1:10" ht="15.95" customHeight="1" x14ac:dyDescent="0.2">
      <c r="A4814" s="39"/>
      <c r="B4814" s="36"/>
      <c r="C4814" s="37"/>
      <c r="D4814" s="37"/>
      <c r="E4814" s="37"/>
      <c r="F4814" s="37"/>
      <c r="G4814" s="37"/>
      <c r="H4814" s="37"/>
      <c r="I4814" s="35"/>
      <c r="J4814" s="37"/>
    </row>
    <row r="4815" spans="1:10" ht="15.95" customHeight="1" x14ac:dyDescent="0.2">
      <c r="A4815" s="39"/>
      <c r="B4815" s="36"/>
      <c r="C4815" s="37"/>
      <c r="D4815" s="37"/>
      <c r="E4815" s="37"/>
      <c r="F4815" s="37"/>
      <c r="G4815" s="37"/>
      <c r="H4815" s="37"/>
      <c r="I4815" s="35"/>
      <c r="J4815" s="37"/>
    </row>
    <row r="4816" spans="1:10" ht="15.95" customHeight="1" x14ac:dyDescent="0.2">
      <c r="A4816" s="39"/>
      <c r="B4816" s="36"/>
      <c r="C4816" s="37"/>
      <c r="D4816" s="37"/>
      <c r="E4816" s="37"/>
      <c r="F4816" s="37"/>
      <c r="G4816" s="37"/>
      <c r="H4816" s="37"/>
      <c r="I4816" s="35"/>
      <c r="J4816" s="37"/>
    </row>
    <row r="4817" spans="1:10" ht="15.95" customHeight="1" x14ac:dyDescent="0.2">
      <c r="A4817" s="39"/>
      <c r="B4817" s="36"/>
      <c r="C4817" s="37"/>
      <c r="D4817" s="37"/>
      <c r="E4817" s="37"/>
      <c r="F4817" s="37"/>
      <c r="G4817" s="37"/>
      <c r="H4817" s="37"/>
      <c r="I4817" s="35"/>
      <c r="J4817" s="37"/>
    </row>
    <row r="4818" spans="1:10" ht="15.95" customHeight="1" x14ac:dyDescent="0.2">
      <c r="A4818" s="39"/>
      <c r="B4818" s="36"/>
      <c r="C4818" s="37"/>
      <c r="D4818" s="37"/>
      <c r="E4818" s="37"/>
      <c r="F4818" s="37"/>
      <c r="G4818" s="37"/>
      <c r="H4818" s="37"/>
      <c r="I4818" s="35"/>
      <c r="J4818" s="37"/>
    </row>
    <row r="4819" spans="1:10" ht="15.95" customHeight="1" x14ac:dyDescent="0.2">
      <c r="A4819" s="39"/>
      <c r="B4819" s="36"/>
      <c r="C4819" s="37"/>
      <c r="D4819" s="37"/>
      <c r="E4819" s="37"/>
      <c r="F4819" s="37"/>
      <c r="G4819" s="37"/>
      <c r="H4819" s="37"/>
      <c r="I4819" s="35"/>
      <c r="J4819" s="37"/>
    </row>
    <row r="4820" spans="1:10" ht="15.95" customHeight="1" x14ac:dyDescent="0.2">
      <c r="A4820" s="39"/>
      <c r="B4820" s="36"/>
      <c r="C4820" s="37"/>
      <c r="D4820" s="37"/>
      <c r="E4820" s="37"/>
      <c r="F4820" s="37"/>
      <c r="G4820" s="37"/>
      <c r="H4820" s="37"/>
      <c r="I4820" s="35"/>
      <c r="J4820" s="37"/>
    </row>
    <row r="4821" spans="1:10" ht="15.95" customHeight="1" x14ac:dyDescent="0.2">
      <c r="A4821" s="39"/>
      <c r="B4821" s="36"/>
      <c r="C4821" s="37"/>
      <c r="D4821" s="37"/>
      <c r="E4821" s="37"/>
      <c r="F4821" s="37"/>
      <c r="G4821" s="37"/>
      <c r="H4821" s="37"/>
      <c r="I4821" s="35"/>
      <c r="J4821" s="37"/>
    </row>
    <row r="4822" spans="1:10" ht="15.95" customHeight="1" x14ac:dyDescent="0.2">
      <c r="A4822" s="39"/>
      <c r="B4822" s="36"/>
      <c r="C4822" s="37"/>
      <c r="D4822" s="37"/>
      <c r="E4822" s="37"/>
      <c r="F4822" s="37"/>
      <c r="G4822" s="37"/>
      <c r="H4822" s="37"/>
      <c r="I4822" s="35"/>
      <c r="J4822" s="37"/>
    </row>
    <row r="4823" spans="1:10" ht="15.95" customHeight="1" x14ac:dyDescent="0.2">
      <c r="A4823" s="39"/>
      <c r="B4823" s="36"/>
      <c r="C4823" s="37"/>
      <c r="D4823" s="37"/>
      <c r="E4823" s="37"/>
      <c r="F4823" s="37"/>
      <c r="G4823" s="37"/>
      <c r="H4823" s="37"/>
      <c r="I4823" s="35"/>
      <c r="J4823" s="37"/>
    </row>
    <row r="4824" spans="1:10" ht="15.95" customHeight="1" x14ac:dyDescent="0.2">
      <c r="A4824" s="39"/>
      <c r="B4824" s="36"/>
      <c r="C4824" s="37"/>
      <c r="D4824" s="37"/>
      <c r="E4824" s="37"/>
      <c r="F4824" s="37"/>
      <c r="G4824" s="37"/>
      <c r="H4824" s="37"/>
      <c r="I4824" s="35"/>
      <c r="J4824" s="37"/>
    </row>
    <row r="4825" spans="1:10" ht="15.95" customHeight="1" x14ac:dyDescent="0.2">
      <c r="A4825" s="39"/>
      <c r="B4825" s="36"/>
      <c r="C4825" s="37"/>
      <c r="D4825" s="37"/>
      <c r="E4825" s="37"/>
      <c r="F4825" s="37"/>
      <c r="G4825" s="37"/>
      <c r="H4825" s="37"/>
      <c r="I4825" s="35"/>
      <c r="J4825" s="37"/>
    </row>
    <row r="4826" spans="1:10" ht="15.95" customHeight="1" x14ac:dyDescent="0.2">
      <c r="A4826" s="39"/>
      <c r="B4826" s="36"/>
      <c r="C4826" s="37"/>
      <c r="D4826" s="37"/>
      <c r="E4826" s="37"/>
      <c r="F4826" s="37"/>
      <c r="G4826" s="37"/>
      <c r="H4826" s="37"/>
      <c r="I4826" s="35"/>
      <c r="J4826" s="37"/>
    </row>
    <row r="4827" spans="1:10" ht="15.95" customHeight="1" x14ac:dyDescent="0.2">
      <c r="A4827" s="39"/>
      <c r="B4827" s="36"/>
      <c r="C4827" s="37"/>
      <c r="D4827" s="37"/>
      <c r="E4827" s="37"/>
      <c r="F4827" s="37"/>
      <c r="G4827" s="37"/>
      <c r="H4827" s="37"/>
      <c r="I4827" s="35"/>
      <c r="J4827" s="37"/>
    </row>
    <row r="4828" spans="1:10" ht="15.95" customHeight="1" x14ac:dyDescent="0.2">
      <c r="A4828" s="39"/>
      <c r="B4828" s="36"/>
      <c r="C4828" s="37"/>
      <c r="D4828" s="37"/>
      <c r="E4828" s="37"/>
      <c r="F4828" s="37"/>
      <c r="G4828" s="37"/>
      <c r="H4828" s="37"/>
      <c r="I4828" s="35"/>
      <c r="J4828" s="37"/>
    </row>
    <row r="4829" spans="1:10" ht="15.95" customHeight="1" x14ac:dyDescent="0.2">
      <c r="A4829" s="39"/>
      <c r="B4829" s="36"/>
      <c r="C4829" s="37"/>
      <c r="D4829" s="37"/>
      <c r="E4829" s="37"/>
      <c r="F4829" s="37"/>
      <c r="G4829" s="37"/>
      <c r="H4829" s="37"/>
      <c r="I4829" s="35"/>
      <c r="J4829" s="37"/>
    </row>
    <row r="4830" spans="1:10" ht="15.95" customHeight="1" x14ac:dyDescent="0.2">
      <c r="A4830" s="39"/>
      <c r="B4830" s="36"/>
      <c r="C4830" s="37"/>
      <c r="D4830" s="37"/>
      <c r="E4830" s="37"/>
      <c r="F4830" s="37"/>
      <c r="G4830" s="37"/>
      <c r="H4830" s="37"/>
      <c r="I4830" s="35"/>
      <c r="J4830" s="37"/>
    </row>
    <row r="4831" spans="1:10" ht="15.95" customHeight="1" x14ac:dyDescent="0.2">
      <c r="A4831" s="39"/>
      <c r="B4831" s="36"/>
      <c r="C4831" s="37"/>
      <c r="D4831" s="37"/>
      <c r="E4831" s="37"/>
      <c r="F4831" s="37"/>
      <c r="G4831" s="37"/>
      <c r="H4831" s="37"/>
      <c r="I4831" s="35"/>
      <c r="J4831" s="37"/>
    </row>
    <row r="4832" spans="1:10" ht="15.95" customHeight="1" x14ac:dyDescent="0.2">
      <c r="A4832" s="39"/>
      <c r="B4832" s="36"/>
      <c r="C4832" s="37"/>
      <c r="D4832" s="37"/>
      <c r="E4832" s="37"/>
      <c r="F4832" s="37"/>
      <c r="G4832" s="37"/>
      <c r="H4832" s="37"/>
      <c r="I4832" s="35"/>
      <c r="J4832" s="37"/>
    </row>
    <row r="4833" spans="1:10" ht="15.95" customHeight="1" x14ac:dyDescent="0.2">
      <c r="A4833" s="39"/>
      <c r="B4833" s="36"/>
      <c r="C4833" s="37"/>
      <c r="D4833" s="37"/>
      <c r="E4833" s="37"/>
      <c r="F4833" s="37"/>
      <c r="G4833" s="37"/>
      <c r="H4833" s="37"/>
      <c r="I4833" s="35"/>
      <c r="J4833" s="37"/>
    </row>
    <row r="4834" spans="1:10" ht="15.95" customHeight="1" x14ac:dyDescent="0.2">
      <c r="A4834" s="39"/>
      <c r="B4834" s="36"/>
      <c r="C4834" s="37"/>
      <c r="D4834" s="37"/>
      <c r="E4834" s="37"/>
      <c r="F4834" s="37"/>
      <c r="G4834" s="37"/>
      <c r="H4834" s="37"/>
      <c r="I4834" s="35"/>
      <c r="J4834" s="37"/>
    </row>
    <row r="4835" spans="1:10" ht="15.95" customHeight="1" x14ac:dyDescent="0.2">
      <c r="A4835" s="39"/>
      <c r="B4835" s="36"/>
      <c r="C4835" s="37"/>
      <c r="D4835" s="37"/>
      <c r="E4835" s="37"/>
      <c r="F4835" s="37"/>
      <c r="G4835" s="37"/>
      <c r="H4835" s="37"/>
      <c r="I4835" s="35"/>
      <c r="J4835" s="37"/>
    </row>
    <row r="4836" spans="1:10" ht="15.95" customHeight="1" x14ac:dyDescent="0.2">
      <c r="A4836" s="39"/>
      <c r="B4836" s="36"/>
      <c r="C4836" s="37"/>
      <c r="D4836" s="37"/>
      <c r="E4836" s="37"/>
      <c r="F4836" s="37"/>
      <c r="G4836" s="37"/>
      <c r="H4836" s="37"/>
      <c r="I4836" s="35"/>
      <c r="J4836" s="37"/>
    </row>
    <row r="4837" spans="1:10" ht="15.95" customHeight="1" x14ac:dyDescent="0.2">
      <c r="A4837" s="39"/>
      <c r="B4837" s="36"/>
      <c r="C4837" s="37"/>
      <c r="D4837" s="37"/>
      <c r="E4837" s="37"/>
      <c r="F4837" s="37"/>
      <c r="G4837" s="37"/>
      <c r="H4837" s="37"/>
      <c r="I4837" s="35"/>
      <c r="J4837" s="37"/>
    </row>
    <row r="4838" spans="1:10" ht="15.95" customHeight="1" x14ac:dyDescent="0.2">
      <c r="A4838" s="39"/>
      <c r="B4838" s="36"/>
      <c r="C4838" s="37"/>
      <c r="D4838" s="37"/>
      <c r="E4838" s="37"/>
      <c r="F4838" s="37"/>
      <c r="G4838" s="37"/>
      <c r="H4838" s="37"/>
      <c r="I4838" s="35"/>
      <c r="J4838" s="37"/>
    </row>
    <row r="4839" spans="1:10" ht="15.95" customHeight="1" x14ac:dyDescent="0.2">
      <c r="A4839" s="39"/>
      <c r="B4839" s="36"/>
      <c r="C4839" s="37"/>
      <c r="D4839" s="37"/>
      <c r="E4839" s="37"/>
      <c r="F4839" s="37"/>
      <c r="G4839" s="37"/>
      <c r="H4839" s="37"/>
      <c r="I4839" s="35"/>
      <c r="J4839" s="37"/>
    </row>
    <row r="4840" spans="1:10" ht="15.95" customHeight="1" x14ac:dyDescent="0.2">
      <c r="A4840" s="39"/>
      <c r="B4840" s="36"/>
      <c r="C4840" s="37"/>
      <c r="D4840" s="37"/>
      <c r="E4840" s="37"/>
      <c r="F4840" s="37"/>
      <c r="G4840" s="37"/>
      <c r="H4840" s="37"/>
      <c r="I4840" s="35"/>
      <c r="J4840" s="37"/>
    </row>
    <row r="4841" spans="1:10" ht="15.95" customHeight="1" x14ac:dyDescent="0.2">
      <c r="A4841" s="39"/>
      <c r="B4841" s="36"/>
      <c r="C4841" s="37"/>
      <c r="D4841" s="37"/>
      <c r="E4841" s="37"/>
      <c r="F4841" s="37"/>
      <c r="G4841" s="37"/>
      <c r="H4841" s="37"/>
      <c r="I4841" s="35"/>
      <c r="J4841" s="37"/>
    </row>
    <row r="4842" spans="1:10" ht="15.95" customHeight="1" x14ac:dyDescent="0.2">
      <c r="A4842" s="39"/>
      <c r="B4842" s="36"/>
      <c r="C4842" s="37"/>
      <c r="D4842" s="37"/>
      <c r="E4842" s="37"/>
      <c r="F4842" s="37"/>
      <c r="G4842" s="37"/>
      <c r="H4842" s="37"/>
      <c r="I4842" s="35"/>
      <c r="J4842" s="37"/>
    </row>
    <row r="4843" spans="1:10" ht="15.95" customHeight="1" x14ac:dyDescent="0.2">
      <c r="A4843" s="39"/>
      <c r="B4843" s="36"/>
      <c r="C4843" s="37"/>
      <c r="D4843" s="37"/>
      <c r="E4843" s="37"/>
      <c r="F4843" s="37"/>
      <c r="G4843" s="37"/>
      <c r="H4843" s="37"/>
      <c r="I4843" s="35"/>
      <c r="J4843" s="37"/>
    </row>
    <row r="4844" spans="1:10" ht="15.95" customHeight="1" x14ac:dyDescent="0.2">
      <c r="A4844" s="39"/>
      <c r="B4844" s="36"/>
      <c r="C4844" s="37"/>
      <c r="D4844" s="37"/>
      <c r="E4844" s="37"/>
      <c r="F4844" s="37"/>
      <c r="G4844" s="37"/>
      <c r="H4844" s="37"/>
      <c r="I4844" s="35"/>
      <c r="J4844" s="37"/>
    </row>
    <row r="4845" spans="1:10" ht="15.95" customHeight="1" x14ac:dyDescent="0.2">
      <c r="A4845" s="39"/>
      <c r="B4845" s="36"/>
      <c r="C4845" s="37"/>
      <c r="D4845" s="37"/>
      <c r="E4845" s="37"/>
      <c r="F4845" s="37"/>
      <c r="G4845" s="37"/>
      <c r="H4845" s="37"/>
      <c r="I4845" s="35"/>
      <c r="J4845" s="37"/>
    </row>
    <row r="4846" spans="1:10" ht="15.95" customHeight="1" x14ac:dyDescent="0.2">
      <c r="A4846" s="39"/>
      <c r="B4846" s="36"/>
      <c r="C4846" s="37"/>
      <c r="D4846" s="37"/>
      <c r="E4846" s="37"/>
      <c r="F4846" s="37"/>
      <c r="G4846" s="37"/>
      <c r="H4846" s="37"/>
      <c r="I4846" s="35"/>
      <c r="J4846" s="37"/>
    </row>
    <row r="4847" spans="1:10" ht="15.95" customHeight="1" x14ac:dyDescent="0.2">
      <c r="A4847" s="39"/>
      <c r="B4847" s="36"/>
      <c r="C4847" s="37"/>
      <c r="D4847" s="37"/>
      <c r="E4847" s="37"/>
      <c r="F4847" s="37"/>
      <c r="G4847" s="37"/>
      <c r="H4847" s="37"/>
      <c r="I4847" s="35"/>
      <c r="J4847" s="37"/>
    </row>
    <row r="4848" spans="1:10" ht="15.95" customHeight="1" x14ac:dyDescent="0.2">
      <c r="A4848" s="39"/>
      <c r="B4848" s="36"/>
      <c r="C4848" s="37"/>
      <c r="D4848" s="37"/>
      <c r="E4848" s="37"/>
      <c r="F4848" s="37"/>
      <c r="G4848" s="37"/>
      <c r="H4848" s="37"/>
      <c r="I4848" s="35"/>
      <c r="J4848" s="37"/>
    </row>
    <row r="4849" spans="1:10" ht="15.95" customHeight="1" x14ac:dyDescent="0.2">
      <c r="A4849" s="39"/>
      <c r="B4849" s="36"/>
      <c r="C4849" s="37"/>
      <c r="D4849" s="37"/>
      <c r="E4849" s="37"/>
      <c r="F4849" s="37"/>
      <c r="G4849" s="37"/>
      <c r="H4849" s="37"/>
      <c r="I4849" s="35"/>
      <c r="J4849" s="37"/>
    </row>
    <row r="4850" spans="1:10" ht="15.95" customHeight="1" x14ac:dyDescent="0.2">
      <c r="A4850" s="39"/>
      <c r="B4850" s="36"/>
      <c r="C4850" s="37"/>
      <c r="D4850" s="37"/>
      <c r="E4850" s="37"/>
      <c r="F4850" s="37"/>
      <c r="G4850" s="37"/>
      <c r="H4850" s="37"/>
      <c r="I4850" s="35"/>
      <c r="J4850" s="37"/>
    </row>
    <row r="4851" spans="1:10" ht="15.95" customHeight="1" x14ac:dyDescent="0.2">
      <c r="A4851" s="39"/>
      <c r="B4851" s="36"/>
      <c r="C4851" s="37"/>
      <c r="D4851" s="37"/>
      <c r="E4851" s="37"/>
      <c r="F4851" s="37"/>
      <c r="G4851" s="37"/>
      <c r="H4851" s="37"/>
      <c r="I4851" s="35"/>
      <c r="J4851" s="37"/>
    </row>
    <row r="4852" spans="1:10" ht="15.95" customHeight="1" x14ac:dyDescent="0.2">
      <c r="A4852" s="39"/>
      <c r="B4852" s="36"/>
      <c r="C4852" s="37"/>
      <c r="D4852" s="37"/>
      <c r="E4852" s="37"/>
      <c r="F4852" s="37"/>
      <c r="G4852" s="37"/>
      <c r="H4852" s="37"/>
      <c r="I4852" s="35"/>
      <c r="J4852" s="37"/>
    </row>
    <row r="4853" spans="1:10" ht="15.95" customHeight="1" x14ac:dyDescent="0.2">
      <c r="A4853" s="39"/>
      <c r="B4853" s="36"/>
      <c r="C4853" s="37"/>
      <c r="D4853" s="37"/>
      <c r="E4853" s="37"/>
      <c r="F4853" s="37"/>
      <c r="G4853" s="37"/>
      <c r="H4853" s="37"/>
      <c r="I4853" s="35"/>
      <c r="J4853" s="37"/>
    </row>
    <row r="4854" spans="1:10" ht="15.95" customHeight="1" x14ac:dyDescent="0.2">
      <c r="A4854" s="39"/>
      <c r="B4854" s="36"/>
      <c r="C4854" s="37"/>
      <c r="D4854" s="37"/>
      <c r="E4854" s="37"/>
      <c r="F4854" s="37"/>
      <c r="G4854" s="37"/>
      <c r="H4854" s="37"/>
      <c r="I4854" s="35"/>
      <c r="J4854" s="37"/>
    </row>
    <row r="4855" spans="1:10" ht="15.95" customHeight="1" x14ac:dyDescent="0.2">
      <c r="A4855" s="39"/>
      <c r="B4855" s="36"/>
      <c r="C4855" s="37"/>
      <c r="D4855" s="37"/>
      <c r="E4855" s="37"/>
      <c r="F4855" s="37"/>
      <c r="G4855" s="37"/>
      <c r="H4855" s="37"/>
      <c r="I4855" s="35"/>
      <c r="J4855" s="37"/>
    </row>
    <row r="4856" spans="1:10" ht="15.95" customHeight="1" x14ac:dyDescent="0.2">
      <c r="A4856" s="39"/>
      <c r="B4856" s="36"/>
      <c r="C4856" s="37"/>
      <c r="D4856" s="37"/>
      <c r="E4856" s="37"/>
      <c r="F4856" s="37"/>
      <c r="G4856" s="37"/>
      <c r="H4856" s="37"/>
      <c r="I4856" s="35"/>
      <c r="J4856" s="37"/>
    </row>
    <row r="4857" spans="1:10" ht="15.95" customHeight="1" x14ac:dyDescent="0.2">
      <c r="A4857" s="39"/>
      <c r="B4857" s="36"/>
      <c r="C4857" s="37"/>
      <c r="D4857" s="37"/>
      <c r="E4857" s="37"/>
      <c r="F4857" s="37"/>
      <c r="G4857" s="37"/>
      <c r="H4857" s="37"/>
      <c r="I4857" s="35"/>
      <c r="J4857" s="37"/>
    </row>
    <row r="4858" spans="1:10" ht="15.95" customHeight="1" x14ac:dyDescent="0.2">
      <c r="A4858" s="39"/>
      <c r="B4858" s="36"/>
      <c r="C4858" s="37"/>
      <c r="D4858" s="37"/>
      <c r="E4858" s="37"/>
      <c r="F4858" s="37"/>
      <c r="G4858" s="37"/>
      <c r="H4858" s="37"/>
      <c r="I4858" s="35"/>
      <c r="J4858" s="37"/>
    </row>
    <row r="4859" spans="1:10" ht="15.95" customHeight="1" x14ac:dyDescent="0.2">
      <c r="A4859" s="39"/>
      <c r="B4859" s="36"/>
      <c r="C4859" s="37"/>
      <c r="D4859" s="37"/>
      <c r="E4859" s="37"/>
      <c r="F4859" s="37"/>
      <c r="G4859" s="37"/>
      <c r="H4859" s="37"/>
      <c r="I4859" s="35"/>
      <c r="J4859" s="37"/>
    </row>
    <row r="4860" spans="1:10" ht="15.95" customHeight="1" x14ac:dyDescent="0.2">
      <c r="A4860" s="39"/>
      <c r="B4860" s="36"/>
      <c r="C4860" s="37"/>
      <c r="D4860" s="37"/>
      <c r="E4860" s="37"/>
      <c r="F4860" s="37"/>
      <c r="G4860" s="37"/>
      <c r="H4860" s="37"/>
      <c r="I4860" s="35"/>
      <c r="J4860" s="37"/>
    </row>
    <row r="4861" spans="1:10" ht="15.95" customHeight="1" x14ac:dyDescent="0.2">
      <c r="A4861" s="39"/>
      <c r="B4861" s="36"/>
      <c r="C4861" s="37"/>
      <c r="D4861" s="37"/>
      <c r="E4861" s="37"/>
      <c r="F4861" s="37"/>
      <c r="G4861" s="37"/>
      <c r="H4861" s="37"/>
      <c r="I4861" s="35"/>
      <c r="J4861" s="37"/>
    </row>
    <row r="4862" spans="1:10" ht="15.95" customHeight="1" x14ac:dyDescent="0.2">
      <c r="A4862" s="39"/>
      <c r="B4862" s="36"/>
      <c r="C4862" s="37"/>
      <c r="D4862" s="37"/>
      <c r="E4862" s="37"/>
      <c r="F4862" s="37"/>
      <c r="G4862" s="37"/>
      <c r="H4862" s="37"/>
      <c r="I4862" s="35"/>
      <c r="J4862" s="37"/>
    </row>
    <row r="4863" spans="1:10" ht="15.95" customHeight="1" x14ac:dyDescent="0.2">
      <c r="A4863" s="39"/>
      <c r="B4863" s="36"/>
      <c r="C4863" s="37"/>
      <c r="D4863" s="37"/>
      <c r="E4863" s="37"/>
      <c r="F4863" s="37"/>
      <c r="G4863" s="37"/>
      <c r="H4863" s="37"/>
      <c r="I4863" s="35"/>
      <c r="J4863" s="37"/>
    </row>
    <row r="4864" spans="1:10" ht="15.95" customHeight="1" x14ac:dyDescent="0.2">
      <c r="A4864" s="39"/>
      <c r="B4864" s="36"/>
      <c r="C4864" s="37"/>
      <c r="D4864" s="37"/>
      <c r="E4864" s="37"/>
      <c r="F4864" s="37"/>
      <c r="G4864" s="37"/>
      <c r="H4864" s="37"/>
      <c r="I4864" s="35"/>
      <c r="J4864" s="37"/>
    </row>
    <row r="4865" spans="1:10" ht="15.95" customHeight="1" x14ac:dyDescent="0.2">
      <c r="A4865" s="39"/>
      <c r="B4865" s="36"/>
      <c r="C4865" s="37"/>
      <c r="D4865" s="37"/>
      <c r="E4865" s="37"/>
      <c r="F4865" s="37"/>
      <c r="G4865" s="37"/>
      <c r="H4865" s="37"/>
      <c r="I4865" s="35"/>
      <c r="J4865" s="37"/>
    </row>
    <row r="4866" spans="1:10" ht="15.95" customHeight="1" x14ac:dyDescent="0.2">
      <c r="A4866" s="39"/>
      <c r="B4866" s="36"/>
      <c r="C4866" s="37"/>
      <c r="D4866" s="37"/>
      <c r="E4866" s="37"/>
      <c r="F4866" s="37"/>
      <c r="G4866" s="37"/>
      <c r="H4866" s="37"/>
      <c r="I4866" s="35"/>
      <c r="J4866" s="37"/>
    </row>
    <row r="4867" spans="1:10" ht="15.95" customHeight="1" x14ac:dyDescent="0.2">
      <c r="A4867" s="39"/>
      <c r="B4867" s="36"/>
      <c r="C4867" s="37"/>
      <c r="D4867" s="37"/>
      <c r="E4867" s="37"/>
      <c r="F4867" s="37"/>
      <c r="G4867" s="37"/>
      <c r="H4867" s="37"/>
      <c r="I4867" s="35"/>
      <c r="J4867" s="37"/>
    </row>
    <row r="4868" spans="1:10" ht="15.95" customHeight="1" x14ac:dyDescent="0.2">
      <c r="A4868" s="39"/>
      <c r="B4868" s="36"/>
      <c r="C4868" s="37"/>
      <c r="D4868" s="37"/>
      <c r="E4868" s="37"/>
      <c r="F4868" s="37"/>
      <c r="G4868" s="37"/>
      <c r="H4868" s="37"/>
      <c r="I4868" s="35"/>
      <c r="J4868" s="37"/>
    </row>
    <row r="4869" spans="1:10" ht="15.95" customHeight="1" x14ac:dyDescent="0.2">
      <c r="A4869" s="39"/>
      <c r="B4869" s="36"/>
      <c r="C4869" s="37"/>
      <c r="D4869" s="37"/>
      <c r="E4869" s="37"/>
      <c r="F4869" s="37"/>
      <c r="G4869" s="37"/>
      <c r="H4869" s="37"/>
      <c r="I4869" s="35"/>
      <c r="J4869" s="37"/>
    </row>
    <row r="4870" spans="1:10" ht="15.95" customHeight="1" x14ac:dyDescent="0.2">
      <c r="A4870" s="39"/>
      <c r="B4870" s="36"/>
      <c r="C4870" s="37"/>
      <c r="D4870" s="37"/>
      <c r="E4870" s="37"/>
      <c r="F4870" s="37"/>
      <c r="G4870" s="37"/>
      <c r="H4870" s="37"/>
      <c r="I4870" s="35"/>
      <c r="J4870" s="37"/>
    </row>
    <row r="4871" spans="1:10" ht="15.95" customHeight="1" x14ac:dyDescent="0.2">
      <c r="A4871" s="39"/>
      <c r="B4871" s="36"/>
      <c r="C4871" s="37"/>
      <c r="D4871" s="37"/>
      <c r="E4871" s="37"/>
      <c r="F4871" s="37"/>
      <c r="G4871" s="37"/>
      <c r="H4871" s="37"/>
      <c r="I4871" s="35"/>
      <c r="J4871" s="37"/>
    </row>
    <row r="4872" spans="1:10" ht="15.95" customHeight="1" x14ac:dyDescent="0.2">
      <c r="A4872" s="39"/>
      <c r="B4872" s="36"/>
      <c r="C4872" s="37"/>
      <c r="D4872" s="37"/>
      <c r="E4872" s="37"/>
      <c r="F4872" s="37"/>
      <c r="G4872" s="37"/>
      <c r="H4872" s="37"/>
      <c r="I4872" s="35"/>
      <c r="J4872" s="37"/>
    </row>
    <row r="4873" spans="1:10" ht="15.95" customHeight="1" x14ac:dyDescent="0.2">
      <c r="A4873" s="39"/>
      <c r="B4873" s="36"/>
      <c r="C4873" s="37"/>
      <c r="D4873" s="37"/>
      <c r="E4873" s="37"/>
      <c r="F4873" s="37"/>
      <c r="G4873" s="37"/>
      <c r="H4873" s="37"/>
      <c r="I4873" s="35"/>
      <c r="J4873" s="37"/>
    </row>
    <row r="4874" spans="1:10" ht="15.95" customHeight="1" x14ac:dyDescent="0.2">
      <c r="A4874" s="39"/>
      <c r="B4874" s="36"/>
      <c r="C4874" s="37"/>
      <c r="D4874" s="37"/>
      <c r="E4874" s="37"/>
      <c r="F4874" s="37"/>
      <c r="G4874" s="37"/>
      <c r="H4874" s="37"/>
      <c r="I4874" s="35"/>
      <c r="J4874" s="37"/>
    </row>
    <row r="4875" spans="1:10" ht="15.95" customHeight="1" x14ac:dyDescent="0.2">
      <c r="A4875" s="39"/>
      <c r="B4875" s="36"/>
      <c r="C4875" s="37"/>
      <c r="D4875" s="37"/>
      <c r="E4875" s="37"/>
      <c r="F4875" s="37"/>
      <c r="G4875" s="37"/>
      <c r="H4875" s="37"/>
      <c r="I4875" s="35"/>
      <c r="J4875" s="37"/>
    </row>
    <row r="4876" spans="1:10" ht="15.95" customHeight="1" x14ac:dyDescent="0.2">
      <c r="A4876" s="39"/>
      <c r="B4876" s="36"/>
      <c r="C4876" s="37"/>
      <c r="D4876" s="37"/>
      <c r="E4876" s="37"/>
      <c r="F4876" s="37"/>
      <c r="G4876" s="37"/>
      <c r="H4876" s="37"/>
      <c r="I4876" s="35"/>
      <c r="J4876" s="37"/>
    </row>
    <row r="4877" spans="1:10" ht="15.95" customHeight="1" x14ac:dyDescent="0.2">
      <c r="A4877" s="39"/>
      <c r="B4877" s="36"/>
      <c r="C4877" s="37"/>
      <c r="D4877" s="37"/>
      <c r="E4877" s="37"/>
      <c r="F4877" s="37"/>
      <c r="G4877" s="37"/>
      <c r="H4877" s="37"/>
      <c r="I4877" s="35"/>
      <c r="J4877" s="37"/>
    </row>
    <row r="4878" spans="1:10" ht="15.95" customHeight="1" x14ac:dyDescent="0.2">
      <c r="A4878" s="39"/>
      <c r="B4878" s="36"/>
      <c r="C4878" s="37"/>
      <c r="D4878" s="37"/>
      <c r="E4878" s="37"/>
      <c r="F4878" s="37"/>
      <c r="G4878" s="37"/>
      <c r="H4878" s="37"/>
      <c r="I4878" s="35"/>
      <c r="J4878" s="37"/>
    </row>
    <row r="4879" spans="1:10" ht="15.95" customHeight="1" x14ac:dyDescent="0.2">
      <c r="A4879" s="39"/>
      <c r="B4879" s="36"/>
      <c r="C4879" s="37"/>
      <c r="D4879" s="37"/>
      <c r="E4879" s="37"/>
      <c r="F4879" s="37"/>
      <c r="G4879" s="37"/>
      <c r="H4879" s="37"/>
      <c r="I4879" s="35"/>
      <c r="J4879" s="37"/>
    </row>
    <row r="4880" spans="1:10" ht="15.95" customHeight="1" x14ac:dyDescent="0.2">
      <c r="A4880" s="39"/>
      <c r="B4880" s="36"/>
      <c r="C4880" s="37"/>
      <c r="D4880" s="37"/>
      <c r="E4880" s="37"/>
      <c r="F4880" s="37"/>
      <c r="G4880" s="37"/>
      <c r="H4880" s="37"/>
      <c r="I4880" s="35"/>
      <c r="J4880" s="37"/>
    </row>
    <row r="4881" spans="1:10" ht="15.95" customHeight="1" x14ac:dyDescent="0.2">
      <c r="A4881" s="39"/>
      <c r="B4881" s="36"/>
      <c r="C4881" s="37"/>
      <c r="D4881" s="37"/>
      <c r="E4881" s="37"/>
      <c r="F4881" s="37"/>
      <c r="G4881" s="37"/>
      <c r="H4881" s="37"/>
      <c r="I4881" s="35"/>
      <c r="J4881" s="37"/>
    </row>
    <row r="4882" spans="1:10" ht="15.95" customHeight="1" x14ac:dyDescent="0.2">
      <c r="A4882" s="39"/>
      <c r="B4882" s="36"/>
      <c r="C4882" s="37"/>
      <c r="D4882" s="37"/>
      <c r="E4882" s="37"/>
      <c r="F4882" s="37"/>
      <c r="G4882" s="37"/>
      <c r="H4882" s="37"/>
      <c r="I4882" s="35"/>
      <c r="J4882" s="37"/>
    </row>
    <row r="4883" spans="1:10" ht="15.95" customHeight="1" x14ac:dyDescent="0.2">
      <c r="A4883" s="39"/>
      <c r="B4883" s="36"/>
      <c r="C4883" s="37"/>
      <c r="D4883" s="37"/>
      <c r="E4883" s="37"/>
      <c r="F4883" s="37"/>
      <c r="G4883" s="37"/>
      <c r="H4883" s="37"/>
      <c r="I4883" s="35"/>
      <c r="J4883" s="37"/>
    </row>
    <row r="4884" spans="1:10" ht="15.95" customHeight="1" x14ac:dyDescent="0.2">
      <c r="A4884" s="39"/>
      <c r="B4884" s="36"/>
      <c r="C4884" s="37"/>
      <c r="D4884" s="37"/>
      <c r="E4884" s="37"/>
      <c r="F4884" s="37"/>
      <c r="G4884" s="37"/>
      <c r="H4884" s="37"/>
      <c r="I4884" s="35"/>
      <c r="J4884" s="37"/>
    </row>
    <row r="4885" spans="1:10" ht="15.95" customHeight="1" x14ac:dyDescent="0.2">
      <c r="A4885" s="39"/>
      <c r="B4885" s="36"/>
      <c r="C4885" s="37"/>
      <c r="D4885" s="37"/>
      <c r="E4885" s="37"/>
      <c r="F4885" s="37"/>
      <c r="G4885" s="37"/>
      <c r="H4885" s="37"/>
      <c r="I4885" s="35"/>
      <c r="J4885" s="37"/>
    </row>
    <row r="4886" spans="1:10" ht="15.95" customHeight="1" x14ac:dyDescent="0.2">
      <c r="A4886" s="39"/>
      <c r="B4886" s="36"/>
      <c r="C4886" s="37"/>
      <c r="D4886" s="37"/>
      <c r="E4886" s="37"/>
      <c r="F4886" s="37"/>
      <c r="G4886" s="37"/>
      <c r="H4886" s="37"/>
      <c r="I4886" s="35"/>
      <c r="J4886" s="37"/>
    </row>
    <row r="4887" spans="1:10" ht="15.95" customHeight="1" x14ac:dyDescent="0.2">
      <c r="A4887" s="39"/>
      <c r="B4887" s="36"/>
      <c r="C4887" s="37"/>
      <c r="D4887" s="37"/>
      <c r="E4887" s="37"/>
      <c r="F4887" s="37"/>
      <c r="G4887" s="37"/>
      <c r="H4887" s="37"/>
      <c r="I4887" s="35"/>
      <c r="J4887" s="37"/>
    </row>
    <row r="4888" spans="1:10" ht="15.95" customHeight="1" x14ac:dyDescent="0.2">
      <c r="A4888" s="39"/>
      <c r="B4888" s="36"/>
      <c r="C4888" s="37"/>
      <c r="D4888" s="37"/>
      <c r="E4888" s="37"/>
      <c r="F4888" s="37"/>
      <c r="G4888" s="37"/>
      <c r="H4888" s="37"/>
      <c r="I4888" s="35"/>
      <c r="J4888" s="37"/>
    </row>
    <row r="4889" spans="1:10" ht="15.95" customHeight="1" x14ac:dyDescent="0.2">
      <c r="A4889" s="39"/>
      <c r="B4889" s="36"/>
      <c r="C4889" s="37"/>
      <c r="D4889" s="37"/>
      <c r="E4889" s="37"/>
      <c r="F4889" s="37"/>
      <c r="G4889" s="37"/>
      <c r="H4889" s="37"/>
      <c r="I4889" s="35"/>
      <c r="J4889" s="37"/>
    </row>
    <row r="4890" spans="1:10" ht="15.95" customHeight="1" x14ac:dyDescent="0.2">
      <c r="A4890" s="39"/>
      <c r="B4890" s="36"/>
      <c r="C4890" s="37"/>
      <c r="D4890" s="37"/>
      <c r="E4890" s="37"/>
      <c r="F4890" s="37"/>
      <c r="G4890" s="37"/>
      <c r="H4890" s="37"/>
      <c r="I4890" s="35"/>
      <c r="J4890" s="37"/>
    </row>
    <row r="4891" spans="1:10" ht="15.95" customHeight="1" x14ac:dyDescent="0.2">
      <c r="A4891" s="39"/>
      <c r="B4891" s="36"/>
      <c r="C4891" s="37"/>
      <c r="D4891" s="37"/>
      <c r="E4891" s="37"/>
      <c r="F4891" s="37"/>
      <c r="G4891" s="37"/>
      <c r="H4891" s="37"/>
      <c r="I4891" s="35"/>
      <c r="J4891" s="37"/>
    </row>
    <row r="4892" spans="1:10" ht="15.95" customHeight="1" x14ac:dyDescent="0.2">
      <c r="A4892" s="39"/>
      <c r="B4892" s="36"/>
      <c r="C4892" s="37"/>
      <c r="D4892" s="37"/>
      <c r="E4892" s="37"/>
      <c r="F4892" s="37"/>
      <c r="G4892" s="37"/>
      <c r="H4892" s="37"/>
      <c r="I4892" s="35"/>
      <c r="J4892" s="37"/>
    </row>
    <row r="4893" spans="1:10" ht="15.95" customHeight="1" x14ac:dyDescent="0.2">
      <c r="A4893" s="39"/>
      <c r="B4893" s="36"/>
      <c r="C4893" s="37"/>
      <c r="D4893" s="37"/>
      <c r="E4893" s="37"/>
      <c r="F4893" s="37"/>
      <c r="G4893" s="37"/>
      <c r="H4893" s="37"/>
      <c r="I4893" s="35"/>
      <c r="J4893" s="37"/>
    </row>
    <row r="4894" spans="1:10" ht="15.95" customHeight="1" x14ac:dyDescent="0.2">
      <c r="A4894" s="39"/>
      <c r="B4894" s="36"/>
      <c r="C4894" s="37"/>
      <c r="D4894" s="37"/>
      <c r="E4894" s="37"/>
      <c r="F4894" s="37"/>
      <c r="G4894" s="37"/>
      <c r="H4894" s="37"/>
      <c r="I4894" s="35"/>
      <c r="J4894" s="37"/>
    </row>
    <row r="4895" spans="1:10" ht="15.95" customHeight="1" x14ac:dyDescent="0.2">
      <c r="A4895" s="39"/>
      <c r="B4895" s="36"/>
      <c r="C4895" s="37"/>
      <c r="D4895" s="37"/>
      <c r="E4895" s="37"/>
      <c r="F4895" s="37"/>
      <c r="G4895" s="37"/>
      <c r="H4895" s="37"/>
      <c r="I4895" s="35"/>
      <c r="J4895" s="37"/>
    </row>
    <row r="4896" spans="1:10" ht="15.95" customHeight="1" x14ac:dyDescent="0.2">
      <c r="A4896" s="39"/>
      <c r="B4896" s="36"/>
      <c r="C4896" s="37"/>
      <c r="D4896" s="37"/>
      <c r="E4896" s="37"/>
      <c r="F4896" s="37"/>
      <c r="G4896" s="37"/>
      <c r="H4896" s="37"/>
      <c r="I4896" s="35"/>
      <c r="J4896" s="37"/>
    </row>
    <row r="4897" spans="1:10" ht="15.95" customHeight="1" x14ac:dyDescent="0.2">
      <c r="A4897" s="39"/>
      <c r="B4897" s="36"/>
      <c r="C4897" s="37"/>
      <c r="D4897" s="37"/>
      <c r="E4897" s="37"/>
      <c r="F4897" s="37"/>
      <c r="G4897" s="37"/>
      <c r="H4897" s="37"/>
      <c r="I4897" s="35"/>
      <c r="J4897" s="37"/>
    </row>
    <row r="4898" spans="1:10" ht="15.95" customHeight="1" x14ac:dyDescent="0.2">
      <c r="A4898" s="39"/>
      <c r="B4898" s="36"/>
      <c r="C4898" s="37"/>
      <c r="D4898" s="37"/>
      <c r="E4898" s="37"/>
      <c r="F4898" s="37"/>
      <c r="G4898" s="37"/>
      <c r="H4898" s="37"/>
      <c r="I4898" s="35"/>
      <c r="J4898" s="37"/>
    </row>
    <row r="4899" spans="1:10" ht="15.95" customHeight="1" x14ac:dyDescent="0.2">
      <c r="A4899" s="39"/>
      <c r="B4899" s="36"/>
      <c r="C4899" s="37"/>
      <c r="D4899" s="37"/>
      <c r="E4899" s="37"/>
      <c r="F4899" s="37"/>
      <c r="G4899" s="37"/>
      <c r="H4899" s="37"/>
      <c r="I4899" s="35"/>
      <c r="J4899" s="37"/>
    </row>
    <row r="4900" spans="1:10" ht="15.95" customHeight="1" x14ac:dyDescent="0.2">
      <c r="A4900" s="39"/>
      <c r="B4900" s="36"/>
      <c r="C4900" s="37"/>
      <c r="D4900" s="37"/>
      <c r="E4900" s="37"/>
      <c r="F4900" s="37"/>
      <c r="G4900" s="37"/>
      <c r="H4900" s="37"/>
      <c r="I4900" s="35"/>
      <c r="J4900" s="37"/>
    </row>
    <row r="4901" spans="1:10" ht="15.95" customHeight="1" x14ac:dyDescent="0.2">
      <c r="A4901" s="39"/>
      <c r="B4901" s="36"/>
      <c r="C4901" s="37"/>
      <c r="D4901" s="37"/>
      <c r="E4901" s="37"/>
      <c r="F4901" s="37"/>
      <c r="G4901" s="37"/>
      <c r="H4901" s="37"/>
      <c r="I4901" s="35"/>
      <c r="J4901" s="37"/>
    </row>
    <row r="4902" spans="1:10" ht="15.95" customHeight="1" x14ac:dyDescent="0.2">
      <c r="A4902" s="39"/>
      <c r="B4902" s="36"/>
      <c r="C4902" s="37"/>
      <c r="D4902" s="37"/>
      <c r="E4902" s="37"/>
      <c r="F4902" s="37"/>
      <c r="G4902" s="37"/>
      <c r="H4902" s="37"/>
      <c r="I4902" s="35"/>
      <c r="J4902" s="37"/>
    </row>
    <row r="4903" spans="1:10" ht="15.95" customHeight="1" x14ac:dyDescent="0.2">
      <c r="A4903" s="39"/>
      <c r="B4903" s="36"/>
      <c r="C4903" s="37"/>
      <c r="D4903" s="37"/>
      <c r="E4903" s="37"/>
      <c r="F4903" s="37"/>
      <c r="G4903" s="37"/>
      <c r="H4903" s="37"/>
      <c r="I4903" s="35"/>
      <c r="J4903" s="37"/>
    </row>
    <row r="4904" spans="1:10" ht="15.95" customHeight="1" x14ac:dyDescent="0.2">
      <c r="A4904" s="39"/>
      <c r="B4904" s="36"/>
      <c r="C4904" s="37"/>
      <c r="D4904" s="37"/>
      <c r="E4904" s="37"/>
      <c r="F4904" s="37"/>
      <c r="G4904" s="37"/>
      <c r="H4904" s="37"/>
      <c r="I4904" s="35"/>
      <c r="J4904" s="37"/>
    </row>
    <row r="4905" spans="1:10" ht="15.95" customHeight="1" x14ac:dyDescent="0.2">
      <c r="A4905" s="39"/>
      <c r="B4905" s="36"/>
      <c r="C4905" s="37"/>
      <c r="D4905" s="37"/>
      <c r="E4905" s="37"/>
      <c r="F4905" s="37"/>
      <c r="G4905" s="37"/>
      <c r="H4905" s="37"/>
      <c r="I4905" s="35"/>
      <c r="J4905" s="37"/>
    </row>
    <row r="4906" spans="1:10" ht="15.95" customHeight="1" x14ac:dyDescent="0.2">
      <c r="A4906" s="39"/>
      <c r="B4906" s="36"/>
      <c r="C4906" s="37"/>
      <c r="D4906" s="37"/>
      <c r="E4906" s="37"/>
      <c r="F4906" s="37"/>
      <c r="G4906" s="37"/>
      <c r="H4906" s="37"/>
      <c r="I4906" s="35"/>
      <c r="J4906" s="37"/>
    </row>
    <row r="4907" spans="1:10" ht="15.95" customHeight="1" x14ac:dyDescent="0.2">
      <c r="A4907" s="39"/>
      <c r="B4907" s="36"/>
      <c r="C4907" s="37"/>
      <c r="D4907" s="37"/>
      <c r="E4907" s="37"/>
      <c r="F4907" s="37"/>
      <c r="G4907" s="37"/>
      <c r="H4907" s="37"/>
      <c r="I4907" s="35"/>
      <c r="J4907" s="37"/>
    </row>
    <row r="4908" spans="1:10" ht="15.95" customHeight="1" x14ac:dyDescent="0.2">
      <c r="A4908" s="39"/>
      <c r="B4908" s="36"/>
      <c r="C4908" s="37"/>
      <c r="D4908" s="37"/>
      <c r="E4908" s="37"/>
      <c r="F4908" s="37"/>
      <c r="G4908" s="37"/>
      <c r="H4908" s="37"/>
      <c r="I4908" s="35"/>
      <c r="J4908" s="37"/>
    </row>
    <row r="4909" spans="1:10" ht="15.95" customHeight="1" x14ac:dyDescent="0.2">
      <c r="A4909" s="39"/>
      <c r="B4909" s="36"/>
      <c r="C4909" s="37"/>
      <c r="D4909" s="37"/>
      <c r="E4909" s="37"/>
      <c r="F4909" s="37"/>
      <c r="G4909" s="37"/>
      <c r="H4909" s="37"/>
      <c r="I4909" s="35"/>
      <c r="J4909" s="37"/>
    </row>
    <row r="4910" spans="1:10" ht="15.95" customHeight="1" x14ac:dyDescent="0.2">
      <c r="A4910" s="39"/>
      <c r="B4910" s="36"/>
      <c r="C4910" s="37"/>
      <c r="D4910" s="37"/>
      <c r="E4910" s="37"/>
      <c r="F4910" s="37"/>
      <c r="G4910" s="37"/>
      <c r="H4910" s="37"/>
      <c r="I4910" s="35"/>
      <c r="J4910" s="37"/>
    </row>
    <row r="4911" spans="1:10" ht="15.95" customHeight="1" x14ac:dyDescent="0.2">
      <c r="A4911" s="39"/>
      <c r="B4911" s="36"/>
      <c r="C4911" s="37"/>
      <c r="D4911" s="37"/>
      <c r="E4911" s="37"/>
      <c r="F4911" s="37"/>
      <c r="G4911" s="37"/>
      <c r="H4911" s="37"/>
      <c r="I4911" s="35"/>
      <c r="J4911" s="37"/>
    </row>
    <row r="4912" spans="1:10" ht="15.95" customHeight="1" x14ac:dyDescent="0.2">
      <c r="A4912" s="39"/>
      <c r="B4912" s="36"/>
      <c r="C4912" s="37"/>
      <c r="D4912" s="37"/>
      <c r="E4912" s="37"/>
      <c r="F4912" s="37"/>
      <c r="G4912" s="37"/>
      <c r="H4912" s="37"/>
      <c r="I4912" s="35"/>
      <c r="J4912" s="37"/>
    </row>
    <row r="4913" spans="1:10" ht="15.95" customHeight="1" x14ac:dyDescent="0.2">
      <c r="A4913" s="39"/>
      <c r="B4913" s="36"/>
      <c r="C4913" s="37"/>
      <c r="D4913" s="37"/>
      <c r="E4913" s="37"/>
      <c r="F4913" s="37"/>
      <c r="G4913" s="37"/>
      <c r="H4913" s="37"/>
      <c r="I4913" s="35"/>
      <c r="J4913" s="37"/>
    </row>
    <row r="4914" spans="1:10" ht="15.95" customHeight="1" x14ac:dyDescent="0.2">
      <c r="A4914" s="39"/>
      <c r="B4914" s="36"/>
      <c r="C4914" s="37"/>
      <c r="D4914" s="37"/>
      <c r="E4914" s="37"/>
      <c r="F4914" s="37"/>
      <c r="G4914" s="37"/>
      <c r="H4914" s="37"/>
      <c r="I4914" s="35"/>
      <c r="J4914" s="37"/>
    </row>
    <row r="4915" spans="1:10" ht="15.95" customHeight="1" x14ac:dyDescent="0.2">
      <c r="A4915" s="39"/>
      <c r="B4915" s="36"/>
      <c r="C4915" s="37"/>
      <c r="D4915" s="37"/>
      <c r="E4915" s="37"/>
      <c r="F4915" s="37"/>
      <c r="G4915" s="37"/>
      <c r="H4915" s="37"/>
      <c r="I4915" s="35"/>
      <c r="J4915" s="37"/>
    </row>
    <row r="4916" spans="1:10" ht="15.95" customHeight="1" x14ac:dyDescent="0.2">
      <c r="A4916" s="39"/>
      <c r="B4916" s="36"/>
      <c r="C4916" s="37"/>
      <c r="D4916" s="37"/>
      <c r="E4916" s="37"/>
      <c r="F4916" s="37"/>
      <c r="G4916" s="37"/>
      <c r="H4916" s="37"/>
      <c r="I4916" s="35"/>
      <c r="J4916" s="37"/>
    </row>
    <row r="4917" spans="1:10" ht="15.95" customHeight="1" x14ac:dyDescent="0.2">
      <c r="A4917" s="39"/>
      <c r="B4917" s="36"/>
      <c r="C4917" s="37"/>
      <c r="D4917" s="37"/>
      <c r="E4917" s="37"/>
      <c r="F4917" s="37"/>
      <c r="G4917" s="37"/>
      <c r="H4917" s="37"/>
      <c r="I4917" s="35"/>
      <c r="J4917" s="37"/>
    </row>
    <row r="4918" spans="1:10" ht="15.95" customHeight="1" x14ac:dyDescent="0.2">
      <c r="A4918" s="39"/>
      <c r="B4918" s="36"/>
      <c r="C4918" s="37"/>
      <c r="D4918" s="37"/>
      <c r="E4918" s="37"/>
      <c r="F4918" s="37"/>
      <c r="G4918" s="37"/>
      <c r="H4918" s="37"/>
      <c r="I4918" s="35"/>
      <c r="J4918" s="37"/>
    </row>
    <row r="4919" spans="1:10" ht="15.95" customHeight="1" x14ac:dyDescent="0.2">
      <c r="A4919" s="39"/>
      <c r="B4919" s="36"/>
      <c r="C4919" s="37"/>
      <c r="D4919" s="37"/>
      <c r="E4919" s="37"/>
      <c r="F4919" s="37"/>
      <c r="G4919" s="37"/>
      <c r="H4919" s="37"/>
      <c r="I4919" s="35"/>
      <c r="J4919" s="37"/>
    </row>
    <row r="4920" spans="1:10" ht="15.95" customHeight="1" x14ac:dyDescent="0.2">
      <c r="A4920" s="39"/>
      <c r="B4920" s="36"/>
      <c r="C4920" s="37"/>
      <c r="D4920" s="37"/>
      <c r="E4920" s="37"/>
      <c r="F4920" s="37"/>
      <c r="G4920" s="37"/>
      <c r="H4920" s="37"/>
      <c r="I4920" s="35"/>
      <c r="J4920" s="37"/>
    </row>
    <row r="4921" spans="1:10" ht="15.95" customHeight="1" x14ac:dyDescent="0.2">
      <c r="A4921" s="39"/>
      <c r="B4921" s="36"/>
      <c r="C4921" s="37"/>
      <c r="D4921" s="37"/>
      <c r="E4921" s="37"/>
      <c r="F4921" s="37"/>
      <c r="G4921" s="37"/>
      <c r="H4921" s="37"/>
      <c r="I4921" s="35"/>
      <c r="J4921" s="37"/>
    </row>
    <row r="4922" spans="1:10" ht="15.95" customHeight="1" x14ac:dyDescent="0.2">
      <c r="A4922" s="39"/>
      <c r="B4922" s="36"/>
      <c r="C4922" s="37"/>
      <c r="D4922" s="37"/>
      <c r="E4922" s="37"/>
      <c r="F4922" s="37"/>
      <c r="G4922" s="37"/>
      <c r="H4922" s="37"/>
      <c r="I4922" s="35"/>
      <c r="J4922" s="37"/>
    </row>
    <row r="4923" spans="1:10" ht="15.95" customHeight="1" x14ac:dyDescent="0.2">
      <c r="A4923" s="39"/>
      <c r="B4923" s="36"/>
      <c r="C4923" s="37"/>
      <c r="D4923" s="37"/>
      <c r="E4923" s="37"/>
      <c r="F4923" s="37"/>
      <c r="G4923" s="37"/>
      <c r="H4923" s="37"/>
      <c r="I4923" s="35"/>
      <c r="J4923" s="37"/>
    </row>
    <row r="4924" spans="1:10" ht="15.95" customHeight="1" x14ac:dyDescent="0.2">
      <c r="A4924" s="39"/>
      <c r="B4924" s="36"/>
      <c r="C4924" s="37"/>
      <c r="D4924" s="37"/>
      <c r="E4924" s="37"/>
      <c r="F4924" s="37"/>
      <c r="G4924" s="37"/>
      <c r="H4924" s="37"/>
      <c r="I4924" s="35"/>
      <c r="J4924" s="37"/>
    </row>
    <row r="4925" spans="1:10" ht="15.95" customHeight="1" x14ac:dyDescent="0.2">
      <c r="A4925" s="39"/>
      <c r="B4925" s="36"/>
      <c r="C4925" s="37"/>
      <c r="D4925" s="37"/>
      <c r="E4925" s="37"/>
      <c r="F4925" s="37"/>
      <c r="G4925" s="37"/>
      <c r="H4925" s="37"/>
      <c r="I4925" s="35"/>
      <c r="J4925" s="37"/>
    </row>
    <row r="4926" spans="1:10" ht="15.95" customHeight="1" x14ac:dyDescent="0.2">
      <c r="A4926" s="39"/>
      <c r="B4926" s="36"/>
      <c r="C4926" s="37"/>
      <c r="D4926" s="37"/>
      <c r="E4926" s="37"/>
      <c r="F4926" s="37"/>
      <c r="G4926" s="37"/>
      <c r="H4926" s="37"/>
      <c r="I4926" s="35"/>
      <c r="J4926" s="37"/>
    </row>
    <row r="4927" spans="1:10" ht="15.95" customHeight="1" x14ac:dyDescent="0.2">
      <c r="A4927" s="39"/>
      <c r="B4927" s="36"/>
      <c r="C4927" s="37"/>
      <c r="D4927" s="37"/>
      <c r="E4927" s="37"/>
      <c r="F4927" s="37"/>
      <c r="G4927" s="37"/>
      <c r="H4927" s="37"/>
      <c r="I4927" s="35"/>
      <c r="J4927" s="37"/>
    </row>
    <row r="4928" spans="1:10" ht="15.95" customHeight="1" x14ac:dyDescent="0.2">
      <c r="A4928" s="39"/>
      <c r="B4928" s="36"/>
      <c r="C4928" s="37"/>
      <c r="D4928" s="37"/>
      <c r="E4928" s="37"/>
      <c r="F4928" s="37"/>
      <c r="G4928" s="37"/>
      <c r="H4928" s="37"/>
      <c r="I4928" s="35"/>
      <c r="J4928" s="37"/>
    </row>
    <row r="4929" spans="1:10" ht="15.95" customHeight="1" x14ac:dyDescent="0.2">
      <c r="A4929" s="39"/>
      <c r="B4929" s="36"/>
      <c r="C4929" s="37"/>
      <c r="D4929" s="37"/>
      <c r="E4929" s="37"/>
      <c r="F4929" s="37"/>
      <c r="G4929" s="37"/>
      <c r="H4929" s="37"/>
      <c r="I4929" s="35"/>
      <c r="J4929" s="37"/>
    </row>
    <row r="4930" spans="1:10" ht="15.95" customHeight="1" x14ac:dyDescent="0.2">
      <c r="A4930" s="39"/>
      <c r="B4930" s="36"/>
      <c r="C4930" s="37"/>
      <c r="D4930" s="37"/>
      <c r="E4930" s="37"/>
      <c r="F4930" s="37"/>
      <c r="G4930" s="37"/>
      <c r="H4930" s="37"/>
      <c r="I4930" s="35"/>
      <c r="J4930" s="37"/>
    </row>
    <row r="4931" spans="1:10" ht="15.95" customHeight="1" x14ac:dyDescent="0.2">
      <c r="A4931" s="39"/>
      <c r="B4931" s="36"/>
      <c r="C4931" s="37"/>
      <c r="D4931" s="37"/>
      <c r="E4931" s="37"/>
      <c r="F4931" s="37"/>
      <c r="G4931" s="37"/>
      <c r="H4931" s="37"/>
      <c r="I4931" s="35"/>
      <c r="J4931" s="37"/>
    </row>
    <row r="4932" spans="1:10" ht="15.95" customHeight="1" x14ac:dyDescent="0.2">
      <c r="A4932" s="39"/>
      <c r="B4932" s="36"/>
      <c r="C4932" s="37"/>
      <c r="D4932" s="37"/>
      <c r="E4932" s="37"/>
      <c r="F4932" s="37"/>
      <c r="G4932" s="37"/>
      <c r="H4932" s="37"/>
      <c r="I4932" s="35"/>
      <c r="J4932" s="37"/>
    </row>
    <row r="4933" spans="1:10" ht="15.95" customHeight="1" x14ac:dyDescent="0.2">
      <c r="A4933" s="39"/>
      <c r="B4933" s="36"/>
      <c r="C4933" s="37"/>
      <c r="D4933" s="37"/>
      <c r="E4933" s="37"/>
      <c r="F4933" s="37"/>
      <c r="G4933" s="37"/>
      <c r="H4933" s="37"/>
      <c r="I4933" s="35"/>
      <c r="J4933" s="37"/>
    </row>
    <row r="4934" spans="1:10" ht="15.95" customHeight="1" x14ac:dyDescent="0.2">
      <c r="A4934" s="39"/>
      <c r="B4934" s="36"/>
      <c r="C4934" s="37"/>
      <c r="D4934" s="37"/>
      <c r="E4934" s="37"/>
      <c r="F4934" s="37"/>
      <c r="G4934" s="37"/>
      <c r="H4934" s="37"/>
      <c r="I4934" s="35"/>
      <c r="J4934" s="37"/>
    </row>
    <row r="4935" spans="1:10" ht="15.95" customHeight="1" x14ac:dyDescent="0.2">
      <c r="A4935" s="39"/>
      <c r="B4935" s="36"/>
      <c r="C4935" s="37"/>
      <c r="D4935" s="37"/>
      <c r="E4935" s="37"/>
      <c r="F4935" s="37"/>
      <c r="G4935" s="37"/>
      <c r="H4935" s="37"/>
      <c r="I4935" s="35"/>
      <c r="J4935" s="37"/>
    </row>
    <row r="4936" spans="1:10" ht="15.95" customHeight="1" x14ac:dyDescent="0.2">
      <c r="A4936" s="39"/>
      <c r="B4936" s="36"/>
      <c r="C4936" s="37"/>
      <c r="D4936" s="37"/>
      <c r="E4936" s="37"/>
      <c r="F4936" s="37"/>
      <c r="G4936" s="37"/>
      <c r="H4936" s="37"/>
      <c r="I4936" s="35"/>
      <c r="J4936" s="37"/>
    </row>
    <row r="4937" spans="1:10" ht="15.95" customHeight="1" x14ac:dyDescent="0.2">
      <c r="A4937" s="39"/>
      <c r="B4937" s="36"/>
      <c r="C4937" s="37"/>
      <c r="D4937" s="37"/>
      <c r="E4937" s="37"/>
      <c r="F4937" s="37"/>
      <c r="G4937" s="37"/>
      <c r="H4937" s="37"/>
      <c r="I4937" s="35"/>
      <c r="J4937" s="37"/>
    </row>
    <row r="4938" spans="1:10" ht="15.95" customHeight="1" x14ac:dyDescent="0.2">
      <c r="A4938" s="39"/>
      <c r="B4938" s="36"/>
      <c r="C4938" s="37"/>
      <c r="D4938" s="37"/>
      <c r="E4938" s="37"/>
      <c r="F4938" s="37"/>
      <c r="G4938" s="37"/>
      <c r="H4938" s="37"/>
      <c r="I4938" s="35"/>
      <c r="J4938" s="37"/>
    </row>
    <row r="4939" spans="1:10" ht="15.95" customHeight="1" x14ac:dyDescent="0.2">
      <c r="A4939" s="39"/>
      <c r="B4939" s="36"/>
      <c r="C4939" s="37"/>
      <c r="D4939" s="37"/>
      <c r="E4939" s="37"/>
      <c r="F4939" s="37"/>
      <c r="G4939" s="37"/>
      <c r="H4939" s="37"/>
      <c r="I4939" s="35"/>
      <c r="J4939" s="37"/>
    </row>
    <row r="4940" spans="1:10" ht="15.95" customHeight="1" x14ac:dyDescent="0.2">
      <c r="A4940" s="39"/>
      <c r="B4940" s="36"/>
      <c r="C4940" s="37"/>
      <c r="D4940" s="37"/>
      <c r="E4940" s="37"/>
      <c r="F4940" s="37"/>
      <c r="G4940" s="37"/>
      <c r="H4940" s="37"/>
      <c r="I4940" s="35"/>
      <c r="J4940" s="37"/>
    </row>
    <row r="4941" spans="1:10" ht="15.95" customHeight="1" x14ac:dyDescent="0.2">
      <c r="A4941" s="39"/>
      <c r="B4941" s="36"/>
      <c r="C4941" s="37"/>
      <c r="D4941" s="37"/>
      <c r="E4941" s="37"/>
      <c r="F4941" s="37"/>
      <c r="G4941" s="37"/>
      <c r="H4941" s="37"/>
      <c r="I4941" s="35"/>
      <c r="J4941" s="37"/>
    </row>
    <row r="4942" spans="1:10" ht="15.95" customHeight="1" x14ac:dyDescent="0.2">
      <c r="A4942" s="39"/>
      <c r="B4942" s="36"/>
      <c r="C4942" s="37"/>
      <c r="D4942" s="37"/>
      <c r="E4942" s="37"/>
      <c r="F4942" s="37"/>
      <c r="G4942" s="37"/>
      <c r="H4942" s="37"/>
      <c r="I4942" s="35"/>
      <c r="J4942" s="37"/>
    </row>
    <row r="4943" spans="1:10" ht="15.95" customHeight="1" x14ac:dyDescent="0.2">
      <c r="A4943" s="39"/>
      <c r="B4943" s="36"/>
      <c r="C4943" s="37"/>
      <c r="D4943" s="37"/>
      <c r="E4943" s="37"/>
      <c r="F4943" s="37"/>
      <c r="G4943" s="37"/>
      <c r="H4943" s="37"/>
      <c r="I4943" s="35"/>
      <c r="J4943" s="37"/>
    </row>
    <row r="4944" spans="1:10" ht="15.95" customHeight="1" x14ac:dyDescent="0.2">
      <c r="A4944" s="39"/>
      <c r="B4944" s="36"/>
      <c r="C4944" s="37"/>
      <c r="D4944" s="37"/>
      <c r="E4944" s="37"/>
      <c r="F4944" s="37"/>
      <c r="G4944" s="37"/>
      <c r="H4944" s="37"/>
      <c r="I4944" s="35"/>
      <c r="J4944" s="37"/>
    </row>
    <row r="4945" spans="1:10" ht="15.95" customHeight="1" x14ac:dyDescent="0.2">
      <c r="A4945" s="39"/>
      <c r="B4945" s="36"/>
      <c r="C4945" s="37"/>
      <c r="D4945" s="37"/>
      <c r="E4945" s="37"/>
      <c r="F4945" s="37"/>
      <c r="G4945" s="37"/>
      <c r="H4945" s="37"/>
      <c r="I4945" s="35"/>
      <c r="J4945" s="37"/>
    </row>
    <row r="4946" spans="1:10" ht="15.95" customHeight="1" x14ac:dyDescent="0.2">
      <c r="A4946" s="39"/>
      <c r="B4946" s="36"/>
      <c r="C4946" s="37"/>
      <c r="D4946" s="37"/>
      <c r="E4946" s="37"/>
      <c r="F4946" s="37"/>
      <c r="G4946" s="37"/>
      <c r="H4946" s="37"/>
      <c r="I4946" s="35"/>
      <c r="J4946" s="37"/>
    </row>
    <row r="4947" spans="1:10" ht="15.95" customHeight="1" x14ac:dyDescent="0.2">
      <c r="A4947" s="39"/>
      <c r="B4947" s="36"/>
      <c r="C4947" s="37"/>
      <c r="D4947" s="37"/>
      <c r="E4947" s="37"/>
      <c r="F4947" s="37"/>
      <c r="G4947" s="37"/>
      <c r="H4947" s="37"/>
      <c r="I4947" s="35"/>
      <c r="J4947" s="37"/>
    </row>
    <row r="4948" spans="1:10" ht="15.95" customHeight="1" x14ac:dyDescent="0.2">
      <c r="A4948" s="39"/>
      <c r="B4948" s="36"/>
      <c r="C4948" s="37"/>
      <c r="D4948" s="37"/>
      <c r="E4948" s="37"/>
      <c r="F4948" s="37"/>
      <c r="G4948" s="37"/>
      <c r="H4948" s="37"/>
      <c r="I4948" s="35"/>
      <c r="J4948" s="37"/>
    </row>
    <row r="4949" spans="1:10" ht="15.95" customHeight="1" x14ac:dyDescent="0.2">
      <c r="A4949" s="39"/>
      <c r="B4949" s="36"/>
      <c r="C4949" s="37"/>
      <c r="D4949" s="37"/>
      <c r="E4949" s="37"/>
      <c r="F4949" s="37"/>
      <c r="G4949" s="37"/>
      <c r="H4949" s="37"/>
      <c r="I4949" s="35"/>
      <c r="J4949" s="37"/>
    </row>
    <row r="4950" spans="1:10" ht="15.95" customHeight="1" x14ac:dyDescent="0.2">
      <c r="A4950" s="39"/>
      <c r="B4950" s="36"/>
      <c r="C4950" s="37"/>
      <c r="D4950" s="37"/>
      <c r="E4950" s="37"/>
      <c r="F4950" s="37"/>
      <c r="G4950" s="37"/>
      <c r="H4950" s="37"/>
      <c r="I4950" s="35"/>
      <c r="J4950" s="37"/>
    </row>
    <row r="4951" spans="1:10" ht="15.95" customHeight="1" x14ac:dyDescent="0.2">
      <c r="A4951" s="39"/>
      <c r="B4951" s="36"/>
      <c r="C4951" s="37"/>
      <c r="D4951" s="37"/>
      <c r="E4951" s="37"/>
      <c r="F4951" s="37"/>
      <c r="G4951" s="37"/>
      <c r="H4951" s="37"/>
      <c r="I4951" s="35"/>
      <c r="J4951" s="37"/>
    </row>
    <row r="4952" spans="1:10" ht="15.95" customHeight="1" x14ac:dyDescent="0.2">
      <c r="A4952" s="39"/>
      <c r="B4952" s="36"/>
      <c r="C4952" s="37"/>
      <c r="D4952" s="37"/>
      <c r="E4952" s="37"/>
      <c r="F4952" s="37"/>
      <c r="G4952" s="37"/>
      <c r="H4952" s="37"/>
      <c r="I4952" s="35"/>
      <c r="J4952" s="37"/>
    </row>
    <row r="4953" spans="1:10" ht="15.95" customHeight="1" x14ac:dyDescent="0.2">
      <c r="A4953" s="39"/>
      <c r="B4953" s="36"/>
      <c r="C4953" s="37"/>
      <c r="D4953" s="37"/>
      <c r="E4953" s="37"/>
      <c r="F4953" s="37"/>
      <c r="G4953" s="37"/>
      <c r="H4953" s="37"/>
      <c r="I4953" s="35"/>
      <c r="J4953" s="37"/>
    </row>
    <row r="4954" spans="1:10" ht="15.95" customHeight="1" x14ac:dyDescent="0.2">
      <c r="A4954" s="39"/>
      <c r="B4954" s="36"/>
      <c r="C4954" s="37"/>
      <c r="D4954" s="37"/>
      <c r="E4954" s="37"/>
      <c r="F4954" s="37"/>
      <c r="G4954" s="37"/>
      <c r="H4954" s="37"/>
      <c r="I4954" s="35"/>
      <c r="J4954" s="37"/>
    </row>
    <row r="4955" spans="1:10" ht="15.95" customHeight="1" x14ac:dyDescent="0.2">
      <c r="A4955" s="39"/>
      <c r="B4955" s="36"/>
      <c r="C4955" s="37"/>
      <c r="D4955" s="37"/>
      <c r="E4955" s="37"/>
      <c r="F4955" s="37"/>
      <c r="G4955" s="37"/>
      <c r="H4955" s="37"/>
      <c r="I4955" s="35"/>
      <c r="J4955" s="37"/>
    </row>
    <row r="4956" spans="1:10" ht="15.95" customHeight="1" x14ac:dyDescent="0.2">
      <c r="A4956" s="39"/>
      <c r="B4956" s="36"/>
      <c r="C4956" s="37"/>
      <c r="D4956" s="37"/>
      <c r="E4956" s="37"/>
      <c r="F4956" s="37"/>
      <c r="G4956" s="37"/>
      <c r="H4956" s="37"/>
      <c r="I4956" s="35"/>
      <c r="J4956" s="37"/>
    </row>
    <row r="4957" spans="1:10" ht="15.95" customHeight="1" x14ac:dyDescent="0.2">
      <c r="A4957" s="39"/>
      <c r="B4957" s="36"/>
      <c r="C4957" s="37"/>
      <c r="D4957" s="37"/>
      <c r="E4957" s="37"/>
      <c r="F4957" s="37"/>
      <c r="G4957" s="37"/>
      <c r="H4957" s="37"/>
      <c r="I4957" s="35"/>
      <c r="J4957" s="37"/>
    </row>
    <row r="4958" spans="1:10" ht="15.95" customHeight="1" x14ac:dyDescent="0.2">
      <c r="A4958" s="39"/>
      <c r="B4958" s="36"/>
      <c r="C4958" s="37"/>
      <c r="D4958" s="37"/>
      <c r="E4958" s="37"/>
      <c r="F4958" s="37"/>
      <c r="G4958" s="37"/>
      <c r="H4958" s="37"/>
      <c r="I4958" s="35"/>
      <c r="J4958" s="37"/>
    </row>
    <row r="4959" spans="1:10" ht="15.95" customHeight="1" x14ac:dyDescent="0.2">
      <c r="A4959" s="39"/>
      <c r="B4959" s="36"/>
      <c r="C4959" s="37"/>
      <c r="D4959" s="37"/>
      <c r="E4959" s="37"/>
      <c r="F4959" s="37"/>
      <c r="G4959" s="37"/>
      <c r="H4959" s="37"/>
      <c r="I4959" s="35"/>
      <c r="J4959" s="37"/>
    </row>
    <row r="4960" spans="1:10" ht="15.95" customHeight="1" x14ac:dyDescent="0.2">
      <c r="A4960" s="39"/>
      <c r="B4960" s="36"/>
      <c r="C4960" s="37"/>
      <c r="D4960" s="37"/>
      <c r="E4960" s="37"/>
      <c r="F4960" s="37"/>
      <c r="G4960" s="37"/>
      <c r="H4960" s="37"/>
      <c r="I4960" s="35"/>
      <c r="J4960" s="37"/>
    </row>
    <row r="4961" spans="1:10" ht="15.95" customHeight="1" x14ac:dyDescent="0.2">
      <c r="A4961" s="39"/>
      <c r="B4961" s="36"/>
      <c r="C4961" s="37"/>
      <c r="D4961" s="37"/>
      <c r="E4961" s="37"/>
      <c r="F4961" s="37"/>
      <c r="G4961" s="37"/>
      <c r="H4961" s="37"/>
      <c r="I4961" s="35"/>
      <c r="J4961" s="37"/>
    </row>
    <row r="4962" spans="1:10" ht="15.95" customHeight="1" x14ac:dyDescent="0.2">
      <c r="A4962" s="39"/>
      <c r="B4962" s="36"/>
      <c r="C4962" s="37"/>
      <c r="D4962" s="37"/>
      <c r="E4962" s="37"/>
      <c r="F4962" s="37"/>
      <c r="G4962" s="37"/>
      <c r="H4962" s="37"/>
      <c r="I4962" s="35"/>
      <c r="J4962" s="37"/>
    </row>
    <row r="4963" spans="1:10" ht="15.95" customHeight="1" x14ac:dyDescent="0.2">
      <c r="A4963" s="39"/>
      <c r="B4963" s="36"/>
      <c r="C4963" s="37"/>
      <c r="D4963" s="37"/>
      <c r="E4963" s="37"/>
      <c r="F4963" s="37"/>
      <c r="G4963" s="37"/>
      <c r="H4963" s="37"/>
      <c r="I4963" s="35"/>
      <c r="J4963" s="37"/>
    </row>
    <row r="4964" spans="1:10" ht="15.95" customHeight="1" x14ac:dyDescent="0.2">
      <c r="A4964" s="39"/>
      <c r="B4964" s="36"/>
      <c r="C4964" s="37"/>
      <c r="D4964" s="37"/>
      <c r="E4964" s="37"/>
      <c r="F4964" s="37"/>
      <c r="G4964" s="37"/>
      <c r="H4964" s="37"/>
      <c r="I4964" s="35"/>
      <c r="J4964" s="37"/>
    </row>
    <row r="4965" spans="1:10" ht="15.95" customHeight="1" x14ac:dyDescent="0.2">
      <c r="A4965" s="39"/>
      <c r="B4965" s="36"/>
      <c r="C4965" s="37"/>
      <c r="D4965" s="37"/>
      <c r="E4965" s="37"/>
      <c r="F4965" s="37"/>
      <c r="G4965" s="37"/>
      <c r="H4965" s="37"/>
      <c r="I4965" s="35"/>
      <c r="J4965" s="37"/>
    </row>
    <row r="4966" spans="1:10" ht="15.95" customHeight="1" x14ac:dyDescent="0.2">
      <c r="A4966" s="39"/>
      <c r="B4966" s="36"/>
      <c r="C4966" s="37"/>
      <c r="D4966" s="37"/>
      <c r="E4966" s="37"/>
      <c r="F4966" s="37"/>
      <c r="G4966" s="37"/>
      <c r="H4966" s="37"/>
      <c r="I4966" s="35"/>
      <c r="J4966" s="37"/>
    </row>
    <row r="4967" spans="1:10" ht="15.95" customHeight="1" x14ac:dyDescent="0.2">
      <c r="A4967" s="39"/>
      <c r="B4967" s="36"/>
      <c r="C4967" s="37"/>
      <c r="D4967" s="37"/>
      <c r="E4967" s="37"/>
      <c r="F4967" s="37"/>
      <c r="G4967" s="37"/>
      <c r="H4967" s="37"/>
      <c r="I4967" s="35"/>
      <c r="J4967" s="37"/>
    </row>
    <row r="4968" spans="1:10" ht="15.95" customHeight="1" x14ac:dyDescent="0.2">
      <c r="A4968" s="39"/>
      <c r="B4968" s="36"/>
      <c r="C4968" s="37"/>
      <c r="D4968" s="37"/>
      <c r="E4968" s="37"/>
      <c r="F4968" s="37"/>
      <c r="G4968" s="37"/>
      <c r="H4968" s="37"/>
      <c r="I4968" s="35"/>
      <c r="J4968" s="37"/>
    </row>
    <row r="4969" spans="1:10" ht="15.95" customHeight="1" x14ac:dyDescent="0.2">
      <c r="A4969" s="39"/>
      <c r="B4969" s="36"/>
      <c r="C4969" s="37"/>
      <c r="D4969" s="37"/>
      <c r="E4969" s="37"/>
      <c r="F4969" s="37"/>
      <c r="G4969" s="37"/>
      <c r="H4969" s="37"/>
      <c r="I4969" s="35"/>
      <c r="J4969" s="37"/>
    </row>
    <row r="4970" spans="1:10" ht="15.95" customHeight="1" x14ac:dyDescent="0.2">
      <c r="A4970" s="39"/>
      <c r="B4970" s="36"/>
      <c r="C4970" s="37"/>
      <c r="D4970" s="37"/>
      <c r="E4970" s="37"/>
      <c r="F4970" s="37"/>
      <c r="G4970" s="37"/>
      <c r="H4970" s="37"/>
      <c r="I4970" s="35"/>
      <c r="J4970" s="37"/>
    </row>
    <row r="4971" spans="1:10" ht="15.95" customHeight="1" x14ac:dyDescent="0.2">
      <c r="A4971" s="39"/>
      <c r="B4971" s="36"/>
      <c r="C4971" s="37"/>
      <c r="D4971" s="37"/>
      <c r="E4971" s="37"/>
      <c r="F4971" s="37"/>
      <c r="G4971" s="37"/>
      <c r="H4971" s="37"/>
      <c r="I4971" s="35"/>
      <c r="J4971" s="37"/>
    </row>
    <row r="4972" spans="1:10" ht="15.95" customHeight="1" x14ac:dyDescent="0.2">
      <c r="A4972" s="39"/>
      <c r="B4972" s="36"/>
      <c r="C4972" s="37"/>
      <c r="D4972" s="37"/>
      <c r="E4972" s="37"/>
      <c r="F4972" s="37"/>
      <c r="G4972" s="37"/>
      <c r="H4972" s="37"/>
      <c r="I4972" s="35"/>
      <c r="J4972" s="37"/>
    </row>
    <row r="4973" spans="1:10" ht="15.95" customHeight="1" x14ac:dyDescent="0.2">
      <c r="A4973" s="39"/>
      <c r="B4973" s="36"/>
      <c r="C4973" s="37"/>
      <c r="D4973" s="37"/>
      <c r="E4973" s="37"/>
      <c r="F4973" s="37"/>
      <c r="G4973" s="37"/>
      <c r="H4973" s="37"/>
      <c r="I4973" s="35"/>
      <c r="J4973" s="37"/>
    </row>
    <row r="4974" spans="1:10" ht="15.95" customHeight="1" x14ac:dyDescent="0.2">
      <c r="A4974" s="39"/>
      <c r="B4974" s="36"/>
      <c r="C4974" s="37"/>
      <c r="D4974" s="37"/>
      <c r="E4974" s="37"/>
      <c r="F4974" s="37"/>
      <c r="G4974" s="37"/>
      <c r="H4974" s="37"/>
      <c r="I4974" s="35"/>
      <c r="J4974" s="37"/>
    </row>
    <row r="4975" spans="1:10" ht="15.95" customHeight="1" x14ac:dyDescent="0.2">
      <c r="A4975" s="39"/>
      <c r="B4975" s="36"/>
      <c r="C4975" s="37"/>
      <c r="D4975" s="37"/>
      <c r="E4975" s="37"/>
      <c r="F4975" s="37"/>
      <c r="G4975" s="37"/>
      <c r="H4975" s="37"/>
      <c r="I4975" s="35"/>
      <c r="J4975" s="37"/>
    </row>
    <row r="4976" spans="1:10" ht="15.95" customHeight="1" x14ac:dyDescent="0.2">
      <c r="A4976" s="39"/>
      <c r="B4976" s="36"/>
      <c r="C4976" s="37"/>
      <c r="D4976" s="37"/>
      <c r="E4976" s="37"/>
      <c r="F4976" s="37"/>
      <c r="G4976" s="37"/>
      <c r="H4976" s="37"/>
      <c r="I4976" s="35"/>
      <c r="J4976" s="37"/>
    </row>
    <row r="4977" spans="1:10" ht="15.95" customHeight="1" x14ac:dyDescent="0.2">
      <c r="A4977" s="39"/>
      <c r="B4977" s="36"/>
      <c r="C4977" s="37"/>
      <c r="D4977" s="37"/>
      <c r="E4977" s="37"/>
      <c r="F4977" s="37"/>
      <c r="G4977" s="37"/>
      <c r="H4977" s="37"/>
      <c r="I4977" s="35"/>
      <c r="J4977" s="37"/>
    </row>
    <row r="4978" spans="1:10" ht="15.95" customHeight="1" x14ac:dyDescent="0.2">
      <c r="A4978" s="39"/>
      <c r="B4978" s="36"/>
      <c r="C4978" s="37"/>
      <c r="D4978" s="37"/>
      <c r="E4978" s="37"/>
      <c r="F4978" s="37"/>
      <c r="G4978" s="37"/>
      <c r="H4978" s="37"/>
      <c r="I4978" s="35"/>
      <c r="J4978" s="37"/>
    </row>
    <row r="4979" spans="1:10" ht="15.95" customHeight="1" x14ac:dyDescent="0.2">
      <c r="A4979" s="39"/>
      <c r="B4979" s="36"/>
      <c r="C4979" s="37"/>
      <c r="D4979" s="37"/>
      <c r="E4979" s="37"/>
      <c r="F4979" s="37"/>
      <c r="G4979" s="37"/>
      <c r="H4979" s="37"/>
      <c r="I4979" s="35"/>
      <c r="J4979" s="37"/>
    </row>
    <row r="4980" spans="1:10" ht="15.95" customHeight="1" x14ac:dyDescent="0.2">
      <c r="A4980" s="39"/>
      <c r="B4980" s="36"/>
      <c r="C4980" s="37"/>
      <c r="D4980" s="37"/>
      <c r="E4980" s="37"/>
      <c r="F4980" s="37"/>
      <c r="G4980" s="37"/>
      <c r="H4980" s="37"/>
      <c r="I4980" s="35"/>
      <c r="J4980" s="37"/>
    </row>
    <row r="4981" spans="1:10" ht="15.95" customHeight="1" x14ac:dyDescent="0.2">
      <c r="A4981" s="39"/>
      <c r="B4981" s="36"/>
      <c r="C4981" s="37"/>
      <c r="D4981" s="37"/>
      <c r="E4981" s="37"/>
      <c r="F4981" s="37"/>
      <c r="G4981" s="37"/>
      <c r="H4981" s="37"/>
      <c r="I4981" s="35"/>
      <c r="J4981" s="37"/>
    </row>
    <row r="4982" spans="1:10" ht="15.95" customHeight="1" x14ac:dyDescent="0.2">
      <c r="A4982" s="39"/>
      <c r="B4982" s="36"/>
      <c r="C4982" s="37"/>
      <c r="D4982" s="37"/>
      <c r="E4982" s="37"/>
      <c r="F4982" s="37"/>
      <c r="G4982" s="37"/>
      <c r="H4982" s="37"/>
      <c r="I4982" s="35"/>
      <c r="J4982" s="37"/>
    </row>
    <row r="4983" spans="1:10" ht="15.95" customHeight="1" x14ac:dyDescent="0.2">
      <c r="A4983" s="39"/>
      <c r="B4983" s="36"/>
      <c r="C4983" s="37"/>
      <c r="D4983" s="37"/>
      <c r="E4983" s="37"/>
      <c r="F4983" s="37"/>
      <c r="G4983" s="37"/>
      <c r="H4983" s="37"/>
      <c r="I4983" s="35"/>
      <c r="J4983" s="37"/>
    </row>
    <row r="4984" spans="1:10" ht="15.95" customHeight="1" x14ac:dyDescent="0.2">
      <c r="A4984" s="39"/>
      <c r="B4984" s="36"/>
      <c r="C4984" s="37"/>
      <c r="D4984" s="37"/>
      <c r="E4984" s="37"/>
      <c r="F4984" s="37"/>
      <c r="G4984" s="37"/>
      <c r="H4984" s="37"/>
      <c r="I4984" s="35"/>
      <c r="J4984" s="37"/>
    </row>
    <row r="4985" spans="1:10" ht="15.95" customHeight="1" x14ac:dyDescent="0.2">
      <c r="A4985" s="39"/>
      <c r="B4985" s="36"/>
      <c r="C4985" s="37"/>
      <c r="D4985" s="37"/>
      <c r="E4985" s="37"/>
      <c r="F4985" s="37"/>
      <c r="G4985" s="37"/>
      <c r="H4985" s="37"/>
      <c r="I4985" s="35"/>
      <c r="J4985" s="37"/>
    </row>
    <row r="4986" spans="1:10" ht="15.95" customHeight="1" x14ac:dyDescent="0.2">
      <c r="A4986" s="39"/>
      <c r="B4986" s="36"/>
      <c r="C4986" s="37"/>
      <c r="D4986" s="37"/>
      <c r="E4986" s="37"/>
      <c r="F4986" s="37"/>
      <c r="G4986" s="37"/>
      <c r="H4986" s="37"/>
      <c r="I4986" s="35"/>
      <c r="J4986" s="37"/>
    </row>
    <row r="4987" spans="1:10" ht="15.95" customHeight="1" x14ac:dyDescent="0.2">
      <c r="A4987" s="39"/>
      <c r="B4987" s="36"/>
      <c r="C4987" s="37"/>
      <c r="D4987" s="37"/>
      <c r="E4987" s="37"/>
      <c r="F4987" s="37"/>
      <c r="G4987" s="37"/>
      <c r="H4987" s="37"/>
      <c r="I4987" s="35"/>
      <c r="J4987" s="37"/>
    </row>
    <row r="4988" spans="1:10" ht="15.95" customHeight="1" x14ac:dyDescent="0.2">
      <c r="A4988" s="39"/>
      <c r="B4988" s="36"/>
      <c r="C4988" s="37"/>
      <c r="D4988" s="37"/>
      <c r="E4988" s="37"/>
      <c r="F4988" s="37"/>
      <c r="G4988" s="37"/>
      <c r="H4988" s="37"/>
      <c r="I4988" s="35"/>
      <c r="J4988" s="37"/>
    </row>
    <row r="4989" spans="1:10" ht="15.95" customHeight="1" x14ac:dyDescent="0.2">
      <c r="A4989" s="39"/>
      <c r="B4989" s="36"/>
      <c r="C4989" s="37"/>
      <c r="D4989" s="37"/>
      <c r="E4989" s="37"/>
      <c r="F4989" s="37"/>
      <c r="G4989" s="37"/>
      <c r="H4989" s="37"/>
      <c r="I4989" s="35"/>
      <c r="J4989" s="37"/>
    </row>
    <row r="4990" spans="1:10" ht="15.95" customHeight="1" x14ac:dyDescent="0.2">
      <c r="A4990" s="39"/>
      <c r="B4990" s="36"/>
      <c r="C4990" s="37"/>
      <c r="D4990" s="37"/>
      <c r="E4990" s="37"/>
      <c r="F4990" s="37"/>
      <c r="G4990" s="37"/>
      <c r="H4990" s="37"/>
      <c r="I4990" s="35"/>
      <c r="J4990" s="37"/>
    </row>
    <row r="4991" spans="1:10" ht="15.95" customHeight="1" x14ac:dyDescent="0.2">
      <c r="A4991" s="39"/>
      <c r="B4991" s="36"/>
      <c r="C4991" s="37"/>
      <c r="D4991" s="37"/>
      <c r="E4991" s="37"/>
      <c r="F4991" s="37"/>
      <c r="G4991" s="37"/>
      <c r="H4991" s="37"/>
      <c r="I4991" s="35"/>
      <c r="J4991" s="37"/>
    </row>
    <row r="4992" spans="1:10" ht="15.95" customHeight="1" x14ac:dyDescent="0.2">
      <c r="A4992" s="39"/>
      <c r="B4992" s="36"/>
      <c r="C4992" s="37"/>
      <c r="D4992" s="37"/>
      <c r="E4992" s="37"/>
      <c r="F4992" s="37"/>
      <c r="G4992" s="37"/>
      <c r="H4992" s="37"/>
      <c r="I4992" s="35"/>
      <c r="J4992" s="37"/>
    </row>
    <row r="4993" spans="1:10" ht="15.95" customHeight="1" x14ac:dyDescent="0.2">
      <c r="A4993" s="39"/>
      <c r="B4993" s="36"/>
      <c r="C4993" s="37"/>
      <c r="D4993" s="37"/>
      <c r="E4993" s="37"/>
      <c r="F4993" s="37"/>
      <c r="G4993" s="37"/>
      <c r="H4993" s="37"/>
      <c r="I4993" s="35"/>
      <c r="J4993" s="37"/>
    </row>
    <row r="4994" spans="1:10" ht="15.95" customHeight="1" x14ac:dyDescent="0.2">
      <c r="A4994" s="39"/>
      <c r="B4994" s="36"/>
      <c r="C4994" s="37"/>
      <c r="D4994" s="37"/>
      <c r="E4994" s="37"/>
      <c r="F4994" s="37"/>
      <c r="G4994" s="37"/>
      <c r="H4994" s="37"/>
      <c r="I4994" s="35"/>
      <c r="J4994" s="37"/>
    </row>
    <row r="4995" spans="1:10" ht="15.95" customHeight="1" x14ac:dyDescent="0.2">
      <c r="A4995" s="39"/>
      <c r="B4995" s="36"/>
      <c r="C4995" s="37"/>
      <c r="D4995" s="37"/>
      <c r="E4995" s="37"/>
      <c r="F4995" s="37"/>
      <c r="G4995" s="37"/>
      <c r="H4995" s="37"/>
      <c r="I4995" s="35"/>
      <c r="J4995" s="37"/>
    </row>
    <row r="4996" spans="1:10" ht="15.95" customHeight="1" x14ac:dyDescent="0.2">
      <c r="A4996" s="39"/>
      <c r="B4996" s="36"/>
      <c r="C4996" s="37"/>
      <c r="D4996" s="37"/>
      <c r="E4996" s="37"/>
      <c r="F4996" s="37"/>
      <c r="G4996" s="37"/>
      <c r="H4996" s="37"/>
      <c r="I4996" s="35"/>
      <c r="J4996" s="37"/>
    </row>
    <row r="4997" spans="1:10" ht="15.95" customHeight="1" x14ac:dyDescent="0.2">
      <c r="A4997" s="39"/>
      <c r="B4997" s="36"/>
      <c r="C4997" s="37"/>
      <c r="D4997" s="37"/>
      <c r="E4997" s="37"/>
      <c r="F4997" s="37"/>
      <c r="G4997" s="37"/>
      <c r="H4997" s="37"/>
      <c r="I4997" s="35"/>
      <c r="J4997" s="37"/>
    </row>
    <row r="4998" spans="1:10" ht="15.95" customHeight="1" x14ac:dyDescent="0.2">
      <c r="A4998" s="39"/>
      <c r="B4998" s="36"/>
      <c r="C4998" s="37"/>
      <c r="D4998" s="37"/>
      <c r="E4998" s="37"/>
      <c r="F4998" s="37"/>
      <c r="G4998" s="37"/>
      <c r="H4998" s="37"/>
      <c r="I4998" s="35"/>
      <c r="J4998" s="37"/>
    </row>
    <row r="4999" spans="1:10" ht="15.95" customHeight="1" x14ac:dyDescent="0.2">
      <c r="A4999" s="39"/>
      <c r="B4999" s="36"/>
      <c r="C4999" s="37"/>
      <c r="D4999" s="37"/>
      <c r="E4999" s="37"/>
      <c r="F4999" s="37"/>
      <c r="G4999" s="37"/>
      <c r="H4999" s="37"/>
      <c r="I4999" s="35"/>
      <c r="J4999" s="37"/>
    </row>
    <row r="5000" spans="1:10" ht="15.95" customHeight="1" x14ac:dyDescent="0.2">
      <c r="A5000" s="39"/>
      <c r="B5000" s="36"/>
      <c r="C5000" s="37"/>
      <c r="D5000" s="37"/>
      <c r="E5000" s="37"/>
      <c r="F5000" s="37"/>
      <c r="G5000" s="37"/>
      <c r="H5000" s="37"/>
      <c r="I5000" s="35"/>
      <c r="J5000" s="37"/>
    </row>
    <row r="5001" spans="1:10" ht="15.95" customHeight="1" x14ac:dyDescent="0.2">
      <c r="A5001" s="39"/>
      <c r="B5001" s="36"/>
      <c r="C5001" s="37"/>
      <c r="D5001" s="37"/>
      <c r="E5001" s="37"/>
      <c r="F5001" s="37"/>
      <c r="G5001" s="37"/>
      <c r="H5001" s="37"/>
      <c r="I5001" s="35"/>
      <c r="J5001" s="37"/>
    </row>
    <row r="5002" spans="1:10" ht="15.95" customHeight="1" x14ac:dyDescent="0.2">
      <c r="A5002" s="39"/>
      <c r="B5002" s="36"/>
      <c r="C5002" s="37"/>
      <c r="D5002" s="37"/>
      <c r="E5002" s="37"/>
      <c r="F5002" s="37"/>
      <c r="G5002" s="37"/>
      <c r="H5002" s="37"/>
      <c r="I5002" s="35"/>
      <c r="J5002" s="37"/>
    </row>
    <row r="5003" spans="1:10" ht="15.95" customHeight="1" x14ac:dyDescent="0.2">
      <c r="A5003" s="39"/>
      <c r="B5003" s="36"/>
      <c r="C5003" s="37"/>
      <c r="D5003" s="37"/>
      <c r="E5003" s="37"/>
      <c r="F5003" s="37"/>
      <c r="G5003" s="37"/>
      <c r="H5003" s="37"/>
      <c r="I5003" s="35"/>
      <c r="J5003" s="37"/>
    </row>
    <row r="5004" spans="1:10" ht="15.95" customHeight="1" x14ac:dyDescent="0.2">
      <c r="A5004" s="39"/>
      <c r="B5004" s="36"/>
      <c r="C5004" s="37"/>
      <c r="D5004" s="37"/>
      <c r="E5004" s="37"/>
      <c r="F5004" s="37"/>
      <c r="G5004" s="37"/>
      <c r="H5004" s="37"/>
      <c r="I5004" s="35"/>
      <c r="J5004" s="37"/>
    </row>
    <row r="5005" spans="1:10" ht="15.95" customHeight="1" x14ac:dyDescent="0.2">
      <c r="A5005" s="39"/>
      <c r="B5005" s="36"/>
      <c r="C5005" s="37"/>
      <c r="D5005" s="37"/>
      <c r="E5005" s="37"/>
      <c r="F5005" s="37"/>
      <c r="G5005" s="37"/>
      <c r="H5005" s="37"/>
      <c r="I5005" s="35"/>
      <c r="J5005" s="37"/>
    </row>
    <row r="5006" spans="1:10" ht="15.95" customHeight="1" x14ac:dyDescent="0.2">
      <c r="A5006" s="39"/>
      <c r="B5006" s="36"/>
      <c r="C5006" s="37"/>
      <c r="D5006" s="37"/>
      <c r="E5006" s="37"/>
      <c r="F5006" s="37"/>
      <c r="G5006" s="37"/>
      <c r="H5006" s="37"/>
      <c r="I5006" s="35"/>
      <c r="J5006" s="37"/>
    </row>
    <row r="5007" spans="1:10" ht="15.95" customHeight="1" x14ac:dyDescent="0.2">
      <c r="A5007" s="39"/>
      <c r="B5007" s="36"/>
      <c r="C5007" s="37"/>
      <c r="D5007" s="37"/>
      <c r="E5007" s="37"/>
      <c r="F5007" s="37"/>
      <c r="G5007" s="37"/>
      <c r="H5007" s="37"/>
      <c r="I5007" s="35"/>
      <c r="J5007" s="37"/>
    </row>
    <row r="5008" spans="1:10" ht="15.95" customHeight="1" x14ac:dyDescent="0.2">
      <c r="A5008" s="39"/>
      <c r="B5008" s="36"/>
      <c r="C5008" s="37"/>
      <c r="D5008" s="37"/>
      <c r="E5008" s="37"/>
      <c r="F5008" s="37"/>
      <c r="G5008" s="37"/>
      <c r="H5008" s="37"/>
      <c r="I5008" s="35"/>
      <c r="J5008" s="37"/>
    </row>
    <row r="5009" spans="1:10" ht="15.95" customHeight="1" x14ac:dyDescent="0.2">
      <c r="A5009" s="39"/>
      <c r="B5009" s="36"/>
      <c r="C5009" s="37"/>
      <c r="D5009" s="37"/>
      <c r="E5009" s="37"/>
      <c r="F5009" s="37"/>
      <c r="G5009" s="37"/>
      <c r="H5009" s="37"/>
      <c r="I5009" s="35"/>
      <c r="J5009" s="37"/>
    </row>
    <row r="5010" spans="1:10" ht="15.95" customHeight="1" x14ac:dyDescent="0.2">
      <c r="A5010" s="39"/>
      <c r="B5010" s="36"/>
      <c r="C5010" s="37"/>
      <c r="D5010" s="37"/>
      <c r="E5010" s="37"/>
      <c r="F5010" s="37"/>
      <c r="G5010" s="37"/>
      <c r="H5010" s="37"/>
      <c r="I5010" s="35"/>
      <c r="J5010" s="37"/>
    </row>
    <row r="5011" spans="1:10" ht="15.95" customHeight="1" x14ac:dyDescent="0.2">
      <c r="A5011" s="39"/>
      <c r="B5011" s="36"/>
      <c r="C5011" s="37"/>
      <c r="D5011" s="37"/>
      <c r="E5011" s="37"/>
      <c r="F5011" s="37"/>
      <c r="G5011" s="37"/>
      <c r="H5011" s="37"/>
      <c r="I5011" s="35"/>
      <c r="J5011" s="37"/>
    </row>
    <row r="5012" spans="1:10" ht="15.95" customHeight="1" x14ac:dyDescent="0.2">
      <c r="A5012" s="39"/>
      <c r="B5012" s="36"/>
      <c r="C5012" s="37"/>
      <c r="D5012" s="37"/>
      <c r="E5012" s="37"/>
      <c r="F5012" s="37"/>
      <c r="G5012" s="37"/>
      <c r="H5012" s="37"/>
      <c r="I5012" s="35"/>
      <c r="J5012" s="37"/>
    </row>
    <row r="5013" spans="1:10" ht="15.95" customHeight="1" x14ac:dyDescent="0.2">
      <c r="A5013" s="39"/>
      <c r="B5013" s="36"/>
      <c r="C5013" s="37"/>
      <c r="D5013" s="37"/>
      <c r="E5013" s="37"/>
      <c r="F5013" s="37"/>
      <c r="G5013" s="37"/>
      <c r="H5013" s="37"/>
      <c r="I5013" s="35"/>
      <c r="J5013" s="37"/>
    </row>
    <row r="5014" spans="1:10" ht="15.95" customHeight="1" x14ac:dyDescent="0.2">
      <c r="A5014" s="39"/>
      <c r="B5014" s="36"/>
      <c r="C5014" s="37"/>
      <c r="D5014" s="37"/>
      <c r="E5014" s="37"/>
      <c r="F5014" s="37"/>
      <c r="G5014" s="37"/>
      <c r="H5014" s="37"/>
      <c r="I5014" s="35"/>
      <c r="J5014" s="37"/>
    </row>
    <row r="5015" spans="1:10" ht="15.95" customHeight="1" x14ac:dyDescent="0.2">
      <c r="A5015" s="39"/>
      <c r="B5015" s="36"/>
      <c r="C5015" s="37"/>
      <c r="D5015" s="37"/>
      <c r="E5015" s="37"/>
      <c r="F5015" s="37"/>
      <c r="G5015" s="37"/>
      <c r="H5015" s="37"/>
      <c r="I5015" s="35"/>
      <c r="J5015" s="37"/>
    </row>
    <row r="5016" spans="1:10" ht="15.95" customHeight="1" x14ac:dyDescent="0.2">
      <c r="A5016" s="39"/>
      <c r="B5016" s="36"/>
      <c r="C5016" s="37"/>
      <c r="D5016" s="37"/>
      <c r="E5016" s="37"/>
      <c r="F5016" s="37"/>
      <c r="G5016" s="37"/>
      <c r="H5016" s="37"/>
      <c r="I5016" s="35"/>
      <c r="J5016" s="37"/>
    </row>
    <row r="5017" spans="1:10" ht="15.95" customHeight="1" x14ac:dyDescent="0.2">
      <c r="A5017" s="39"/>
      <c r="B5017" s="36"/>
      <c r="C5017" s="37"/>
      <c r="D5017" s="37"/>
      <c r="E5017" s="37"/>
      <c r="F5017" s="37"/>
      <c r="G5017" s="37"/>
      <c r="H5017" s="37"/>
      <c r="I5017" s="35"/>
      <c r="J5017" s="37"/>
    </row>
    <row r="5018" spans="1:10" ht="15.95" customHeight="1" x14ac:dyDescent="0.2">
      <c r="A5018" s="39"/>
      <c r="B5018" s="36"/>
      <c r="C5018" s="37"/>
      <c r="D5018" s="37"/>
      <c r="E5018" s="37"/>
      <c r="F5018" s="37"/>
      <c r="G5018" s="37"/>
      <c r="H5018" s="37"/>
      <c r="I5018" s="35"/>
      <c r="J5018" s="37"/>
    </row>
    <row r="5019" spans="1:10" ht="15.95" customHeight="1" x14ac:dyDescent="0.2">
      <c r="A5019" s="39"/>
      <c r="B5019" s="36"/>
      <c r="C5019" s="37"/>
      <c r="D5019" s="37"/>
      <c r="E5019" s="37"/>
      <c r="F5019" s="37"/>
      <c r="G5019" s="37"/>
      <c r="H5019" s="37"/>
      <c r="I5019" s="35"/>
      <c r="J5019" s="37"/>
    </row>
    <row r="5020" spans="1:10" ht="15.95" customHeight="1" x14ac:dyDescent="0.2">
      <c r="A5020" s="39"/>
      <c r="B5020" s="36"/>
      <c r="C5020" s="37"/>
      <c r="D5020" s="37"/>
      <c r="E5020" s="37"/>
      <c r="F5020" s="37"/>
      <c r="G5020" s="37"/>
      <c r="H5020" s="37"/>
      <c r="I5020" s="35"/>
      <c r="J5020" s="37"/>
    </row>
    <row r="5021" spans="1:10" ht="15.95" customHeight="1" x14ac:dyDescent="0.2">
      <c r="A5021" s="39"/>
      <c r="B5021" s="36"/>
      <c r="C5021" s="37"/>
      <c r="D5021" s="37"/>
      <c r="E5021" s="37"/>
      <c r="F5021" s="37"/>
      <c r="G5021" s="37"/>
      <c r="H5021" s="37"/>
      <c r="I5021" s="35"/>
      <c r="J5021" s="37"/>
    </row>
    <row r="5022" spans="1:10" ht="15.95" customHeight="1" x14ac:dyDescent="0.2">
      <c r="A5022" s="39"/>
      <c r="B5022" s="36"/>
      <c r="C5022" s="37"/>
      <c r="D5022" s="37"/>
      <c r="E5022" s="37"/>
      <c r="F5022" s="37"/>
      <c r="G5022" s="37"/>
      <c r="H5022" s="37"/>
      <c r="I5022" s="35"/>
      <c r="J5022" s="37"/>
    </row>
    <row r="5023" spans="1:10" ht="15.95" customHeight="1" x14ac:dyDescent="0.2">
      <c r="A5023" s="39"/>
      <c r="B5023" s="36"/>
      <c r="C5023" s="37"/>
      <c r="D5023" s="37"/>
      <c r="E5023" s="37"/>
      <c r="F5023" s="37"/>
      <c r="G5023" s="37"/>
      <c r="H5023" s="37"/>
      <c r="I5023" s="35"/>
      <c r="J5023" s="37"/>
    </row>
    <row r="5024" spans="1:10" ht="15.95" customHeight="1" x14ac:dyDescent="0.2">
      <c r="A5024" s="39"/>
      <c r="B5024" s="36"/>
      <c r="C5024" s="37"/>
      <c r="D5024" s="37"/>
      <c r="E5024" s="37"/>
      <c r="F5024" s="37"/>
      <c r="G5024" s="37"/>
      <c r="H5024" s="37"/>
      <c r="I5024" s="35"/>
      <c r="J5024" s="37"/>
    </row>
    <row r="5025" spans="1:10" ht="15.95" customHeight="1" x14ac:dyDescent="0.2">
      <c r="A5025" s="39"/>
      <c r="B5025" s="36"/>
      <c r="C5025" s="37"/>
      <c r="D5025" s="37"/>
      <c r="E5025" s="37"/>
      <c r="F5025" s="37"/>
      <c r="G5025" s="37"/>
      <c r="H5025" s="37"/>
      <c r="I5025" s="35"/>
      <c r="J5025" s="37"/>
    </row>
    <row r="5026" spans="1:10" ht="15.95" customHeight="1" x14ac:dyDescent="0.2">
      <c r="A5026" s="39"/>
      <c r="B5026" s="36"/>
      <c r="C5026" s="37"/>
      <c r="D5026" s="37"/>
      <c r="E5026" s="37"/>
      <c r="F5026" s="37"/>
      <c r="G5026" s="37"/>
      <c r="H5026" s="37"/>
      <c r="I5026" s="35"/>
      <c r="J5026" s="37"/>
    </row>
    <row r="5027" spans="1:10" ht="15.95" customHeight="1" x14ac:dyDescent="0.2">
      <c r="A5027" s="39"/>
      <c r="B5027" s="36"/>
      <c r="C5027" s="37"/>
      <c r="D5027" s="37"/>
      <c r="E5027" s="37"/>
      <c r="F5027" s="37"/>
      <c r="G5027" s="37"/>
      <c r="H5027" s="37"/>
      <c r="I5027" s="35"/>
      <c r="J5027" s="37"/>
    </row>
    <row r="5028" spans="1:10" ht="15.95" customHeight="1" x14ac:dyDescent="0.2">
      <c r="A5028" s="39"/>
      <c r="B5028" s="36"/>
      <c r="C5028" s="37"/>
      <c r="D5028" s="37"/>
      <c r="E5028" s="37"/>
      <c r="F5028" s="37"/>
      <c r="G5028" s="37"/>
      <c r="H5028" s="37"/>
      <c r="I5028" s="35"/>
      <c r="J5028" s="37"/>
    </row>
    <row r="5029" spans="1:10" ht="15.95" customHeight="1" x14ac:dyDescent="0.2">
      <c r="A5029" s="39"/>
      <c r="B5029" s="36"/>
      <c r="C5029" s="37"/>
      <c r="D5029" s="37"/>
      <c r="E5029" s="37"/>
      <c r="F5029" s="37"/>
      <c r="G5029" s="37"/>
      <c r="H5029" s="37"/>
      <c r="I5029" s="35"/>
      <c r="J5029" s="37"/>
    </row>
    <row r="5030" spans="1:10" ht="15.95" customHeight="1" x14ac:dyDescent="0.2">
      <c r="A5030" s="39"/>
      <c r="B5030" s="36"/>
      <c r="C5030" s="37"/>
      <c r="D5030" s="37"/>
      <c r="E5030" s="37"/>
      <c r="F5030" s="37"/>
      <c r="G5030" s="37"/>
      <c r="H5030" s="37"/>
      <c r="I5030" s="35"/>
      <c r="J5030" s="37"/>
    </row>
    <row r="5031" spans="1:10" ht="15.95" customHeight="1" x14ac:dyDescent="0.2">
      <c r="A5031" s="39"/>
      <c r="B5031" s="36"/>
      <c r="C5031" s="37"/>
      <c r="D5031" s="37"/>
      <c r="E5031" s="37"/>
      <c r="F5031" s="37"/>
      <c r="G5031" s="37"/>
      <c r="H5031" s="37"/>
      <c r="I5031" s="35"/>
      <c r="J5031" s="37"/>
    </row>
    <row r="5032" spans="1:10" ht="15.95" customHeight="1" x14ac:dyDescent="0.2">
      <c r="A5032" s="39"/>
      <c r="B5032" s="36"/>
      <c r="C5032" s="37"/>
      <c r="D5032" s="37"/>
      <c r="E5032" s="37"/>
      <c r="F5032" s="37"/>
      <c r="G5032" s="37"/>
      <c r="H5032" s="37"/>
      <c r="I5032" s="35"/>
      <c r="J5032" s="37"/>
    </row>
    <row r="5033" spans="1:10" ht="15.95" customHeight="1" x14ac:dyDescent="0.2">
      <c r="A5033" s="39"/>
      <c r="B5033" s="36"/>
      <c r="C5033" s="37"/>
      <c r="D5033" s="37"/>
      <c r="E5033" s="37"/>
      <c r="F5033" s="37"/>
      <c r="G5033" s="37"/>
      <c r="H5033" s="37"/>
      <c r="I5033" s="35"/>
      <c r="J5033" s="37"/>
    </row>
    <row r="5034" spans="1:10" ht="15.95" customHeight="1" x14ac:dyDescent="0.2">
      <c r="A5034" s="39"/>
      <c r="B5034" s="36"/>
      <c r="C5034" s="37"/>
      <c r="D5034" s="37"/>
      <c r="E5034" s="37"/>
      <c r="F5034" s="37"/>
      <c r="G5034" s="37"/>
      <c r="H5034" s="37"/>
      <c r="I5034" s="35"/>
      <c r="J5034" s="37"/>
    </row>
    <row r="5035" spans="1:10" ht="15.95" customHeight="1" x14ac:dyDescent="0.2">
      <c r="A5035" s="39"/>
      <c r="B5035" s="36"/>
      <c r="C5035" s="37"/>
      <c r="D5035" s="37"/>
      <c r="E5035" s="37"/>
      <c r="F5035" s="37"/>
      <c r="G5035" s="37"/>
      <c r="H5035" s="37"/>
      <c r="I5035" s="35"/>
      <c r="J5035" s="37"/>
    </row>
    <row r="5036" spans="1:10" ht="15.95" customHeight="1" x14ac:dyDescent="0.2">
      <c r="A5036" s="39"/>
      <c r="B5036" s="36"/>
      <c r="C5036" s="37"/>
      <c r="D5036" s="37"/>
      <c r="E5036" s="37"/>
      <c r="F5036" s="37"/>
      <c r="G5036" s="37"/>
      <c r="H5036" s="37"/>
      <c r="I5036" s="35"/>
      <c r="J5036" s="37"/>
    </row>
    <row r="5037" spans="1:10" ht="15.95" customHeight="1" x14ac:dyDescent="0.2">
      <c r="A5037" s="39"/>
      <c r="B5037" s="36"/>
      <c r="C5037" s="37"/>
      <c r="D5037" s="37"/>
      <c r="E5037" s="37"/>
      <c r="F5037" s="37"/>
      <c r="G5037" s="37"/>
      <c r="H5037" s="37"/>
      <c r="I5037" s="35"/>
      <c r="J5037" s="37"/>
    </row>
    <row r="5038" spans="1:10" ht="15.95" customHeight="1" x14ac:dyDescent="0.2">
      <c r="A5038" s="39"/>
      <c r="B5038" s="36"/>
      <c r="C5038" s="37"/>
      <c r="D5038" s="37"/>
      <c r="E5038" s="37"/>
      <c r="F5038" s="37"/>
      <c r="G5038" s="37"/>
      <c r="H5038" s="37"/>
      <c r="I5038" s="35"/>
      <c r="J5038" s="37"/>
    </row>
    <row r="5039" spans="1:10" ht="15.95" customHeight="1" x14ac:dyDescent="0.2">
      <c r="A5039" s="39"/>
      <c r="B5039" s="36"/>
      <c r="C5039" s="37"/>
      <c r="D5039" s="37"/>
      <c r="E5039" s="37"/>
      <c r="F5039" s="37"/>
      <c r="G5039" s="37"/>
      <c r="H5039" s="37"/>
      <c r="I5039" s="35"/>
      <c r="J5039" s="37"/>
    </row>
    <row r="5040" spans="1:10" ht="15.95" customHeight="1" x14ac:dyDescent="0.2">
      <c r="A5040" s="39"/>
      <c r="B5040" s="36"/>
      <c r="C5040" s="37"/>
      <c r="D5040" s="37"/>
      <c r="E5040" s="37"/>
      <c r="F5040" s="37"/>
      <c r="G5040" s="37"/>
      <c r="H5040" s="37"/>
      <c r="I5040" s="35"/>
      <c r="J5040" s="37"/>
    </row>
    <row r="5041" spans="1:10" ht="15.95" customHeight="1" x14ac:dyDescent="0.2">
      <c r="A5041" s="39"/>
      <c r="B5041" s="36"/>
      <c r="C5041" s="37"/>
      <c r="D5041" s="37"/>
      <c r="E5041" s="37"/>
      <c r="F5041" s="37"/>
      <c r="G5041" s="37"/>
      <c r="H5041" s="37"/>
      <c r="I5041" s="35"/>
      <c r="J5041" s="37"/>
    </row>
    <row r="5042" spans="1:10" ht="15.95" customHeight="1" x14ac:dyDescent="0.2">
      <c r="A5042" s="39"/>
      <c r="B5042" s="36"/>
      <c r="C5042" s="37"/>
      <c r="D5042" s="37"/>
      <c r="E5042" s="37"/>
      <c r="F5042" s="37"/>
      <c r="G5042" s="37"/>
      <c r="H5042" s="37"/>
      <c r="I5042" s="35"/>
      <c r="J5042" s="37"/>
    </row>
    <row r="5043" spans="1:10" ht="15.95" customHeight="1" x14ac:dyDescent="0.2">
      <c r="A5043" s="39"/>
      <c r="B5043" s="36"/>
      <c r="C5043" s="37"/>
      <c r="D5043" s="37"/>
      <c r="E5043" s="37"/>
      <c r="F5043" s="37"/>
      <c r="G5043" s="37"/>
      <c r="H5043" s="37"/>
      <c r="I5043" s="35"/>
      <c r="J5043" s="37"/>
    </row>
    <row r="5044" spans="1:10" ht="15.95" customHeight="1" x14ac:dyDescent="0.2">
      <c r="A5044" s="39"/>
      <c r="B5044" s="36"/>
      <c r="C5044" s="37"/>
      <c r="D5044" s="37"/>
      <c r="E5044" s="37"/>
      <c r="F5044" s="37"/>
      <c r="G5044" s="37"/>
      <c r="H5044" s="37"/>
      <c r="I5044" s="35"/>
      <c r="J5044" s="37"/>
    </row>
    <row r="5045" spans="1:10" ht="15.95" customHeight="1" x14ac:dyDescent="0.2">
      <c r="A5045" s="39"/>
      <c r="B5045" s="36"/>
      <c r="C5045" s="37"/>
      <c r="D5045" s="37"/>
      <c r="E5045" s="37"/>
      <c r="F5045" s="37"/>
      <c r="G5045" s="37"/>
      <c r="H5045" s="37"/>
      <c r="I5045" s="35"/>
      <c r="J5045" s="37"/>
    </row>
    <row r="5046" spans="1:10" ht="15.95" customHeight="1" x14ac:dyDescent="0.2">
      <c r="A5046" s="39"/>
      <c r="B5046" s="36"/>
      <c r="C5046" s="37"/>
      <c r="D5046" s="37"/>
      <c r="E5046" s="37"/>
      <c r="F5046" s="37"/>
      <c r="G5046" s="37"/>
      <c r="H5046" s="37"/>
      <c r="I5046" s="35"/>
      <c r="J5046" s="37"/>
    </row>
    <row r="5047" spans="1:10" ht="15.95" customHeight="1" x14ac:dyDescent="0.2">
      <c r="A5047" s="39"/>
      <c r="B5047" s="36"/>
      <c r="C5047" s="37"/>
      <c r="D5047" s="37"/>
      <c r="E5047" s="37"/>
      <c r="F5047" s="37"/>
      <c r="G5047" s="37"/>
      <c r="H5047" s="37"/>
      <c r="I5047" s="35"/>
      <c r="J5047" s="37"/>
    </row>
    <row r="5048" spans="1:10" ht="15.95" customHeight="1" x14ac:dyDescent="0.2">
      <c r="A5048" s="39"/>
      <c r="B5048" s="36"/>
      <c r="C5048" s="37"/>
      <c r="D5048" s="37"/>
      <c r="E5048" s="37"/>
      <c r="F5048" s="37"/>
      <c r="G5048" s="37"/>
      <c r="H5048" s="37"/>
      <c r="I5048" s="35"/>
      <c r="J5048" s="37"/>
    </row>
    <row r="5049" spans="1:10" ht="15.95" customHeight="1" x14ac:dyDescent="0.2">
      <c r="A5049" s="39"/>
      <c r="B5049" s="36"/>
      <c r="C5049" s="37"/>
      <c r="D5049" s="37"/>
      <c r="E5049" s="37"/>
      <c r="F5049" s="37"/>
      <c r="G5049" s="37"/>
      <c r="H5049" s="37"/>
      <c r="I5049" s="35"/>
      <c r="J5049" s="37"/>
    </row>
    <row r="5050" spans="1:10" ht="15.95" customHeight="1" x14ac:dyDescent="0.2">
      <c r="A5050" s="39"/>
      <c r="B5050" s="36"/>
      <c r="C5050" s="37"/>
      <c r="D5050" s="37"/>
      <c r="E5050" s="37"/>
      <c r="F5050" s="37"/>
      <c r="G5050" s="37"/>
      <c r="H5050" s="37"/>
      <c r="I5050" s="35"/>
      <c r="J5050" s="37"/>
    </row>
    <row r="5051" spans="1:10" ht="15.95" customHeight="1" x14ac:dyDescent="0.2">
      <c r="A5051" s="39"/>
      <c r="B5051" s="36"/>
      <c r="C5051" s="37"/>
      <c r="D5051" s="37"/>
      <c r="E5051" s="37"/>
      <c r="F5051" s="37"/>
      <c r="G5051" s="37"/>
      <c r="H5051" s="37"/>
      <c r="I5051" s="35"/>
      <c r="J5051" s="37"/>
    </row>
    <row r="5052" spans="1:10" ht="15.95" customHeight="1" x14ac:dyDescent="0.2">
      <c r="A5052" s="39"/>
      <c r="B5052" s="36"/>
      <c r="C5052" s="37"/>
      <c r="D5052" s="37"/>
      <c r="E5052" s="37"/>
      <c r="F5052" s="37"/>
      <c r="G5052" s="37"/>
      <c r="H5052" s="37"/>
      <c r="I5052" s="35"/>
      <c r="J5052" s="37"/>
    </row>
    <row r="5053" spans="1:10" ht="15.95" customHeight="1" x14ac:dyDescent="0.2">
      <c r="A5053" s="39"/>
      <c r="B5053" s="36"/>
      <c r="C5053" s="37"/>
      <c r="D5053" s="37"/>
      <c r="E5053" s="37"/>
      <c r="F5053" s="37"/>
      <c r="G5053" s="37"/>
      <c r="H5053" s="37"/>
      <c r="I5053" s="35"/>
      <c r="J5053" s="37"/>
    </row>
    <row r="5054" spans="1:10" ht="15.95" customHeight="1" x14ac:dyDescent="0.2">
      <c r="A5054" s="39"/>
      <c r="B5054" s="36"/>
      <c r="C5054" s="37"/>
      <c r="D5054" s="37"/>
      <c r="E5054" s="37"/>
      <c r="F5054" s="37"/>
      <c r="G5054" s="37"/>
      <c r="H5054" s="37"/>
      <c r="I5054" s="35"/>
      <c r="J5054" s="37"/>
    </row>
    <row r="5055" spans="1:10" ht="15.95" customHeight="1" x14ac:dyDescent="0.2">
      <c r="A5055" s="39"/>
      <c r="B5055" s="36"/>
      <c r="C5055" s="37"/>
      <c r="D5055" s="37"/>
      <c r="E5055" s="37"/>
      <c r="F5055" s="37"/>
      <c r="G5055" s="37"/>
      <c r="H5055" s="37"/>
      <c r="I5055" s="35"/>
      <c r="J5055" s="37"/>
    </row>
    <row r="5056" spans="1:10" ht="15.95" customHeight="1" x14ac:dyDescent="0.2">
      <c r="A5056" s="39"/>
      <c r="B5056" s="36"/>
      <c r="C5056" s="37"/>
      <c r="D5056" s="37"/>
      <c r="E5056" s="37"/>
      <c r="F5056" s="37"/>
      <c r="G5056" s="37"/>
      <c r="H5056" s="37"/>
      <c r="I5056" s="35"/>
      <c r="J5056" s="37"/>
    </row>
    <row r="5057" spans="1:10" ht="15.95" customHeight="1" x14ac:dyDescent="0.2">
      <c r="A5057" s="39"/>
      <c r="B5057" s="36"/>
      <c r="C5057" s="37"/>
      <c r="D5057" s="37"/>
      <c r="E5057" s="37"/>
      <c r="F5057" s="37"/>
      <c r="G5057" s="37"/>
      <c r="H5057" s="37"/>
      <c r="I5057" s="35"/>
      <c r="J5057" s="37"/>
    </row>
    <row r="5058" spans="1:10" ht="15.95" customHeight="1" x14ac:dyDescent="0.2">
      <c r="A5058" s="39"/>
      <c r="B5058" s="36"/>
      <c r="C5058" s="37"/>
      <c r="D5058" s="37"/>
      <c r="E5058" s="37"/>
      <c r="F5058" s="37"/>
      <c r="G5058" s="37"/>
      <c r="H5058" s="37"/>
      <c r="I5058" s="35"/>
      <c r="J5058" s="37"/>
    </row>
    <row r="5059" spans="1:10" ht="15.95" customHeight="1" x14ac:dyDescent="0.2">
      <c r="A5059" s="39"/>
      <c r="B5059" s="36"/>
      <c r="C5059" s="37"/>
      <c r="D5059" s="37"/>
      <c r="E5059" s="37"/>
      <c r="F5059" s="37"/>
      <c r="G5059" s="37"/>
      <c r="H5059" s="37"/>
      <c r="I5059" s="35"/>
      <c r="J5059" s="37"/>
    </row>
    <row r="5060" spans="1:10" ht="15.95" customHeight="1" x14ac:dyDescent="0.2">
      <c r="A5060" s="39"/>
      <c r="B5060" s="36"/>
      <c r="C5060" s="37"/>
      <c r="D5060" s="37"/>
      <c r="E5060" s="37"/>
      <c r="F5060" s="37"/>
      <c r="G5060" s="37"/>
      <c r="H5060" s="37"/>
      <c r="I5060" s="35"/>
      <c r="J5060" s="37"/>
    </row>
    <row r="5061" spans="1:10" ht="15.95" customHeight="1" x14ac:dyDescent="0.2">
      <c r="A5061" s="39"/>
      <c r="B5061" s="36"/>
      <c r="C5061" s="37"/>
      <c r="D5061" s="37"/>
      <c r="E5061" s="37"/>
      <c r="F5061" s="37"/>
      <c r="G5061" s="37"/>
      <c r="H5061" s="37"/>
      <c r="I5061" s="35"/>
      <c r="J5061" s="37"/>
    </row>
    <row r="5062" spans="1:10" ht="15.95" customHeight="1" x14ac:dyDescent="0.2">
      <c r="A5062" s="39"/>
      <c r="B5062" s="36"/>
      <c r="C5062" s="37"/>
      <c r="D5062" s="37"/>
      <c r="E5062" s="37"/>
      <c r="F5062" s="37"/>
      <c r="G5062" s="37"/>
      <c r="H5062" s="37"/>
      <c r="I5062" s="35"/>
      <c r="J5062" s="37"/>
    </row>
    <row r="5063" spans="1:10" ht="15.95" customHeight="1" x14ac:dyDescent="0.2">
      <c r="A5063" s="39"/>
      <c r="B5063" s="36"/>
      <c r="C5063" s="37"/>
      <c r="D5063" s="37"/>
      <c r="E5063" s="37"/>
      <c r="F5063" s="37"/>
      <c r="G5063" s="37"/>
      <c r="H5063" s="37"/>
      <c r="I5063" s="35"/>
      <c r="J5063" s="37"/>
    </row>
    <row r="5064" spans="1:10" ht="15.95" customHeight="1" x14ac:dyDescent="0.2">
      <c r="A5064" s="39"/>
      <c r="B5064" s="36"/>
      <c r="C5064" s="37"/>
      <c r="D5064" s="37"/>
      <c r="E5064" s="37"/>
      <c r="F5064" s="37"/>
      <c r="G5064" s="37"/>
      <c r="H5064" s="37"/>
      <c r="I5064" s="35"/>
      <c r="J5064" s="37"/>
    </row>
    <row r="5065" spans="1:10" ht="15.95" customHeight="1" x14ac:dyDescent="0.2">
      <c r="A5065" s="39"/>
      <c r="B5065" s="36"/>
      <c r="C5065" s="37"/>
      <c r="D5065" s="37"/>
      <c r="E5065" s="37"/>
      <c r="F5065" s="37"/>
      <c r="G5065" s="37"/>
      <c r="H5065" s="37"/>
      <c r="I5065" s="35"/>
      <c r="J5065" s="37"/>
    </row>
    <row r="5066" spans="1:10" ht="15.95" customHeight="1" x14ac:dyDescent="0.2">
      <c r="A5066" s="39"/>
      <c r="B5066" s="36"/>
      <c r="C5066" s="37"/>
      <c r="D5066" s="37"/>
      <c r="E5066" s="37"/>
      <c r="F5066" s="37"/>
      <c r="G5066" s="37"/>
      <c r="H5066" s="37"/>
      <c r="I5066" s="35"/>
      <c r="J5066" s="37"/>
    </row>
    <row r="5067" spans="1:10" ht="15.95" customHeight="1" x14ac:dyDescent="0.2">
      <c r="A5067" s="39"/>
      <c r="B5067" s="36"/>
      <c r="C5067" s="37"/>
      <c r="D5067" s="37"/>
      <c r="E5067" s="37"/>
      <c r="F5067" s="37"/>
      <c r="G5067" s="37"/>
      <c r="H5067" s="37"/>
      <c r="I5067" s="35"/>
      <c r="J5067" s="37"/>
    </row>
    <row r="5068" spans="1:10" ht="15.95" customHeight="1" x14ac:dyDescent="0.2">
      <c r="A5068" s="39"/>
      <c r="B5068" s="36"/>
      <c r="C5068" s="37"/>
      <c r="D5068" s="37"/>
      <c r="E5068" s="37"/>
      <c r="F5068" s="37"/>
      <c r="G5068" s="37"/>
      <c r="H5068" s="37"/>
      <c r="I5068" s="35"/>
      <c r="J5068" s="37"/>
    </row>
    <row r="5069" spans="1:10" ht="15.95" customHeight="1" x14ac:dyDescent="0.2">
      <c r="A5069" s="39"/>
      <c r="B5069" s="36"/>
      <c r="C5069" s="37"/>
      <c r="D5069" s="37"/>
      <c r="E5069" s="37"/>
      <c r="F5069" s="37"/>
      <c r="G5069" s="37"/>
      <c r="H5069" s="37"/>
      <c r="I5069" s="35"/>
      <c r="J5069" s="37"/>
    </row>
    <row r="5070" spans="1:10" ht="15.95" customHeight="1" x14ac:dyDescent="0.2">
      <c r="A5070" s="39"/>
      <c r="B5070" s="36"/>
      <c r="C5070" s="37"/>
      <c r="D5070" s="37"/>
      <c r="E5070" s="37"/>
      <c r="F5070" s="37"/>
      <c r="G5070" s="37"/>
      <c r="H5070" s="37"/>
      <c r="I5070" s="35"/>
      <c r="J5070" s="37"/>
    </row>
    <row r="5071" spans="1:10" ht="15.95" customHeight="1" x14ac:dyDescent="0.2">
      <c r="A5071" s="39"/>
      <c r="B5071" s="36"/>
      <c r="C5071" s="37"/>
      <c r="D5071" s="37"/>
      <c r="E5071" s="37"/>
      <c r="F5071" s="37"/>
      <c r="G5071" s="37"/>
      <c r="H5071" s="37"/>
      <c r="I5071" s="35"/>
      <c r="J5071" s="37"/>
    </row>
    <row r="5072" spans="1:10" ht="15.95" customHeight="1" x14ac:dyDescent="0.2">
      <c r="A5072" s="39"/>
      <c r="B5072" s="36"/>
      <c r="C5072" s="37"/>
      <c r="D5072" s="37"/>
      <c r="E5072" s="37"/>
      <c r="F5072" s="37"/>
      <c r="G5072" s="37"/>
      <c r="H5072" s="37"/>
      <c r="I5072" s="35"/>
      <c r="J5072" s="37"/>
    </row>
    <row r="5073" spans="1:10" ht="15.95" customHeight="1" x14ac:dyDescent="0.2">
      <c r="A5073" s="39"/>
      <c r="B5073" s="36"/>
      <c r="C5073" s="37"/>
      <c r="D5073" s="37"/>
      <c r="E5073" s="37"/>
      <c r="F5073" s="37"/>
      <c r="G5073" s="37"/>
      <c r="H5073" s="37"/>
      <c r="I5073" s="35"/>
      <c r="J5073" s="37"/>
    </row>
    <row r="5074" spans="1:10" ht="15.95" customHeight="1" x14ac:dyDescent="0.2">
      <c r="A5074" s="39"/>
      <c r="B5074" s="36"/>
      <c r="C5074" s="37"/>
      <c r="D5074" s="37"/>
      <c r="E5074" s="37"/>
      <c r="F5074" s="37"/>
      <c r="G5074" s="37"/>
      <c r="H5074" s="37"/>
      <c r="I5074" s="35"/>
      <c r="J5074" s="37"/>
    </row>
    <row r="5075" spans="1:10" ht="15.95" customHeight="1" x14ac:dyDescent="0.2">
      <c r="A5075" s="39"/>
      <c r="B5075" s="36"/>
      <c r="C5075" s="37"/>
      <c r="D5075" s="37"/>
      <c r="E5075" s="37"/>
      <c r="F5075" s="37"/>
      <c r="G5075" s="37"/>
      <c r="H5075" s="37"/>
      <c r="I5075" s="35"/>
      <c r="J5075" s="37"/>
    </row>
    <row r="5076" spans="1:10" ht="15.95" customHeight="1" x14ac:dyDescent="0.2">
      <c r="A5076" s="39"/>
      <c r="B5076" s="36"/>
      <c r="C5076" s="37"/>
      <c r="D5076" s="37"/>
      <c r="E5076" s="37"/>
      <c r="F5076" s="37"/>
      <c r="G5076" s="37"/>
      <c r="H5076" s="37"/>
      <c r="I5076" s="35"/>
      <c r="J5076" s="37"/>
    </row>
    <row r="5077" spans="1:10" ht="15.95" customHeight="1" x14ac:dyDescent="0.2">
      <c r="A5077" s="39"/>
      <c r="B5077" s="36"/>
      <c r="C5077" s="37"/>
      <c r="D5077" s="37"/>
      <c r="E5077" s="37"/>
      <c r="F5077" s="37"/>
      <c r="G5077" s="37"/>
      <c r="H5077" s="37"/>
      <c r="I5077" s="35"/>
      <c r="J5077" s="37"/>
    </row>
    <row r="5078" spans="1:10" ht="15.95" customHeight="1" x14ac:dyDescent="0.2">
      <c r="A5078" s="39"/>
      <c r="B5078" s="36"/>
      <c r="C5078" s="37"/>
      <c r="D5078" s="37"/>
      <c r="E5078" s="37"/>
      <c r="F5078" s="37"/>
      <c r="G5078" s="37"/>
      <c r="H5078" s="37"/>
      <c r="I5078" s="35"/>
      <c r="J5078" s="37"/>
    </row>
    <row r="5079" spans="1:10" ht="15.95" customHeight="1" x14ac:dyDescent="0.2">
      <c r="A5079" s="39"/>
      <c r="B5079" s="36"/>
      <c r="C5079" s="37"/>
      <c r="D5079" s="37"/>
      <c r="E5079" s="37"/>
      <c r="F5079" s="37"/>
      <c r="G5079" s="37"/>
      <c r="H5079" s="37"/>
      <c r="I5079" s="35"/>
      <c r="J5079" s="37"/>
    </row>
    <row r="5080" spans="1:10" ht="15.95" customHeight="1" x14ac:dyDescent="0.2">
      <c r="A5080" s="39"/>
      <c r="B5080" s="36"/>
      <c r="C5080" s="37"/>
      <c r="D5080" s="37"/>
      <c r="E5080" s="37"/>
      <c r="F5080" s="37"/>
      <c r="G5080" s="37"/>
      <c r="H5080" s="37"/>
      <c r="I5080" s="35"/>
      <c r="J5080" s="37"/>
    </row>
    <row r="5081" spans="1:10" ht="15.95" customHeight="1" x14ac:dyDescent="0.2">
      <c r="A5081" s="39"/>
      <c r="B5081" s="36"/>
      <c r="C5081" s="37"/>
      <c r="D5081" s="37"/>
      <c r="E5081" s="37"/>
      <c r="F5081" s="37"/>
      <c r="G5081" s="37"/>
      <c r="H5081" s="37"/>
      <c r="I5081" s="35"/>
      <c r="J5081" s="37"/>
    </row>
    <row r="5082" spans="1:10" ht="15.95" customHeight="1" x14ac:dyDescent="0.2">
      <c r="A5082" s="39"/>
      <c r="B5082" s="36"/>
      <c r="C5082" s="37"/>
      <c r="D5082" s="37"/>
      <c r="E5082" s="37"/>
      <c r="F5082" s="37"/>
      <c r="G5082" s="37"/>
      <c r="H5082" s="37"/>
      <c r="I5082" s="35"/>
      <c r="J5082" s="37"/>
    </row>
    <row r="5083" spans="1:10" ht="15.95" customHeight="1" x14ac:dyDescent="0.2">
      <c r="A5083" s="39"/>
      <c r="B5083" s="36"/>
      <c r="C5083" s="37"/>
      <c r="D5083" s="37"/>
      <c r="E5083" s="37"/>
      <c r="F5083" s="37"/>
      <c r="G5083" s="37"/>
      <c r="H5083" s="37"/>
      <c r="I5083" s="35"/>
      <c r="J5083" s="37"/>
    </row>
    <row r="5084" spans="1:10" ht="15.95" customHeight="1" x14ac:dyDescent="0.2">
      <c r="A5084" s="39"/>
      <c r="B5084" s="36"/>
      <c r="C5084" s="37"/>
      <c r="D5084" s="37"/>
      <c r="E5084" s="37"/>
      <c r="F5084" s="37"/>
      <c r="G5084" s="37"/>
      <c r="H5084" s="37"/>
      <c r="I5084" s="35"/>
      <c r="J5084" s="37"/>
    </row>
    <row r="5085" spans="1:10" ht="15.95" customHeight="1" x14ac:dyDescent="0.2">
      <c r="A5085" s="39"/>
      <c r="B5085" s="36"/>
      <c r="C5085" s="37"/>
      <c r="D5085" s="37"/>
      <c r="E5085" s="37"/>
      <c r="F5085" s="37"/>
      <c r="G5085" s="37"/>
      <c r="H5085" s="37"/>
      <c r="I5085" s="35"/>
      <c r="J5085" s="37"/>
    </row>
    <row r="5086" spans="1:10" ht="15.95" customHeight="1" x14ac:dyDescent="0.2">
      <c r="A5086" s="39"/>
      <c r="B5086" s="36"/>
      <c r="C5086" s="37"/>
      <c r="D5086" s="37"/>
      <c r="E5086" s="37"/>
      <c r="F5086" s="37"/>
      <c r="G5086" s="37"/>
      <c r="H5086" s="37"/>
      <c r="I5086" s="35"/>
      <c r="J5086" s="37"/>
    </row>
    <row r="5087" spans="1:10" ht="15.95" customHeight="1" x14ac:dyDescent="0.2">
      <c r="A5087" s="39"/>
      <c r="B5087" s="36"/>
      <c r="C5087" s="37"/>
      <c r="D5087" s="37"/>
      <c r="E5087" s="37"/>
      <c r="F5087" s="37"/>
      <c r="G5087" s="37"/>
      <c r="H5087" s="37"/>
      <c r="I5087" s="35"/>
      <c r="J5087" s="37"/>
    </row>
    <row r="5088" spans="1:10" ht="15.95" customHeight="1" x14ac:dyDescent="0.2">
      <c r="A5088" s="39"/>
      <c r="B5088" s="36"/>
      <c r="C5088" s="37"/>
      <c r="D5088" s="37"/>
      <c r="E5088" s="37"/>
      <c r="F5088" s="37"/>
      <c r="G5088" s="37"/>
      <c r="H5088" s="37"/>
      <c r="I5088" s="35"/>
      <c r="J5088" s="37"/>
    </row>
    <row r="5089" spans="1:10" ht="15.95" customHeight="1" x14ac:dyDescent="0.2">
      <c r="A5089" s="39"/>
      <c r="B5089" s="36"/>
      <c r="C5089" s="37"/>
      <c r="D5089" s="37"/>
      <c r="E5089" s="37"/>
      <c r="F5089" s="37"/>
      <c r="G5089" s="37"/>
      <c r="H5089" s="37"/>
      <c r="I5089" s="35"/>
      <c r="J5089" s="37"/>
    </row>
    <row r="5090" spans="1:10" ht="15.95" customHeight="1" x14ac:dyDescent="0.2">
      <c r="A5090" s="39"/>
      <c r="B5090" s="36"/>
      <c r="C5090" s="37"/>
      <c r="D5090" s="37"/>
      <c r="E5090" s="37"/>
      <c r="F5090" s="37"/>
      <c r="G5090" s="37"/>
      <c r="H5090" s="37"/>
      <c r="I5090" s="35"/>
      <c r="J5090" s="37"/>
    </row>
    <row r="5091" spans="1:10" ht="15.95" customHeight="1" x14ac:dyDescent="0.2">
      <c r="A5091" s="39"/>
      <c r="B5091" s="36"/>
      <c r="C5091" s="37"/>
      <c r="D5091" s="37"/>
      <c r="E5091" s="37"/>
      <c r="F5091" s="37"/>
      <c r="G5091" s="37"/>
      <c r="H5091" s="37"/>
      <c r="I5091" s="35"/>
      <c r="J5091" s="37"/>
    </row>
    <row r="5092" spans="1:10" ht="15.95" customHeight="1" x14ac:dyDescent="0.2">
      <c r="A5092" s="39"/>
      <c r="B5092" s="36"/>
      <c r="C5092" s="37"/>
      <c r="D5092" s="37"/>
      <c r="E5092" s="37"/>
      <c r="F5092" s="37"/>
      <c r="G5092" s="37"/>
      <c r="H5092" s="37"/>
      <c r="I5092" s="35"/>
      <c r="J5092" s="37"/>
    </row>
    <row r="5093" spans="1:10" ht="15.95" customHeight="1" x14ac:dyDescent="0.2">
      <c r="A5093" s="39"/>
      <c r="B5093" s="36"/>
      <c r="C5093" s="37"/>
      <c r="D5093" s="37"/>
      <c r="E5093" s="37"/>
      <c r="F5093" s="37"/>
      <c r="G5093" s="37"/>
      <c r="H5093" s="37"/>
      <c r="I5093" s="35"/>
      <c r="J5093" s="37"/>
    </row>
    <row r="5094" spans="1:10" ht="15.95" customHeight="1" x14ac:dyDescent="0.2">
      <c r="A5094" s="39"/>
      <c r="B5094" s="36"/>
      <c r="C5094" s="37"/>
      <c r="D5094" s="37"/>
      <c r="E5094" s="37"/>
      <c r="F5094" s="37"/>
      <c r="G5094" s="37"/>
      <c r="H5094" s="37"/>
      <c r="I5094" s="35"/>
      <c r="J5094" s="37"/>
    </row>
    <row r="5095" spans="1:10" ht="15.95" customHeight="1" x14ac:dyDescent="0.2">
      <c r="A5095" s="39"/>
      <c r="B5095" s="36"/>
      <c r="C5095" s="37"/>
      <c r="D5095" s="37"/>
      <c r="E5095" s="37"/>
      <c r="F5095" s="37"/>
      <c r="G5095" s="37"/>
      <c r="H5095" s="37"/>
      <c r="I5095" s="35"/>
      <c r="J5095" s="37"/>
    </row>
    <row r="5096" spans="1:10" ht="15.95" customHeight="1" x14ac:dyDescent="0.2">
      <c r="A5096" s="39"/>
      <c r="B5096" s="36"/>
      <c r="C5096" s="37"/>
      <c r="D5096" s="37"/>
      <c r="E5096" s="37"/>
      <c r="F5096" s="37"/>
      <c r="G5096" s="37"/>
      <c r="H5096" s="37"/>
      <c r="I5096" s="35"/>
      <c r="J5096" s="37"/>
    </row>
    <row r="5097" spans="1:10" ht="15.95" customHeight="1" x14ac:dyDescent="0.2">
      <c r="A5097" s="39"/>
      <c r="B5097" s="36"/>
      <c r="C5097" s="37"/>
      <c r="D5097" s="37"/>
      <c r="E5097" s="37"/>
      <c r="F5097" s="37"/>
      <c r="G5097" s="37"/>
      <c r="H5097" s="37"/>
      <c r="I5097" s="35"/>
      <c r="J5097" s="37"/>
    </row>
    <row r="5098" spans="1:10" ht="15.95" customHeight="1" x14ac:dyDescent="0.2">
      <c r="A5098" s="39"/>
      <c r="B5098" s="36"/>
      <c r="C5098" s="37"/>
      <c r="D5098" s="37"/>
      <c r="E5098" s="37"/>
      <c r="F5098" s="37"/>
      <c r="G5098" s="37"/>
      <c r="H5098" s="37"/>
      <c r="I5098" s="35"/>
      <c r="J5098" s="37"/>
    </row>
    <row r="5099" spans="1:10" ht="15.95" customHeight="1" x14ac:dyDescent="0.2">
      <c r="A5099" s="39"/>
      <c r="B5099" s="36"/>
      <c r="C5099" s="37"/>
      <c r="D5099" s="37"/>
      <c r="E5099" s="37"/>
      <c r="F5099" s="37"/>
      <c r="G5099" s="37"/>
      <c r="H5099" s="37"/>
      <c r="I5099" s="35"/>
      <c r="J5099" s="37"/>
    </row>
    <row r="5100" spans="1:10" ht="15.95" customHeight="1" x14ac:dyDescent="0.2">
      <c r="A5100" s="39"/>
      <c r="B5100" s="36"/>
      <c r="C5100" s="37"/>
      <c r="D5100" s="37"/>
      <c r="E5100" s="37"/>
      <c r="F5100" s="37"/>
      <c r="G5100" s="37"/>
      <c r="H5100" s="37"/>
      <c r="I5100" s="35"/>
      <c r="J5100" s="37"/>
    </row>
    <row r="5101" spans="1:10" ht="15.95" customHeight="1" x14ac:dyDescent="0.2">
      <c r="A5101" s="39"/>
      <c r="B5101" s="36"/>
      <c r="C5101" s="37"/>
      <c r="D5101" s="37"/>
      <c r="E5101" s="37"/>
      <c r="F5101" s="37"/>
      <c r="G5101" s="37"/>
      <c r="H5101" s="37"/>
      <c r="I5101" s="35"/>
      <c r="J5101" s="37"/>
    </row>
    <row r="5102" spans="1:10" ht="15.95" customHeight="1" x14ac:dyDescent="0.2">
      <c r="A5102" s="39"/>
      <c r="B5102" s="36"/>
      <c r="C5102" s="37"/>
      <c r="D5102" s="37"/>
      <c r="E5102" s="37"/>
      <c r="F5102" s="37"/>
      <c r="G5102" s="37"/>
      <c r="H5102" s="37"/>
      <c r="I5102" s="35"/>
      <c r="J5102" s="37"/>
    </row>
    <row r="5103" spans="1:10" ht="15.95" customHeight="1" x14ac:dyDescent="0.2">
      <c r="A5103" s="39"/>
      <c r="B5103" s="36"/>
      <c r="C5103" s="37"/>
      <c r="D5103" s="37"/>
      <c r="E5103" s="37"/>
      <c r="F5103" s="37"/>
      <c r="G5103" s="37"/>
      <c r="H5103" s="37"/>
      <c r="I5103" s="35"/>
      <c r="J5103" s="37"/>
    </row>
    <row r="5104" spans="1:10" ht="15.95" customHeight="1" x14ac:dyDescent="0.2">
      <c r="A5104" s="39"/>
      <c r="B5104" s="36"/>
      <c r="C5104" s="37"/>
      <c r="D5104" s="37"/>
      <c r="E5104" s="37"/>
      <c r="F5104" s="37"/>
      <c r="G5104" s="37"/>
      <c r="H5104" s="37"/>
      <c r="I5104" s="35"/>
      <c r="J5104" s="37"/>
    </row>
    <row r="5105" spans="1:10" ht="15.95" customHeight="1" x14ac:dyDescent="0.2">
      <c r="A5105" s="39"/>
      <c r="B5105" s="36"/>
      <c r="C5105" s="37"/>
      <c r="D5105" s="37"/>
      <c r="E5105" s="37"/>
      <c r="F5105" s="37"/>
      <c r="G5105" s="37"/>
      <c r="H5105" s="37"/>
      <c r="I5105" s="35"/>
      <c r="J5105" s="37"/>
    </row>
    <row r="5106" spans="1:10" ht="15.95" customHeight="1" x14ac:dyDescent="0.2">
      <c r="A5106" s="39"/>
      <c r="B5106" s="36"/>
      <c r="C5106" s="37"/>
      <c r="D5106" s="37"/>
      <c r="E5106" s="37"/>
      <c r="F5106" s="37"/>
      <c r="G5106" s="37"/>
      <c r="H5106" s="37"/>
      <c r="I5106" s="35"/>
      <c r="J5106" s="37"/>
    </row>
    <row r="5107" spans="1:10" ht="15.95" customHeight="1" x14ac:dyDescent="0.2">
      <c r="A5107" s="39"/>
      <c r="B5107" s="36"/>
      <c r="C5107" s="37"/>
      <c r="D5107" s="37"/>
      <c r="E5107" s="37"/>
      <c r="F5107" s="37"/>
      <c r="G5107" s="37"/>
      <c r="H5107" s="37"/>
      <c r="I5107" s="35"/>
      <c r="J5107" s="37"/>
    </row>
    <row r="5108" spans="1:10" ht="15.95" customHeight="1" x14ac:dyDescent="0.2">
      <c r="A5108" s="39"/>
      <c r="B5108" s="36"/>
      <c r="C5108" s="37"/>
      <c r="D5108" s="37"/>
      <c r="E5108" s="37"/>
      <c r="F5108" s="37"/>
      <c r="G5108" s="37"/>
      <c r="H5108" s="37"/>
      <c r="I5108" s="35"/>
      <c r="J5108" s="37"/>
    </row>
    <row r="5109" spans="1:10" ht="15.95" customHeight="1" x14ac:dyDescent="0.2">
      <c r="A5109" s="39"/>
      <c r="B5109" s="36"/>
      <c r="C5109" s="37"/>
      <c r="D5109" s="37"/>
      <c r="E5109" s="37"/>
      <c r="F5109" s="37"/>
      <c r="G5109" s="37"/>
      <c r="H5109" s="37"/>
      <c r="I5109" s="35"/>
      <c r="J5109" s="37"/>
    </row>
    <row r="5110" spans="1:10" ht="15.95" customHeight="1" x14ac:dyDescent="0.2">
      <c r="A5110" s="39"/>
      <c r="B5110" s="36"/>
      <c r="C5110" s="37"/>
      <c r="D5110" s="37"/>
      <c r="E5110" s="37"/>
      <c r="F5110" s="37"/>
      <c r="G5110" s="37"/>
      <c r="H5110" s="37"/>
      <c r="I5110" s="35"/>
      <c r="J5110" s="37"/>
    </row>
    <row r="5111" spans="1:10" ht="15.95" customHeight="1" x14ac:dyDescent="0.2">
      <c r="A5111" s="39"/>
      <c r="B5111" s="36"/>
      <c r="C5111" s="37"/>
      <c r="D5111" s="37"/>
      <c r="E5111" s="37"/>
      <c r="F5111" s="37"/>
      <c r="G5111" s="37"/>
      <c r="H5111" s="37"/>
      <c r="I5111" s="35"/>
      <c r="J5111" s="37"/>
    </row>
    <row r="5112" spans="1:10" ht="15.95" customHeight="1" x14ac:dyDescent="0.2">
      <c r="A5112" s="39"/>
      <c r="B5112" s="36"/>
      <c r="C5112" s="37"/>
      <c r="D5112" s="37"/>
      <c r="E5112" s="37"/>
      <c r="F5112" s="37"/>
      <c r="G5112" s="37"/>
      <c r="H5112" s="37"/>
      <c r="I5112" s="35"/>
      <c r="J5112" s="37"/>
    </row>
    <row r="5113" spans="1:10" ht="15.95" customHeight="1" x14ac:dyDescent="0.2">
      <c r="A5113" s="39"/>
      <c r="B5113" s="36"/>
      <c r="C5113" s="37"/>
      <c r="D5113" s="37"/>
      <c r="E5113" s="37"/>
      <c r="F5113" s="37"/>
      <c r="G5113" s="37"/>
      <c r="H5113" s="37"/>
      <c r="I5113" s="35"/>
      <c r="J5113" s="37"/>
    </row>
    <row r="5114" spans="1:10" ht="15.95" customHeight="1" x14ac:dyDescent="0.2">
      <c r="A5114" s="39"/>
      <c r="B5114" s="36"/>
      <c r="C5114" s="37"/>
      <c r="D5114" s="37"/>
      <c r="E5114" s="37"/>
      <c r="F5114" s="37"/>
      <c r="G5114" s="37"/>
      <c r="H5114" s="37"/>
      <c r="I5114" s="35"/>
      <c r="J5114" s="37"/>
    </row>
    <row r="5115" spans="1:10" ht="15.95" customHeight="1" x14ac:dyDescent="0.2">
      <c r="A5115" s="39"/>
      <c r="B5115" s="36"/>
      <c r="C5115" s="37"/>
      <c r="D5115" s="37"/>
      <c r="E5115" s="37"/>
      <c r="F5115" s="37"/>
      <c r="G5115" s="37"/>
      <c r="H5115" s="37"/>
      <c r="I5115" s="35"/>
      <c r="J5115" s="37"/>
    </row>
    <row r="5116" spans="1:10" ht="15.95" customHeight="1" x14ac:dyDescent="0.2">
      <c r="A5116" s="39"/>
      <c r="B5116" s="36"/>
      <c r="C5116" s="37"/>
      <c r="D5116" s="37"/>
      <c r="E5116" s="37"/>
      <c r="F5116" s="37"/>
      <c r="G5116" s="37"/>
      <c r="H5116" s="37"/>
      <c r="I5116" s="35"/>
      <c r="J5116" s="37"/>
    </row>
    <row r="5117" spans="1:10" ht="15.95" customHeight="1" x14ac:dyDescent="0.2">
      <c r="A5117" s="39"/>
      <c r="B5117" s="36"/>
      <c r="C5117" s="37"/>
      <c r="D5117" s="37"/>
      <c r="E5117" s="37"/>
      <c r="F5117" s="37"/>
      <c r="G5117" s="37"/>
      <c r="H5117" s="37"/>
      <c r="I5117" s="35"/>
      <c r="J5117" s="37"/>
    </row>
    <row r="5118" spans="1:10" ht="15.95" customHeight="1" x14ac:dyDescent="0.2">
      <c r="A5118" s="39"/>
      <c r="B5118" s="36"/>
      <c r="C5118" s="37"/>
      <c r="D5118" s="37"/>
      <c r="E5118" s="37"/>
      <c r="F5118" s="37"/>
      <c r="G5118" s="37"/>
      <c r="H5118" s="37"/>
      <c r="I5118" s="35"/>
      <c r="J5118" s="37"/>
    </row>
    <row r="5119" spans="1:10" ht="15.95" customHeight="1" x14ac:dyDescent="0.2">
      <c r="A5119" s="39"/>
      <c r="B5119" s="36"/>
      <c r="C5119" s="37"/>
      <c r="D5119" s="37"/>
      <c r="E5119" s="37"/>
      <c r="F5119" s="37"/>
      <c r="G5119" s="37"/>
      <c r="H5119" s="37"/>
      <c r="I5119" s="35"/>
      <c r="J5119" s="37"/>
    </row>
    <row r="5120" spans="1:10" ht="15.95" customHeight="1" x14ac:dyDescent="0.2">
      <c r="A5120" s="39"/>
      <c r="B5120" s="36"/>
      <c r="C5120" s="37"/>
      <c r="D5120" s="37"/>
      <c r="E5120" s="37"/>
      <c r="F5120" s="37"/>
      <c r="G5120" s="37"/>
      <c r="H5120" s="37"/>
      <c r="I5120" s="35"/>
      <c r="J5120" s="37"/>
    </row>
    <row r="5121" spans="1:10" ht="15.95" customHeight="1" x14ac:dyDescent="0.2">
      <c r="A5121" s="39"/>
      <c r="B5121" s="36"/>
      <c r="C5121" s="37"/>
      <c r="D5121" s="37"/>
      <c r="E5121" s="37"/>
      <c r="F5121" s="37"/>
      <c r="G5121" s="37"/>
      <c r="H5121" s="37"/>
      <c r="I5121" s="35"/>
      <c r="J5121" s="37"/>
    </row>
    <row r="5122" spans="1:10" ht="15.95" customHeight="1" x14ac:dyDescent="0.2">
      <c r="A5122" s="39"/>
      <c r="B5122" s="36"/>
      <c r="C5122" s="37"/>
      <c r="D5122" s="37"/>
      <c r="E5122" s="37"/>
      <c r="F5122" s="37"/>
      <c r="G5122" s="37"/>
      <c r="H5122" s="37"/>
      <c r="I5122" s="35"/>
      <c r="J5122" s="37"/>
    </row>
    <row r="5123" spans="1:10" ht="15.95" customHeight="1" x14ac:dyDescent="0.2">
      <c r="A5123" s="39"/>
      <c r="B5123" s="36"/>
      <c r="C5123" s="37"/>
      <c r="D5123" s="37"/>
      <c r="E5123" s="37"/>
      <c r="F5123" s="37"/>
      <c r="G5123" s="37"/>
      <c r="H5123" s="37"/>
      <c r="I5123" s="35"/>
      <c r="J5123" s="37"/>
    </row>
    <row r="5124" spans="1:10" ht="15.95" customHeight="1" x14ac:dyDescent="0.2">
      <c r="A5124" s="39"/>
      <c r="B5124" s="36"/>
      <c r="C5124" s="37"/>
      <c r="D5124" s="37"/>
      <c r="E5124" s="37"/>
      <c r="F5124" s="37"/>
      <c r="G5124" s="37"/>
      <c r="H5124" s="37"/>
      <c r="I5124" s="35"/>
      <c r="J5124" s="37"/>
    </row>
    <row r="5125" spans="1:10" ht="15.95" customHeight="1" x14ac:dyDescent="0.2">
      <c r="A5125" s="39"/>
      <c r="B5125" s="36"/>
      <c r="C5125" s="37"/>
      <c r="D5125" s="37"/>
      <c r="E5125" s="37"/>
      <c r="F5125" s="37"/>
      <c r="G5125" s="37"/>
      <c r="H5125" s="37"/>
      <c r="I5125" s="35"/>
      <c r="J5125" s="37"/>
    </row>
    <row r="5126" spans="1:10" ht="15.95" customHeight="1" x14ac:dyDescent="0.2">
      <c r="A5126" s="39"/>
      <c r="B5126" s="36"/>
      <c r="C5126" s="37"/>
      <c r="D5126" s="37"/>
      <c r="E5126" s="37"/>
      <c r="F5126" s="37"/>
      <c r="G5126" s="37"/>
      <c r="H5126" s="37"/>
      <c r="I5126" s="35"/>
      <c r="J5126" s="37"/>
    </row>
    <row r="5127" spans="1:10" ht="15.95" customHeight="1" x14ac:dyDescent="0.2">
      <c r="A5127" s="39"/>
      <c r="B5127" s="36"/>
      <c r="C5127" s="37"/>
      <c r="D5127" s="37"/>
      <c r="E5127" s="37"/>
      <c r="F5127" s="37"/>
      <c r="G5127" s="37"/>
      <c r="H5127" s="37"/>
      <c r="I5127" s="35"/>
      <c r="J5127" s="37"/>
    </row>
    <row r="5128" spans="1:10" ht="15.95" customHeight="1" x14ac:dyDescent="0.2">
      <c r="A5128" s="39"/>
      <c r="B5128" s="36"/>
      <c r="C5128" s="37"/>
      <c r="D5128" s="37"/>
      <c r="E5128" s="37"/>
      <c r="F5128" s="37"/>
      <c r="G5128" s="37"/>
      <c r="H5128" s="37"/>
      <c r="I5128" s="35"/>
      <c r="J5128" s="37"/>
    </row>
    <row r="5129" spans="1:10" ht="15.95" customHeight="1" x14ac:dyDescent="0.2">
      <c r="A5129" s="39"/>
      <c r="B5129" s="36"/>
      <c r="C5129" s="37"/>
      <c r="D5129" s="37"/>
      <c r="E5129" s="37"/>
      <c r="F5129" s="37"/>
      <c r="G5129" s="37"/>
      <c r="H5129" s="37"/>
      <c r="I5129" s="35"/>
      <c r="J5129" s="37"/>
    </row>
    <row r="5130" spans="1:10" ht="15.95" customHeight="1" x14ac:dyDescent="0.2">
      <c r="A5130" s="39"/>
      <c r="B5130" s="36"/>
      <c r="C5130" s="37"/>
      <c r="D5130" s="37"/>
      <c r="E5130" s="37"/>
      <c r="F5130" s="37"/>
      <c r="G5130" s="37"/>
      <c r="H5130" s="37"/>
      <c r="I5130" s="35"/>
      <c r="J5130" s="37"/>
    </row>
    <row r="5131" spans="1:10" ht="15.95" customHeight="1" x14ac:dyDescent="0.2">
      <c r="A5131" s="39"/>
      <c r="B5131" s="36"/>
      <c r="C5131" s="37"/>
      <c r="D5131" s="37"/>
      <c r="E5131" s="37"/>
      <c r="F5131" s="37"/>
      <c r="G5131" s="37"/>
      <c r="H5131" s="37"/>
      <c r="I5131" s="35"/>
      <c r="J5131" s="37"/>
    </row>
    <row r="5132" spans="1:10" ht="15.95" customHeight="1" x14ac:dyDescent="0.2">
      <c r="A5132" s="39"/>
      <c r="B5132" s="36"/>
      <c r="C5132" s="37"/>
      <c r="D5132" s="37"/>
      <c r="E5132" s="37"/>
      <c r="F5132" s="37"/>
      <c r="G5132" s="37"/>
      <c r="H5132" s="37"/>
      <c r="I5132" s="35"/>
      <c r="J5132" s="37"/>
    </row>
    <row r="5133" spans="1:10" ht="15.95" customHeight="1" x14ac:dyDescent="0.2">
      <c r="A5133" s="39"/>
      <c r="B5133" s="36"/>
      <c r="C5133" s="37"/>
      <c r="D5133" s="37"/>
      <c r="E5133" s="37"/>
      <c r="F5133" s="37"/>
      <c r="G5133" s="37"/>
      <c r="H5133" s="37"/>
      <c r="I5133" s="35"/>
      <c r="J5133" s="37"/>
    </row>
    <row r="5134" spans="1:10" ht="15.95" customHeight="1" x14ac:dyDescent="0.2">
      <c r="A5134" s="39"/>
      <c r="B5134" s="36"/>
      <c r="C5134" s="37"/>
      <c r="D5134" s="37"/>
      <c r="E5134" s="37"/>
      <c r="F5134" s="37"/>
      <c r="G5134" s="37"/>
      <c r="H5134" s="37"/>
      <c r="I5134" s="35"/>
      <c r="J5134" s="37"/>
    </row>
    <row r="5135" spans="1:10" ht="15.95" customHeight="1" x14ac:dyDescent="0.2">
      <c r="A5135" s="39"/>
      <c r="B5135" s="36"/>
      <c r="C5135" s="37"/>
      <c r="D5135" s="37"/>
      <c r="E5135" s="37"/>
      <c r="F5135" s="37"/>
      <c r="G5135" s="37"/>
      <c r="H5135" s="37"/>
      <c r="I5135" s="35"/>
      <c r="J5135" s="37"/>
    </row>
    <row r="5136" spans="1:10" ht="15.95" customHeight="1" x14ac:dyDescent="0.2">
      <c r="A5136" s="39"/>
      <c r="B5136" s="36"/>
      <c r="C5136" s="37"/>
      <c r="D5136" s="37"/>
      <c r="E5136" s="37"/>
      <c r="F5136" s="37"/>
      <c r="G5136" s="37"/>
      <c r="H5136" s="37"/>
      <c r="I5136" s="35"/>
      <c r="J5136" s="37"/>
    </row>
    <row r="5137" spans="1:10" ht="15.95" customHeight="1" x14ac:dyDescent="0.2">
      <c r="A5137" s="39"/>
      <c r="B5137" s="36"/>
      <c r="C5137" s="37"/>
      <c r="D5137" s="37"/>
      <c r="E5137" s="37"/>
      <c r="F5137" s="37"/>
      <c r="G5137" s="37"/>
      <c r="H5137" s="37"/>
      <c r="I5137" s="35"/>
      <c r="J5137" s="37"/>
    </row>
    <row r="5138" spans="1:10" ht="15.95" customHeight="1" x14ac:dyDescent="0.2">
      <c r="A5138" s="39"/>
      <c r="B5138" s="36"/>
      <c r="C5138" s="37"/>
      <c r="D5138" s="37"/>
      <c r="E5138" s="37"/>
      <c r="F5138" s="37"/>
      <c r="G5138" s="37"/>
      <c r="H5138" s="37"/>
      <c r="I5138" s="35"/>
      <c r="J5138" s="37"/>
    </row>
    <row r="5139" spans="1:10" ht="15.95" customHeight="1" x14ac:dyDescent="0.2">
      <c r="A5139" s="39"/>
      <c r="B5139" s="36"/>
      <c r="C5139" s="37"/>
      <c r="D5139" s="37"/>
      <c r="E5139" s="37"/>
      <c r="F5139" s="37"/>
      <c r="G5139" s="37"/>
      <c r="H5139" s="37"/>
      <c r="I5139" s="35"/>
      <c r="J5139" s="37"/>
    </row>
    <row r="5140" spans="1:10" ht="15.95" customHeight="1" x14ac:dyDescent="0.2">
      <c r="A5140" s="39"/>
      <c r="B5140" s="36"/>
      <c r="C5140" s="37"/>
      <c r="D5140" s="37"/>
      <c r="E5140" s="37"/>
      <c r="F5140" s="37"/>
      <c r="G5140" s="37"/>
      <c r="H5140" s="37"/>
      <c r="I5140" s="35"/>
      <c r="J5140" s="37"/>
    </row>
    <row r="5141" spans="1:10" ht="15.95" customHeight="1" x14ac:dyDescent="0.2">
      <c r="A5141" s="39"/>
      <c r="B5141" s="36"/>
      <c r="C5141" s="37"/>
      <c r="D5141" s="37"/>
      <c r="E5141" s="37"/>
      <c r="F5141" s="37"/>
      <c r="G5141" s="37"/>
      <c r="H5141" s="37"/>
      <c r="I5141" s="35"/>
      <c r="J5141" s="37"/>
    </row>
    <row r="5142" spans="1:10" ht="15.95" customHeight="1" x14ac:dyDescent="0.2">
      <c r="A5142" s="39"/>
      <c r="B5142" s="36"/>
      <c r="C5142" s="37"/>
      <c r="D5142" s="37"/>
      <c r="E5142" s="37"/>
      <c r="F5142" s="37"/>
      <c r="G5142" s="37"/>
      <c r="H5142" s="37"/>
      <c r="I5142" s="35"/>
      <c r="J5142" s="37"/>
    </row>
    <row r="5143" spans="1:10" ht="15.95" customHeight="1" x14ac:dyDescent="0.2">
      <c r="A5143" s="39"/>
      <c r="B5143" s="36"/>
      <c r="C5143" s="37"/>
      <c r="D5143" s="37"/>
      <c r="E5143" s="37"/>
      <c r="F5143" s="37"/>
      <c r="G5143" s="37"/>
      <c r="H5143" s="37"/>
      <c r="I5143" s="35"/>
      <c r="J5143" s="37"/>
    </row>
    <row r="5144" spans="1:10" ht="15.95" customHeight="1" x14ac:dyDescent="0.2">
      <c r="A5144" s="39"/>
      <c r="B5144" s="36"/>
      <c r="C5144" s="37"/>
      <c r="D5144" s="37"/>
      <c r="E5144" s="37"/>
      <c r="F5144" s="37"/>
      <c r="G5144" s="37"/>
      <c r="H5144" s="37"/>
      <c r="I5144" s="35"/>
      <c r="J5144" s="37"/>
    </row>
    <row r="5145" spans="1:10" ht="15.95" customHeight="1" x14ac:dyDescent="0.2">
      <c r="A5145" s="39"/>
      <c r="B5145" s="36"/>
      <c r="C5145" s="37"/>
      <c r="D5145" s="37"/>
      <c r="E5145" s="37"/>
      <c r="F5145" s="37"/>
      <c r="G5145" s="37"/>
      <c r="H5145" s="37"/>
      <c r="I5145" s="35"/>
      <c r="J5145" s="37"/>
    </row>
    <row r="5146" spans="1:10" ht="15.95" customHeight="1" x14ac:dyDescent="0.2">
      <c r="A5146" s="39"/>
      <c r="B5146" s="36"/>
      <c r="C5146" s="37"/>
      <c r="D5146" s="37"/>
      <c r="E5146" s="37"/>
      <c r="F5146" s="37"/>
      <c r="G5146" s="37"/>
      <c r="H5146" s="37"/>
      <c r="I5146" s="35"/>
      <c r="J5146" s="37"/>
    </row>
    <row r="5147" spans="1:10" ht="15.95" customHeight="1" x14ac:dyDescent="0.2">
      <c r="A5147" s="39"/>
      <c r="B5147" s="36"/>
      <c r="C5147" s="37"/>
      <c r="D5147" s="37"/>
      <c r="E5147" s="37"/>
      <c r="F5147" s="37"/>
      <c r="G5147" s="37"/>
      <c r="H5147" s="37"/>
      <c r="I5147" s="35"/>
      <c r="J5147" s="37"/>
    </row>
    <row r="5148" spans="1:10" ht="15.95" customHeight="1" x14ac:dyDescent="0.2">
      <c r="A5148" s="39"/>
      <c r="B5148" s="36"/>
      <c r="C5148" s="37"/>
      <c r="D5148" s="37"/>
      <c r="E5148" s="37"/>
      <c r="F5148" s="37"/>
      <c r="G5148" s="37"/>
      <c r="H5148" s="37"/>
      <c r="I5148" s="35"/>
      <c r="J5148" s="37"/>
    </row>
    <row r="5149" spans="1:10" ht="15.95" customHeight="1" x14ac:dyDescent="0.2">
      <c r="A5149" s="39"/>
      <c r="B5149" s="36"/>
      <c r="C5149" s="37"/>
      <c r="D5149" s="37"/>
      <c r="E5149" s="37"/>
      <c r="F5149" s="37"/>
      <c r="G5149" s="37"/>
      <c r="H5149" s="37"/>
      <c r="I5149" s="35"/>
      <c r="J5149" s="37"/>
    </row>
    <row r="5150" spans="1:10" ht="15.95" customHeight="1" x14ac:dyDescent="0.2">
      <c r="A5150" s="39"/>
      <c r="B5150" s="36"/>
      <c r="C5150" s="37"/>
      <c r="D5150" s="37"/>
      <c r="E5150" s="37"/>
      <c r="F5150" s="37"/>
      <c r="G5150" s="37"/>
      <c r="H5150" s="37"/>
      <c r="I5150" s="35"/>
      <c r="J5150" s="37"/>
    </row>
    <row r="5151" spans="1:10" ht="15.95" customHeight="1" x14ac:dyDescent="0.2">
      <c r="A5151" s="39"/>
      <c r="B5151" s="36"/>
      <c r="C5151" s="37"/>
      <c r="D5151" s="37"/>
      <c r="E5151" s="37"/>
      <c r="F5151" s="37"/>
      <c r="G5151" s="37"/>
      <c r="H5151" s="37"/>
      <c r="I5151" s="35"/>
      <c r="J5151" s="37"/>
    </row>
    <row r="5152" spans="1:10" ht="15.95" customHeight="1" x14ac:dyDescent="0.2">
      <c r="A5152" s="39"/>
      <c r="B5152" s="36"/>
      <c r="C5152" s="37"/>
      <c r="D5152" s="37"/>
      <c r="E5152" s="37"/>
      <c r="F5152" s="37"/>
      <c r="G5152" s="37"/>
      <c r="H5152" s="37"/>
      <c r="I5152" s="35"/>
      <c r="J5152" s="37"/>
    </row>
    <row r="5153" spans="1:10" ht="15.95" customHeight="1" x14ac:dyDescent="0.2">
      <c r="A5153" s="39"/>
      <c r="B5153" s="36"/>
      <c r="C5153" s="37"/>
      <c r="D5153" s="37"/>
      <c r="E5153" s="37"/>
      <c r="F5153" s="37"/>
      <c r="G5153" s="37"/>
      <c r="H5153" s="37"/>
      <c r="I5153" s="35"/>
      <c r="J5153" s="37"/>
    </row>
    <row r="5154" spans="1:10" ht="15.95" customHeight="1" x14ac:dyDescent="0.2">
      <c r="A5154" s="39"/>
      <c r="B5154" s="36"/>
      <c r="C5154" s="37"/>
      <c r="D5154" s="37"/>
      <c r="E5154" s="37"/>
      <c r="F5154" s="37"/>
      <c r="G5154" s="37"/>
      <c r="H5154" s="37"/>
      <c r="I5154" s="35"/>
      <c r="J5154" s="37"/>
    </row>
    <row r="5155" spans="1:10" ht="15.95" customHeight="1" x14ac:dyDescent="0.2">
      <c r="A5155" s="39"/>
      <c r="B5155" s="36"/>
      <c r="C5155" s="37"/>
      <c r="D5155" s="37"/>
      <c r="E5155" s="37"/>
      <c r="F5155" s="37"/>
      <c r="G5155" s="37"/>
      <c r="H5155" s="37"/>
      <c r="I5155" s="35"/>
      <c r="J5155" s="37"/>
    </row>
    <row r="5156" spans="1:10" ht="15.95" customHeight="1" x14ac:dyDescent="0.2">
      <c r="A5156" s="39"/>
      <c r="B5156" s="36"/>
      <c r="C5156" s="37"/>
      <c r="D5156" s="37"/>
      <c r="E5156" s="37"/>
      <c r="F5156" s="37"/>
      <c r="G5156" s="37"/>
      <c r="H5156" s="37"/>
      <c r="I5156" s="35"/>
      <c r="J5156" s="37"/>
    </row>
    <row r="5157" spans="1:10" ht="15.95" customHeight="1" x14ac:dyDescent="0.2">
      <c r="A5157" s="39"/>
      <c r="B5157" s="36"/>
      <c r="C5157" s="37"/>
      <c r="D5157" s="37"/>
      <c r="E5157" s="37"/>
      <c r="F5157" s="37"/>
      <c r="G5157" s="37"/>
      <c r="H5157" s="37"/>
      <c r="I5157" s="35"/>
      <c r="J5157" s="37"/>
    </row>
    <row r="5158" spans="1:10" ht="15.95" customHeight="1" x14ac:dyDescent="0.2">
      <c r="A5158" s="39"/>
      <c r="B5158" s="36"/>
      <c r="C5158" s="37"/>
      <c r="D5158" s="37"/>
      <c r="E5158" s="37"/>
      <c r="F5158" s="37"/>
      <c r="G5158" s="37"/>
      <c r="H5158" s="37"/>
      <c r="I5158" s="35"/>
      <c r="J5158" s="37"/>
    </row>
    <row r="5159" spans="1:10" ht="15.95" customHeight="1" x14ac:dyDescent="0.2">
      <c r="A5159" s="39"/>
      <c r="B5159" s="36"/>
      <c r="C5159" s="37"/>
      <c r="D5159" s="37"/>
      <c r="E5159" s="37"/>
      <c r="F5159" s="37"/>
      <c r="G5159" s="37"/>
      <c r="H5159" s="37"/>
      <c r="I5159" s="35"/>
      <c r="J5159" s="37"/>
    </row>
    <row r="5160" spans="1:10" ht="15.95" customHeight="1" x14ac:dyDescent="0.2">
      <c r="A5160" s="39"/>
      <c r="B5160" s="36"/>
      <c r="C5160" s="37"/>
      <c r="D5160" s="37"/>
      <c r="E5160" s="37"/>
      <c r="F5160" s="37"/>
      <c r="G5160" s="37"/>
      <c r="H5160" s="37"/>
      <c r="I5160" s="35"/>
      <c r="J5160" s="37"/>
    </row>
    <row r="5161" spans="1:10" ht="15.95" customHeight="1" x14ac:dyDescent="0.2">
      <c r="A5161" s="39"/>
      <c r="B5161" s="36"/>
      <c r="C5161" s="37"/>
      <c r="D5161" s="37"/>
      <c r="E5161" s="37"/>
      <c r="F5161" s="37"/>
      <c r="G5161" s="37"/>
      <c r="H5161" s="37"/>
      <c r="I5161" s="35"/>
      <c r="J5161" s="37"/>
    </row>
    <row r="5162" spans="1:10" ht="15.95" customHeight="1" x14ac:dyDescent="0.2">
      <c r="A5162" s="39"/>
      <c r="B5162" s="36"/>
      <c r="C5162" s="37"/>
      <c r="D5162" s="37"/>
      <c r="E5162" s="37"/>
      <c r="F5162" s="37"/>
      <c r="G5162" s="37"/>
      <c r="H5162" s="37"/>
      <c r="I5162" s="35"/>
      <c r="J5162" s="37"/>
    </row>
    <row r="5163" spans="1:10" ht="15.95" customHeight="1" x14ac:dyDescent="0.2">
      <c r="A5163" s="39"/>
      <c r="B5163" s="36"/>
      <c r="C5163" s="37"/>
      <c r="D5163" s="37"/>
      <c r="E5163" s="37"/>
      <c r="F5163" s="37"/>
      <c r="G5163" s="37"/>
      <c r="H5163" s="37"/>
      <c r="I5163" s="35"/>
      <c r="J5163" s="37"/>
    </row>
    <row r="5164" spans="1:10" ht="15.95" customHeight="1" x14ac:dyDescent="0.2">
      <c r="A5164" s="39"/>
      <c r="B5164" s="36"/>
      <c r="C5164" s="37"/>
      <c r="D5164" s="37"/>
      <c r="E5164" s="37"/>
      <c r="F5164" s="37"/>
      <c r="G5164" s="37"/>
      <c r="H5164" s="37"/>
      <c r="I5164" s="35"/>
      <c r="J5164" s="37"/>
    </row>
    <row r="5165" spans="1:10" ht="15.95" customHeight="1" x14ac:dyDescent="0.2">
      <c r="A5165" s="39"/>
      <c r="B5165" s="36"/>
      <c r="C5165" s="37"/>
      <c r="D5165" s="37"/>
      <c r="E5165" s="37"/>
      <c r="F5165" s="37"/>
      <c r="G5165" s="37"/>
      <c r="H5165" s="37"/>
      <c r="I5165" s="35"/>
      <c r="J5165" s="37"/>
    </row>
    <row r="5166" spans="1:10" ht="15.95" customHeight="1" x14ac:dyDescent="0.2">
      <c r="A5166" s="39"/>
      <c r="B5166" s="36"/>
      <c r="C5166" s="37"/>
      <c r="D5166" s="37"/>
      <c r="E5166" s="37"/>
      <c r="F5166" s="37"/>
      <c r="G5166" s="37"/>
      <c r="H5166" s="37"/>
      <c r="I5166" s="35"/>
      <c r="J5166" s="37"/>
    </row>
    <row r="5167" spans="1:10" ht="15.95" customHeight="1" x14ac:dyDescent="0.2">
      <c r="A5167" s="39"/>
      <c r="B5167" s="36"/>
      <c r="C5167" s="37"/>
      <c r="D5167" s="37"/>
      <c r="E5167" s="37"/>
      <c r="F5167" s="37"/>
      <c r="G5167" s="37"/>
      <c r="H5167" s="37"/>
      <c r="I5167" s="35"/>
      <c r="J5167" s="37"/>
    </row>
    <row r="5168" spans="1:10" ht="15.95" customHeight="1" x14ac:dyDescent="0.2">
      <c r="A5168" s="39"/>
      <c r="B5168" s="36"/>
      <c r="C5168" s="37"/>
      <c r="D5168" s="37"/>
      <c r="E5168" s="37"/>
      <c r="F5168" s="37"/>
      <c r="G5168" s="37"/>
      <c r="H5168" s="37"/>
      <c r="I5168" s="35"/>
      <c r="J5168" s="37"/>
    </row>
    <row r="5169" spans="1:10" ht="15.95" customHeight="1" x14ac:dyDescent="0.2">
      <c r="A5169" s="39"/>
      <c r="B5169" s="36"/>
      <c r="C5169" s="37"/>
      <c r="D5169" s="37"/>
      <c r="E5169" s="37"/>
      <c r="F5169" s="37"/>
      <c r="G5169" s="37"/>
      <c r="H5169" s="37"/>
      <c r="I5169" s="35"/>
      <c r="J5169" s="37"/>
    </row>
    <row r="5170" spans="1:10" ht="15.95" customHeight="1" x14ac:dyDescent="0.2">
      <c r="A5170" s="39"/>
      <c r="B5170" s="36"/>
      <c r="C5170" s="37"/>
      <c r="D5170" s="37"/>
      <c r="E5170" s="37"/>
      <c r="F5170" s="37"/>
      <c r="G5170" s="37"/>
      <c r="H5170" s="37"/>
      <c r="I5170" s="35"/>
      <c r="J5170" s="37"/>
    </row>
    <row r="5171" spans="1:10" ht="15.95" customHeight="1" x14ac:dyDescent="0.2">
      <c r="A5171" s="39"/>
      <c r="B5171" s="36"/>
      <c r="C5171" s="37"/>
      <c r="D5171" s="37"/>
      <c r="E5171" s="37"/>
      <c r="F5171" s="37"/>
      <c r="G5171" s="37"/>
      <c r="H5171" s="37"/>
      <c r="I5171" s="35"/>
      <c r="J5171" s="37"/>
    </row>
    <row r="5172" spans="1:10" ht="15.95" customHeight="1" x14ac:dyDescent="0.2">
      <c r="A5172" s="39"/>
      <c r="B5172" s="36"/>
      <c r="C5172" s="37"/>
      <c r="D5172" s="37"/>
      <c r="E5172" s="37"/>
      <c r="F5172" s="37"/>
      <c r="G5172" s="37"/>
      <c r="H5172" s="37"/>
      <c r="I5172" s="35"/>
      <c r="J5172" s="37"/>
    </row>
    <row r="5173" spans="1:10" ht="15.95" customHeight="1" x14ac:dyDescent="0.2">
      <c r="A5173" s="39"/>
      <c r="B5173" s="36"/>
      <c r="C5173" s="37"/>
      <c r="D5173" s="37"/>
      <c r="E5173" s="37"/>
      <c r="F5173" s="37"/>
      <c r="G5173" s="37"/>
      <c r="H5173" s="37"/>
      <c r="I5173" s="35"/>
      <c r="J5173" s="37"/>
    </row>
    <row r="5174" spans="1:10" ht="15.95" customHeight="1" x14ac:dyDescent="0.2">
      <c r="A5174" s="39"/>
      <c r="B5174" s="36"/>
      <c r="C5174" s="37"/>
      <c r="D5174" s="37"/>
      <c r="E5174" s="37"/>
      <c r="F5174" s="37"/>
      <c r="G5174" s="37"/>
      <c r="H5174" s="37"/>
      <c r="I5174" s="35"/>
      <c r="J5174" s="37"/>
    </row>
    <row r="5175" spans="1:10" ht="15.95" customHeight="1" x14ac:dyDescent="0.2">
      <c r="A5175" s="39"/>
      <c r="B5175" s="36"/>
      <c r="C5175" s="37"/>
      <c r="D5175" s="37"/>
      <c r="E5175" s="37"/>
      <c r="F5175" s="37"/>
      <c r="G5175" s="37"/>
      <c r="H5175" s="37"/>
      <c r="I5175" s="35"/>
      <c r="J5175" s="37"/>
    </row>
    <row r="5176" spans="1:10" ht="15.95" customHeight="1" x14ac:dyDescent="0.2">
      <c r="A5176" s="39"/>
      <c r="B5176" s="36"/>
      <c r="C5176" s="37"/>
      <c r="D5176" s="37"/>
      <c r="E5176" s="37"/>
      <c r="F5176" s="37"/>
      <c r="G5176" s="37"/>
      <c r="H5176" s="37"/>
      <c r="I5176" s="35"/>
      <c r="J5176" s="37"/>
    </row>
    <row r="5177" spans="1:10" ht="15.95" customHeight="1" x14ac:dyDescent="0.2">
      <c r="A5177" s="39"/>
      <c r="B5177" s="36"/>
      <c r="C5177" s="37"/>
      <c r="D5177" s="37"/>
      <c r="E5177" s="37"/>
      <c r="F5177" s="37"/>
      <c r="G5177" s="37"/>
      <c r="H5177" s="37"/>
      <c r="I5177" s="35"/>
      <c r="J5177" s="37"/>
    </row>
    <row r="5178" spans="1:10" ht="15.95" customHeight="1" x14ac:dyDescent="0.2">
      <c r="A5178" s="39"/>
      <c r="B5178" s="36"/>
      <c r="C5178" s="37"/>
      <c r="D5178" s="37"/>
      <c r="E5178" s="37"/>
      <c r="F5178" s="37"/>
      <c r="G5178" s="37"/>
      <c r="H5178" s="37"/>
      <c r="I5178" s="35"/>
      <c r="J5178" s="37"/>
    </row>
    <row r="5179" spans="1:10" ht="15.95" customHeight="1" x14ac:dyDescent="0.2">
      <c r="A5179" s="39"/>
      <c r="B5179" s="36"/>
      <c r="C5179" s="37"/>
      <c r="D5179" s="37"/>
      <c r="E5179" s="37"/>
      <c r="F5179" s="37"/>
      <c r="G5179" s="37"/>
      <c r="H5179" s="37"/>
      <c r="I5179" s="35"/>
      <c r="J5179" s="37"/>
    </row>
    <row r="5180" spans="1:10" ht="15.95" customHeight="1" x14ac:dyDescent="0.2">
      <c r="A5180" s="39"/>
      <c r="B5180" s="36"/>
      <c r="C5180" s="37"/>
      <c r="D5180" s="37"/>
      <c r="E5180" s="37"/>
      <c r="F5180" s="37"/>
      <c r="G5180" s="37"/>
      <c r="H5180" s="37"/>
      <c r="I5180" s="35"/>
      <c r="J5180" s="37"/>
    </row>
    <row r="5181" spans="1:10" ht="15.95" customHeight="1" x14ac:dyDescent="0.2">
      <c r="A5181" s="39"/>
      <c r="B5181" s="36"/>
      <c r="C5181" s="37"/>
      <c r="D5181" s="37"/>
      <c r="E5181" s="37"/>
      <c r="F5181" s="37"/>
      <c r="G5181" s="37"/>
      <c r="H5181" s="37"/>
      <c r="I5181" s="35"/>
      <c r="J5181" s="37"/>
    </row>
    <row r="5182" spans="1:10" ht="15.95" customHeight="1" x14ac:dyDescent="0.2">
      <c r="A5182" s="39"/>
      <c r="B5182" s="36"/>
      <c r="C5182" s="37"/>
      <c r="D5182" s="37"/>
      <c r="E5182" s="37"/>
      <c r="F5182" s="37"/>
      <c r="G5182" s="37"/>
      <c r="H5182" s="37"/>
      <c r="I5182" s="35"/>
      <c r="J5182" s="37"/>
    </row>
    <row r="5183" spans="1:10" ht="15.95" customHeight="1" x14ac:dyDescent="0.2">
      <c r="A5183" s="39"/>
      <c r="B5183" s="36"/>
      <c r="C5183" s="37"/>
      <c r="D5183" s="37"/>
      <c r="E5183" s="37"/>
      <c r="F5183" s="37"/>
      <c r="G5183" s="37"/>
      <c r="H5183" s="37"/>
      <c r="I5183" s="35"/>
      <c r="J5183" s="37"/>
    </row>
    <row r="5184" spans="1:10" ht="15.95" customHeight="1" x14ac:dyDescent="0.2">
      <c r="A5184" s="39"/>
      <c r="B5184" s="36"/>
      <c r="C5184" s="37"/>
      <c r="D5184" s="37"/>
      <c r="E5184" s="37"/>
      <c r="F5184" s="37"/>
      <c r="G5184" s="37"/>
      <c r="H5184" s="37"/>
      <c r="I5184" s="35"/>
      <c r="J5184" s="37"/>
    </row>
    <row r="5185" spans="1:10" ht="15.95" customHeight="1" x14ac:dyDescent="0.2">
      <c r="A5185" s="39"/>
      <c r="B5185" s="36"/>
      <c r="C5185" s="37"/>
      <c r="D5185" s="37"/>
      <c r="E5185" s="37"/>
      <c r="F5185" s="37"/>
      <c r="G5185" s="37"/>
      <c r="H5185" s="37"/>
      <c r="I5185" s="35"/>
      <c r="J5185" s="37"/>
    </row>
    <row r="5186" spans="1:10" ht="15.95" customHeight="1" x14ac:dyDescent="0.2">
      <c r="A5186" s="39"/>
      <c r="B5186" s="36"/>
      <c r="C5186" s="37"/>
      <c r="D5186" s="37"/>
      <c r="E5186" s="37"/>
      <c r="F5186" s="37"/>
      <c r="G5186" s="37"/>
      <c r="H5186" s="37"/>
      <c r="I5186" s="35"/>
      <c r="J5186" s="37"/>
    </row>
    <row r="5187" spans="1:10" ht="15.95" customHeight="1" x14ac:dyDescent="0.2">
      <c r="A5187" s="39"/>
      <c r="B5187" s="36"/>
      <c r="C5187" s="37"/>
      <c r="D5187" s="37"/>
      <c r="E5187" s="37"/>
      <c r="F5187" s="37"/>
      <c r="G5187" s="37"/>
      <c r="H5187" s="37"/>
      <c r="I5187" s="35"/>
      <c r="J5187" s="37"/>
    </row>
    <row r="5188" spans="1:10" ht="15.95" customHeight="1" x14ac:dyDescent="0.2">
      <c r="A5188" s="39"/>
      <c r="B5188" s="36"/>
      <c r="C5188" s="37"/>
      <c r="D5188" s="37"/>
      <c r="E5188" s="37"/>
      <c r="F5188" s="37"/>
      <c r="G5188" s="37"/>
      <c r="H5188" s="37"/>
      <c r="I5188" s="35"/>
      <c r="J5188" s="37"/>
    </row>
    <row r="5189" spans="1:10" ht="15.95" customHeight="1" x14ac:dyDescent="0.2">
      <c r="A5189" s="39"/>
      <c r="B5189" s="36"/>
      <c r="C5189" s="37"/>
      <c r="D5189" s="37"/>
      <c r="E5189" s="37"/>
      <c r="F5189" s="37"/>
      <c r="G5189" s="37"/>
      <c r="H5189" s="37"/>
      <c r="I5189" s="35"/>
      <c r="J5189" s="37"/>
    </row>
    <row r="5190" spans="1:10" ht="15.95" customHeight="1" x14ac:dyDescent="0.2">
      <c r="A5190" s="39"/>
      <c r="B5190" s="36"/>
      <c r="C5190" s="37"/>
      <c r="D5190" s="37"/>
      <c r="E5190" s="37"/>
      <c r="F5190" s="37"/>
      <c r="G5190" s="37"/>
      <c r="H5190" s="37"/>
      <c r="I5190" s="35"/>
      <c r="J5190" s="37"/>
    </row>
    <row r="5191" spans="1:10" ht="15.95" customHeight="1" x14ac:dyDescent="0.2">
      <c r="A5191" s="39"/>
      <c r="B5191" s="36"/>
      <c r="C5191" s="37"/>
      <c r="D5191" s="37"/>
      <c r="E5191" s="37"/>
      <c r="F5191" s="37"/>
      <c r="G5191" s="37"/>
      <c r="H5191" s="37"/>
      <c r="I5191" s="35"/>
      <c r="J5191" s="37"/>
    </row>
    <row r="5192" spans="1:10" ht="15.95" customHeight="1" x14ac:dyDescent="0.2">
      <c r="A5192" s="39"/>
      <c r="B5192" s="36"/>
      <c r="C5192" s="37"/>
      <c r="D5192" s="37"/>
      <c r="E5192" s="37"/>
      <c r="F5192" s="37"/>
      <c r="G5192" s="37"/>
      <c r="H5192" s="37"/>
      <c r="I5192" s="35"/>
      <c r="J5192" s="37"/>
    </row>
    <row r="5193" spans="1:10" ht="15.95" customHeight="1" x14ac:dyDescent="0.2">
      <c r="A5193" s="39"/>
      <c r="B5193" s="36"/>
      <c r="C5193" s="37"/>
      <c r="D5193" s="37"/>
      <c r="E5193" s="37"/>
      <c r="F5193" s="37"/>
      <c r="G5193" s="37"/>
      <c r="H5193" s="37"/>
      <c r="I5193" s="35"/>
      <c r="J5193" s="37"/>
    </row>
    <row r="5194" spans="1:10" ht="15.95" customHeight="1" x14ac:dyDescent="0.2">
      <c r="A5194" s="39"/>
      <c r="B5194" s="36"/>
      <c r="C5194" s="37"/>
      <c r="D5194" s="37"/>
      <c r="E5194" s="37"/>
      <c r="F5194" s="37"/>
      <c r="G5194" s="37"/>
      <c r="H5194" s="37"/>
      <c r="I5194" s="35"/>
      <c r="J5194" s="37"/>
    </row>
    <row r="5195" spans="1:10" ht="15.95" customHeight="1" x14ac:dyDescent="0.2">
      <c r="A5195" s="39"/>
      <c r="B5195" s="36"/>
      <c r="C5195" s="37"/>
      <c r="D5195" s="37"/>
      <c r="E5195" s="37"/>
      <c r="F5195" s="37"/>
      <c r="G5195" s="37"/>
      <c r="H5195" s="37"/>
      <c r="I5195" s="35"/>
      <c r="J5195" s="37"/>
    </row>
    <row r="5196" spans="1:10" ht="15.95" customHeight="1" x14ac:dyDescent="0.2">
      <c r="A5196" s="39"/>
      <c r="B5196" s="36"/>
      <c r="C5196" s="37"/>
      <c r="D5196" s="37"/>
      <c r="E5196" s="37"/>
      <c r="F5196" s="37"/>
      <c r="G5196" s="37"/>
      <c r="H5196" s="37"/>
      <c r="I5196" s="35"/>
      <c r="J5196" s="37"/>
    </row>
    <row r="5197" spans="1:10" ht="15.95" customHeight="1" x14ac:dyDescent="0.2">
      <c r="A5197" s="39"/>
      <c r="B5197" s="36"/>
      <c r="C5197" s="37"/>
      <c r="D5197" s="37"/>
      <c r="E5197" s="37"/>
      <c r="F5197" s="37"/>
      <c r="G5197" s="37"/>
      <c r="H5197" s="37"/>
      <c r="I5197" s="35"/>
      <c r="J5197" s="37"/>
    </row>
    <row r="5198" spans="1:10" ht="15.95" customHeight="1" x14ac:dyDescent="0.2">
      <c r="A5198" s="39"/>
      <c r="B5198" s="36"/>
      <c r="C5198" s="37"/>
      <c r="D5198" s="37"/>
      <c r="E5198" s="37"/>
      <c r="F5198" s="37"/>
      <c r="G5198" s="37"/>
      <c r="H5198" s="37"/>
      <c r="I5198" s="35"/>
      <c r="J5198" s="37"/>
    </row>
    <row r="5199" spans="1:10" ht="15.95" customHeight="1" x14ac:dyDescent="0.2">
      <c r="A5199" s="39"/>
      <c r="B5199" s="36"/>
      <c r="C5199" s="37"/>
      <c r="D5199" s="37"/>
      <c r="E5199" s="37"/>
      <c r="F5199" s="37"/>
      <c r="G5199" s="37"/>
      <c r="H5199" s="37"/>
      <c r="I5199" s="35"/>
      <c r="J5199" s="37"/>
    </row>
    <row r="5200" spans="1:10" ht="15.95" customHeight="1" x14ac:dyDescent="0.2">
      <c r="A5200" s="39"/>
      <c r="B5200" s="36"/>
      <c r="C5200" s="37"/>
      <c r="D5200" s="37"/>
      <c r="E5200" s="37"/>
      <c r="F5200" s="37"/>
      <c r="G5200" s="37"/>
      <c r="H5200" s="37"/>
      <c r="I5200" s="35"/>
      <c r="J5200" s="37"/>
    </row>
    <row r="5201" spans="1:10" ht="15.95" customHeight="1" x14ac:dyDescent="0.2">
      <c r="A5201" s="39"/>
      <c r="B5201" s="36"/>
      <c r="C5201" s="37"/>
      <c r="D5201" s="37"/>
      <c r="E5201" s="37"/>
      <c r="F5201" s="37"/>
      <c r="G5201" s="37"/>
      <c r="H5201" s="37"/>
      <c r="I5201" s="35"/>
      <c r="J5201" s="37"/>
    </row>
    <row r="5202" spans="1:10" ht="15.95" customHeight="1" x14ac:dyDescent="0.2">
      <c r="A5202" s="39"/>
      <c r="B5202" s="36"/>
      <c r="C5202" s="37"/>
      <c r="D5202" s="37"/>
      <c r="E5202" s="37"/>
      <c r="F5202" s="37"/>
      <c r="G5202" s="37"/>
      <c r="H5202" s="37"/>
      <c r="I5202" s="35"/>
      <c r="J5202" s="37"/>
    </row>
    <row r="5203" spans="1:10" ht="15.95" customHeight="1" x14ac:dyDescent="0.2">
      <c r="A5203" s="39"/>
      <c r="B5203" s="36"/>
      <c r="C5203" s="37"/>
      <c r="D5203" s="37"/>
      <c r="E5203" s="37"/>
      <c r="F5203" s="37"/>
      <c r="G5203" s="37"/>
      <c r="H5203" s="37"/>
      <c r="I5203" s="35"/>
      <c r="J5203" s="37"/>
    </row>
    <row r="5204" spans="1:10" ht="15.95" customHeight="1" x14ac:dyDescent="0.2">
      <c r="A5204" s="39"/>
      <c r="B5204" s="36"/>
      <c r="C5204" s="37"/>
      <c r="D5204" s="37"/>
      <c r="E5204" s="37"/>
      <c r="F5204" s="37"/>
      <c r="G5204" s="37"/>
      <c r="H5204" s="37"/>
      <c r="I5204" s="35"/>
      <c r="J5204" s="37"/>
    </row>
    <row r="5205" spans="1:10" ht="15.95" customHeight="1" x14ac:dyDescent="0.2">
      <c r="A5205" s="39"/>
      <c r="B5205" s="36"/>
      <c r="C5205" s="37"/>
      <c r="D5205" s="37"/>
      <c r="E5205" s="37"/>
      <c r="F5205" s="37"/>
      <c r="G5205" s="37"/>
      <c r="H5205" s="37"/>
      <c r="I5205" s="35"/>
      <c r="J5205" s="37"/>
    </row>
    <row r="5206" spans="1:10" ht="15.95" customHeight="1" x14ac:dyDescent="0.2">
      <c r="A5206" s="39"/>
      <c r="B5206" s="36"/>
      <c r="C5206" s="37"/>
      <c r="D5206" s="37"/>
      <c r="E5206" s="37"/>
      <c r="F5206" s="37"/>
      <c r="G5206" s="37"/>
      <c r="H5206" s="37"/>
      <c r="I5206" s="35"/>
      <c r="J5206" s="37"/>
    </row>
    <row r="5207" spans="1:10" ht="15.95" customHeight="1" x14ac:dyDescent="0.2">
      <c r="A5207" s="39"/>
      <c r="B5207" s="36"/>
      <c r="C5207" s="37"/>
      <c r="D5207" s="37"/>
      <c r="E5207" s="37"/>
      <c r="F5207" s="37"/>
      <c r="G5207" s="37"/>
      <c r="H5207" s="37"/>
      <c r="I5207" s="35"/>
      <c r="J5207" s="37"/>
    </row>
    <row r="5208" spans="1:10" ht="15.95" customHeight="1" x14ac:dyDescent="0.2">
      <c r="A5208" s="39"/>
      <c r="B5208" s="36"/>
      <c r="C5208" s="37"/>
      <c r="D5208" s="37"/>
      <c r="E5208" s="37"/>
      <c r="F5208" s="37"/>
      <c r="G5208" s="37"/>
      <c r="H5208" s="37"/>
      <c r="I5208" s="35"/>
      <c r="J5208" s="37"/>
    </row>
    <row r="5209" spans="1:10" ht="15.95" customHeight="1" x14ac:dyDescent="0.2">
      <c r="A5209" s="39"/>
      <c r="B5209" s="36"/>
      <c r="C5209" s="37"/>
      <c r="D5209" s="37"/>
      <c r="E5209" s="37"/>
      <c r="F5209" s="37"/>
      <c r="G5209" s="37"/>
      <c r="H5209" s="37"/>
      <c r="I5209" s="35"/>
      <c r="J5209" s="37"/>
    </row>
    <row r="5210" spans="1:10" ht="15.95" customHeight="1" x14ac:dyDescent="0.2">
      <c r="A5210" s="39"/>
      <c r="B5210" s="36"/>
      <c r="C5210" s="37"/>
      <c r="D5210" s="37"/>
      <c r="E5210" s="37"/>
      <c r="F5210" s="37"/>
      <c r="G5210" s="37"/>
      <c r="H5210" s="37"/>
      <c r="I5210" s="35"/>
      <c r="J5210" s="37"/>
    </row>
    <row r="5211" spans="1:10" ht="15.95" customHeight="1" x14ac:dyDescent="0.2">
      <c r="A5211" s="39"/>
      <c r="B5211" s="36"/>
      <c r="C5211" s="37"/>
      <c r="D5211" s="37"/>
      <c r="E5211" s="37"/>
      <c r="F5211" s="37"/>
      <c r="G5211" s="37"/>
      <c r="H5211" s="37"/>
      <c r="I5211" s="35"/>
      <c r="J5211" s="37"/>
    </row>
    <row r="5212" spans="1:10" ht="15.95" customHeight="1" x14ac:dyDescent="0.2">
      <c r="A5212" s="39"/>
      <c r="B5212" s="36"/>
      <c r="C5212" s="37"/>
      <c r="D5212" s="37"/>
      <c r="E5212" s="37"/>
      <c r="F5212" s="37"/>
      <c r="G5212" s="37"/>
      <c r="H5212" s="37"/>
      <c r="I5212" s="35"/>
      <c r="J5212" s="37"/>
    </row>
    <row r="5213" spans="1:10" ht="15.95" customHeight="1" x14ac:dyDescent="0.2">
      <c r="A5213" s="39"/>
      <c r="B5213" s="36"/>
      <c r="C5213" s="37"/>
      <c r="D5213" s="37"/>
      <c r="E5213" s="37"/>
      <c r="F5213" s="37"/>
      <c r="G5213" s="37"/>
      <c r="H5213" s="37"/>
      <c r="I5213" s="35"/>
      <c r="J5213" s="37"/>
    </row>
    <row r="5214" spans="1:10" ht="15.95" customHeight="1" x14ac:dyDescent="0.2">
      <c r="A5214" s="39"/>
      <c r="B5214" s="36"/>
      <c r="C5214" s="37"/>
      <c r="D5214" s="37"/>
      <c r="E5214" s="37"/>
      <c r="F5214" s="37"/>
      <c r="G5214" s="37"/>
      <c r="H5214" s="37"/>
      <c r="I5214" s="35"/>
      <c r="J5214" s="37"/>
    </row>
    <row r="5215" spans="1:10" ht="15.95" customHeight="1" x14ac:dyDescent="0.2">
      <c r="A5215" s="39"/>
      <c r="B5215" s="36"/>
      <c r="C5215" s="37"/>
      <c r="D5215" s="37"/>
      <c r="E5215" s="37"/>
      <c r="F5215" s="37"/>
      <c r="G5215" s="37"/>
      <c r="H5215" s="37"/>
      <c r="I5215" s="35"/>
      <c r="J5215" s="37"/>
    </row>
    <row r="5216" spans="1:10" ht="15.95" customHeight="1" x14ac:dyDescent="0.2">
      <c r="A5216" s="39"/>
      <c r="B5216" s="36"/>
      <c r="C5216" s="37"/>
      <c r="D5216" s="37"/>
      <c r="E5216" s="37"/>
      <c r="F5216" s="37"/>
      <c r="G5216" s="37"/>
      <c r="H5216" s="37"/>
      <c r="I5216" s="35"/>
      <c r="J5216" s="37"/>
    </row>
    <row r="5217" spans="1:10" ht="15.95" customHeight="1" x14ac:dyDescent="0.2">
      <c r="A5217" s="39"/>
      <c r="B5217" s="36"/>
      <c r="C5217" s="37"/>
      <c r="D5217" s="37"/>
      <c r="E5217" s="37"/>
      <c r="F5217" s="37"/>
      <c r="G5217" s="37"/>
      <c r="H5217" s="37"/>
      <c r="I5217" s="35"/>
      <c r="J5217" s="37"/>
    </row>
    <row r="5218" spans="1:10" ht="15.95" customHeight="1" x14ac:dyDescent="0.2">
      <c r="A5218" s="39"/>
      <c r="B5218" s="36"/>
      <c r="C5218" s="37"/>
      <c r="D5218" s="37"/>
      <c r="E5218" s="37"/>
      <c r="F5218" s="37"/>
      <c r="G5218" s="37"/>
      <c r="H5218" s="37"/>
      <c r="I5218" s="35"/>
      <c r="J5218" s="37"/>
    </row>
    <row r="5219" spans="1:10" ht="15.95" customHeight="1" x14ac:dyDescent="0.2">
      <c r="A5219" s="39"/>
      <c r="B5219" s="36"/>
      <c r="C5219" s="37"/>
      <c r="D5219" s="37"/>
      <c r="E5219" s="37"/>
      <c r="F5219" s="37"/>
      <c r="G5219" s="37"/>
      <c r="H5219" s="37"/>
      <c r="I5219" s="35"/>
      <c r="J5219" s="37"/>
    </row>
    <row r="5220" spans="1:10" ht="15.95" customHeight="1" x14ac:dyDescent="0.2">
      <c r="A5220" s="39"/>
      <c r="B5220" s="36"/>
      <c r="C5220" s="37"/>
      <c r="D5220" s="37"/>
      <c r="E5220" s="37"/>
      <c r="F5220" s="37"/>
      <c r="G5220" s="37"/>
      <c r="H5220" s="37"/>
      <c r="I5220" s="35"/>
      <c r="J5220" s="37"/>
    </row>
    <row r="5221" spans="1:10" ht="15.95" customHeight="1" x14ac:dyDescent="0.2">
      <c r="A5221" s="39"/>
      <c r="B5221" s="36"/>
      <c r="C5221" s="37"/>
      <c r="D5221" s="37"/>
      <c r="E5221" s="37"/>
      <c r="F5221" s="37"/>
      <c r="G5221" s="37"/>
      <c r="H5221" s="37"/>
      <c r="I5221" s="35"/>
      <c r="J5221" s="37"/>
    </row>
    <row r="5222" spans="1:10" ht="15.95" customHeight="1" x14ac:dyDescent="0.2">
      <c r="A5222" s="39"/>
      <c r="B5222" s="36"/>
      <c r="C5222" s="37"/>
      <c r="D5222" s="37"/>
      <c r="E5222" s="37"/>
      <c r="F5222" s="37"/>
      <c r="G5222" s="37"/>
      <c r="H5222" s="37"/>
      <c r="I5222" s="35"/>
      <c r="J5222" s="37"/>
    </row>
    <row r="5223" spans="1:10" ht="15.95" customHeight="1" x14ac:dyDescent="0.2">
      <c r="A5223" s="39"/>
      <c r="B5223" s="36"/>
      <c r="C5223" s="37"/>
      <c r="D5223" s="37"/>
      <c r="E5223" s="37"/>
      <c r="F5223" s="37"/>
      <c r="G5223" s="37"/>
      <c r="H5223" s="37"/>
      <c r="I5223" s="35"/>
      <c r="J5223" s="37"/>
    </row>
    <row r="5224" spans="1:10" ht="15.95" customHeight="1" x14ac:dyDescent="0.2">
      <c r="A5224" s="39"/>
      <c r="B5224" s="36"/>
      <c r="C5224" s="37"/>
      <c r="D5224" s="37"/>
      <c r="E5224" s="37"/>
      <c r="F5224" s="37"/>
      <c r="G5224" s="37"/>
      <c r="H5224" s="37"/>
      <c r="I5224" s="35"/>
      <c r="J5224" s="37"/>
    </row>
    <row r="5225" spans="1:10" ht="15.95" customHeight="1" x14ac:dyDescent="0.2">
      <c r="A5225" s="39"/>
      <c r="B5225" s="36"/>
      <c r="C5225" s="37"/>
      <c r="D5225" s="37"/>
      <c r="E5225" s="37"/>
      <c r="F5225" s="37"/>
      <c r="G5225" s="37"/>
      <c r="H5225" s="37"/>
      <c r="I5225" s="35"/>
      <c r="J5225" s="37"/>
    </row>
    <row r="5226" spans="1:10" ht="15.95" customHeight="1" x14ac:dyDescent="0.2">
      <c r="A5226" s="39"/>
      <c r="B5226" s="36"/>
      <c r="C5226" s="37"/>
      <c r="D5226" s="37"/>
      <c r="E5226" s="37"/>
      <c r="F5226" s="37"/>
      <c r="G5226" s="37"/>
      <c r="H5226" s="37"/>
      <c r="I5226" s="35"/>
      <c r="J5226" s="37"/>
    </row>
    <row r="5227" spans="1:10" ht="15.95" customHeight="1" x14ac:dyDescent="0.2">
      <c r="A5227" s="39"/>
      <c r="B5227" s="36"/>
      <c r="C5227" s="37"/>
      <c r="D5227" s="37"/>
      <c r="E5227" s="37"/>
      <c r="F5227" s="37"/>
      <c r="G5227" s="37"/>
      <c r="H5227" s="37"/>
      <c r="I5227" s="35"/>
      <c r="J5227" s="37"/>
    </row>
    <row r="5228" spans="1:10" ht="15.95" customHeight="1" x14ac:dyDescent="0.2">
      <c r="A5228" s="39"/>
      <c r="B5228" s="36"/>
      <c r="C5228" s="37"/>
      <c r="D5228" s="37"/>
      <c r="E5228" s="37"/>
      <c r="F5228" s="37"/>
      <c r="G5228" s="37"/>
      <c r="H5228" s="37"/>
      <c r="I5228" s="35"/>
      <c r="J5228" s="37"/>
    </row>
    <row r="5229" spans="1:10" ht="15.95" customHeight="1" x14ac:dyDescent="0.2">
      <c r="A5229" s="39"/>
      <c r="B5229" s="36"/>
      <c r="C5229" s="37"/>
      <c r="D5229" s="37"/>
      <c r="E5229" s="37"/>
      <c r="F5229" s="37"/>
      <c r="G5229" s="37"/>
      <c r="H5229" s="37"/>
      <c r="I5229" s="35"/>
      <c r="J5229" s="37"/>
    </row>
    <row r="5230" spans="1:10" ht="15.95" customHeight="1" x14ac:dyDescent="0.2">
      <c r="A5230" s="39"/>
      <c r="B5230" s="36"/>
      <c r="C5230" s="37"/>
      <c r="D5230" s="37"/>
      <c r="E5230" s="37"/>
      <c r="F5230" s="37"/>
      <c r="G5230" s="37"/>
      <c r="H5230" s="37"/>
      <c r="I5230" s="35"/>
      <c r="J5230" s="37"/>
    </row>
    <row r="5231" spans="1:10" ht="15.95" customHeight="1" x14ac:dyDescent="0.2">
      <c r="A5231" s="39"/>
      <c r="B5231" s="36"/>
      <c r="C5231" s="37"/>
      <c r="D5231" s="37"/>
      <c r="E5231" s="37"/>
      <c r="F5231" s="37"/>
      <c r="G5231" s="37"/>
      <c r="H5231" s="37"/>
      <c r="I5231" s="35"/>
      <c r="J5231" s="37"/>
    </row>
    <row r="5232" spans="1:10" ht="15.95" customHeight="1" x14ac:dyDescent="0.2">
      <c r="A5232" s="39"/>
      <c r="B5232" s="36"/>
      <c r="C5232" s="37"/>
      <c r="D5232" s="37"/>
      <c r="E5232" s="37"/>
      <c r="F5232" s="37"/>
      <c r="G5232" s="37"/>
      <c r="H5232" s="37"/>
      <c r="I5232" s="35"/>
      <c r="J5232" s="37"/>
    </row>
    <row r="5233" spans="1:10" ht="15.95" customHeight="1" x14ac:dyDescent="0.2">
      <c r="A5233" s="39"/>
      <c r="B5233" s="36"/>
      <c r="C5233" s="37"/>
      <c r="D5233" s="37"/>
      <c r="E5233" s="37"/>
      <c r="F5233" s="37"/>
      <c r="G5233" s="37"/>
      <c r="H5233" s="37"/>
      <c r="I5233" s="35"/>
      <c r="J5233" s="37"/>
    </row>
    <row r="5234" spans="1:10" ht="15.95" customHeight="1" x14ac:dyDescent="0.2">
      <c r="A5234" s="39"/>
      <c r="B5234" s="36"/>
      <c r="C5234" s="37"/>
      <c r="D5234" s="37"/>
      <c r="E5234" s="37"/>
      <c r="F5234" s="37"/>
      <c r="G5234" s="37"/>
      <c r="H5234" s="37"/>
      <c r="I5234" s="35"/>
      <c r="J5234" s="37"/>
    </row>
    <row r="5235" spans="1:10" ht="15.95" customHeight="1" x14ac:dyDescent="0.2">
      <c r="A5235" s="39"/>
      <c r="B5235" s="36"/>
      <c r="C5235" s="37"/>
      <c r="D5235" s="37"/>
      <c r="E5235" s="37"/>
      <c r="F5235" s="37"/>
      <c r="G5235" s="37"/>
      <c r="H5235" s="37"/>
      <c r="I5235" s="35"/>
      <c r="J5235" s="37"/>
    </row>
    <row r="5236" spans="1:10" ht="15.95" customHeight="1" x14ac:dyDescent="0.2">
      <c r="A5236" s="39"/>
      <c r="B5236" s="36"/>
      <c r="C5236" s="37"/>
      <c r="D5236" s="37"/>
      <c r="E5236" s="37"/>
      <c r="F5236" s="37"/>
      <c r="G5236" s="37"/>
      <c r="H5236" s="37"/>
      <c r="I5236" s="35"/>
      <c r="J5236" s="37"/>
    </row>
    <row r="5237" spans="1:10" ht="15.95" customHeight="1" x14ac:dyDescent="0.2">
      <c r="A5237" s="39"/>
      <c r="B5237" s="36"/>
      <c r="C5237" s="37"/>
      <c r="D5237" s="37"/>
      <c r="E5237" s="37"/>
      <c r="F5237" s="37"/>
      <c r="G5237" s="37"/>
      <c r="H5237" s="37"/>
      <c r="I5237" s="35"/>
      <c r="J5237" s="37"/>
    </row>
    <row r="5238" spans="1:10" ht="15.95" customHeight="1" x14ac:dyDescent="0.2">
      <c r="A5238" s="39"/>
      <c r="B5238" s="36"/>
      <c r="C5238" s="37"/>
      <c r="D5238" s="37"/>
      <c r="E5238" s="37"/>
      <c r="F5238" s="37"/>
      <c r="G5238" s="37"/>
      <c r="H5238" s="37"/>
      <c r="I5238" s="35"/>
      <c r="J5238" s="37"/>
    </row>
    <row r="5239" spans="1:10" ht="15.95" customHeight="1" x14ac:dyDescent="0.2">
      <c r="A5239" s="39"/>
      <c r="B5239" s="36"/>
      <c r="C5239" s="37"/>
      <c r="D5239" s="37"/>
      <c r="E5239" s="37"/>
      <c r="F5239" s="37"/>
      <c r="G5239" s="37"/>
      <c r="H5239" s="37"/>
      <c r="I5239" s="35"/>
      <c r="J5239" s="37"/>
    </row>
    <row r="5240" spans="1:10" ht="15.95" customHeight="1" x14ac:dyDescent="0.2">
      <c r="A5240" s="39"/>
      <c r="B5240" s="36"/>
      <c r="C5240" s="37"/>
      <c r="D5240" s="37"/>
      <c r="E5240" s="37"/>
      <c r="F5240" s="37"/>
      <c r="G5240" s="37"/>
      <c r="H5240" s="37"/>
      <c r="I5240" s="35"/>
      <c r="J5240" s="37"/>
    </row>
    <row r="5241" spans="1:10" ht="15.95" customHeight="1" x14ac:dyDescent="0.2">
      <c r="A5241" s="39"/>
      <c r="B5241" s="36"/>
      <c r="C5241" s="37"/>
      <c r="D5241" s="37"/>
      <c r="E5241" s="37"/>
      <c r="F5241" s="37"/>
      <c r="G5241" s="37"/>
      <c r="H5241" s="37"/>
      <c r="I5241" s="35"/>
      <c r="J5241" s="37"/>
    </row>
    <row r="5242" spans="1:10" ht="15.95" customHeight="1" x14ac:dyDescent="0.2">
      <c r="A5242" s="39"/>
      <c r="B5242" s="36"/>
      <c r="C5242" s="37"/>
      <c r="D5242" s="37"/>
      <c r="E5242" s="37"/>
      <c r="F5242" s="37"/>
      <c r="G5242" s="37"/>
      <c r="H5242" s="37"/>
      <c r="I5242" s="35"/>
      <c r="J5242" s="37"/>
    </row>
    <row r="5243" spans="1:10" ht="15.95" customHeight="1" x14ac:dyDescent="0.2">
      <c r="A5243" s="39"/>
      <c r="B5243" s="36"/>
      <c r="C5243" s="37"/>
      <c r="D5243" s="37"/>
      <c r="E5243" s="37"/>
      <c r="F5243" s="37"/>
      <c r="G5243" s="37"/>
      <c r="H5243" s="37"/>
      <c r="I5243" s="35"/>
      <c r="J5243" s="37"/>
    </row>
    <row r="5244" spans="1:10" ht="15.95" customHeight="1" x14ac:dyDescent="0.2">
      <c r="A5244" s="39"/>
      <c r="B5244" s="36"/>
      <c r="C5244" s="37"/>
      <c r="D5244" s="37"/>
      <c r="E5244" s="37"/>
      <c r="F5244" s="37"/>
      <c r="G5244" s="37"/>
      <c r="H5244" s="37"/>
      <c r="I5244" s="35"/>
      <c r="J5244" s="37"/>
    </row>
    <row r="5245" spans="1:10" ht="15.95" customHeight="1" x14ac:dyDescent="0.2">
      <c r="A5245" s="39"/>
      <c r="B5245" s="36"/>
      <c r="C5245" s="37"/>
      <c r="D5245" s="37"/>
      <c r="E5245" s="37"/>
      <c r="F5245" s="37"/>
      <c r="G5245" s="37"/>
      <c r="H5245" s="37"/>
      <c r="I5245" s="35"/>
      <c r="J5245" s="37"/>
    </row>
    <row r="5246" spans="1:10" ht="15.95" customHeight="1" x14ac:dyDescent="0.2">
      <c r="A5246" s="39"/>
      <c r="B5246" s="36"/>
      <c r="C5246" s="37"/>
      <c r="D5246" s="37"/>
      <c r="E5246" s="37"/>
      <c r="F5246" s="37"/>
      <c r="G5246" s="37"/>
      <c r="H5246" s="37"/>
      <c r="I5246" s="35"/>
      <c r="J5246" s="37"/>
    </row>
    <row r="5247" spans="1:10" ht="15.95" customHeight="1" x14ac:dyDescent="0.2">
      <c r="A5247" s="39"/>
      <c r="B5247" s="36"/>
      <c r="C5247" s="37"/>
      <c r="D5247" s="37"/>
      <c r="E5247" s="37"/>
      <c r="F5247" s="37"/>
      <c r="G5247" s="37"/>
      <c r="H5247" s="37"/>
      <c r="I5247" s="35"/>
      <c r="J5247" s="37"/>
    </row>
    <row r="5248" spans="1:10" ht="15.95" customHeight="1" x14ac:dyDescent="0.2">
      <c r="A5248" s="39"/>
      <c r="B5248" s="36"/>
      <c r="C5248" s="37"/>
      <c r="D5248" s="37"/>
      <c r="E5248" s="37"/>
      <c r="F5248" s="37"/>
      <c r="G5248" s="37"/>
      <c r="H5248" s="37"/>
      <c r="I5248" s="35"/>
      <c r="J5248" s="37"/>
    </row>
    <row r="5249" spans="1:10" ht="15.95" customHeight="1" x14ac:dyDescent="0.2">
      <c r="A5249" s="39"/>
      <c r="B5249" s="36"/>
      <c r="C5249" s="37"/>
      <c r="D5249" s="37"/>
      <c r="E5249" s="37"/>
      <c r="F5249" s="37"/>
      <c r="G5249" s="37"/>
      <c r="H5249" s="37"/>
      <c r="I5249" s="35"/>
      <c r="J5249" s="37"/>
    </row>
    <row r="5250" spans="1:10" ht="15.95" customHeight="1" x14ac:dyDescent="0.2">
      <c r="A5250" s="39"/>
      <c r="B5250" s="36"/>
      <c r="C5250" s="37"/>
      <c r="D5250" s="37"/>
      <c r="E5250" s="37"/>
      <c r="F5250" s="37"/>
      <c r="G5250" s="37"/>
      <c r="H5250" s="37"/>
      <c r="I5250" s="35"/>
      <c r="J5250" s="37"/>
    </row>
    <row r="5251" spans="1:10" ht="15.95" customHeight="1" x14ac:dyDescent="0.2">
      <c r="A5251" s="39"/>
      <c r="B5251" s="36"/>
      <c r="C5251" s="37"/>
      <c r="D5251" s="37"/>
      <c r="E5251" s="37"/>
      <c r="F5251" s="37"/>
      <c r="G5251" s="37"/>
      <c r="H5251" s="37"/>
      <c r="I5251" s="35"/>
      <c r="J5251" s="37"/>
    </row>
    <row r="5252" spans="1:10" ht="15.95" customHeight="1" x14ac:dyDescent="0.2">
      <c r="A5252" s="39"/>
      <c r="B5252" s="36"/>
      <c r="C5252" s="37"/>
      <c r="D5252" s="37"/>
      <c r="E5252" s="37"/>
      <c r="F5252" s="37"/>
      <c r="G5252" s="37"/>
      <c r="H5252" s="37"/>
      <c r="I5252" s="35"/>
      <c r="J5252" s="37"/>
    </row>
    <row r="5253" spans="1:10" ht="15.95" customHeight="1" x14ac:dyDescent="0.2">
      <c r="A5253" s="39"/>
      <c r="B5253" s="36"/>
      <c r="C5253" s="37"/>
      <c r="D5253" s="37"/>
      <c r="E5253" s="37"/>
      <c r="F5253" s="37"/>
      <c r="G5253" s="37"/>
      <c r="H5253" s="37"/>
      <c r="I5253" s="35"/>
      <c r="J5253" s="37"/>
    </row>
    <row r="5254" spans="1:10" ht="15.95" customHeight="1" x14ac:dyDescent="0.2">
      <c r="A5254" s="39"/>
      <c r="B5254" s="36"/>
      <c r="C5254" s="37"/>
      <c r="D5254" s="37"/>
      <c r="E5254" s="37"/>
      <c r="F5254" s="37"/>
      <c r="G5254" s="37"/>
      <c r="H5254" s="37"/>
      <c r="I5254" s="35"/>
      <c r="J5254" s="37"/>
    </row>
    <row r="5255" spans="1:10" ht="15.95" customHeight="1" x14ac:dyDescent="0.2">
      <c r="A5255" s="39"/>
      <c r="B5255" s="36"/>
      <c r="C5255" s="37"/>
      <c r="D5255" s="37"/>
      <c r="E5255" s="37"/>
      <c r="F5255" s="37"/>
      <c r="G5255" s="37"/>
      <c r="H5255" s="37"/>
      <c r="I5255" s="35"/>
      <c r="J5255" s="37"/>
    </row>
    <row r="5256" spans="1:10" ht="15.95" customHeight="1" x14ac:dyDescent="0.2">
      <c r="A5256" s="39"/>
      <c r="B5256" s="36"/>
      <c r="C5256" s="37"/>
      <c r="D5256" s="37"/>
      <c r="E5256" s="37"/>
      <c r="F5256" s="37"/>
      <c r="G5256" s="37"/>
      <c r="H5256" s="37"/>
      <c r="I5256" s="35"/>
      <c r="J5256" s="37"/>
    </row>
    <row r="5257" spans="1:10" ht="15.95" customHeight="1" x14ac:dyDescent="0.2">
      <c r="A5257" s="39"/>
      <c r="B5257" s="36"/>
      <c r="C5257" s="37"/>
      <c r="D5257" s="37"/>
      <c r="E5257" s="37"/>
      <c r="F5257" s="37"/>
      <c r="G5257" s="37"/>
      <c r="H5257" s="37"/>
      <c r="I5257" s="35"/>
      <c r="J5257" s="37"/>
    </row>
    <row r="5258" spans="1:10" ht="15.95" customHeight="1" x14ac:dyDescent="0.2">
      <c r="A5258" s="39"/>
      <c r="B5258" s="36"/>
      <c r="C5258" s="37"/>
      <c r="D5258" s="37"/>
      <c r="E5258" s="37"/>
      <c r="F5258" s="37"/>
      <c r="G5258" s="37"/>
      <c r="H5258" s="37"/>
      <c r="I5258" s="35"/>
      <c r="J5258" s="37"/>
    </row>
    <row r="5259" spans="1:10" ht="15.95" customHeight="1" x14ac:dyDescent="0.2">
      <c r="A5259" s="39"/>
      <c r="B5259" s="36"/>
      <c r="C5259" s="37"/>
      <c r="D5259" s="37"/>
      <c r="E5259" s="37"/>
      <c r="F5259" s="37"/>
      <c r="G5259" s="37"/>
      <c r="H5259" s="37"/>
      <c r="I5259" s="35"/>
      <c r="J5259" s="37"/>
    </row>
    <row r="5260" spans="1:10" ht="15.95" customHeight="1" x14ac:dyDescent="0.2">
      <c r="A5260" s="39"/>
      <c r="B5260" s="36"/>
      <c r="C5260" s="37"/>
      <c r="D5260" s="37"/>
      <c r="E5260" s="37"/>
      <c r="F5260" s="37"/>
      <c r="G5260" s="37"/>
      <c r="H5260" s="37"/>
      <c r="I5260" s="35"/>
      <c r="J5260" s="37"/>
    </row>
    <row r="5261" spans="1:10" ht="15.95" customHeight="1" x14ac:dyDescent="0.2">
      <c r="A5261" s="39"/>
      <c r="B5261" s="36"/>
      <c r="C5261" s="37"/>
      <c r="D5261" s="37"/>
      <c r="E5261" s="37"/>
      <c r="F5261" s="37"/>
      <c r="G5261" s="37"/>
      <c r="H5261" s="37"/>
      <c r="I5261" s="35"/>
      <c r="J5261" s="37"/>
    </row>
    <row r="5262" spans="1:10" ht="15.95" customHeight="1" x14ac:dyDescent="0.2">
      <c r="A5262" s="39"/>
      <c r="B5262" s="36"/>
      <c r="C5262" s="37"/>
      <c r="D5262" s="37"/>
      <c r="E5262" s="37"/>
      <c r="F5262" s="37"/>
      <c r="G5262" s="37"/>
      <c r="H5262" s="37"/>
      <c r="I5262" s="35"/>
      <c r="J5262" s="37"/>
    </row>
    <row r="5263" spans="1:10" ht="15.95" customHeight="1" x14ac:dyDescent="0.2">
      <c r="A5263" s="39"/>
      <c r="B5263" s="36"/>
      <c r="C5263" s="37"/>
      <c r="D5263" s="37"/>
      <c r="E5263" s="37"/>
      <c r="F5263" s="37"/>
      <c r="G5263" s="37"/>
      <c r="H5263" s="37"/>
      <c r="I5263" s="35"/>
      <c r="J5263" s="37"/>
    </row>
    <row r="5264" spans="1:10" ht="15.95" customHeight="1" x14ac:dyDescent="0.2">
      <c r="A5264" s="39"/>
      <c r="B5264" s="36"/>
      <c r="C5264" s="37"/>
      <c r="D5264" s="37"/>
      <c r="E5264" s="37"/>
      <c r="F5264" s="37"/>
      <c r="G5264" s="37"/>
      <c r="H5264" s="37"/>
      <c r="I5264" s="35"/>
      <c r="J5264" s="37"/>
    </row>
    <row r="5265" spans="1:10" ht="15.95" customHeight="1" x14ac:dyDescent="0.2">
      <c r="A5265" s="39"/>
      <c r="B5265" s="36"/>
      <c r="C5265" s="37"/>
      <c r="D5265" s="37"/>
      <c r="E5265" s="37"/>
      <c r="F5265" s="37"/>
      <c r="G5265" s="37"/>
      <c r="H5265" s="37"/>
      <c r="I5265" s="35"/>
      <c r="J5265" s="37"/>
    </row>
    <row r="5266" spans="1:10" ht="15.95" customHeight="1" x14ac:dyDescent="0.2">
      <c r="A5266" s="39"/>
      <c r="B5266" s="36"/>
      <c r="C5266" s="37"/>
      <c r="D5266" s="37"/>
      <c r="E5266" s="37"/>
      <c r="F5266" s="37"/>
      <c r="G5266" s="37"/>
      <c r="H5266" s="37"/>
      <c r="I5266" s="35"/>
      <c r="J5266" s="37"/>
    </row>
    <row r="5267" spans="1:10" ht="15.95" customHeight="1" x14ac:dyDescent="0.2">
      <c r="A5267" s="39"/>
      <c r="B5267" s="36"/>
      <c r="C5267" s="37"/>
      <c r="D5267" s="37"/>
      <c r="E5267" s="37"/>
      <c r="F5267" s="37"/>
      <c r="G5267" s="37"/>
      <c r="H5267" s="37"/>
      <c r="I5267" s="35"/>
      <c r="J5267" s="37"/>
    </row>
    <row r="5268" spans="1:10" ht="15.95" customHeight="1" x14ac:dyDescent="0.2">
      <c r="A5268" s="39"/>
      <c r="B5268" s="36"/>
      <c r="C5268" s="37"/>
      <c r="D5268" s="37"/>
      <c r="E5268" s="37"/>
      <c r="F5268" s="37"/>
      <c r="G5268" s="37"/>
      <c r="H5268" s="37"/>
      <c r="I5268" s="35"/>
      <c r="J5268" s="37"/>
    </row>
    <row r="5269" spans="1:10" ht="15.95" customHeight="1" x14ac:dyDescent="0.2">
      <c r="A5269" s="39"/>
      <c r="B5269" s="36"/>
      <c r="C5269" s="37"/>
      <c r="D5269" s="37"/>
      <c r="E5269" s="37"/>
      <c r="F5269" s="37"/>
      <c r="G5269" s="37"/>
      <c r="H5269" s="37"/>
      <c r="I5269" s="35"/>
      <c r="J5269" s="37"/>
    </row>
    <row r="5270" spans="1:10" ht="15.95" customHeight="1" x14ac:dyDescent="0.2">
      <c r="A5270" s="39"/>
      <c r="B5270" s="36"/>
      <c r="C5270" s="37"/>
      <c r="D5270" s="37"/>
      <c r="E5270" s="37"/>
      <c r="F5270" s="37"/>
      <c r="G5270" s="37"/>
      <c r="H5270" s="37"/>
      <c r="I5270" s="35"/>
      <c r="J5270" s="37"/>
    </row>
    <row r="5271" spans="1:10" ht="15.95" customHeight="1" x14ac:dyDescent="0.2">
      <c r="A5271" s="39"/>
      <c r="B5271" s="36"/>
      <c r="C5271" s="37"/>
      <c r="D5271" s="37"/>
      <c r="E5271" s="37"/>
      <c r="F5271" s="37"/>
      <c r="G5271" s="37"/>
      <c r="H5271" s="37"/>
      <c r="I5271" s="35"/>
      <c r="J5271" s="37"/>
    </row>
    <row r="5272" spans="1:10" ht="15.95" customHeight="1" x14ac:dyDescent="0.2">
      <c r="A5272" s="39"/>
      <c r="B5272" s="36"/>
      <c r="C5272" s="37"/>
      <c r="D5272" s="37"/>
      <c r="E5272" s="37"/>
      <c r="F5272" s="37"/>
      <c r="G5272" s="37"/>
      <c r="H5272" s="37"/>
      <c r="I5272" s="35"/>
      <c r="J5272" s="37"/>
    </row>
    <row r="5273" spans="1:10" ht="15.95" customHeight="1" x14ac:dyDescent="0.2">
      <c r="A5273" s="39"/>
      <c r="B5273" s="36"/>
      <c r="C5273" s="37"/>
      <c r="D5273" s="37"/>
      <c r="E5273" s="37"/>
      <c r="F5273" s="37"/>
      <c r="G5273" s="37"/>
      <c r="H5273" s="37"/>
      <c r="I5273" s="35"/>
      <c r="J5273" s="37"/>
    </row>
    <row r="5274" spans="1:10" ht="15.95" customHeight="1" x14ac:dyDescent="0.2">
      <c r="A5274" s="39"/>
      <c r="B5274" s="36"/>
      <c r="C5274" s="37"/>
      <c r="D5274" s="37"/>
      <c r="E5274" s="37"/>
      <c r="F5274" s="37"/>
      <c r="G5274" s="37"/>
      <c r="H5274" s="37"/>
      <c r="I5274" s="35"/>
      <c r="J5274" s="37"/>
    </row>
    <row r="5275" spans="1:10" ht="15.95" customHeight="1" x14ac:dyDescent="0.2">
      <c r="A5275" s="39"/>
      <c r="B5275" s="36"/>
      <c r="C5275" s="37"/>
      <c r="D5275" s="37"/>
      <c r="E5275" s="37"/>
      <c r="F5275" s="37"/>
      <c r="G5275" s="37"/>
      <c r="H5275" s="37"/>
      <c r="I5275" s="35"/>
      <c r="J5275" s="37"/>
    </row>
    <row r="5276" spans="1:10" ht="15.95" customHeight="1" x14ac:dyDescent="0.2">
      <c r="A5276" s="39"/>
      <c r="B5276" s="36"/>
      <c r="C5276" s="37"/>
      <c r="D5276" s="37"/>
      <c r="E5276" s="37"/>
      <c r="F5276" s="37"/>
      <c r="G5276" s="37"/>
      <c r="H5276" s="37"/>
      <c r="I5276" s="35"/>
      <c r="J5276" s="37"/>
    </row>
    <row r="5277" spans="1:10" ht="15.95" customHeight="1" x14ac:dyDescent="0.2">
      <c r="A5277" s="39"/>
      <c r="B5277" s="36"/>
      <c r="C5277" s="37"/>
      <c r="D5277" s="37"/>
      <c r="E5277" s="37"/>
      <c r="F5277" s="37"/>
      <c r="G5277" s="37"/>
      <c r="H5277" s="37"/>
      <c r="I5277" s="35"/>
      <c r="J5277" s="37"/>
    </row>
    <row r="5278" spans="1:10" ht="15.95" customHeight="1" x14ac:dyDescent="0.2">
      <c r="A5278" s="39"/>
      <c r="B5278" s="36"/>
      <c r="C5278" s="37"/>
      <c r="D5278" s="37"/>
      <c r="E5278" s="37"/>
      <c r="F5278" s="37"/>
      <c r="G5278" s="37"/>
      <c r="H5278" s="37"/>
      <c r="I5278" s="35"/>
      <c r="J5278" s="37"/>
    </row>
    <row r="5279" spans="1:10" ht="15.95" customHeight="1" x14ac:dyDescent="0.2">
      <c r="A5279" s="39"/>
      <c r="B5279" s="36"/>
      <c r="C5279" s="37"/>
      <c r="D5279" s="37"/>
      <c r="E5279" s="37"/>
      <c r="F5279" s="37"/>
      <c r="G5279" s="37"/>
      <c r="H5279" s="37"/>
      <c r="I5279" s="35"/>
      <c r="J5279" s="37"/>
    </row>
    <row r="5280" spans="1:10" ht="15.95" customHeight="1" x14ac:dyDescent="0.2">
      <c r="A5280" s="39"/>
      <c r="B5280" s="36"/>
      <c r="C5280" s="37"/>
      <c r="D5280" s="37"/>
      <c r="E5280" s="37"/>
      <c r="F5280" s="37"/>
      <c r="G5280" s="37"/>
      <c r="H5280" s="37"/>
      <c r="I5280" s="35"/>
      <c r="J5280" s="37"/>
    </row>
    <row r="5281" spans="1:10" ht="15.95" customHeight="1" x14ac:dyDescent="0.2">
      <c r="A5281" s="39"/>
      <c r="B5281" s="36"/>
      <c r="C5281" s="37"/>
      <c r="D5281" s="37"/>
      <c r="E5281" s="37"/>
      <c r="F5281" s="37"/>
      <c r="G5281" s="37"/>
      <c r="H5281" s="37"/>
      <c r="I5281" s="35"/>
      <c r="J5281" s="37"/>
    </row>
    <row r="5282" spans="1:10" ht="15.95" customHeight="1" x14ac:dyDescent="0.2">
      <c r="A5282" s="39"/>
      <c r="B5282" s="36"/>
      <c r="C5282" s="37"/>
      <c r="D5282" s="37"/>
      <c r="E5282" s="37"/>
      <c r="F5282" s="37"/>
      <c r="G5282" s="37"/>
      <c r="H5282" s="37"/>
      <c r="I5282" s="35"/>
      <c r="J5282" s="37"/>
    </row>
    <row r="5283" spans="1:10" ht="15.95" customHeight="1" x14ac:dyDescent="0.2">
      <c r="A5283" s="39"/>
      <c r="B5283" s="36"/>
      <c r="C5283" s="37"/>
      <c r="D5283" s="37"/>
      <c r="E5283" s="37"/>
      <c r="F5283" s="37"/>
      <c r="G5283" s="37"/>
      <c r="H5283" s="37"/>
      <c r="I5283" s="35"/>
      <c r="J5283" s="37"/>
    </row>
    <row r="5284" spans="1:10" ht="15.95" customHeight="1" x14ac:dyDescent="0.2">
      <c r="A5284" s="39"/>
      <c r="B5284" s="36"/>
      <c r="C5284" s="37"/>
      <c r="D5284" s="37"/>
      <c r="E5284" s="37"/>
      <c r="F5284" s="37"/>
      <c r="G5284" s="37"/>
      <c r="H5284" s="37"/>
      <c r="I5284" s="35"/>
      <c r="J5284" s="37"/>
    </row>
    <row r="5285" spans="1:10" ht="15.95" customHeight="1" x14ac:dyDescent="0.2">
      <c r="A5285" s="39"/>
      <c r="B5285" s="36"/>
      <c r="C5285" s="37"/>
      <c r="D5285" s="37"/>
      <c r="E5285" s="37"/>
      <c r="F5285" s="37"/>
      <c r="G5285" s="37"/>
      <c r="H5285" s="37"/>
      <c r="I5285" s="35"/>
      <c r="J5285" s="37"/>
    </row>
    <row r="5286" spans="1:10" ht="15.95" customHeight="1" x14ac:dyDescent="0.2">
      <c r="A5286" s="39"/>
      <c r="B5286" s="36"/>
      <c r="C5286" s="37"/>
      <c r="D5286" s="37"/>
      <c r="E5286" s="37"/>
      <c r="F5286" s="37"/>
      <c r="G5286" s="37"/>
      <c r="H5286" s="37"/>
      <c r="I5286" s="35"/>
      <c r="J5286" s="37"/>
    </row>
    <row r="5287" spans="1:10" ht="15.95" customHeight="1" x14ac:dyDescent="0.2">
      <c r="A5287" s="39"/>
      <c r="B5287" s="36"/>
      <c r="C5287" s="37"/>
      <c r="D5287" s="37"/>
      <c r="E5287" s="37"/>
      <c r="F5287" s="37"/>
      <c r="G5287" s="37"/>
      <c r="H5287" s="37"/>
      <c r="I5287" s="35"/>
      <c r="J5287" s="37"/>
    </row>
    <row r="5288" spans="1:10" ht="15.95" customHeight="1" x14ac:dyDescent="0.2">
      <c r="A5288" s="39"/>
      <c r="B5288" s="36"/>
      <c r="C5288" s="37"/>
      <c r="D5288" s="37"/>
      <c r="E5288" s="37"/>
      <c r="F5288" s="37"/>
      <c r="G5288" s="37"/>
      <c r="H5288" s="37"/>
      <c r="I5288" s="35"/>
      <c r="J5288" s="37"/>
    </row>
    <row r="5289" spans="1:10" ht="15.95" customHeight="1" x14ac:dyDescent="0.2">
      <c r="A5289" s="39"/>
      <c r="B5289" s="36"/>
      <c r="C5289" s="37"/>
      <c r="D5289" s="37"/>
      <c r="E5289" s="37"/>
      <c r="F5289" s="37"/>
      <c r="G5289" s="37"/>
      <c r="H5289" s="37"/>
      <c r="I5289" s="35"/>
      <c r="J5289" s="37"/>
    </row>
    <row r="5290" spans="1:10" ht="15.95" customHeight="1" x14ac:dyDescent="0.2">
      <c r="A5290" s="39"/>
      <c r="B5290" s="36"/>
      <c r="C5290" s="37"/>
      <c r="D5290" s="37"/>
      <c r="E5290" s="37"/>
      <c r="F5290" s="37"/>
      <c r="G5290" s="37"/>
      <c r="H5290" s="37"/>
      <c r="I5290" s="35"/>
      <c r="J5290" s="37"/>
    </row>
    <row r="5291" spans="1:10" ht="15.95" customHeight="1" x14ac:dyDescent="0.2">
      <c r="A5291" s="39"/>
      <c r="B5291" s="36"/>
      <c r="C5291" s="37"/>
      <c r="D5291" s="37"/>
      <c r="E5291" s="37"/>
      <c r="F5291" s="37"/>
      <c r="G5291" s="37"/>
      <c r="H5291" s="37"/>
      <c r="I5291" s="35"/>
      <c r="J5291" s="37"/>
    </row>
    <row r="5292" spans="1:10" ht="15.95" customHeight="1" x14ac:dyDescent="0.2">
      <c r="A5292" s="39"/>
      <c r="B5292" s="36"/>
      <c r="C5292" s="37"/>
      <c r="D5292" s="37"/>
      <c r="E5292" s="37"/>
      <c r="F5292" s="37"/>
      <c r="G5292" s="37"/>
      <c r="H5292" s="37"/>
      <c r="I5292" s="35"/>
      <c r="J5292" s="37"/>
    </row>
    <row r="5293" spans="1:10" ht="15.95" customHeight="1" x14ac:dyDescent="0.2">
      <c r="A5293" s="39"/>
      <c r="B5293" s="36"/>
      <c r="C5293" s="37"/>
      <c r="D5293" s="37"/>
      <c r="E5293" s="37"/>
      <c r="F5293" s="37"/>
      <c r="G5293" s="37"/>
      <c r="H5293" s="37"/>
      <c r="I5293" s="35"/>
      <c r="J5293" s="37"/>
    </row>
    <row r="5294" spans="1:10" ht="15.95" customHeight="1" x14ac:dyDescent="0.2">
      <c r="A5294" s="39"/>
      <c r="B5294" s="36"/>
      <c r="C5294" s="37"/>
      <c r="D5294" s="37"/>
      <c r="E5294" s="37"/>
      <c r="F5294" s="37"/>
      <c r="G5294" s="37"/>
      <c r="H5294" s="37"/>
      <c r="I5294" s="35"/>
      <c r="J5294" s="37"/>
    </row>
    <row r="5295" spans="1:10" ht="15.95" customHeight="1" x14ac:dyDescent="0.2">
      <c r="A5295" s="39"/>
      <c r="B5295" s="36"/>
      <c r="C5295" s="37"/>
      <c r="D5295" s="37"/>
      <c r="E5295" s="37"/>
      <c r="F5295" s="37"/>
      <c r="G5295" s="37"/>
      <c r="H5295" s="37"/>
      <c r="I5295" s="35"/>
      <c r="J5295" s="37"/>
    </row>
    <row r="5296" spans="1:10" ht="15.95" customHeight="1" x14ac:dyDescent="0.2">
      <c r="A5296" s="39"/>
      <c r="B5296" s="36"/>
      <c r="C5296" s="37"/>
      <c r="D5296" s="37"/>
      <c r="E5296" s="37"/>
      <c r="F5296" s="37"/>
      <c r="G5296" s="37"/>
      <c r="H5296" s="37"/>
      <c r="I5296" s="35"/>
      <c r="J5296" s="37"/>
    </row>
    <row r="5297" spans="1:10" ht="15.95" customHeight="1" x14ac:dyDescent="0.2">
      <c r="A5297" s="39"/>
      <c r="B5297" s="36"/>
      <c r="C5297" s="37"/>
      <c r="D5297" s="37"/>
      <c r="E5297" s="37"/>
      <c r="F5297" s="37"/>
      <c r="G5297" s="37"/>
      <c r="H5297" s="37"/>
      <c r="I5297" s="35"/>
      <c r="J5297" s="37"/>
    </row>
    <row r="5298" spans="1:10" ht="15.95" customHeight="1" x14ac:dyDescent="0.2">
      <c r="A5298" s="39"/>
      <c r="B5298" s="36"/>
      <c r="C5298" s="37"/>
      <c r="D5298" s="37"/>
      <c r="E5298" s="37"/>
      <c r="F5298" s="37"/>
      <c r="G5298" s="37"/>
      <c r="H5298" s="37"/>
      <c r="I5298" s="35"/>
      <c r="J5298" s="37"/>
    </row>
    <row r="5299" spans="1:10" ht="15.95" customHeight="1" x14ac:dyDescent="0.2">
      <c r="A5299" s="39"/>
      <c r="B5299" s="36"/>
      <c r="C5299" s="37"/>
      <c r="D5299" s="37"/>
      <c r="E5299" s="37"/>
      <c r="F5299" s="37"/>
      <c r="G5299" s="37"/>
      <c r="H5299" s="37"/>
      <c r="I5299" s="35"/>
      <c r="J5299" s="37"/>
    </row>
    <row r="5300" spans="1:10" ht="15.95" customHeight="1" x14ac:dyDescent="0.2">
      <c r="A5300" s="39"/>
      <c r="B5300" s="36"/>
      <c r="C5300" s="37"/>
      <c r="D5300" s="37"/>
      <c r="E5300" s="37"/>
      <c r="F5300" s="37"/>
      <c r="G5300" s="37"/>
      <c r="H5300" s="37"/>
      <c r="I5300" s="35"/>
      <c r="J5300" s="37"/>
    </row>
    <row r="5301" spans="1:10" ht="15.95" customHeight="1" x14ac:dyDescent="0.2">
      <c r="A5301" s="39"/>
      <c r="B5301" s="36"/>
      <c r="C5301" s="37"/>
      <c r="D5301" s="37"/>
      <c r="E5301" s="37"/>
      <c r="F5301" s="37"/>
      <c r="G5301" s="37"/>
      <c r="H5301" s="37"/>
      <c r="I5301" s="35"/>
      <c r="J5301" s="37"/>
    </row>
    <row r="5302" spans="1:10" ht="15.95" customHeight="1" x14ac:dyDescent="0.2">
      <c r="A5302" s="39"/>
      <c r="B5302" s="36"/>
      <c r="C5302" s="37"/>
      <c r="D5302" s="37"/>
      <c r="E5302" s="37"/>
      <c r="F5302" s="37"/>
      <c r="G5302" s="37"/>
      <c r="H5302" s="37"/>
      <c r="I5302" s="35"/>
      <c r="J5302" s="37"/>
    </row>
    <row r="5303" spans="1:10" ht="15.95" customHeight="1" x14ac:dyDescent="0.2">
      <c r="A5303" s="39"/>
      <c r="B5303" s="36"/>
      <c r="C5303" s="37"/>
      <c r="D5303" s="37"/>
      <c r="E5303" s="37"/>
      <c r="F5303" s="37"/>
      <c r="G5303" s="37"/>
      <c r="H5303" s="37"/>
      <c r="I5303" s="35"/>
      <c r="J5303" s="37"/>
    </row>
    <row r="5304" spans="1:10" ht="15.95" customHeight="1" x14ac:dyDescent="0.2">
      <c r="A5304" s="39"/>
      <c r="B5304" s="36"/>
      <c r="C5304" s="37"/>
      <c r="D5304" s="37"/>
      <c r="E5304" s="37"/>
      <c r="F5304" s="37"/>
      <c r="G5304" s="37"/>
      <c r="H5304" s="37"/>
      <c r="I5304" s="35"/>
      <c r="J5304" s="37"/>
    </row>
    <row r="5305" spans="1:10" ht="15.95" customHeight="1" x14ac:dyDescent="0.2">
      <c r="A5305" s="39"/>
      <c r="B5305" s="36"/>
      <c r="C5305" s="37"/>
      <c r="D5305" s="37"/>
      <c r="E5305" s="37"/>
      <c r="F5305" s="37"/>
      <c r="G5305" s="37"/>
      <c r="H5305" s="37"/>
      <c r="I5305" s="35"/>
      <c r="J5305" s="37"/>
    </row>
    <row r="5306" spans="1:10" ht="15.95" customHeight="1" x14ac:dyDescent="0.2">
      <c r="A5306" s="39"/>
      <c r="B5306" s="36"/>
      <c r="C5306" s="37"/>
      <c r="D5306" s="37"/>
      <c r="E5306" s="37"/>
      <c r="F5306" s="37"/>
      <c r="G5306" s="37"/>
      <c r="H5306" s="37"/>
      <c r="I5306" s="35"/>
      <c r="J5306" s="37"/>
    </row>
    <row r="5307" spans="1:10" ht="15.95" customHeight="1" x14ac:dyDescent="0.2">
      <c r="A5307" s="39"/>
      <c r="B5307" s="36"/>
      <c r="C5307" s="37"/>
      <c r="D5307" s="37"/>
      <c r="E5307" s="37"/>
      <c r="F5307" s="37"/>
      <c r="G5307" s="37"/>
      <c r="H5307" s="37"/>
      <c r="I5307" s="35"/>
      <c r="J5307" s="37"/>
    </row>
    <row r="5308" spans="1:10" ht="15.95" customHeight="1" x14ac:dyDescent="0.2">
      <c r="A5308" s="39"/>
      <c r="B5308" s="36"/>
      <c r="C5308" s="37"/>
      <c r="D5308" s="37"/>
      <c r="E5308" s="37"/>
      <c r="F5308" s="37"/>
      <c r="G5308" s="37"/>
      <c r="H5308" s="37"/>
      <c r="I5308" s="35"/>
      <c r="J5308" s="37"/>
    </row>
    <row r="5309" spans="1:10" ht="15.95" customHeight="1" x14ac:dyDescent="0.2">
      <c r="A5309" s="39"/>
      <c r="B5309" s="36"/>
      <c r="C5309" s="37"/>
      <c r="D5309" s="37"/>
      <c r="E5309" s="37"/>
      <c r="F5309" s="37"/>
      <c r="G5309" s="37"/>
      <c r="H5309" s="37"/>
      <c r="I5309" s="35"/>
      <c r="J5309" s="37"/>
    </row>
    <row r="5310" spans="1:10" ht="15.95" customHeight="1" x14ac:dyDescent="0.2">
      <c r="A5310" s="39"/>
      <c r="B5310" s="36"/>
      <c r="C5310" s="37"/>
      <c r="D5310" s="37"/>
      <c r="E5310" s="37"/>
      <c r="F5310" s="37"/>
      <c r="G5310" s="37"/>
      <c r="H5310" s="37"/>
      <c r="I5310" s="35"/>
      <c r="J5310" s="37"/>
    </row>
    <row r="5311" spans="1:10" ht="15.95" customHeight="1" x14ac:dyDescent="0.2">
      <c r="A5311" s="39"/>
      <c r="B5311" s="36"/>
      <c r="C5311" s="37"/>
      <c r="D5311" s="37"/>
      <c r="E5311" s="37"/>
      <c r="F5311" s="37"/>
      <c r="G5311" s="37"/>
      <c r="H5311" s="37"/>
      <c r="I5311" s="35"/>
      <c r="J5311" s="37"/>
    </row>
    <row r="5312" spans="1:10" ht="15.95" customHeight="1" x14ac:dyDescent="0.2">
      <c r="A5312" s="39"/>
      <c r="B5312" s="36"/>
      <c r="C5312" s="37"/>
      <c r="D5312" s="37"/>
      <c r="E5312" s="37"/>
      <c r="F5312" s="37"/>
      <c r="G5312" s="37"/>
      <c r="H5312" s="37"/>
      <c r="I5312" s="35"/>
      <c r="J5312" s="37"/>
    </row>
    <row r="5313" spans="1:10" ht="15.95" customHeight="1" x14ac:dyDescent="0.2">
      <c r="A5313" s="39"/>
      <c r="B5313" s="36"/>
      <c r="C5313" s="37"/>
      <c r="D5313" s="37"/>
      <c r="E5313" s="37"/>
      <c r="F5313" s="37"/>
      <c r="G5313" s="37"/>
      <c r="H5313" s="37"/>
      <c r="I5313" s="35"/>
      <c r="J5313" s="37"/>
    </row>
    <row r="5314" spans="1:10" ht="15.95" customHeight="1" x14ac:dyDescent="0.2">
      <c r="A5314" s="39"/>
      <c r="B5314" s="36"/>
      <c r="C5314" s="37"/>
      <c r="D5314" s="37"/>
      <c r="E5314" s="37"/>
      <c r="F5314" s="37"/>
      <c r="G5314" s="37"/>
      <c r="H5314" s="37"/>
      <c r="I5314" s="35"/>
      <c r="J5314" s="37"/>
    </row>
    <row r="5315" spans="1:10" ht="15.95" customHeight="1" x14ac:dyDescent="0.2">
      <c r="A5315" s="39"/>
      <c r="B5315" s="36"/>
      <c r="C5315" s="37"/>
      <c r="D5315" s="37"/>
      <c r="E5315" s="37"/>
      <c r="F5315" s="37"/>
      <c r="G5315" s="37"/>
      <c r="H5315" s="37"/>
      <c r="I5315" s="35"/>
      <c r="J5315" s="37"/>
    </row>
    <row r="5316" spans="1:10" ht="15.95" customHeight="1" x14ac:dyDescent="0.2">
      <c r="A5316" s="39"/>
      <c r="B5316" s="36"/>
      <c r="C5316" s="37"/>
      <c r="D5316" s="37"/>
      <c r="E5316" s="37"/>
      <c r="F5316" s="37"/>
      <c r="G5316" s="37"/>
      <c r="H5316" s="37"/>
      <c r="I5316" s="35"/>
      <c r="J5316" s="37"/>
    </row>
    <row r="5317" spans="1:10" ht="15.95" customHeight="1" x14ac:dyDescent="0.2">
      <c r="A5317" s="39"/>
      <c r="B5317" s="36"/>
      <c r="C5317" s="37"/>
      <c r="D5317" s="37"/>
      <c r="E5317" s="37"/>
      <c r="F5317" s="37"/>
      <c r="G5317" s="37"/>
      <c r="H5317" s="37"/>
      <c r="I5317" s="35"/>
      <c r="J5317" s="37"/>
    </row>
    <row r="5318" spans="1:10" ht="15.95" customHeight="1" x14ac:dyDescent="0.2">
      <c r="A5318" s="39"/>
      <c r="B5318" s="36"/>
      <c r="C5318" s="37"/>
      <c r="D5318" s="37"/>
      <c r="E5318" s="37"/>
      <c r="F5318" s="37"/>
      <c r="G5318" s="37"/>
      <c r="H5318" s="37"/>
      <c r="I5318" s="35"/>
      <c r="J5318" s="37"/>
    </row>
    <row r="5319" spans="1:10" ht="15.95" customHeight="1" x14ac:dyDescent="0.2">
      <c r="A5319" s="39"/>
      <c r="B5319" s="36"/>
      <c r="C5319" s="37"/>
      <c r="D5319" s="37"/>
      <c r="E5319" s="37"/>
      <c r="F5319" s="37"/>
      <c r="G5319" s="37"/>
      <c r="H5319" s="37"/>
      <c r="I5319" s="35"/>
      <c r="J5319" s="37"/>
    </row>
    <row r="5320" spans="1:10" ht="15.95" customHeight="1" x14ac:dyDescent="0.2">
      <c r="A5320" s="39"/>
      <c r="B5320" s="36"/>
      <c r="C5320" s="37"/>
      <c r="D5320" s="37"/>
      <c r="E5320" s="37"/>
      <c r="F5320" s="37"/>
      <c r="G5320" s="37"/>
      <c r="H5320" s="37"/>
      <c r="I5320" s="35"/>
      <c r="J5320" s="37"/>
    </row>
    <row r="5321" spans="1:10" ht="15.95" customHeight="1" x14ac:dyDescent="0.2">
      <c r="A5321" s="39"/>
      <c r="B5321" s="36"/>
      <c r="C5321" s="37"/>
      <c r="D5321" s="37"/>
      <c r="E5321" s="37"/>
      <c r="F5321" s="37"/>
      <c r="G5321" s="37"/>
      <c r="H5321" s="37"/>
      <c r="I5321" s="35"/>
      <c r="J5321" s="37"/>
    </row>
    <row r="5322" spans="1:10" ht="15.95" customHeight="1" x14ac:dyDescent="0.2">
      <c r="A5322" s="39"/>
      <c r="B5322" s="36"/>
      <c r="C5322" s="37"/>
      <c r="D5322" s="37"/>
      <c r="E5322" s="37"/>
      <c r="F5322" s="37"/>
      <c r="G5322" s="37"/>
      <c r="H5322" s="37"/>
      <c r="I5322" s="35"/>
      <c r="J5322" s="37"/>
    </row>
    <row r="5323" spans="1:10" ht="15.95" customHeight="1" x14ac:dyDescent="0.2">
      <c r="A5323" s="39"/>
      <c r="B5323" s="36"/>
      <c r="C5323" s="37"/>
      <c r="D5323" s="37"/>
      <c r="E5323" s="37"/>
      <c r="F5323" s="37"/>
      <c r="G5323" s="37"/>
      <c r="H5323" s="37"/>
      <c r="I5323" s="35"/>
      <c r="J5323" s="37"/>
    </row>
    <row r="5324" spans="1:10" ht="15.95" customHeight="1" x14ac:dyDescent="0.2">
      <c r="A5324" s="39"/>
      <c r="B5324" s="36"/>
      <c r="C5324" s="37"/>
      <c r="D5324" s="37"/>
      <c r="E5324" s="37"/>
      <c r="F5324" s="37"/>
      <c r="G5324" s="37"/>
      <c r="H5324" s="37"/>
      <c r="I5324" s="35"/>
      <c r="J5324" s="37"/>
    </row>
    <row r="5325" spans="1:10" ht="15.95" customHeight="1" x14ac:dyDescent="0.2">
      <c r="A5325" s="39"/>
      <c r="B5325" s="36"/>
      <c r="C5325" s="37"/>
      <c r="D5325" s="37"/>
      <c r="E5325" s="37"/>
      <c r="F5325" s="37"/>
      <c r="G5325" s="37"/>
      <c r="H5325" s="37"/>
      <c r="I5325" s="35"/>
      <c r="J5325" s="37"/>
    </row>
    <row r="5326" spans="1:10" ht="15.95" customHeight="1" x14ac:dyDescent="0.2">
      <c r="A5326" s="39"/>
      <c r="B5326" s="36"/>
      <c r="C5326" s="37"/>
      <c r="D5326" s="37"/>
      <c r="E5326" s="37"/>
      <c r="F5326" s="37"/>
      <c r="G5326" s="37"/>
      <c r="H5326" s="37"/>
      <c r="I5326" s="35"/>
      <c r="J5326" s="37"/>
    </row>
    <row r="5327" spans="1:10" ht="15.95" customHeight="1" x14ac:dyDescent="0.2">
      <c r="A5327" s="39"/>
      <c r="B5327" s="36"/>
      <c r="C5327" s="37"/>
      <c r="D5327" s="37"/>
      <c r="E5327" s="37"/>
      <c r="F5327" s="37"/>
      <c r="G5327" s="37"/>
      <c r="H5327" s="37"/>
      <c r="I5327" s="35"/>
      <c r="J5327" s="37"/>
    </row>
    <row r="5328" spans="1:10" ht="15.95" customHeight="1" x14ac:dyDescent="0.2">
      <c r="A5328" s="39"/>
      <c r="B5328" s="36"/>
      <c r="C5328" s="37"/>
      <c r="D5328" s="37"/>
      <c r="E5328" s="37"/>
      <c r="F5328" s="37"/>
      <c r="G5328" s="37"/>
      <c r="H5328" s="37"/>
      <c r="I5328" s="35"/>
      <c r="J5328" s="37"/>
    </row>
    <row r="5329" spans="1:10" ht="15.95" customHeight="1" x14ac:dyDescent="0.2">
      <c r="A5329" s="39"/>
      <c r="B5329" s="36"/>
      <c r="C5329" s="37"/>
      <c r="D5329" s="37"/>
      <c r="E5329" s="37"/>
      <c r="F5329" s="37"/>
      <c r="G5329" s="37"/>
      <c r="H5329" s="37"/>
      <c r="I5329" s="35"/>
      <c r="J5329" s="37"/>
    </row>
    <row r="5330" spans="1:10" ht="15.95" customHeight="1" x14ac:dyDescent="0.2">
      <c r="A5330" s="39"/>
      <c r="B5330" s="36"/>
      <c r="C5330" s="37"/>
      <c r="D5330" s="37"/>
      <c r="E5330" s="37"/>
      <c r="F5330" s="37"/>
      <c r="G5330" s="37"/>
      <c r="H5330" s="37"/>
      <c r="I5330" s="35"/>
      <c r="J5330" s="37"/>
    </row>
    <row r="5331" spans="1:10" ht="15.95" customHeight="1" x14ac:dyDescent="0.2">
      <c r="A5331" s="39"/>
      <c r="B5331" s="36"/>
      <c r="C5331" s="37"/>
      <c r="D5331" s="37"/>
      <c r="E5331" s="37"/>
      <c r="F5331" s="37"/>
      <c r="G5331" s="37"/>
      <c r="H5331" s="37"/>
      <c r="I5331" s="35"/>
      <c r="J5331" s="37"/>
    </row>
    <row r="5332" spans="1:10" ht="15.95" customHeight="1" x14ac:dyDescent="0.2">
      <c r="A5332" s="39"/>
      <c r="B5332" s="36"/>
      <c r="C5332" s="37"/>
      <c r="D5332" s="37"/>
      <c r="E5332" s="37"/>
      <c r="F5332" s="37"/>
      <c r="G5332" s="37"/>
      <c r="H5332" s="37"/>
      <c r="I5332" s="35"/>
      <c r="J5332" s="37"/>
    </row>
    <row r="5333" spans="1:10" ht="15.95" customHeight="1" x14ac:dyDescent="0.2">
      <c r="A5333" s="39"/>
      <c r="B5333" s="36"/>
      <c r="C5333" s="37"/>
      <c r="D5333" s="37"/>
      <c r="E5333" s="37"/>
      <c r="F5333" s="37"/>
      <c r="G5333" s="37"/>
      <c r="H5333" s="37"/>
      <c r="I5333" s="35"/>
      <c r="J5333" s="37"/>
    </row>
    <row r="5334" spans="1:10" ht="15.95" customHeight="1" x14ac:dyDescent="0.2">
      <c r="A5334" s="39"/>
      <c r="B5334" s="36"/>
      <c r="C5334" s="37"/>
      <c r="D5334" s="37"/>
      <c r="E5334" s="37"/>
      <c r="F5334" s="37"/>
      <c r="G5334" s="37"/>
      <c r="H5334" s="37"/>
      <c r="I5334" s="35"/>
      <c r="J5334" s="37"/>
    </row>
    <row r="5335" spans="1:10" ht="15.95" customHeight="1" x14ac:dyDescent="0.2">
      <c r="A5335" s="39"/>
      <c r="B5335" s="36"/>
      <c r="C5335" s="37"/>
      <c r="D5335" s="37"/>
      <c r="E5335" s="37"/>
      <c r="F5335" s="37"/>
      <c r="G5335" s="37"/>
      <c r="H5335" s="37"/>
      <c r="I5335" s="35"/>
      <c r="J5335" s="37"/>
    </row>
    <row r="5336" spans="1:10" ht="15.95" customHeight="1" x14ac:dyDescent="0.2">
      <c r="A5336" s="39"/>
      <c r="B5336" s="36"/>
      <c r="C5336" s="37"/>
      <c r="D5336" s="37"/>
      <c r="E5336" s="37"/>
      <c r="F5336" s="37"/>
      <c r="G5336" s="37"/>
      <c r="H5336" s="37"/>
      <c r="I5336" s="35"/>
      <c r="J5336" s="37"/>
    </row>
    <row r="5337" spans="1:10" ht="15.95" customHeight="1" x14ac:dyDescent="0.2">
      <c r="A5337" s="39"/>
      <c r="B5337" s="36"/>
      <c r="C5337" s="37"/>
      <c r="D5337" s="37"/>
      <c r="E5337" s="37"/>
      <c r="F5337" s="37"/>
      <c r="G5337" s="37"/>
      <c r="H5337" s="37"/>
      <c r="I5337" s="35"/>
      <c r="J5337" s="37"/>
    </row>
    <row r="5338" spans="1:10" ht="15.95" customHeight="1" x14ac:dyDescent="0.2">
      <c r="A5338" s="39"/>
      <c r="B5338" s="36"/>
      <c r="C5338" s="37"/>
      <c r="D5338" s="37"/>
      <c r="E5338" s="37"/>
      <c r="F5338" s="37"/>
      <c r="G5338" s="37"/>
      <c r="H5338" s="37"/>
      <c r="I5338" s="35"/>
      <c r="J5338" s="37"/>
    </row>
    <row r="5339" spans="1:10" ht="15.95" customHeight="1" x14ac:dyDescent="0.2">
      <c r="A5339" s="39"/>
      <c r="B5339" s="36"/>
      <c r="C5339" s="37"/>
      <c r="D5339" s="37"/>
      <c r="E5339" s="37"/>
      <c r="F5339" s="37"/>
      <c r="G5339" s="37"/>
      <c r="H5339" s="37"/>
      <c r="I5339" s="35"/>
      <c r="J5339" s="37"/>
    </row>
    <row r="5340" spans="1:10" ht="15.95" customHeight="1" x14ac:dyDescent="0.2">
      <c r="A5340" s="39"/>
      <c r="B5340" s="36"/>
      <c r="C5340" s="37"/>
      <c r="D5340" s="37"/>
      <c r="E5340" s="37"/>
      <c r="F5340" s="37"/>
      <c r="G5340" s="37"/>
      <c r="H5340" s="37"/>
      <c r="I5340" s="35"/>
      <c r="J5340" s="37"/>
    </row>
    <row r="5341" spans="1:10" ht="15.95" customHeight="1" x14ac:dyDescent="0.2">
      <c r="A5341" s="39"/>
      <c r="B5341" s="36"/>
      <c r="C5341" s="37"/>
      <c r="D5341" s="37"/>
      <c r="E5341" s="37"/>
      <c r="F5341" s="37"/>
      <c r="G5341" s="37"/>
      <c r="H5341" s="37"/>
      <c r="I5341" s="35"/>
      <c r="J5341" s="37"/>
    </row>
    <row r="5342" spans="1:10" ht="15.95" customHeight="1" x14ac:dyDescent="0.2">
      <c r="A5342" s="39"/>
      <c r="B5342" s="36"/>
      <c r="C5342" s="37"/>
      <c r="D5342" s="37"/>
      <c r="E5342" s="37"/>
      <c r="F5342" s="37"/>
      <c r="G5342" s="37"/>
      <c r="H5342" s="37"/>
      <c r="I5342" s="35"/>
      <c r="J5342" s="37"/>
    </row>
    <row r="5343" spans="1:10" ht="15.95" customHeight="1" x14ac:dyDescent="0.2">
      <c r="A5343" s="39"/>
      <c r="B5343" s="36"/>
      <c r="C5343" s="37"/>
      <c r="D5343" s="37"/>
      <c r="E5343" s="37"/>
      <c r="F5343" s="37"/>
      <c r="G5343" s="37"/>
      <c r="H5343" s="37"/>
      <c r="I5343" s="35"/>
      <c r="J5343" s="37"/>
    </row>
    <row r="5344" spans="1:10" ht="15.95" customHeight="1" x14ac:dyDescent="0.2">
      <c r="A5344" s="39"/>
      <c r="B5344" s="36"/>
      <c r="C5344" s="37"/>
      <c r="D5344" s="37"/>
      <c r="E5344" s="37"/>
      <c r="F5344" s="37"/>
      <c r="G5344" s="37"/>
      <c r="H5344" s="37"/>
      <c r="I5344" s="35"/>
      <c r="J5344" s="37"/>
    </row>
    <row r="5345" spans="1:10" ht="15.95" customHeight="1" x14ac:dyDescent="0.2">
      <c r="A5345" s="39"/>
      <c r="B5345" s="36"/>
      <c r="C5345" s="37"/>
      <c r="D5345" s="37"/>
      <c r="E5345" s="37"/>
      <c r="F5345" s="37"/>
      <c r="G5345" s="37"/>
      <c r="H5345" s="37"/>
      <c r="I5345" s="35"/>
      <c r="J5345" s="37"/>
    </row>
    <row r="5346" spans="1:10" ht="15.95" customHeight="1" x14ac:dyDescent="0.2">
      <c r="A5346" s="39"/>
      <c r="B5346" s="36"/>
      <c r="C5346" s="37"/>
      <c r="D5346" s="37"/>
      <c r="E5346" s="37"/>
      <c r="F5346" s="37"/>
      <c r="G5346" s="37"/>
      <c r="H5346" s="37"/>
      <c r="I5346" s="35"/>
      <c r="J5346" s="37"/>
    </row>
    <row r="5347" spans="1:10" ht="15.95" customHeight="1" x14ac:dyDescent="0.2">
      <c r="A5347" s="39"/>
      <c r="B5347" s="36"/>
      <c r="C5347" s="37"/>
      <c r="D5347" s="37"/>
      <c r="E5347" s="37"/>
      <c r="F5347" s="37"/>
      <c r="G5347" s="37"/>
      <c r="H5347" s="37"/>
      <c r="I5347" s="35"/>
      <c r="J5347" s="37"/>
    </row>
    <row r="5348" spans="1:10" ht="15.95" customHeight="1" x14ac:dyDescent="0.2">
      <c r="A5348" s="39"/>
      <c r="B5348" s="36"/>
      <c r="C5348" s="37"/>
      <c r="D5348" s="37"/>
      <c r="E5348" s="37"/>
      <c r="F5348" s="37"/>
      <c r="G5348" s="37"/>
      <c r="H5348" s="37"/>
      <c r="I5348" s="35"/>
      <c r="J5348" s="37"/>
    </row>
    <row r="5349" spans="1:10" ht="15.95" customHeight="1" x14ac:dyDescent="0.2">
      <c r="A5349" s="39"/>
      <c r="B5349" s="36"/>
      <c r="C5349" s="37"/>
      <c r="D5349" s="37"/>
      <c r="E5349" s="37"/>
      <c r="F5349" s="37"/>
      <c r="G5349" s="37"/>
      <c r="H5349" s="37"/>
      <c r="I5349" s="35"/>
      <c r="J5349" s="37"/>
    </row>
    <row r="5350" spans="1:10" ht="15.95" customHeight="1" x14ac:dyDescent="0.2">
      <c r="A5350" s="39"/>
      <c r="B5350" s="36"/>
      <c r="C5350" s="37"/>
      <c r="D5350" s="37"/>
      <c r="E5350" s="37"/>
      <c r="F5350" s="37"/>
      <c r="G5350" s="37"/>
      <c r="H5350" s="37"/>
      <c r="I5350" s="35"/>
      <c r="J5350" s="37"/>
    </row>
    <row r="5351" spans="1:10" ht="15.95" customHeight="1" x14ac:dyDescent="0.2">
      <c r="A5351" s="39"/>
      <c r="B5351" s="36"/>
      <c r="C5351" s="37"/>
      <c r="D5351" s="37"/>
      <c r="E5351" s="37"/>
      <c r="F5351" s="37"/>
      <c r="G5351" s="37"/>
      <c r="H5351" s="37"/>
      <c r="I5351" s="35"/>
      <c r="J5351" s="37"/>
    </row>
    <row r="5352" spans="1:10" ht="15.95" customHeight="1" x14ac:dyDescent="0.2">
      <c r="A5352" s="39"/>
      <c r="B5352" s="36"/>
      <c r="C5352" s="37"/>
      <c r="D5352" s="37"/>
      <c r="E5352" s="37"/>
      <c r="F5352" s="37"/>
      <c r="G5352" s="37"/>
      <c r="H5352" s="37"/>
      <c r="I5352" s="35"/>
      <c r="J5352" s="37"/>
    </row>
    <row r="5353" spans="1:10" ht="15.95" customHeight="1" x14ac:dyDescent="0.2">
      <c r="A5353" s="39"/>
      <c r="B5353" s="36"/>
      <c r="C5353" s="37"/>
      <c r="D5353" s="37"/>
      <c r="E5353" s="37"/>
      <c r="F5353" s="37"/>
      <c r="G5353" s="37"/>
      <c r="H5353" s="37"/>
      <c r="I5353" s="35"/>
      <c r="J5353" s="37"/>
    </row>
    <row r="5354" spans="1:10" ht="15.95" customHeight="1" x14ac:dyDescent="0.2">
      <c r="A5354" s="39"/>
      <c r="B5354" s="36"/>
      <c r="C5354" s="37"/>
      <c r="D5354" s="37"/>
      <c r="E5354" s="37"/>
      <c r="F5354" s="37"/>
      <c r="G5354" s="37"/>
      <c r="H5354" s="37"/>
      <c r="I5354" s="35"/>
      <c r="J5354" s="37"/>
    </row>
    <row r="5355" spans="1:10" ht="15.95" customHeight="1" x14ac:dyDescent="0.2">
      <c r="A5355" s="39"/>
      <c r="B5355" s="36"/>
      <c r="C5355" s="37"/>
      <c r="D5355" s="37"/>
      <c r="E5355" s="37"/>
      <c r="F5355" s="37"/>
      <c r="G5355" s="37"/>
      <c r="H5355" s="37"/>
      <c r="I5355" s="35"/>
      <c r="J5355" s="37"/>
    </row>
    <row r="5356" spans="1:10" ht="15.95" customHeight="1" x14ac:dyDescent="0.2">
      <c r="A5356" s="39"/>
      <c r="B5356" s="36"/>
      <c r="C5356" s="37"/>
      <c r="D5356" s="37"/>
      <c r="E5356" s="37"/>
      <c r="F5356" s="37"/>
      <c r="G5356" s="37"/>
      <c r="H5356" s="37"/>
      <c r="I5356" s="35"/>
      <c r="J5356" s="37"/>
    </row>
    <row r="5357" spans="1:10" ht="15.95" customHeight="1" x14ac:dyDescent="0.2">
      <c r="A5357" s="39"/>
      <c r="B5357" s="36"/>
      <c r="C5357" s="37"/>
      <c r="D5357" s="37"/>
      <c r="E5357" s="37"/>
      <c r="F5357" s="37"/>
      <c r="G5357" s="37"/>
      <c r="H5357" s="37"/>
      <c r="I5357" s="35"/>
      <c r="J5357" s="37"/>
    </row>
    <row r="5358" spans="1:10" ht="15.95" customHeight="1" x14ac:dyDescent="0.2">
      <c r="A5358" s="39"/>
      <c r="B5358" s="36"/>
      <c r="C5358" s="37"/>
      <c r="D5358" s="37"/>
      <c r="E5358" s="37"/>
      <c r="F5358" s="37"/>
      <c r="G5358" s="37"/>
      <c r="H5358" s="37"/>
      <c r="I5358" s="35"/>
      <c r="J5358" s="37"/>
    </row>
    <row r="5359" spans="1:10" ht="15.95" customHeight="1" x14ac:dyDescent="0.2">
      <c r="A5359" s="39"/>
      <c r="B5359" s="36"/>
      <c r="C5359" s="37"/>
      <c r="D5359" s="37"/>
      <c r="E5359" s="37"/>
      <c r="F5359" s="37"/>
      <c r="G5359" s="37"/>
      <c r="H5359" s="37"/>
      <c r="I5359" s="35"/>
      <c r="J5359" s="37"/>
    </row>
    <row r="5360" spans="1:10" ht="15.95" customHeight="1" x14ac:dyDescent="0.2">
      <c r="A5360" s="39"/>
      <c r="B5360" s="36"/>
      <c r="C5360" s="37"/>
      <c r="D5360" s="37"/>
      <c r="E5360" s="37"/>
      <c r="F5360" s="37"/>
      <c r="G5360" s="37"/>
      <c r="H5360" s="37"/>
      <c r="I5360" s="35"/>
      <c r="J5360" s="37"/>
    </row>
    <row r="5361" spans="1:10" ht="15.95" customHeight="1" x14ac:dyDescent="0.2">
      <c r="A5361" s="39"/>
      <c r="B5361" s="36"/>
      <c r="C5361" s="37"/>
      <c r="D5361" s="37"/>
      <c r="E5361" s="37"/>
      <c r="F5361" s="37"/>
      <c r="G5361" s="37"/>
      <c r="H5361" s="37"/>
      <c r="I5361" s="35"/>
      <c r="J5361" s="37"/>
    </row>
    <row r="5362" spans="1:10" ht="15.95" customHeight="1" x14ac:dyDescent="0.2">
      <c r="A5362" s="39"/>
      <c r="B5362" s="36"/>
      <c r="C5362" s="37"/>
      <c r="D5362" s="37"/>
      <c r="E5362" s="37"/>
      <c r="F5362" s="37"/>
      <c r="G5362" s="37"/>
      <c r="H5362" s="37"/>
      <c r="I5362" s="35"/>
      <c r="J5362" s="37"/>
    </row>
    <row r="5363" spans="1:10" ht="15.95" customHeight="1" x14ac:dyDescent="0.2">
      <c r="A5363" s="39"/>
      <c r="B5363" s="36"/>
      <c r="C5363" s="37"/>
      <c r="D5363" s="37"/>
      <c r="E5363" s="37"/>
      <c r="F5363" s="37"/>
      <c r="G5363" s="37"/>
      <c r="H5363" s="37"/>
      <c r="I5363" s="35"/>
      <c r="J5363" s="37"/>
    </row>
    <row r="5364" spans="1:10" ht="15.95" customHeight="1" x14ac:dyDescent="0.2">
      <c r="A5364" s="39"/>
      <c r="B5364" s="36"/>
      <c r="C5364" s="37"/>
      <c r="D5364" s="37"/>
      <c r="E5364" s="37"/>
      <c r="F5364" s="37"/>
      <c r="G5364" s="37"/>
      <c r="H5364" s="37"/>
      <c r="I5364" s="35"/>
      <c r="J5364" s="37"/>
    </row>
    <row r="5365" spans="1:10" ht="15.95" customHeight="1" x14ac:dyDescent="0.2">
      <c r="A5365" s="39"/>
      <c r="B5365" s="36"/>
      <c r="C5365" s="37"/>
      <c r="D5365" s="37"/>
      <c r="E5365" s="37"/>
      <c r="F5365" s="37"/>
      <c r="G5365" s="37"/>
      <c r="H5365" s="37"/>
      <c r="I5365" s="35"/>
      <c r="J5365" s="37"/>
    </row>
    <row r="5366" spans="1:10" ht="15.95" customHeight="1" x14ac:dyDescent="0.2">
      <c r="A5366" s="39"/>
      <c r="B5366" s="36"/>
      <c r="C5366" s="37"/>
      <c r="D5366" s="37"/>
      <c r="E5366" s="37"/>
      <c r="F5366" s="37"/>
      <c r="G5366" s="37"/>
      <c r="H5366" s="37"/>
      <c r="I5366" s="35"/>
      <c r="J5366" s="37"/>
    </row>
    <row r="5367" spans="1:10" ht="15.95" customHeight="1" x14ac:dyDescent="0.2">
      <c r="A5367" s="39"/>
      <c r="B5367" s="36"/>
      <c r="C5367" s="37"/>
      <c r="D5367" s="37"/>
      <c r="E5367" s="37"/>
      <c r="F5367" s="37"/>
      <c r="G5367" s="37"/>
      <c r="H5367" s="37"/>
      <c r="I5367" s="35"/>
      <c r="J5367" s="37"/>
    </row>
    <row r="5368" spans="1:10" ht="15.95" customHeight="1" x14ac:dyDescent="0.2">
      <c r="A5368" s="39"/>
      <c r="B5368" s="36"/>
      <c r="C5368" s="37"/>
      <c r="D5368" s="37"/>
      <c r="E5368" s="37"/>
      <c r="F5368" s="37"/>
      <c r="G5368" s="37"/>
      <c r="H5368" s="37"/>
      <c r="I5368" s="35"/>
      <c r="J5368" s="37"/>
    </row>
    <row r="5369" spans="1:10" ht="15.95" customHeight="1" x14ac:dyDescent="0.2">
      <c r="A5369" s="39"/>
      <c r="B5369" s="36"/>
      <c r="C5369" s="37"/>
      <c r="D5369" s="37"/>
      <c r="E5369" s="37"/>
      <c r="F5369" s="37"/>
      <c r="G5369" s="37"/>
      <c r="H5369" s="37"/>
      <c r="I5369" s="35"/>
      <c r="J5369" s="37"/>
    </row>
    <row r="5370" spans="1:10" ht="15.95" customHeight="1" x14ac:dyDescent="0.2">
      <c r="A5370" s="39"/>
      <c r="B5370" s="36"/>
      <c r="C5370" s="37"/>
      <c r="D5370" s="37"/>
      <c r="E5370" s="37"/>
      <c r="F5370" s="37"/>
      <c r="G5370" s="37"/>
      <c r="H5370" s="37"/>
      <c r="I5370" s="35"/>
      <c r="J5370" s="37"/>
    </row>
    <row r="5371" spans="1:10" ht="15.95" customHeight="1" x14ac:dyDescent="0.2">
      <c r="A5371" s="39"/>
      <c r="B5371" s="36"/>
      <c r="C5371" s="37"/>
      <c r="D5371" s="37"/>
      <c r="E5371" s="37"/>
      <c r="F5371" s="37"/>
      <c r="G5371" s="37"/>
      <c r="H5371" s="37"/>
      <c r="I5371" s="35"/>
      <c r="J5371" s="37"/>
    </row>
    <row r="5372" spans="1:10" ht="15.95" customHeight="1" x14ac:dyDescent="0.2">
      <c r="A5372" s="39"/>
      <c r="B5372" s="36"/>
      <c r="C5372" s="37"/>
      <c r="D5372" s="37"/>
      <c r="E5372" s="37"/>
      <c r="F5372" s="37"/>
      <c r="G5372" s="37"/>
      <c r="H5372" s="37"/>
      <c r="I5372" s="35"/>
      <c r="J5372" s="37"/>
    </row>
    <row r="5373" spans="1:10" ht="15.95" customHeight="1" x14ac:dyDescent="0.2">
      <c r="A5373" s="39"/>
      <c r="B5373" s="36"/>
      <c r="C5373" s="37"/>
      <c r="D5373" s="37"/>
      <c r="E5373" s="37"/>
      <c r="F5373" s="37"/>
      <c r="G5373" s="37"/>
      <c r="H5373" s="37"/>
      <c r="I5373" s="35"/>
      <c r="J5373" s="37"/>
    </row>
    <row r="5374" spans="1:10" ht="15.95" customHeight="1" x14ac:dyDescent="0.2">
      <c r="A5374" s="39"/>
      <c r="B5374" s="36"/>
      <c r="C5374" s="37"/>
      <c r="D5374" s="37"/>
      <c r="E5374" s="37"/>
      <c r="F5374" s="37"/>
      <c r="G5374" s="37"/>
      <c r="H5374" s="37"/>
      <c r="I5374" s="35"/>
      <c r="J5374" s="37"/>
    </row>
    <row r="5375" spans="1:10" ht="15.95" customHeight="1" x14ac:dyDescent="0.2">
      <c r="A5375" s="39"/>
      <c r="B5375" s="36"/>
      <c r="C5375" s="37"/>
      <c r="D5375" s="37"/>
      <c r="E5375" s="37"/>
      <c r="F5375" s="37"/>
      <c r="G5375" s="37"/>
      <c r="H5375" s="37"/>
      <c r="I5375" s="35"/>
      <c r="J5375" s="37"/>
    </row>
    <row r="5376" spans="1:10" ht="15.95" customHeight="1" x14ac:dyDescent="0.2">
      <c r="A5376" s="39"/>
      <c r="B5376" s="36"/>
      <c r="C5376" s="37"/>
      <c r="D5376" s="37"/>
      <c r="E5376" s="37"/>
      <c r="F5376" s="37"/>
      <c r="G5376" s="37"/>
      <c r="H5376" s="37"/>
      <c r="I5376" s="35"/>
      <c r="J5376" s="37"/>
    </row>
    <row r="5377" spans="1:10" ht="15.95" customHeight="1" x14ac:dyDescent="0.2">
      <c r="A5377" s="39"/>
      <c r="B5377" s="36"/>
      <c r="C5377" s="37"/>
      <c r="D5377" s="37"/>
      <c r="E5377" s="37"/>
      <c r="F5377" s="37"/>
      <c r="G5377" s="37"/>
      <c r="H5377" s="37"/>
      <c r="I5377" s="35"/>
      <c r="J5377" s="37"/>
    </row>
    <row r="5378" spans="1:10" ht="15.95" customHeight="1" x14ac:dyDescent="0.2">
      <c r="A5378" s="39"/>
      <c r="B5378" s="36"/>
      <c r="C5378" s="37"/>
      <c r="D5378" s="37"/>
      <c r="E5378" s="37"/>
      <c r="F5378" s="37"/>
      <c r="G5378" s="37"/>
      <c r="H5378" s="37"/>
      <c r="I5378" s="35"/>
      <c r="J5378" s="37"/>
    </row>
    <row r="5379" spans="1:10" ht="15.95" customHeight="1" x14ac:dyDescent="0.2">
      <c r="A5379" s="39"/>
      <c r="B5379" s="36"/>
      <c r="C5379" s="37"/>
      <c r="D5379" s="37"/>
      <c r="E5379" s="37"/>
      <c r="F5379" s="37"/>
      <c r="G5379" s="37"/>
      <c r="H5379" s="37"/>
      <c r="I5379" s="35"/>
      <c r="J5379" s="37"/>
    </row>
    <row r="5380" spans="1:10" ht="15.95" customHeight="1" x14ac:dyDescent="0.2">
      <c r="A5380" s="39"/>
      <c r="B5380" s="36"/>
      <c r="C5380" s="37"/>
      <c r="D5380" s="37"/>
      <c r="E5380" s="37"/>
      <c r="F5380" s="37"/>
      <c r="G5380" s="37"/>
      <c r="H5380" s="37"/>
      <c r="I5380" s="35"/>
      <c r="J5380" s="37"/>
    </row>
    <row r="5381" spans="1:10" ht="15.95" customHeight="1" x14ac:dyDescent="0.2">
      <c r="A5381" s="39"/>
      <c r="B5381" s="36"/>
      <c r="C5381" s="37"/>
      <c r="D5381" s="37"/>
      <c r="E5381" s="37"/>
      <c r="F5381" s="37"/>
      <c r="G5381" s="37"/>
      <c r="H5381" s="37"/>
      <c r="I5381" s="35"/>
      <c r="J5381" s="37"/>
    </row>
    <row r="5382" spans="1:10" ht="15.95" customHeight="1" x14ac:dyDescent="0.2">
      <c r="A5382" s="39"/>
      <c r="B5382" s="36"/>
      <c r="C5382" s="37"/>
      <c r="D5382" s="37"/>
      <c r="E5382" s="37"/>
      <c r="F5382" s="37"/>
      <c r="G5382" s="37"/>
      <c r="H5382" s="37"/>
      <c r="I5382" s="35"/>
      <c r="J5382" s="37"/>
    </row>
    <row r="5383" spans="1:10" ht="15.95" customHeight="1" x14ac:dyDescent="0.2">
      <c r="A5383" s="39"/>
      <c r="B5383" s="36"/>
      <c r="C5383" s="37"/>
      <c r="D5383" s="37"/>
      <c r="E5383" s="37"/>
      <c r="F5383" s="37"/>
      <c r="G5383" s="37"/>
      <c r="H5383" s="37"/>
      <c r="I5383" s="35"/>
      <c r="J5383" s="37"/>
    </row>
    <row r="5384" spans="1:10" ht="15.95" customHeight="1" x14ac:dyDescent="0.2">
      <c r="A5384" s="39"/>
      <c r="B5384" s="36"/>
      <c r="C5384" s="37"/>
      <c r="D5384" s="37"/>
      <c r="E5384" s="37"/>
      <c r="F5384" s="37"/>
      <c r="G5384" s="37"/>
      <c r="H5384" s="37"/>
      <c r="I5384" s="35"/>
      <c r="J5384" s="37"/>
    </row>
    <row r="5385" spans="1:10" ht="15.95" customHeight="1" x14ac:dyDescent="0.2">
      <c r="A5385" s="39"/>
      <c r="B5385" s="36"/>
      <c r="C5385" s="37"/>
      <c r="D5385" s="37"/>
      <c r="E5385" s="37"/>
      <c r="F5385" s="37"/>
      <c r="G5385" s="37"/>
      <c r="H5385" s="37"/>
      <c r="I5385" s="35"/>
      <c r="J5385" s="37"/>
    </row>
    <row r="5386" spans="1:10" ht="15.95" customHeight="1" x14ac:dyDescent="0.2">
      <c r="A5386" s="39"/>
      <c r="B5386" s="36"/>
      <c r="C5386" s="37"/>
      <c r="D5386" s="37"/>
      <c r="E5386" s="37"/>
      <c r="F5386" s="37"/>
      <c r="G5386" s="37"/>
      <c r="H5386" s="37"/>
      <c r="I5386" s="35"/>
      <c r="J5386" s="37"/>
    </row>
    <row r="5387" spans="1:10" ht="15.95" customHeight="1" x14ac:dyDescent="0.2">
      <c r="A5387" s="39"/>
      <c r="B5387" s="36"/>
      <c r="C5387" s="37"/>
      <c r="D5387" s="37"/>
      <c r="E5387" s="37"/>
      <c r="F5387" s="37"/>
      <c r="G5387" s="37"/>
      <c r="H5387" s="37"/>
      <c r="I5387" s="35"/>
      <c r="J5387" s="37"/>
    </row>
    <row r="5388" spans="1:10" ht="15.95" customHeight="1" x14ac:dyDescent="0.2">
      <c r="A5388" s="39"/>
      <c r="B5388" s="36"/>
      <c r="C5388" s="37"/>
      <c r="D5388" s="37"/>
      <c r="E5388" s="37"/>
      <c r="F5388" s="37"/>
      <c r="G5388" s="37"/>
      <c r="H5388" s="37"/>
      <c r="I5388" s="35"/>
      <c r="J5388" s="37"/>
    </row>
    <row r="5389" spans="1:10" ht="15.95" customHeight="1" x14ac:dyDescent="0.2">
      <c r="A5389" s="39"/>
      <c r="B5389" s="36"/>
      <c r="C5389" s="37"/>
      <c r="D5389" s="37"/>
      <c r="E5389" s="37"/>
      <c r="F5389" s="37"/>
      <c r="G5389" s="37"/>
      <c r="H5389" s="37"/>
      <c r="I5389" s="35"/>
      <c r="J5389" s="37"/>
    </row>
    <row r="5390" spans="1:10" ht="15.95" customHeight="1" x14ac:dyDescent="0.2">
      <c r="A5390" s="39"/>
      <c r="B5390" s="36"/>
      <c r="C5390" s="37"/>
      <c r="D5390" s="37"/>
      <c r="E5390" s="37"/>
      <c r="F5390" s="37"/>
      <c r="G5390" s="37"/>
      <c r="H5390" s="37"/>
      <c r="I5390" s="35"/>
      <c r="J5390" s="37"/>
    </row>
    <row r="5391" spans="1:10" ht="15.95" customHeight="1" x14ac:dyDescent="0.2">
      <c r="A5391" s="39"/>
      <c r="B5391" s="36"/>
      <c r="C5391" s="37"/>
      <c r="D5391" s="37"/>
      <c r="E5391" s="37"/>
      <c r="F5391" s="37"/>
      <c r="G5391" s="37"/>
      <c r="H5391" s="37"/>
      <c r="I5391" s="35"/>
      <c r="J5391" s="37"/>
    </row>
    <row r="5392" spans="1:10" ht="15.95" customHeight="1" x14ac:dyDescent="0.2">
      <c r="A5392" s="39"/>
      <c r="B5392" s="36"/>
      <c r="C5392" s="37"/>
      <c r="D5392" s="37"/>
      <c r="E5392" s="37"/>
      <c r="F5392" s="37"/>
      <c r="G5392" s="37"/>
      <c r="H5392" s="37"/>
      <c r="I5392" s="35"/>
      <c r="J5392" s="37"/>
    </row>
    <row r="5393" spans="1:10" ht="15.95" customHeight="1" x14ac:dyDescent="0.2">
      <c r="A5393" s="39"/>
      <c r="B5393" s="36"/>
      <c r="C5393" s="37"/>
      <c r="D5393" s="37"/>
      <c r="E5393" s="37"/>
      <c r="F5393" s="37"/>
      <c r="G5393" s="37"/>
      <c r="H5393" s="37"/>
      <c r="I5393" s="35"/>
      <c r="J5393" s="37"/>
    </row>
    <row r="5394" spans="1:10" ht="15.95" customHeight="1" x14ac:dyDescent="0.2">
      <c r="A5394" s="39"/>
      <c r="B5394" s="36"/>
      <c r="C5394" s="37"/>
      <c r="D5394" s="37"/>
      <c r="E5394" s="37"/>
      <c r="F5394" s="37"/>
      <c r="G5394" s="37"/>
      <c r="H5394" s="37"/>
      <c r="I5394" s="35"/>
      <c r="J5394" s="37"/>
    </row>
    <row r="5395" spans="1:10" ht="15.95" customHeight="1" x14ac:dyDescent="0.2">
      <c r="A5395" s="39"/>
      <c r="B5395" s="36"/>
      <c r="C5395" s="37"/>
      <c r="D5395" s="37"/>
      <c r="E5395" s="37"/>
      <c r="F5395" s="37"/>
      <c r="G5395" s="37"/>
      <c r="H5395" s="37"/>
      <c r="I5395" s="35"/>
      <c r="J5395" s="37"/>
    </row>
    <row r="5396" spans="1:10" ht="15.95" customHeight="1" x14ac:dyDescent="0.2">
      <c r="A5396" s="39"/>
      <c r="B5396" s="36"/>
      <c r="C5396" s="37"/>
      <c r="D5396" s="37"/>
      <c r="E5396" s="37"/>
      <c r="F5396" s="37"/>
      <c r="G5396" s="37"/>
      <c r="H5396" s="37"/>
      <c r="I5396" s="35"/>
      <c r="J5396" s="37"/>
    </row>
    <row r="5397" spans="1:10" ht="15.95" customHeight="1" x14ac:dyDescent="0.2">
      <c r="A5397" s="39"/>
      <c r="B5397" s="36"/>
      <c r="C5397" s="37"/>
      <c r="D5397" s="37"/>
      <c r="E5397" s="37"/>
      <c r="F5397" s="37"/>
      <c r="G5397" s="37"/>
      <c r="H5397" s="37"/>
      <c r="I5397" s="35"/>
      <c r="J5397" s="37"/>
    </row>
    <row r="5398" spans="1:10" ht="15.95" customHeight="1" x14ac:dyDescent="0.2">
      <c r="A5398" s="39"/>
      <c r="B5398" s="36"/>
      <c r="C5398" s="37"/>
      <c r="D5398" s="37"/>
      <c r="E5398" s="37"/>
      <c r="F5398" s="37"/>
      <c r="G5398" s="37"/>
      <c r="H5398" s="37"/>
      <c r="I5398" s="35"/>
      <c r="J5398" s="37"/>
    </row>
    <row r="5399" spans="1:10" ht="15.95" customHeight="1" x14ac:dyDescent="0.2">
      <c r="A5399" s="39"/>
      <c r="B5399" s="36"/>
      <c r="C5399" s="37"/>
      <c r="D5399" s="37"/>
      <c r="E5399" s="37"/>
      <c r="F5399" s="37"/>
      <c r="G5399" s="37"/>
      <c r="H5399" s="37"/>
      <c r="I5399" s="35"/>
      <c r="J5399" s="37"/>
    </row>
    <row r="5400" spans="1:10" ht="15.95" customHeight="1" x14ac:dyDescent="0.2">
      <c r="A5400" s="39"/>
      <c r="B5400" s="36"/>
      <c r="C5400" s="37"/>
      <c r="D5400" s="37"/>
      <c r="E5400" s="37"/>
      <c r="F5400" s="37"/>
      <c r="G5400" s="37"/>
      <c r="H5400" s="37"/>
      <c r="I5400" s="35"/>
      <c r="J5400" s="37"/>
    </row>
    <row r="5401" spans="1:10" ht="15.95" customHeight="1" x14ac:dyDescent="0.2">
      <c r="A5401" s="39"/>
      <c r="B5401" s="36"/>
      <c r="C5401" s="37"/>
      <c r="D5401" s="37"/>
      <c r="E5401" s="37"/>
      <c r="F5401" s="37"/>
      <c r="G5401" s="37"/>
      <c r="H5401" s="37"/>
      <c r="I5401" s="35"/>
      <c r="J5401" s="37"/>
    </row>
    <row r="5402" spans="1:10" ht="15.95" customHeight="1" x14ac:dyDescent="0.2">
      <c r="A5402" s="39"/>
      <c r="B5402" s="36"/>
      <c r="C5402" s="37"/>
      <c r="D5402" s="37"/>
      <c r="E5402" s="37"/>
      <c r="F5402" s="37"/>
      <c r="G5402" s="37"/>
      <c r="H5402" s="37"/>
      <c r="I5402" s="35"/>
      <c r="J5402" s="37"/>
    </row>
    <row r="5403" spans="1:10" ht="15.95" customHeight="1" x14ac:dyDescent="0.2">
      <c r="A5403" s="39"/>
      <c r="B5403" s="36"/>
      <c r="C5403" s="37"/>
      <c r="D5403" s="37"/>
      <c r="E5403" s="37"/>
      <c r="F5403" s="37"/>
      <c r="G5403" s="37"/>
      <c r="H5403" s="37"/>
      <c r="I5403" s="35"/>
      <c r="J5403" s="37"/>
    </row>
    <row r="5404" spans="1:10" ht="15.95" customHeight="1" x14ac:dyDescent="0.2">
      <c r="A5404" s="39"/>
      <c r="B5404" s="36"/>
      <c r="C5404" s="37"/>
      <c r="D5404" s="37"/>
      <c r="E5404" s="37"/>
      <c r="F5404" s="37"/>
      <c r="G5404" s="37"/>
      <c r="H5404" s="37"/>
      <c r="I5404" s="35"/>
      <c r="J5404" s="37"/>
    </row>
    <row r="5405" spans="1:10" ht="15.95" customHeight="1" x14ac:dyDescent="0.2">
      <c r="A5405" s="39"/>
      <c r="B5405" s="36"/>
      <c r="C5405" s="37"/>
      <c r="D5405" s="37"/>
      <c r="E5405" s="37"/>
      <c r="F5405" s="37"/>
      <c r="G5405" s="37"/>
      <c r="H5405" s="37"/>
      <c r="I5405" s="35"/>
      <c r="J5405" s="37"/>
    </row>
    <row r="5406" spans="1:10" ht="15.95" customHeight="1" x14ac:dyDescent="0.2">
      <c r="A5406" s="39"/>
      <c r="B5406" s="36"/>
      <c r="C5406" s="37"/>
      <c r="D5406" s="37"/>
      <c r="E5406" s="37"/>
      <c r="F5406" s="37"/>
      <c r="G5406" s="37"/>
      <c r="H5406" s="37"/>
      <c r="I5406" s="35"/>
      <c r="J5406" s="37"/>
    </row>
    <row r="5407" spans="1:10" ht="15.95" customHeight="1" x14ac:dyDescent="0.2">
      <c r="A5407" s="39"/>
      <c r="B5407" s="36"/>
      <c r="C5407" s="37"/>
      <c r="D5407" s="37"/>
      <c r="E5407" s="37"/>
      <c r="F5407" s="37"/>
      <c r="G5407" s="37"/>
      <c r="H5407" s="37"/>
      <c r="I5407" s="35"/>
      <c r="J5407" s="37"/>
    </row>
    <row r="5408" spans="1:10" ht="15.95" customHeight="1" x14ac:dyDescent="0.2">
      <c r="A5408" s="39"/>
      <c r="B5408" s="36"/>
      <c r="C5408" s="37"/>
      <c r="D5408" s="37"/>
      <c r="E5408" s="37"/>
      <c r="F5408" s="37"/>
      <c r="G5408" s="37"/>
      <c r="H5408" s="37"/>
      <c r="I5408" s="35"/>
      <c r="J5408" s="37"/>
    </row>
    <row r="5409" spans="1:10" ht="15.95" customHeight="1" x14ac:dyDescent="0.2">
      <c r="A5409" s="39"/>
      <c r="B5409" s="36"/>
      <c r="C5409" s="37"/>
      <c r="D5409" s="37"/>
      <c r="E5409" s="37"/>
      <c r="F5409" s="37"/>
      <c r="G5409" s="37"/>
      <c r="H5409" s="37"/>
      <c r="I5409" s="35"/>
      <c r="J5409" s="37"/>
    </row>
    <row r="5410" spans="1:10" ht="15.95" customHeight="1" x14ac:dyDescent="0.2">
      <c r="A5410" s="39"/>
      <c r="B5410" s="36"/>
      <c r="C5410" s="37"/>
      <c r="D5410" s="37"/>
      <c r="E5410" s="37"/>
      <c r="F5410" s="37"/>
      <c r="G5410" s="37"/>
      <c r="H5410" s="37"/>
      <c r="I5410" s="35"/>
      <c r="J5410" s="37"/>
    </row>
    <row r="5411" spans="1:10" ht="15.95" customHeight="1" x14ac:dyDescent="0.2">
      <c r="A5411" s="39"/>
      <c r="B5411" s="36"/>
      <c r="C5411" s="37"/>
      <c r="D5411" s="37"/>
      <c r="E5411" s="37"/>
      <c r="F5411" s="37"/>
      <c r="G5411" s="37"/>
      <c r="H5411" s="37"/>
      <c r="I5411" s="35"/>
      <c r="J5411" s="37"/>
    </row>
    <row r="5412" spans="1:10" ht="15.95" customHeight="1" x14ac:dyDescent="0.2">
      <c r="A5412" s="39"/>
      <c r="B5412" s="36"/>
      <c r="C5412" s="37"/>
      <c r="D5412" s="37"/>
      <c r="E5412" s="37"/>
      <c r="F5412" s="37"/>
      <c r="G5412" s="37"/>
      <c r="H5412" s="37"/>
      <c r="I5412" s="35"/>
      <c r="J5412" s="37"/>
    </row>
    <row r="5413" spans="1:10" ht="15.95" customHeight="1" x14ac:dyDescent="0.2">
      <c r="A5413" s="39"/>
      <c r="B5413" s="36"/>
      <c r="C5413" s="37"/>
      <c r="D5413" s="37"/>
      <c r="E5413" s="37"/>
      <c r="F5413" s="37"/>
      <c r="G5413" s="37"/>
      <c r="H5413" s="37"/>
      <c r="I5413" s="35"/>
      <c r="J5413" s="37"/>
    </row>
    <row r="5414" spans="1:10" ht="15.95" customHeight="1" x14ac:dyDescent="0.2">
      <c r="A5414" s="39"/>
      <c r="B5414" s="36"/>
      <c r="C5414" s="37"/>
      <c r="D5414" s="37"/>
      <c r="E5414" s="37"/>
      <c r="F5414" s="37"/>
      <c r="G5414" s="37"/>
      <c r="H5414" s="37"/>
      <c r="I5414" s="35"/>
      <c r="J5414" s="37"/>
    </row>
    <row r="5415" spans="1:10" ht="15.95" customHeight="1" x14ac:dyDescent="0.2">
      <c r="A5415" s="39"/>
      <c r="B5415" s="36"/>
      <c r="C5415" s="37"/>
      <c r="D5415" s="37"/>
      <c r="E5415" s="37"/>
      <c r="F5415" s="37"/>
      <c r="G5415" s="37"/>
      <c r="H5415" s="37"/>
      <c r="I5415" s="35"/>
      <c r="J5415" s="37"/>
    </row>
    <row r="5416" spans="1:10" ht="15.95" customHeight="1" x14ac:dyDescent="0.2">
      <c r="A5416" s="39"/>
      <c r="B5416" s="36"/>
      <c r="C5416" s="37"/>
      <c r="D5416" s="37"/>
      <c r="E5416" s="37"/>
      <c r="F5416" s="37"/>
      <c r="G5416" s="37"/>
      <c r="H5416" s="37"/>
      <c r="I5416" s="35"/>
      <c r="J5416" s="37"/>
    </row>
    <row r="5417" spans="1:10" ht="15.95" customHeight="1" x14ac:dyDescent="0.2">
      <c r="A5417" s="39"/>
      <c r="B5417" s="36"/>
      <c r="C5417" s="37"/>
      <c r="D5417" s="37"/>
      <c r="E5417" s="37"/>
      <c r="F5417" s="37"/>
      <c r="G5417" s="37"/>
      <c r="H5417" s="37"/>
      <c r="I5417" s="35"/>
      <c r="J5417" s="37"/>
    </row>
    <row r="5418" spans="1:10" ht="15.95" customHeight="1" x14ac:dyDescent="0.2">
      <c r="A5418" s="39"/>
      <c r="B5418" s="36"/>
      <c r="C5418" s="37"/>
      <c r="D5418" s="37"/>
      <c r="E5418" s="37"/>
      <c r="F5418" s="37"/>
      <c r="G5418" s="37"/>
      <c r="H5418" s="37"/>
      <c r="I5418" s="35"/>
      <c r="J5418" s="37"/>
    </row>
    <row r="5419" spans="1:10" ht="15.95" customHeight="1" x14ac:dyDescent="0.2">
      <c r="A5419" s="39"/>
      <c r="B5419" s="36"/>
      <c r="C5419" s="37"/>
      <c r="D5419" s="37"/>
      <c r="E5419" s="37"/>
      <c r="F5419" s="37"/>
      <c r="G5419" s="37"/>
      <c r="H5419" s="37"/>
      <c r="I5419" s="35"/>
      <c r="J5419" s="37"/>
    </row>
    <row r="5420" spans="1:10" ht="15.95" customHeight="1" x14ac:dyDescent="0.2">
      <c r="A5420" s="39"/>
      <c r="B5420" s="36"/>
      <c r="C5420" s="37"/>
      <c r="D5420" s="37"/>
      <c r="E5420" s="37"/>
      <c r="F5420" s="37"/>
      <c r="G5420" s="37"/>
      <c r="H5420" s="37"/>
      <c r="I5420" s="35"/>
      <c r="J5420" s="37"/>
    </row>
    <row r="5421" spans="1:10" ht="15.95" customHeight="1" x14ac:dyDescent="0.2">
      <c r="A5421" s="39"/>
      <c r="B5421" s="36"/>
      <c r="C5421" s="37"/>
      <c r="D5421" s="37"/>
      <c r="E5421" s="37"/>
      <c r="F5421" s="37"/>
      <c r="G5421" s="37"/>
      <c r="H5421" s="37"/>
      <c r="I5421" s="35"/>
      <c r="J5421" s="37"/>
    </row>
    <row r="5422" spans="1:10" ht="15.95" customHeight="1" x14ac:dyDescent="0.2">
      <c r="A5422" s="39"/>
      <c r="B5422" s="36"/>
      <c r="C5422" s="37"/>
      <c r="D5422" s="37"/>
      <c r="E5422" s="37"/>
      <c r="F5422" s="37"/>
      <c r="G5422" s="37"/>
      <c r="H5422" s="37"/>
      <c r="I5422" s="35"/>
      <c r="J5422" s="37"/>
    </row>
    <row r="5423" spans="1:10" ht="15.95" customHeight="1" x14ac:dyDescent="0.2">
      <c r="A5423" s="39"/>
      <c r="B5423" s="36"/>
      <c r="C5423" s="37"/>
      <c r="D5423" s="37"/>
      <c r="E5423" s="37"/>
      <c r="F5423" s="37"/>
      <c r="G5423" s="37"/>
      <c r="H5423" s="37"/>
      <c r="I5423" s="35"/>
      <c r="J5423" s="37"/>
    </row>
    <row r="5424" spans="1:10" ht="15.95" customHeight="1" x14ac:dyDescent="0.2">
      <c r="A5424" s="39"/>
      <c r="B5424" s="36"/>
      <c r="C5424" s="37"/>
      <c r="D5424" s="37"/>
      <c r="E5424" s="37"/>
      <c r="F5424" s="37"/>
      <c r="G5424" s="37"/>
      <c r="H5424" s="37"/>
      <c r="I5424" s="35"/>
      <c r="J5424" s="37"/>
    </row>
    <row r="5425" spans="1:10" ht="15.95" customHeight="1" x14ac:dyDescent="0.2">
      <c r="A5425" s="39"/>
      <c r="B5425" s="36"/>
      <c r="C5425" s="37"/>
      <c r="D5425" s="37"/>
      <c r="E5425" s="37"/>
      <c r="F5425" s="37"/>
      <c r="G5425" s="37"/>
      <c r="H5425" s="37"/>
      <c r="I5425" s="35"/>
      <c r="J5425" s="37"/>
    </row>
    <row r="5426" spans="1:10" ht="15.95" customHeight="1" x14ac:dyDescent="0.2">
      <c r="A5426" s="39"/>
      <c r="B5426" s="36"/>
      <c r="C5426" s="37"/>
      <c r="D5426" s="37"/>
      <c r="E5426" s="37"/>
      <c r="F5426" s="37"/>
      <c r="G5426" s="37"/>
      <c r="H5426" s="37"/>
      <c r="I5426" s="35"/>
      <c r="J5426" s="37"/>
    </row>
    <row r="5427" spans="1:10" ht="15.95" customHeight="1" x14ac:dyDescent="0.2">
      <c r="A5427" s="39"/>
      <c r="B5427" s="36"/>
      <c r="C5427" s="37"/>
      <c r="D5427" s="37"/>
      <c r="E5427" s="37"/>
      <c r="F5427" s="37"/>
      <c r="G5427" s="37"/>
      <c r="H5427" s="37"/>
      <c r="I5427" s="35"/>
      <c r="J5427" s="37"/>
    </row>
    <row r="5428" spans="1:10" ht="15.95" customHeight="1" x14ac:dyDescent="0.2">
      <c r="A5428" s="39"/>
      <c r="B5428" s="36"/>
      <c r="C5428" s="37"/>
      <c r="D5428" s="37"/>
      <c r="E5428" s="37"/>
      <c r="F5428" s="37"/>
      <c r="G5428" s="37"/>
      <c r="H5428" s="37"/>
      <c r="I5428" s="35"/>
      <c r="J5428" s="37"/>
    </row>
    <row r="5429" spans="1:10" ht="15.95" customHeight="1" x14ac:dyDescent="0.2">
      <c r="A5429" s="39"/>
      <c r="B5429" s="36"/>
      <c r="C5429" s="37"/>
      <c r="D5429" s="37"/>
      <c r="E5429" s="37"/>
      <c r="F5429" s="37"/>
      <c r="G5429" s="37"/>
      <c r="H5429" s="37"/>
      <c r="I5429" s="35"/>
      <c r="J5429" s="37"/>
    </row>
    <row r="5430" spans="1:10" ht="15.95" customHeight="1" x14ac:dyDescent="0.2">
      <c r="A5430" s="39"/>
      <c r="B5430" s="36"/>
      <c r="C5430" s="37"/>
      <c r="D5430" s="37"/>
      <c r="E5430" s="37"/>
      <c r="F5430" s="37"/>
      <c r="G5430" s="37"/>
      <c r="H5430" s="37"/>
      <c r="I5430" s="35"/>
      <c r="J5430" s="37"/>
    </row>
    <row r="5431" spans="1:10" ht="15.95" customHeight="1" x14ac:dyDescent="0.2">
      <c r="A5431" s="39"/>
      <c r="B5431" s="36"/>
      <c r="C5431" s="37"/>
      <c r="D5431" s="37"/>
      <c r="E5431" s="37"/>
      <c r="F5431" s="37"/>
      <c r="G5431" s="37"/>
      <c r="H5431" s="37"/>
      <c r="I5431" s="35"/>
      <c r="J5431" s="37"/>
    </row>
    <row r="5432" spans="1:10" ht="15.95" customHeight="1" x14ac:dyDescent="0.2">
      <c r="A5432" s="39"/>
      <c r="B5432" s="36"/>
      <c r="C5432" s="37"/>
      <c r="D5432" s="37"/>
      <c r="E5432" s="37"/>
      <c r="F5432" s="37"/>
      <c r="G5432" s="37"/>
      <c r="H5432" s="37"/>
      <c r="I5432" s="35"/>
      <c r="J5432" s="37"/>
    </row>
    <row r="5433" spans="1:10" ht="15.95" customHeight="1" x14ac:dyDescent="0.2">
      <c r="A5433" s="39"/>
      <c r="B5433" s="36"/>
      <c r="C5433" s="37"/>
      <c r="D5433" s="37"/>
      <c r="E5433" s="37"/>
      <c r="F5433" s="37"/>
      <c r="G5433" s="37"/>
      <c r="H5433" s="37"/>
      <c r="I5433" s="35"/>
      <c r="J5433" s="37"/>
    </row>
    <row r="5434" spans="1:10" ht="15.95" customHeight="1" x14ac:dyDescent="0.2">
      <c r="A5434" s="39"/>
      <c r="B5434" s="36"/>
      <c r="C5434" s="37"/>
      <c r="D5434" s="37"/>
      <c r="E5434" s="37"/>
      <c r="F5434" s="37"/>
      <c r="G5434" s="37"/>
      <c r="H5434" s="37"/>
      <c r="I5434" s="35"/>
      <c r="J5434" s="37"/>
    </row>
    <row r="5435" spans="1:10" ht="15.95" customHeight="1" x14ac:dyDescent="0.2">
      <c r="A5435" s="39"/>
      <c r="B5435" s="36"/>
      <c r="C5435" s="37"/>
      <c r="D5435" s="37"/>
      <c r="E5435" s="37"/>
      <c r="F5435" s="37"/>
      <c r="G5435" s="37"/>
      <c r="H5435" s="37"/>
      <c r="I5435" s="35"/>
      <c r="J5435" s="37"/>
    </row>
    <row r="5436" spans="1:10" ht="15.95" customHeight="1" x14ac:dyDescent="0.2">
      <c r="A5436" s="39"/>
      <c r="B5436" s="36"/>
      <c r="C5436" s="37"/>
      <c r="D5436" s="37"/>
      <c r="E5436" s="37"/>
      <c r="F5436" s="37"/>
      <c r="G5436" s="37"/>
      <c r="H5436" s="37"/>
      <c r="I5436" s="35"/>
      <c r="J5436" s="37"/>
    </row>
    <row r="5437" spans="1:10" ht="15.95" customHeight="1" x14ac:dyDescent="0.2">
      <c r="A5437" s="39"/>
      <c r="B5437" s="36"/>
      <c r="C5437" s="37"/>
      <c r="D5437" s="37"/>
      <c r="E5437" s="37"/>
      <c r="F5437" s="37"/>
      <c r="G5437" s="37"/>
      <c r="H5437" s="37"/>
      <c r="I5437" s="35"/>
      <c r="J5437" s="37"/>
    </row>
    <row r="5438" spans="1:10" ht="15.95" customHeight="1" x14ac:dyDescent="0.2">
      <c r="A5438" s="39"/>
      <c r="B5438" s="36"/>
      <c r="C5438" s="37"/>
      <c r="D5438" s="37"/>
      <c r="E5438" s="37"/>
      <c r="F5438" s="37"/>
      <c r="G5438" s="37"/>
      <c r="H5438" s="37"/>
      <c r="I5438" s="35"/>
      <c r="J5438" s="37"/>
    </row>
    <row r="5439" spans="1:10" ht="15.95" customHeight="1" x14ac:dyDescent="0.2">
      <c r="A5439" s="39"/>
      <c r="B5439" s="36"/>
      <c r="C5439" s="37"/>
      <c r="D5439" s="37"/>
      <c r="E5439" s="37"/>
      <c r="F5439" s="37"/>
      <c r="G5439" s="37"/>
      <c r="H5439" s="37"/>
      <c r="I5439" s="35"/>
      <c r="J5439" s="37"/>
    </row>
    <row r="5440" spans="1:10" ht="15.95" customHeight="1" x14ac:dyDescent="0.2">
      <c r="A5440" s="39"/>
      <c r="B5440" s="36"/>
      <c r="C5440" s="37"/>
      <c r="D5440" s="37"/>
      <c r="E5440" s="37"/>
      <c r="F5440" s="37"/>
      <c r="G5440" s="37"/>
      <c r="H5440" s="37"/>
      <c r="I5440" s="35"/>
      <c r="J5440" s="37"/>
    </row>
    <row r="5441" spans="1:10" ht="15.95" customHeight="1" x14ac:dyDescent="0.2">
      <c r="A5441" s="39"/>
      <c r="B5441" s="36"/>
      <c r="C5441" s="37"/>
      <c r="D5441" s="37"/>
      <c r="E5441" s="37"/>
      <c r="F5441" s="37"/>
      <c r="G5441" s="37"/>
      <c r="H5441" s="37"/>
      <c r="I5441" s="35"/>
      <c r="J5441" s="37"/>
    </row>
    <row r="5442" spans="1:10" ht="15.95" customHeight="1" x14ac:dyDescent="0.2">
      <c r="A5442" s="39"/>
      <c r="B5442" s="36"/>
      <c r="C5442" s="37"/>
      <c r="D5442" s="37"/>
      <c r="E5442" s="37"/>
      <c r="F5442" s="37"/>
      <c r="G5442" s="37"/>
      <c r="H5442" s="37"/>
      <c r="I5442" s="35"/>
      <c r="J5442" s="37"/>
    </row>
    <row r="5443" spans="1:10" ht="15.95" customHeight="1" x14ac:dyDescent="0.2">
      <c r="A5443" s="39"/>
      <c r="B5443" s="36"/>
      <c r="C5443" s="37"/>
      <c r="D5443" s="37"/>
      <c r="E5443" s="37"/>
      <c r="F5443" s="37"/>
      <c r="G5443" s="37"/>
      <c r="H5443" s="37"/>
      <c r="I5443" s="35"/>
      <c r="J5443" s="37"/>
    </row>
    <row r="5444" spans="1:10" ht="15.95" customHeight="1" x14ac:dyDescent="0.2">
      <c r="A5444" s="39"/>
      <c r="B5444" s="36"/>
      <c r="C5444" s="37"/>
      <c r="D5444" s="37"/>
      <c r="E5444" s="37"/>
      <c r="F5444" s="37"/>
      <c r="G5444" s="37"/>
      <c r="H5444" s="37"/>
      <c r="I5444" s="35"/>
      <c r="J5444" s="37"/>
    </row>
    <row r="5445" spans="1:10" ht="15.95" customHeight="1" x14ac:dyDescent="0.2">
      <c r="A5445" s="39"/>
      <c r="B5445" s="36"/>
      <c r="C5445" s="37"/>
      <c r="D5445" s="37"/>
      <c r="E5445" s="37"/>
      <c r="F5445" s="37"/>
      <c r="G5445" s="37"/>
      <c r="H5445" s="37"/>
      <c r="I5445" s="35"/>
      <c r="J5445" s="37"/>
    </row>
    <row r="5446" spans="1:10" ht="15.95" customHeight="1" x14ac:dyDescent="0.2">
      <c r="A5446" s="39"/>
      <c r="B5446" s="36"/>
      <c r="C5446" s="37"/>
      <c r="D5446" s="37"/>
      <c r="E5446" s="37"/>
      <c r="F5446" s="37"/>
      <c r="G5446" s="37"/>
      <c r="H5446" s="37"/>
      <c r="I5446" s="35"/>
      <c r="J5446" s="37"/>
    </row>
    <row r="5447" spans="1:10" ht="15.95" customHeight="1" x14ac:dyDescent="0.2">
      <c r="A5447" s="39"/>
      <c r="B5447" s="36"/>
      <c r="C5447" s="37"/>
      <c r="D5447" s="37"/>
      <c r="E5447" s="37"/>
      <c r="F5447" s="37"/>
      <c r="G5447" s="37"/>
      <c r="H5447" s="37"/>
      <c r="I5447" s="35"/>
      <c r="J5447" s="37"/>
    </row>
    <row r="5448" spans="1:10" ht="15.95" customHeight="1" x14ac:dyDescent="0.2">
      <c r="A5448" s="39"/>
      <c r="B5448" s="36"/>
      <c r="C5448" s="37"/>
      <c r="D5448" s="37"/>
      <c r="E5448" s="37"/>
      <c r="F5448" s="37"/>
      <c r="G5448" s="37"/>
      <c r="H5448" s="37"/>
      <c r="I5448" s="35"/>
      <c r="J5448" s="37"/>
    </row>
    <row r="5449" spans="1:10" ht="15.95" customHeight="1" x14ac:dyDescent="0.2">
      <c r="A5449" s="39"/>
      <c r="B5449" s="36"/>
      <c r="C5449" s="37"/>
      <c r="D5449" s="37"/>
      <c r="E5449" s="37"/>
      <c r="F5449" s="37"/>
      <c r="G5449" s="37"/>
      <c r="H5449" s="37"/>
      <c r="I5449" s="35"/>
      <c r="J5449" s="37"/>
    </row>
    <row r="5450" spans="1:10" ht="15.95" customHeight="1" x14ac:dyDescent="0.2">
      <c r="A5450" s="39"/>
      <c r="B5450" s="36"/>
      <c r="C5450" s="37"/>
      <c r="D5450" s="37"/>
      <c r="E5450" s="37"/>
      <c r="F5450" s="37"/>
      <c r="G5450" s="37"/>
      <c r="H5450" s="37"/>
      <c r="I5450" s="35"/>
      <c r="J5450" s="37"/>
    </row>
    <row r="5451" spans="1:10" ht="15.95" customHeight="1" x14ac:dyDescent="0.2">
      <c r="A5451" s="39"/>
      <c r="B5451" s="36"/>
      <c r="C5451" s="37"/>
      <c r="D5451" s="37"/>
      <c r="E5451" s="37"/>
      <c r="F5451" s="37"/>
      <c r="G5451" s="37"/>
      <c r="H5451" s="37"/>
      <c r="I5451" s="35"/>
      <c r="J5451" s="37"/>
    </row>
    <row r="5452" spans="1:10" ht="15.95" customHeight="1" x14ac:dyDescent="0.2">
      <c r="A5452" s="39"/>
      <c r="B5452" s="36"/>
      <c r="C5452" s="37"/>
      <c r="D5452" s="37"/>
      <c r="E5452" s="37"/>
      <c r="F5452" s="37"/>
      <c r="G5452" s="37"/>
      <c r="H5452" s="37"/>
      <c r="I5452" s="35"/>
      <c r="J5452" s="37"/>
    </row>
    <row r="5453" spans="1:10" ht="15.95" customHeight="1" x14ac:dyDescent="0.2">
      <c r="A5453" s="39"/>
      <c r="B5453" s="36"/>
      <c r="C5453" s="37"/>
      <c r="D5453" s="37"/>
      <c r="E5453" s="37"/>
      <c r="F5453" s="37"/>
      <c r="G5453" s="37"/>
      <c r="H5453" s="37"/>
      <c r="I5453" s="35"/>
      <c r="J5453" s="37"/>
    </row>
    <row r="5454" spans="1:10" ht="15.95" customHeight="1" x14ac:dyDescent="0.2">
      <c r="A5454" s="39"/>
      <c r="B5454" s="36"/>
      <c r="C5454" s="37"/>
      <c r="D5454" s="37"/>
      <c r="E5454" s="37"/>
      <c r="F5454" s="37"/>
      <c r="G5454" s="37"/>
      <c r="H5454" s="37"/>
      <c r="I5454" s="35"/>
      <c r="J5454" s="37"/>
    </row>
    <row r="5455" spans="1:10" ht="15.95" customHeight="1" x14ac:dyDescent="0.2">
      <c r="A5455" s="39"/>
      <c r="B5455" s="36"/>
      <c r="C5455" s="37"/>
      <c r="D5455" s="37"/>
      <c r="E5455" s="37"/>
      <c r="F5455" s="37"/>
      <c r="G5455" s="37"/>
      <c r="H5455" s="37"/>
      <c r="I5455" s="35"/>
      <c r="J5455" s="37"/>
    </row>
    <row r="5456" spans="1:10" ht="15.95" customHeight="1" x14ac:dyDescent="0.2">
      <c r="A5456" s="39"/>
      <c r="B5456" s="36"/>
      <c r="C5456" s="37"/>
      <c r="D5456" s="37"/>
      <c r="E5456" s="37"/>
      <c r="F5456" s="37"/>
      <c r="G5456" s="37"/>
      <c r="H5456" s="37"/>
      <c r="I5456" s="35"/>
      <c r="J5456" s="37"/>
    </row>
    <row r="5457" spans="1:10" ht="15.95" customHeight="1" x14ac:dyDescent="0.2">
      <c r="A5457" s="39"/>
      <c r="B5457" s="36"/>
      <c r="C5457" s="37"/>
      <c r="D5457" s="37"/>
      <c r="E5457" s="37"/>
      <c r="F5457" s="37"/>
      <c r="G5457" s="37"/>
      <c r="H5457" s="37"/>
      <c r="I5457" s="35"/>
      <c r="J5457" s="37"/>
    </row>
    <row r="5458" spans="1:10" ht="15.95" customHeight="1" x14ac:dyDescent="0.2">
      <c r="A5458" s="39"/>
      <c r="B5458" s="36"/>
      <c r="C5458" s="37"/>
      <c r="D5458" s="37"/>
      <c r="E5458" s="37"/>
      <c r="F5458" s="37"/>
      <c r="G5458" s="37"/>
      <c r="H5458" s="37"/>
      <c r="I5458" s="35"/>
      <c r="J5458" s="37"/>
    </row>
    <row r="5459" spans="1:10" ht="15.95" customHeight="1" x14ac:dyDescent="0.2">
      <c r="A5459" s="39"/>
      <c r="B5459" s="36"/>
      <c r="C5459" s="37"/>
      <c r="D5459" s="37"/>
      <c r="E5459" s="37"/>
      <c r="F5459" s="37"/>
      <c r="G5459" s="37"/>
      <c r="H5459" s="37"/>
      <c r="I5459" s="35"/>
      <c r="J5459" s="37"/>
    </row>
    <row r="5460" spans="1:10" ht="15.95" customHeight="1" x14ac:dyDescent="0.2">
      <c r="A5460" s="39"/>
      <c r="B5460" s="36"/>
      <c r="C5460" s="37"/>
      <c r="D5460" s="37"/>
      <c r="E5460" s="37"/>
      <c r="F5460" s="37"/>
      <c r="G5460" s="37"/>
      <c r="H5460" s="37"/>
      <c r="I5460" s="35"/>
      <c r="J5460" s="37"/>
    </row>
    <row r="5461" spans="1:10" ht="15.95" customHeight="1" x14ac:dyDescent="0.2">
      <c r="A5461" s="39"/>
      <c r="B5461" s="36"/>
      <c r="C5461" s="37"/>
      <c r="D5461" s="37"/>
      <c r="E5461" s="37"/>
      <c r="F5461" s="37"/>
      <c r="G5461" s="37"/>
      <c r="H5461" s="37"/>
      <c r="I5461" s="35"/>
      <c r="J5461" s="37"/>
    </row>
    <row r="5462" spans="1:10" ht="15.95" customHeight="1" x14ac:dyDescent="0.2">
      <c r="A5462" s="39"/>
      <c r="B5462" s="36"/>
      <c r="C5462" s="37"/>
      <c r="D5462" s="37"/>
      <c r="E5462" s="37"/>
      <c r="F5462" s="37"/>
      <c r="G5462" s="37"/>
      <c r="H5462" s="37"/>
      <c r="I5462" s="35"/>
      <c r="J5462" s="37"/>
    </row>
    <row r="5463" spans="1:10" ht="15.95" customHeight="1" x14ac:dyDescent="0.2">
      <c r="A5463" s="39"/>
      <c r="B5463" s="36"/>
      <c r="C5463" s="37"/>
      <c r="D5463" s="37"/>
      <c r="E5463" s="37"/>
      <c r="F5463" s="37"/>
      <c r="G5463" s="37"/>
      <c r="H5463" s="37"/>
      <c r="I5463" s="35"/>
      <c r="J5463" s="37"/>
    </row>
    <row r="5464" spans="1:10" ht="15.95" customHeight="1" x14ac:dyDescent="0.2">
      <c r="A5464" s="39"/>
      <c r="B5464" s="36"/>
      <c r="C5464" s="37"/>
      <c r="D5464" s="37"/>
      <c r="E5464" s="37"/>
      <c r="F5464" s="37"/>
      <c r="G5464" s="37"/>
      <c r="H5464" s="37"/>
      <c r="I5464" s="35"/>
      <c r="J5464" s="37"/>
    </row>
    <row r="5465" spans="1:10" ht="15.95" customHeight="1" x14ac:dyDescent="0.2">
      <c r="A5465" s="39"/>
      <c r="B5465" s="36"/>
      <c r="C5465" s="37"/>
      <c r="D5465" s="37"/>
      <c r="E5465" s="37"/>
      <c r="F5465" s="37"/>
      <c r="G5465" s="37"/>
      <c r="H5465" s="37"/>
      <c r="I5465" s="35"/>
      <c r="J5465" s="37"/>
    </row>
    <row r="5466" spans="1:10" ht="15.95" customHeight="1" x14ac:dyDescent="0.2">
      <c r="A5466" s="39"/>
      <c r="B5466" s="36"/>
      <c r="C5466" s="37"/>
      <c r="D5466" s="37"/>
      <c r="E5466" s="37"/>
      <c r="F5466" s="37"/>
      <c r="G5466" s="37"/>
      <c r="H5466" s="37"/>
      <c r="I5466" s="35"/>
      <c r="J5466" s="37"/>
    </row>
    <row r="5467" spans="1:10" ht="15.95" customHeight="1" x14ac:dyDescent="0.2">
      <c r="A5467" s="39"/>
      <c r="B5467" s="36"/>
      <c r="C5467" s="37"/>
      <c r="D5467" s="37"/>
      <c r="E5467" s="37"/>
      <c r="F5467" s="37"/>
      <c r="G5467" s="37"/>
      <c r="H5467" s="37"/>
      <c r="I5467" s="35"/>
      <c r="J5467" s="37"/>
    </row>
    <row r="5468" spans="1:10" ht="15.95" customHeight="1" x14ac:dyDescent="0.2">
      <c r="A5468" s="39"/>
      <c r="B5468" s="36"/>
      <c r="C5468" s="37"/>
      <c r="D5468" s="37"/>
      <c r="E5468" s="37"/>
      <c r="F5468" s="37"/>
      <c r="G5468" s="37"/>
      <c r="H5468" s="37"/>
      <c r="I5468" s="35"/>
      <c r="J5468" s="37"/>
    </row>
    <row r="5469" spans="1:10" ht="15.95" customHeight="1" x14ac:dyDescent="0.2">
      <c r="A5469" s="39"/>
      <c r="B5469" s="36"/>
      <c r="C5469" s="37"/>
      <c r="D5469" s="37"/>
      <c r="E5469" s="37"/>
      <c r="F5469" s="37"/>
      <c r="G5469" s="37"/>
      <c r="H5469" s="37"/>
      <c r="I5469" s="35"/>
      <c r="J5469" s="37"/>
    </row>
    <row r="5470" spans="1:10" ht="15.95" customHeight="1" x14ac:dyDescent="0.2">
      <c r="A5470" s="39"/>
      <c r="B5470" s="36"/>
      <c r="C5470" s="37"/>
      <c r="D5470" s="37"/>
      <c r="E5470" s="37"/>
      <c r="F5470" s="37"/>
      <c r="G5470" s="37"/>
      <c r="H5470" s="37"/>
      <c r="I5470" s="35"/>
      <c r="J5470" s="37"/>
    </row>
    <row r="5471" spans="1:10" ht="15.95" customHeight="1" x14ac:dyDescent="0.2">
      <c r="A5471" s="39"/>
      <c r="B5471" s="36"/>
      <c r="C5471" s="37"/>
      <c r="D5471" s="37"/>
      <c r="E5471" s="37"/>
      <c r="F5471" s="37"/>
      <c r="G5471" s="37"/>
      <c r="H5471" s="37"/>
      <c r="I5471" s="35"/>
      <c r="J5471" s="37"/>
    </row>
    <row r="5472" spans="1:10" ht="15.95" customHeight="1" x14ac:dyDescent="0.2">
      <c r="A5472" s="39"/>
      <c r="B5472" s="36"/>
      <c r="C5472" s="37"/>
      <c r="D5472" s="37"/>
      <c r="E5472" s="37"/>
      <c r="F5472" s="37"/>
      <c r="G5472" s="37"/>
      <c r="H5472" s="37"/>
      <c r="I5472" s="35"/>
      <c r="J5472" s="37"/>
    </row>
    <row r="5473" spans="1:10" ht="15.95" customHeight="1" x14ac:dyDescent="0.2">
      <c r="A5473" s="39"/>
      <c r="B5473" s="36"/>
      <c r="C5473" s="37"/>
      <c r="D5473" s="37"/>
      <c r="E5473" s="37"/>
      <c r="F5473" s="37"/>
      <c r="G5473" s="37"/>
      <c r="H5473" s="37"/>
      <c r="I5473" s="35"/>
      <c r="J5473" s="37"/>
    </row>
    <row r="5474" spans="1:10" ht="15.95" customHeight="1" x14ac:dyDescent="0.2">
      <c r="A5474" s="39"/>
      <c r="B5474" s="36"/>
      <c r="C5474" s="37"/>
      <c r="D5474" s="37"/>
      <c r="E5474" s="37"/>
      <c r="F5474" s="37"/>
      <c r="G5474" s="37"/>
      <c r="H5474" s="37"/>
      <c r="I5474" s="35"/>
      <c r="J5474" s="37"/>
    </row>
    <row r="5475" spans="1:10" ht="15.95" customHeight="1" x14ac:dyDescent="0.2">
      <c r="A5475" s="39"/>
      <c r="B5475" s="36"/>
      <c r="C5475" s="37"/>
      <c r="D5475" s="37"/>
      <c r="E5475" s="37"/>
      <c r="F5475" s="37"/>
      <c r="G5475" s="37"/>
      <c r="H5475" s="37"/>
      <c r="I5475" s="35"/>
      <c r="J5475" s="37"/>
    </row>
    <row r="5476" spans="1:10" ht="15.95" customHeight="1" x14ac:dyDescent="0.2">
      <c r="A5476" s="39"/>
      <c r="B5476" s="36"/>
      <c r="C5476" s="37"/>
      <c r="D5476" s="37"/>
      <c r="E5476" s="37"/>
      <c r="F5476" s="37"/>
      <c r="G5476" s="37"/>
      <c r="H5476" s="37"/>
      <c r="I5476" s="35"/>
      <c r="J5476" s="37"/>
    </row>
    <row r="5477" spans="1:10" ht="15.95" customHeight="1" x14ac:dyDescent="0.2">
      <c r="A5477" s="39"/>
      <c r="B5477" s="36"/>
      <c r="C5477" s="37"/>
      <c r="D5477" s="37"/>
      <c r="E5477" s="37"/>
      <c r="F5477" s="37"/>
      <c r="G5477" s="37"/>
      <c r="H5477" s="37"/>
      <c r="I5477" s="35"/>
      <c r="J5477" s="37"/>
    </row>
    <row r="5478" spans="1:10" ht="15.95" customHeight="1" x14ac:dyDescent="0.2">
      <c r="A5478" s="39"/>
      <c r="B5478" s="36"/>
      <c r="C5478" s="37"/>
      <c r="D5478" s="37"/>
      <c r="E5478" s="37"/>
      <c r="F5478" s="37"/>
      <c r="G5478" s="37"/>
      <c r="H5478" s="37"/>
      <c r="I5478" s="35"/>
      <c r="J5478" s="37"/>
    </row>
    <row r="5479" spans="1:10" ht="15.95" customHeight="1" x14ac:dyDescent="0.2">
      <c r="A5479" s="39"/>
      <c r="B5479" s="36"/>
      <c r="C5479" s="37"/>
      <c r="D5479" s="37"/>
      <c r="E5479" s="37"/>
      <c r="F5479" s="37"/>
      <c r="G5479" s="37"/>
      <c r="H5479" s="37"/>
      <c r="I5479" s="35"/>
      <c r="J5479" s="37"/>
    </row>
    <row r="5480" spans="1:10" ht="15.95" customHeight="1" x14ac:dyDescent="0.2">
      <c r="A5480" s="39"/>
      <c r="B5480" s="36"/>
      <c r="C5480" s="37"/>
      <c r="D5480" s="37"/>
      <c r="E5480" s="37"/>
      <c r="F5480" s="37"/>
      <c r="G5480" s="37"/>
      <c r="H5480" s="37"/>
      <c r="I5480" s="35"/>
      <c r="J5480" s="37"/>
    </row>
    <row r="5481" spans="1:10" ht="15.95" customHeight="1" x14ac:dyDescent="0.2">
      <c r="A5481" s="39"/>
      <c r="B5481" s="36"/>
      <c r="C5481" s="37"/>
      <c r="D5481" s="37"/>
      <c r="E5481" s="37"/>
      <c r="F5481" s="37"/>
      <c r="G5481" s="37"/>
      <c r="H5481" s="37"/>
      <c r="I5481" s="35"/>
      <c r="J5481" s="37"/>
    </row>
    <row r="5482" spans="1:10" ht="15.95" customHeight="1" x14ac:dyDescent="0.2">
      <c r="A5482" s="39"/>
      <c r="B5482" s="36"/>
      <c r="C5482" s="37"/>
      <c r="D5482" s="37"/>
      <c r="E5482" s="37"/>
      <c r="F5482" s="37"/>
      <c r="G5482" s="37"/>
      <c r="H5482" s="37"/>
      <c r="I5482" s="35"/>
      <c r="J5482" s="37"/>
    </row>
    <row r="5483" spans="1:10" ht="15.95" customHeight="1" x14ac:dyDescent="0.2">
      <c r="A5483" s="39"/>
      <c r="B5483" s="36"/>
      <c r="C5483" s="37"/>
      <c r="D5483" s="37"/>
      <c r="E5483" s="37"/>
      <c r="F5483" s="37"/>
      <c r="G5483" s="37"/>
      <c r="H5483" s="37"/>
      <c r="I5483" s="35"/>
      <c r="J5483" s="37"/>
    </row>
    <row r="5484" spans="1:10" ht="15.95" customHeight="1" x14ac:dyDescent="0.2">
      <c r="A5484" s="39"/>
      <c r="B5484" s="36"/>
      <c r="C5484" s="37"/>
      <c r="D5484" s="37"/>
      <c r="E5484" s="37"/>
      <c r="F5484" s="37"/>
      <c r="G5484" s="37"/>
      <c r="H5484" s="37"/>
      <c r="I5484" s="35"/>
      <c r="J5484" s="37"/>
    </row>
    <row r="5485" spans="1:10" ht="15.95" customHeight="1" x14ac:dyDescent="0.2">
      <c r="A5485" s="39"/>
      <c r="B5485" s="36"/>
      <c r="C5485" s="37"/>
      <c r="D5485" s="37"/>
      <c r="E5485" s="37"/>
      <c r="F5485" s="37"/>
      <c r="G5485" s="37"/>
      <c r="H5485" s="37"/>
      <c r="I5485" s="35"/>
      <c r="J5485" s="37"/>
    </row>
    <row r="5486" spans="1:10" ht="15.95" customHeight="1" x14ac:dyDescent="0.2">
      <c r="A5486" s="39"/>
      <c r="B5486" s="36"/>
      <c r="C5486" s="37"/>
      <c r="D5486" s="37"/>
      <c r="E5486" s="37"/>
      <c r="F5486" s="37"/>
      <c r="G5486" s="37"/>
      <c r="H5486" s="37"/>
      <c r="I5486" s="35"/>
      <c r="J5486" s="37"/>
    </row>
    <row r="5487" spans="1:10" ht="15.95" customHeight="1" x14ac:dyDescent="0.2">
      <c r="A5487" s="39"/>
      <c r="B5487" s="36"/>
      <c r="C5487" s="37"/>
      <c r="D5487" s="37"/>
      <c r="E5487" s="37"/>
      <c r="F5487" s="37"/>
      <c r="G5487" s="37"/>
      <c r="H5487" s="37"/>
      <c r="I5487" s="35"/>
      <c r="J5487" s="37"/>
    </row>
    <row r="5488" spans="1:10" ht="15.95" customHeight="1" x14ac:dyDescent="0.2">
      <c r="A5488" s="39"/>
      <c r="B5488" s="36"/>
      <c r="C5488" s="37"/>
      <c r="D5488" s="37"/>
      <c r="E5488" s="37"/>
      <c r="F5488" s="37"/>
      <c r="G5488" s="37"/>
      <c r="H5488" s="37"/>
      <c r="I5488" s="35"/>
      <c r="J5488" s="37"/>
    </row>
    <row r="5489" spans="1:10" ht="15.95" customHeight="1" x14ac:dyDescent="0.2">
      <c r="A5489" s="39"/>
      <c r="B5489" s="36"/>
      <c r="C5489" s="37"/>
      <c r="D5489" s="37"/>
      <c r="E5489" s="37"/>
      <c r="F5489" s="37"/>
      <c r="G5489" s="37"/>
      <c r="H5489" s="37"/>
      <c r="I5489" s="35"/>
      <c r="J5489" s="37"/>
    </row>
    <row r="5490" spans="1:10" ht="15.95" customHeight="1" x14ac:dyDescent="0.2">
      <c r="A5490" s="39"/>
      <c r="B5490" s="36"/>
      <c r="C5490" s="37"/>
      <c r="D5490" s="37"/>
      <c r="E5490" s="37"/>
      <c r="F5490" s="37"/>
      <c r="G5490" s="37"/>
      <c r="H5490" s="37"/>
      <c r="I5490" s="35"/>
      <c r="J5490" s="37"/>
    </row>
    <row r="5491" spans="1:10" ht="15.95" customHeight="1" x14ac:dyDescent="0.2">
      <c r="A5491" s="39"/>
      <c r="B5491" s="36"/>
      <c r="C5491" s="37"/>
      <c r="D5491" s="37"/>
      <c r="E5491" s="37"/>
      <c r="F5491" s="37"/>
      <c r="G5491" s="37"/>
      <c r="H5491" s="37"/>
      <c r="I5491" s="35"/>
      <c r="J5491" s="37"/>
    </row>
    <row r="5492" spans="1:10" ht="15.95" customHeight="1" x14ac:dyDescent="0.2">
      <c r="A5492" s="39"/>
      <c r="B5492" s="36"/>
      <c r="C5492" s="37"/>
      <c r="D5492" s="37"/>
      <c r="E5492" s="37"/>
      <c r="F5492" s="37"/>
      <c r="G5492" s="37"/>
      <c r="H5492" s="37"/>
      <c r="I5492" s="35"/>
      <c r="J5492" s="37"/>
    </row>
    <row r="5493" spans="1:10" ht="15.95" customHeight="1" x14ac:dyDescent="0.2">
      <c r="A5493" s="39"/>
      <c r="B5493" s="36"/>
      <c r="C5493" s="37"/>
      <c r="D5493" s="37"/>
      <c r="E5493" s="37"/>
      <c r="F5493" s="37"/>
      <c r="G5493" s="37"/>
      <c r="H5493" s="37"/>
      <c r="I5493" s="35"/>
      <c r="J5493" s="37"/>
    </row>
    <row r="5494" spans="1:10" ht="15.95" customHeight="1" x14ac:dyDescent="0.2">
      <c r="A5494" s="39"/>
      <c r="B5494" s="36"/>
      <c r="C5494" s="37"/>
      <c r="D5494" s="37"/>
      <c r="E5494" s="37"/>
      <c r="F5494" s="37"/>
      <c r="G5494" s="37"/>
      <c r="H5494" s="37"/>
      <c r="I5494" s="35"/>
      <c r="J5494" s="37"/>
    </row>
    <row r="5495" spans="1:10" ht="15.95" customHeight="1" x14ac:dyDescent="0.2">
      <c r="A5495" s="39"/>
      <c r="B5495" s="36"/>
      <c r="C5495" s="37"/>
      <c r="D5495" s="37"/>
      <c r="E5495" s="37"/>
      <c r="F5495" s="37"/>
      <c r="G5495" s="37"/>
      <c r="H5495" s="37"/>
      <c r="I5495" s="35"/>
      <c r="J5495" s="37"/>
    </row>
    <row r="5496" spans="1:10" ht="15.95" customHeight="1" x14ac:dyDescent="0.2">
      <c r="A5496" s="39"/>
      <c r="B5496" s="36"/>
      <c r="C5496" s="37"/>
      <c r="D5496" s="37"/>
      <c r="E5496" s="37"/>
      <c r="F5496" s="37"/>
      <c r="G5496" s="37"/>
      <c r="H5496" s="37"/>
      <c r="I5496" s="35"/>
      <c r="J5496" s="37"/>
    </row>
    <row r="5497" spans="1:10" ht="15.95" customHeight="1" x14ac:dyDescent="0.2">
      <c r="A5497" s="39"/>
      <c r="B5497" s="36"/>
      <c r="C5497" s="37"/>
      <c r="D5497" s="37"/>
      <c r="E5497" s="37"/>
      <c r="F5497" s="37"/>
      <c r="G5497" s="37"/>
      <c r="H5497" s="37"/>
      <c r="I5497" s="35"/>
      <c r="J5497" s="37"/>
    </row>
    <row r="5498" spans="1:10" ht="15.95" customHeight="1" x14ac:dyDescent="0.2">
      <c r="A5498" s="39"/>
      <c r="B5498" s="36"/>
      <c r="C5498" s="37"/>
      <c r="D5498" s="37"/>
      <c r="E5498" s="37"/>
      <c r="F5498" s="37"/>
      <c r="G5498" s="37"/>
      <c r="H5498" s="37"/>
      <c r="I5498" s="35"/>
      <c r="J5498" s="37"/>
    </row>
    <row r="5499" spans="1:10" ht="15.95" customHeight="1" x14ac:dyDescent="0.2">
      <c r="A5499" s="39"/>
      <c r="B5499" s="36"/>
      <c r="C5499" s="37"/>
      <c r="D5499" s="37"/>
      <c r="E5499" s="37"/>
      <c r="F5499" s="37"/>
      <c r="G5499" s="37"/>
      <c r="H5499" s="37"/>
      <c r="I5499" s="35"/>
      <c r="J5499" s="37"/>
    </row>
    <row r="5500" spans="1:10" ht="15.95" customHeight="1" x14ac:dyDescent="0.2">
      <c r="A5500" s="39"/>
      <c r="B5500" s="36"/>
      <c r="C5500" s="37"/>
      <c r="D5500" s="37"/>
      <c r="E5500" s="37"/>
      <c r="F5500" s="37"/>
      <c r="G5500" s="37"/>
      <c r="H5500" s="37"/>
      <c r="I5500" s="35"/>
      <c r="J5500" s="37"/>
    </row>
    <row r="5501" spans="1:10" ht="15.95" customHeight="1" x14ac:dyDescent="0.2">
      <c r="A5501" s="39"/>
      <c r="B5501" s="36"/>
      <c r="C5501" s="37"/>
      <c r="D5501" s="37"/>
      <c r="E5501" s="37"/>
      <c r="F5501" s="37"/>
      <c r="G5501" s="37"/>
      <c r="H5501" s="37"/>
      <c r="I5501" s="35"/>
      <c r="J5501" s="37"/>
    </row>
    <row r="5502" spans="1:10" ht="15.95" customHeight="1" x14ac:dyDescent="0.2">
      <c r="A5502" s="39"/>
      <c r="B5502" s="36"/>
      <c r="C5502" s="37"/>
      <c r="D5502" s="37"/>
      <c r="E5502" s="37"/>
      <c r="F5502" s="37"/>
      <c r="G5502" s="37"/>
      <c r="H5502" s="37"/>
      <c r="I5502" s="35"/>
      <c r="J5502" s="37"/>
    </row>
    <row r="5503" spans="1:10" ht="15.95" customHeight="1" x14ac:dyDescent="0.2">
      <c r="A5503" s="39"/>
      <c r="B5503" s="36"/>
      <c r="C5503" s="37"/>
      <c r="D5503" s="37"/>
      <c r="E5503" s="37"/>
      <c r="F5503" s="37"/>
      <c r="G5503" s="37"/>
      <c r="H5503" s="37"/>
      <c r="I5503" s="35"/>
      <c r="J5503" s="37"/>
    </row>
    <row r="5504" spans="1:10" ht="15.95" customHeight="1" x14ac:dyDescent="0.2">
      <c r="A5504" s="39"/>
      <c r="B5504" s="36"/>
      <c r="C5504" s="37"/>
      <c r="D5504" s="37"/>
      <c r="E5504" s="37"/>
      <c r="F5504" s="37"/>
      <c r="G5504" s="37"/>
      <c r="H5504" s="37"/>
      <c r="I5504" s="35"/>
      <c r="J5504" s="37"/>
    </row>
    <row r="5505" spans="1:10" ht="15.95" customHeight="1" x14ac:dyDescent="0.2">
      <c r="A5505" s="39"/>
      <c r="B5505" s="36"/>
      <c r="C5505" s="37"/>
      <c r="D5505" s="37"/>
      <c r="E5505" s="37"/>
      <c r="F5505" s="37"/>
      <c r="G5505" s="37"/>
      <c r="H5505" s="37"/>
      <c r="I5505" s="35"/>
      <c r="J5505" s="37"/>
    </row>
    <row r="5506" spans="1:10" ht="15.95" customHeight="1" x14ac:dyDescent="0.2">
      <c r="A5506" s="39"/>
      <c r="B5506" s="36"/>
      <c r="C5506" s="37"/>
      <c r="D5506" s="37"/>
      <c r="E5506" s="37"/>
      <c r="F5506" s="37"/>
      <c r="G5506" s="37"/>
      <c r="H5506" s="37"/>
      <c r="I5506" s="35"/>
      <c r="J5506" s="37"/>
    </row>
    <row r="5507" spans="1:10" ht="15.95" customHeight="1" x14ac:dyDescent="0.2">
      <c r="A5507" s="39"/>
      <c r="B5507" s="36"/>
      <c r="C5507" s="37"/>
      <c r="D5507" s="37"/>
      <c r="E5507" s="37"/>
      <c r="F5507" s="37"/>
      <c r="G5507" s="37"/>
      <c r="H5507" s="37"/>
      <c r="I5507" s="35"/>
      <c r="J5507" s="37"/>
    </row>
    <row r="5508" spans="1:10" ht="15.95" customHeight="1" x14ac:dyDescent="0.2">
      <c r="A5508" s="39"/>
      <c r="B5508" s="36"/>
      <c r="C5508" s="37"/>
      <c r="D5508" s="37"/>
      <c r="E5508" s="37"/>
      <c r="F5508" s="37"/>
      <c r="G5508" s="37"/>
      <c r="H5508" s="37"/>
      <c r="I5508" s="35"/>
      <c r="J5508" s="37"/>
    </row>
    <row r="5509" spans="1:10" ht="15.95" customHeight="1" x14ac:dyDescent="0.2">
      <c r="A5509" s="39"/>
      <c r="B5509" s="36"/>
      <c r="C5509" s="37"/>
      <c r="D5509" s="37"/>
      <c r="E5509" s="37"/>
      <c r="F5509" s="37"/>
      <c r="G5509" s="37"/>
      <c r="H5509" s="37"/>
      <c r="I5509" s="35"/>
      <c r="J5509" s="37"/>
    </row>
    <row r="5510" spans="1:10" ht="15.95" customHeight="1" x14ac:dyDescent="0.2">
      <c r="A5510" s="39"/>
      <c r="B5510" s="36"/>
      <c r="C5510" s="37"/>
      <c r="D5510" s="37"/>
      <c r="E5510" s="37"/>
      <c r="F5510" s="37"/>
      <c r="G5510" s="37"/>
      <c r="H5510" s="37"/>
      <c r="I5510" s="35"/>
      <c r="J5510" s="37"/>
    </row>
    <row r="5511" spans="1:10" ht="15.95" customHeight="1" x14ac:dyDescent="0.2">
      <c r="A5511" s="39"/>
      <c r="B5511" s="36"/>
      <c r="C5511" s="37"/>
      <c r="D5511" s="37"/>
      <c r="E5511" s="37"/>
      <c r="F5511" s="37"/>
      <c r="G5511" s="37"/>
      <c r="H5511" s="37"/>
      <c r="I5511" s="35"/>
      <c r="J5511" s="37"/>
    </row>
    <row r="5512" spans="1:10" ht="15.95" customHeight="1" x14ac:dyDescent="0.2">
      <c r="A5512" s="39"/>
      <c r="B5512" s="36"/>
      <c r="C5512" s="37"/>
      <c r="D5512" s="37"/>
      <c r="E5512" s="37"/>
      <c r="F5512" s="37"/>
      <c r="G5512" s="37"/>
      <c r="H5512" s="37"/>
      <c r="I5512" s="35"/>
      <c r="J5512" s="37"/>
    </row>
    <row r="5513" spans="1:10" ht="15.95" customHeight="1" x14ac:dyDescent="0.2">
      <c r="A5513" s="39"/>
      <c r="B5513" s="36"/>
      <c r="C5513" s="37"/>
      <c r="D5513" s="37"/>
      <c r="E5513" s="37"/>
      <c r="F5513" s="37"/>
      <c r="G5513" s="37"/>
      <c r="H5513" s="37"/>
      <c r="I5513" s="35"/>
      <c r="J5513" s="37"/>
    </row>
    <row r="5514" spans="1:10" ht="15.95" customHeight="1" x14ac:dyDescent="0.2">
      <c r="A5514" s="39"/>
      <c r="B5514" s="36"/>
      <c r="C5514" s="37"/>
      <c r="D5514" s="37"/>
      <c r="E5514" s="37"/>
      <c r="F5514" s="37"/>
      <c r="G5514" s="37"/>
      <c r="H5514" s="37"/>
      <c r="I5514" s="35"/>
      <c r="J5514" s="37"/>
    </row>
    <row r="5515" spans="1:10" ht="15.95" customHeight="1" x14ac:dyDescent="0.2">
      <c r="A5515" s="39"/>
      <c r="B5515" s="36"/>
      <c r="C5515" s="37"/>
      <c r="D5515" s="37"/>
      <c r="E5515" s="37"/>
      <c r="F5515" s="37"/>
      <c r="G5515" s="37"/>
      <c r="H5515" s="37"/>
      <c r="I5515" s="35"/>
      <c r="J5515" s="37"/>
    </row>
    <row r="5516" spans="1:10" ht="15.95" customHeight="1" x14ac:dyDescent="0.2">
      <c r="A5516" s="39"/>
      <c r="B5516" s="36"/>
      <c r="C5516" s="37"/>
      <c r="D5516" s="37"/>
      <c r="E5516" s="37"/>
      <c r="F5516" s="37"/>
      <c r="G5516" s="37"/>
      <c r="H5516" s="37"/>
      <c r="I5516" s="35"/>
      <c r="J5516" s="37"/>
    </row>
    <row r="5517" spans="1:10" ht="15.95" customHeight="1" x14ac:dyDescent="0.2">
      <c r="A5517" s="39"/>
      <c r="B5517" s="36"/>
      <c r="C5517" s="37"/>
      <c r="D5517" s="37"/>
      <c r="E5517" s="37"/>
      <c r="F5517" s="37"/>
      <c r="G5517" s="37"/>
      <c r="H5517" s="37"/>
      <c r="I5517" s="35"/>
      <c r="J5517" s="37"/>
    </row>
    <row r="5518" spans="1:10" ht="15.95" customHeight="1" x14ac:dyDescent="0.2">
      <c r="A5518" s="39"/>
      <c r="B5518" s="36"/>
      <c r="C5518" s="37"/>
      <c r="D5518" s="37"/>
      <c r="E5518" s="37"/>
      <c r="F5518" s="37"/>
      <c r="G5518" s="37"/>
      <c r="H5518" s="37"/>
      <c r="I5518" s="35"/>
      <c r="J5518" s="37"/>
    </row>
    <row r="5519" spans="1:10" ht="15.95" customHeight="1" x14ac:dyDescent="0.2">
      <c r="A5519" s="39"/>
      <c r="B5519" s="36"/>
      <c r="C5519" s="37"/>
      <c r="D5519" s="37"/>
      <c r="E5519" s="37"/>
      <c r="F5519" s="37"/>
      <c r="G5519" s="37"/>
      <c r="H5519" s="37"/>
      <c r="I5519" s="35"/>
      <c r="J5519" s="37"/>
    </row>
    <row r="5520" spans="1:10" ht="15.95" customHeight="1" x14ac:dyDescent="0.2">
      <c r="A5520" s="39"/>
      <c r="B5520" s="36"/>
      <c r="C5520" s="37"/>
      <c r="D5520" s="37"/>
      <c r="E5520" s="37"/>
      <c r="F5520" s="37"/>
      <c r="G5520" s="37"/>
      <c r="H5520" s="37"/>
      <c r="I5520" s="35"/>
      <c r="J5520" s="37"/>
    </row>
    <row r="5521" spans="1:10" ht="15.95" customHeight="1" x14ac:dyDescent="0.2">
      <c r="A5521" s="39"/>
      <c r="B5521" s="36"/>
      <c r="C5521" s="37"/>
      <c r="D5521" s="37"/>
      <c r="E5521" s="37"/>
      <c r="F5521" s="37"/>
      <c r="G5521" s="37"/>
      <c r="H5521" s="37"/>
      <c r="I5521" s="35"/>
      <c r="J5521" s="37"/>
    </row>
    <row r="5522" spans="1:10" ht="15.95" customHeight="1" x14ac:dyDescent="0.2">
      <c r="A5522" s="39"/>
      <c r="B5522" s="36"/>
      <c r="C5522" s="37"/>
      <c r="D5522" s="37"/>
      <c r="E5522" s="37"/>
      <c r="F5522" s="37"/>
      <c r="G5522" s="37"/>
      <c r="H5522" s="37"/>
      <c r="I5522" s="35"/>
      <c r="J5522" s="37"/>
    </row>
    <row r="5523" spans="1:10" ht="15.95" customHeight="1" x14ac:dyDescent="0.2">
      <c r="A5523" s="39"/>
      <c r="B5523" s="36"/>
      <c r="C5523" s="37"/>
      <c r="D5523" s="37"/>
      <c r="E5523" s="37"/>
      <c r="F5523" s="37"/>
      <c r="G5523" s="37"/>
      <c r="H5523" s="37"/>
      <c r="I5523" s="35"/>
      <c r="J5523" s="37"/>
    </row>
    <row r="5524" spans="1:10" ht="15.95" customHeight="1" x14ac:dyDescent="0.2">
      <c r="A5524" s="39"/>
      <c r="B5524" s="36"/>
      <c r="C5524" s="37"/>
      <c r="D5524" s="37"/>
      <c r="E5524" s="37"/>
      <c r="F5524" s="37"/>
      <c r="G5524" s="37"/>
      <c r="H5524" s="37"/>
      <c r="I5524" s="35"/>
      <c r="J5524" s="37"/>
    </row>
    <row r="5525" spans="1:10" ht="15.95" customHeight="1" x14ac:dyDescent="0.2">
      <c r="A5525" s="39"/>
      <c r="B5525" s="36"/>
      <c r="C5525" s="37"/>
      <c r="D5525" s="37"/>
      <c r="E5525" s="37"/>
      <c r="F5525" s="37"/>
      <c r="G5525" s="37"/>
      <c r="H5525" s="37"/>
      <c r="I5525" s="35"/>
      <c r="J5525" s="37"/>
    </row>
    <row r="5526" spans="1:10" ht="15.95" customHeight="1" x14ac:dyDescent="0.2">
      <c r="A5526" s="39"/>
      <c r="B5526" s="36"/>
      <c r="C5526" s="37"/>
      <c r="D5526" s="37"/>
      <c r="E5526" s="37"/>
      <c r="F5526" s="37"/>
      <c r="G5526" s="37"/>
      <c r="H5526" s="37"/>
      <c r="I5526" s="35"/>
      <c r="J5526" s="37"/>
    </row>
    <row r="5527" spans="1:10" ht="15.95" customHeight="1" x14ac:dyDescent="0.2">
      <c r="A5527" s="39"/>
      <c r="B5527" s="36"/>
      <c r="C5527" s="37"/>
      <c r="D5527" s="37"/>
      <c r="E5527" s="37"/>
      <c r="F5527" s="37"/>
      <c r="G5527" s="37"/>
      <c r="H5527" s="37"/>
      <c r="I5527" s="35"/>
      <c r="J5527" s="37"/>
    </row>
    <row r="5528" spans="1:10" ht="15.95" customHeight="1" x14ac:dyDescent="0.2">
      <c r="A5528" s="39"/>
      <c r="B5528" s="36"/>
      <c r="C5528" s="37"/>
      <c r="D5528" s="37"/>
      <c r="E5528" s="37"/>
      <c r="F5528" s="37"/>
      <c r="G5528" s="37"/>
      <c r="H5528" s="37"/>
      <c r="I5528" s="35"/>
      <c r="J5528" s="37"/>
    </row>
    <row r="5529" spans="1:10" ht="15.95" customHeight="1" x14ac:dyDescent="0.2">
      <c r="A5529" s="39"/>
      <c r="B5529" s="36"/>
      <c r="C5529" s="37"/>
      <c r="D5529" s="37"/>
      <c r="E5529" s="37"/>
      <c r="F5529" s="37"/>
      <c r="G5529" s="37"/>
      <c r="H5529" s="37"/>
      <c r="I5529" s="35"/>
      <c r="J5529" s="37"/>
    </row>
    <row r="5530" spans="1:10" ht="15.95" customHeight="1" x14ac:dyDescent="0.2">
      <c r="A5530" s="39"/>
      <c r="B5530" s="36"/>
      <c r="C5530" s="37"/>
      <c r="D5530" s="37"/>
      <c r="E5530" s="37"/>
      <c r="F5530" s="37"/>
      <c r="G5530" s="37"/>
      <c r="H5530" s="37"/>
      <c r="I5530" s="35"/>
      <c r="J5530" s="37"/>
    </row>
    <row r="5531" spans="1:10" ht="15.95" customHeight="1" x14ac:dyDescent="0.2">
      <c r="A5531" s="39"/>
      <c r="B5531" s="36"/>
      <c r="C5531" s="37"/>
      <c r="D5531" s="37"/>
      <c r="E5531" s="37"/>
      <c r="F5531" s="37"/>
      <c r="G5531" s="37"/>
      <c r="H5531" s="37"/>
      <c r="I5531" s="35"/>
      <c r="J5531" s="37"/>
    </row>
    <row r="5532" spans="1:10" ht="15.95" customHeight="1" x14ac:dyDescent="0.2">
      <c r="A5532" s="39"/>
      <c r="B5532" s="36"/>
      <c r="C5532" s="37"/>
      <c r="D5532" s="37"/>
      <c r="E5532" s="37"/>
      <c r="F5532" s="37"/>
      <c r="G5532" s="37"/>
      <c r="H5532" s="37"/>
      <c r="I5532" s="35"/>
      <c r="J5532" s="37"/>
    </row>
    <row r="5533" spans="1:10" ht="15.95" customHeight="1" x14ac:dyDescent="0.2">
      <c r="A5533" s="39"/>
      <c r="B5533" s="36"/>
      <c r="C5533" s="37"/>
      <c r="D5533" s="37"/>
      <c r="E5533" s="37"/>
      <c r="F5533" s="37"/>
      <c r="G5533" s="37"/>
      <c r="H5533" s="37"/>
      <c r="I5533" s="35"/>
      <c r="J5533" s="37"/>
    </row>
    <row r="5534" spans="1:10" ht="15.95" customHeight="1" x14ac:dyDescent="0.2">
      <c r="A5534" s="39"/>
      <c r="B5534" s="36"/>
      <c r="C5534" s="37"/>
      <c r="D5534" s="37"/>
      <c r="E5534" s="37"/>
      <c r="F5534" s="37"/>
      <c r="G5534" s="37"/>
      <c r="H5534" s="37"/>
      <c r="I5534" s="35"/>
      <c r="J5534" s="37"/>
    </row>
    <row r="5535" spans="1:10" ht="15.95" customHeight="1" x14ac:dyDescent="0.2">
      <c r="A5535" s="39"/>
      <c r="B5535" s="36"/>
      <c r="C5535" s="37"/>
      <c r="D5535" s="37"/>
      <c r="E5535" s="37"/>
      <c r="F5535" s="37"/>
      <c r="G5535" s="37"/>
      <c r="H5535" s="37"/>
      <c r="I5535" s="35"/>
      <c r="J5535" s="37"/>
    </row>
    <row r="5536" spans="1:10" ht="15.95" customHeight="1" x14ac:dyDescent="0.2">
      <c r="A5536" s="39"/>
      <c r="B5536" s="36"/>
      <c r="C5536" s="37"/>
      <c r="D5536" s="37"/>
      <c r="E5536" s="37"/>
      <c r="F5536" s="37"/>
      <c r="G5536" s="37"/>
      <c r="H5536" s="37"/>
      <c r="I5536" s="35"/>
      <c r="J5536" s="37"/>
    </row>
    <row r="5537" spans="1:10" ht="15.95" customHeight="1" x14ac:dyDescent="0.2">
      <c r="A5537" s="39"/>
      <c r="B5537" s="36"/>
      <c r="C5537" s="37"/>
      <c r="D5537" s="37"/>
      <c r="E5537" s="37"/>
      <c r="F5537" s="37"/>
      <c r="G5537" s="37"/>
      <c r="H5537" s="37"/>
      <c r="I5537" s="35"/>
      <c r="J5537" s="37"/>
    </row>
    <row r="5538" spans="1:10" ht="15.95" customHeight="1" x14ac:dyDescent="0.2">
      <c r="A5538" s="39"/>
      <c r="B5538" s="36"/>
      <c r="C5538" s="37"/>
      <c r="D5538" s="37"/>
      <c r="E5538" s="37"/>
      <c r="F5538" s="37"/>
      <c r="G5538" s="37"/>
      <c r="H5538" s="37"/>
      <c r="I5538" s="35"/>
      <c r="J5538" s="37"/>
    </row>
    <row r="5539" spans="1:10" ht="15.95" customHeight="1" x14ac:dyDescent="0.2">
      <c r="A5539" s="39"/>
      <c r="B5539" s="36"/>
      <c r="C5539" s="37"/>
      <c r="D5539" s="37"/>
      <c r="E5539" s="37"/>
      <c r="F5539" s="37"/>
      <c r="G5539" s="37"/>
      <c r="H5539" s="37"/>
      <c r="I5539" s="35"/>
      <c r="J5539" s="37"/>
    </row>
    <row r="5540" spans="1:10" ht="15.95" customHeight="1" x14ac:dyDescent="0.2">
      <c r="A5540" s="39"/>
      <c r="B5540" s="36"/>
      <c r="C5540" s="37"/>
      <c r="D5540" s="37"/>
      <c r="E5540" s="37"/>
      <c r="F5540" s="37"/>
      <c r="G5540" s="37"/>
      <c r="H5540" s="37"/>
      <c r="I5540" s="35"/>
      <c r="J5540" s="37"/>
    </row>
    <row r="5541" spans="1:10" ht="15.95" customHeight="1" x14ac:dyDescent="0.2">
      <c r="A5541" s="39"/>
      <c r="B5541" s="36"/>
      <c r="C5541" s="37"/>
      <c r="D5541" s="37"/>
      <c r="E5541" s="37"/>
      <c r="F5541" s="37"/>
      <c r="G5541" s="37"/>
      <c r="H5541" s="37"/>
      <c r="I5541" s="35"/>
      <c r="J5541" s="37"/>
    </row>
    <row r="5542" spans="1:10" ht="15.95" customHeight="1" x14ac:dyDescent="0.2">
      <c r="A5542" s="39"/>
      <c r="B5542" s="36"/>
      <c r="C5542" s="37"/>
      <c r="D5542" s="37"/>
      <c r="E5542" s="37"/>
      <c r="F5542" s="37"/>
      <c r="G5542" s="37"/>
      <c r="H5542" s="37"/>
      <c r="I5542" s="35"/>
      <c r="J5542" s="37"/>
    </row>
    <row r="5543" spans="1:10" ht="15.95" customHeight="1" x14ac:dyDescent="0.2">
      <c r="A5543" s="39"/>
      <c r="B5543" s="36"/>
      <c r="C5543" s="37"/>
      <c r="D5543" s="37"/>
      <c r="E5543" s="37"/>
      <c r="F5543" s="37"/>
      <c r="G5543" s="37"/>
      <c r="H5543" s="37"/>
      <c r="I5543" s="35"/>
      <c r="J5543" s="37"/>
    </row>
    <row r="5544" spans="1:10" ht="15.95" customHeight="1" x14ac:dyDescent="0.2">
      <c r="A5544" s="39"/>
      <c r="B5544" s="36"/>
      <c r="C5544" s="37"/>
      <c r="D5544" s="37"/>
      <c r="E5544" s="37"/>
      <c r="F5544" s="37"/>
      <c r="G5544" s="37"/>
      <c r="H5544" s="37"/>
      <c r="I5544" s="35"/>
      <c r="J5544" s="37"/>
    </row>
    <row r="5545" spans="1:10" ht="15.95" customHeight="1" x14ac:dyDescent="0.2">
      <c r="A5545" s="39"/>
      <c r="B5545" s="36"/>
      <c r="C5545" s="37"/>
      <c r="D5545" s="37"/>
      <c r="E5545" s="37"/>
      <c r="F5545" s="37"/>
      <c r="G5545" s="37"/>
      <c r="H5545" s="37"/>
      <c r="I5545" s="35"/>
      <c r="J5545" s="37"/>
    </row>
    <row r="5546" spans="1:10" ht="15.95" customHeight="1" x14ac:dyDescent="0.2">
      <c r="A5546" s="39"/>
      <c r="B5546" s="36"/>
      <c r="C5546" s="37"/>
      <c r="D5546" s="37"/>
      <c r="E5546" s="37"/>
      <c r="F5546" s="37"/>
      <c r="G5546" s="37"/>
      <c r="H5546" s="37"/>
      <c r="I5546" s="35"/>
      <c r="J5546" s="37"/>
    </row>
    <row r="5547" spans="1:10" ht="15.95" customHeight="1" x14ac:dyDescent="0.2">
      <c r="A5547" s="39"/>
      <c r="B5547" s="36"/>
      <c r="C5547" s="37"/>
      <c r="D5547" s="37"/>
      <c r="E5547" s="37"/>
      <c r="F5547" s="37"/>
      <c r="G5547" s="37"/>
      <c r="H5547" s="37"/>
      <c r="I5547" s="35"/>
      <c r="J5547" s="37"/>
    </row>
    <row r="5548" spans="1:10" ht="15.95" customHeight="1" x14ac:dyDescent="0.2">
      <c r="A5548" s="39"/>
      <c r="B5548" s="36"/>
      <c r="C5548" s="37"/>
      <c r="D5548" s="37"/>
      <c r="E5548" s="37"/>
      <c r="F5548" s="37"/>
      <c r="G5548" s="37"/>
      <c r="H5548" s="37"/>
      <c r="I5548" s="35"/>
      <c r="J5548" s="37"/>
    </row>
    <row r="5549" spans="1:10" ht="15.95" customHeight="1" x14ac:dyDescent="0.2">
      <c r="A5549" s="39"/>
      <c r="B5549" s="36"/>
      <c r="C5549" s="37"/>
      <c r="D5549" s="37"/>
      <c r="E5549" s="37"/>
      <c r="F5549" s="37"/>
      <c r="G5549" s="37"/>
      <c r="H5549" s="37"/>
      <c r="I5549" s="35"/>
      <c r="J5549" s="37"/>
    </row>
    <row r="5550" spans="1:10" ht="15.95" customHeight="1" x14ac:dyDescent="0.2">
      <c r="A5550" s="39"/>
      <c r="B5550" s="36"/>
      <c r="C5550" s="37"/>
      <c r="D5550" s="37"/>
      <c r="E5550" s="37"/>
      <c r="F5550" s="37"/>
      <c r="G5550" s="37"/>
      <c r="H5550" s="37"/>
      <c r="I5550" s="35"/>
      <c r="J5550" s="37"/>
    </row>
    <row r="5551" spans="1:10" ht="15.95" customHeight="1" x14ac:dyDescent="0.2">
      <c r="A5551" s="39"/>
      <c r="B5551" s="36"/>
      <c r="C5551" s="37"/>
      <c r="D5551" s="37"/>
      <c r="E5551" s="37"/>
      <c r="F5551" s="37"/>
      <c r="G5551" s="37"/>
      <c r="H5551" s="37"/>
      <c r="I5551" s="35"/>
      <c r="J5551" s="37"/>
    </row>
    <row r="5552" spans="1:10" ht="15.95" customHeight="1" x14ac:dyDescent="0.2">
      <c r="A5552" s="39"/>
      <c r="B5552" s="36"/>
      <c r="C5552" s="37"/>
      <c r="D5552" s="37"/>
      <c r="E5552" s="37"/>
      <c r="F5552" s="37"/>
      <c r="G5552" s="37"/>
      <c r="H5552" s="37"/>
      <c r="I5552" s="35"/>
      <c r="J5552" s="37"/>
    </row>
    <row r="5553" spans="1:10" ht="15.95" customHeight="1" x14ac:dyDescent="0.2">
      <c r="A5553" s="39"/>
      <c r="B5553" s="36"/>
      <c r="C5553" s="37"/>
      <c r="D5553" s="37"/>
      <c r="E5553" s="37"/>
      <c r="F5553" s="37"/>
      <c r="G5553" s="37"/>
      <c r="H5553" s="37"/>
      <c r="I5553" s="35"/>
      <c r="J5553" s="37"/>
    </row>
    <row r="5554" spans="1:10" ht="15.95" customHeight="1" x14ac:dyDescent="0.2">
      <c r="A5554" s="39"/>
      <c r="B5554" s="36"/>
      <c r="C5554" s="37"/>
      <c r="D5554" s="37"/>
      <c r="E5554" s="37"/>
      <c r="F5554" s="37"/>
      <c r="G5554" s="37"/>
      <c r="H5554" s="37"/>
      <c r="I5554" s="35"/>
      <c r="J5554" s="37"/>
    </row>
    <row r="5555" spans="1:10" ht="15.95" customHeight="1" x14ac:dyDescent="0.2">
      <c r="A5555" s="39"/>
      <c r="B5555" s="36"/>
      <c r="C5555" s="37"/>
      <c r="D5555" s="37"/>
      <c r="E5555" s="37"/>
      <c r="F5555" s="37"/>
      <c r="G5555" s="37"/>
      <c r="H5555" s="37"/>
      <c r="I5555" s="35"/>
      <c r="J5555" s="37"/>
    </row>
    <row r="5556" spans="1:10" ht="15.95" customHeight="1" x14ac:dyDescent="0.2">
      <c r="A5556" s="39"/>
      <c r="B5556" s="36"/>
      <c r="C5556" s="37"/>
      <c r="D5556" s="37"/>
      <c r="E5556" s="37"/>
      <c r="F5556" s="37"/>
      <c r="G5556" s="37"/>
      <c r="H5556" s="37"/>
      <c r="I5556" s="35"/>
      <c r="J5556" s="37"/>
    </row>
    <row r="5557" spans="1:10" ht="15.95" customHeight="1" x14ac:dyDescent="0.2">
      <c r="A5557" s="39"/>
      <c r="B5557" s="36"/>
      <c r="C5557" s="37"/>
      <c r="D5557" s="37"/>
      <c r="E5557" s="37"/>
      <c r="F5557" s="37"/>
      <c r="G5557" s="37"/>
      <c r="H5557" s="37"/>
      <c r="I5557" s="35"/>
      <c r="J5557" s="37"/>
    </row>
    <row r="5558" spans="1:10" ht="15.95" customHeight="1" x14ac:dyDescent="0.2">
      <c r="A5558" s="39"/>
      <c r="B5558" s="36"/>
      <c r="C5558" s="37"/>
      <c r="D5558" s="37"/>
      <c r="E5558" s="37"/>
      <c r="F5558" s="37"/>
      <c r="G5558" s="37"/>
      <c r="H5558" s="37"/>
      <c r="I5558" s="35"/>
      <c r="J5558" s="37"/>
    </row>
    <row r="5559" spans="1:10" ht="15.95" customHeight="1" x14ac:dyDescent="0.2">
      <c r="A5559" s="39"/>
      <c r="B5559" s="36"/>
      <c r="C5559" s="37"/>
      <c r="D5559" s="37"/>
      <c r="E5559" s="37"/>
      <c r="F5559" s="37"/>
      <c r="G5559" s="37"/>
      <c r="H5559" s="37"/>
      <c r="I5559" s="35"/>
      <c r="J5559" s="37"/>
    </row>
    <row r="5560" spans="1:10" ht="15.95" customHeight="1" x14ac:dyDescent="0.2">
      <c r="A5560" s="39"/>
      <c r="B5560" s="36"/>
      <c r="C5560" s="37"/>
      <c r="D5560" s="37"/>
      <c r="E5560" s="37"/>
      <c r="F5560" s="37"/>
      <c r="G5560" s="37"/>
      <c r="H5560" s="37"/>
      <c r="I5560" s="35"/>
      <c r="J5560" s="37"/>
    </row>
    <row r="5561" spans="1:10" ht="15.95" customHeight="1" x14ac:dyDescent="0.2">
      <c r="A5561" s="39"/>
      <c r="B5561" s="36"/>
      <c r="C5561" s="37"/>
      <c r="D5561" s="37"/>
      <c r="E5561" s="37"/>
      <c r="F5561" s="37"/>
      <c r="G5561" s="37"/>
      <c r="H5561" s="37"/>
      <c r="I5561" s="35"/>
      <c r="J5561" s="37"/>
    </row>
    <row r="5562" spans="1:10" ht="15.95" customHeight="1" x14ac:dyDescent="0.2">
      <c r="A5562" s="39"/>
      <c r="B5562" s="36"/>
      <c r="C5562" s="37"/>
      <c r="D5562" s="37"/>
      <c r="E5562" s="37"/>
      <c r="F5562" s="37"/>
      <c r="G5562" s="37"/>
      <c r="H5562" s="37"/>
      <c r="I5562" s="35"/>
      <c r="J5562" s="37"/>
    </row>
    <row r="5563" spans="1:10" ht="15.95" customHeight="1" x14ac:dyDescent="0.2">
      <c r="A5563" s="39"/>
      <c r="B5563" s="36"/>
      <c r="C5563" s="37"/>
      <c r="D5563" s="37"/>
      <c r="E5563" s="37"/>
      <c r="F5563" s="37"/>
      <c r="G5563" s="37"/>
      <c r="H5563" s="37"/>
      <c r="I5563" s="35"/>
      <c r="J5563" s="37"/>
    </row>
    <row r="5564" spans="1:10" ht="15.95" customHeight="1" x14ac:dyDescent="0.2">
      <c r="A5564" s="39"/>
      <c r="B5564" s="36"/>
      <c r="C5564" s="37"/>
      <c r="D5564" s="37"/>
      <c r="E5564" s="37"/>
      <c r="F5564" s="37"/>
      <c r="G5564" s="37"/>
      <c r="H5564" s="37"/>
      <c r="I5564" s="35"/>
      <c r="J5564" s="37"/>
    </row>
    <row r="5565" spans="1:10" ht="15.95" customHeight="1" x14ac:dyDescent="0.2">
      <c r="A5565" s="39"/>
      <c r="B5565" s="36"/>
      <c r="C5565" s="37"/>
      <c r="D5565" s="37"/>
      <c r="E5565" s="37"/>
      <c r="F5565" s="37"/>
      <c r="G5565" s="37"/>
      <c r="H5565" s="37"/>
      <c r="I5565" s="35"/>
      <c r="J5565" s="37"/>
    </row>
    <row r="5566" spans="1:10" ht="15.95" customHeight="1" x14ac:dyDescent="0.2">
      <c r="A5566" s="39"/>
      <c r="B5566" s="36"/>
      <c r="C5566" s="37"/>
      <c r="D5566" s="37"/>
      <c r="E5566" s="37"/>
      <c r="F5566" s="37"/>
      <c r="G5566" s="37"/>
      <c r="H5566" s="37"/>
      <c r="I5566" s="35"/>
      <c r="J5566" s="37"/>
    </row>
    <row r="5567" spans="1:10" ht="15.95" customHeight="1" x14ac:dyDescent="0.2">
      <c r="A5567" s="39"/>
      <c r="B5567" s="36"/>
      <c r="C5567" s="37"/>
      <c r="D5567" s="37"/>
      <c r="E5567" s="37"/>
      <c r="F5567" s="37"/>
      <c r="G5567" s="37"/>
      <c r="H5567" s="37"/>
      <c r="I5567" s="35"/>
      <c r="J5567" s="37"/>
    </row>
    <row r="5568" spans="1:10" ht="15.95" customHeight="1" x14ac:dyDescent="0.2">
      <c r="A5568" s="39"/>
      <c r="B5568" s="36"/>
      <c r="C5568" s="37"/>
      <c r="D5568" s="37"/>
      <c r="E5568" s="37"/>
      <c r="F5568" s="37"/>
      <c r="G5568" s="37"/>
      <c r="H5568" s="37"/>
      <c r="I5568" s="35"/>
      <c r="J5568" s="37"/>
    </row>
    <row r="5569" spans="1:10" ht="15.95" customHeight="1" x14ac:dyDescent="0.2">
      <c r="A5569" s="39"/>
      <c r="B5569" s="36"/>
      <c r="C5569" s="37"/>
      <c r="D5569" s="37"/>
      <c r="E5569" s="37"/>
      <c r="F5569" s="37"/>
      <c r="G5569" s="37"/>
      <c r="H5569" s="37"/>
      <c r="I5569" s="35"/>
      <c r="J5569" s="37"/>
    </row>
    <row r="5570" spans="1:10" ht="15.95" customHeight="1" x14ac:dyDescent="0.2">
      <c r="A5570" s="39"/>
      <c r="B5570" s="36"/>
      <c r="C5570" s="37"/>
      <c r="D5570" s="37"/>
      <c r="E5570" s="37"/>
      <c r="F5570" s="37"/>
      <c r="G5570" s="37"/>
      <c r="H5570" s="37"/>
      <c r="I5570" s="35"/>
      <c r="J5570" s="37"/>
    </row>
    <row r="5571" spans="1:10" ht="15.95" customHeight="1" x14ac:dyDescent="0.2">
      <c r="A5571" s="39"/>
      <c r="B5571" s="36"/>
      <c r="C5571" s="37"/>
      <c r="D5571" s="37"/>
      <c r="E5571" s="37"/>
      <c r="F5571" s="37"/>
      <c r="G5571" s="37"/>
      <c r="H5571" s="37"/>
      <c r="I5571" s="35"/>
      <c r="J5571" s="37"/>
    </row>
    <row r="5572" spans="1:10" ht="15.95" customHeight="1" x14ac:dyDescent="0.2">
      <c r="A5572" s="39"/>
      <c r="B5572" s="36"/>
      <c r="C5572" s="37"/>
      <c r="D5572" s="37"/>
      <c r="E5572" s="37"/>
      <c r="F5572" s="37"/>
      <c r="G5572" s="37"/>
      <c r="H5572" s="37"/>
      <c r="I5572" s="35"/>
      <c r="J5572" s="37"/>
    </row>
    <row r="5573" spans="1:10" ht="15.95" customHeight="1" x14ac:dyDescent="0.2">
      <c r="A5573" s="39"/>
      <c r="B5573" s="36"/>
      <c r="C5573" s="37"/>
      <c r="D5573" s="37"/>
      <c r="E5573" s="37"/>
      <c r="F5573" s="37"/>
      <c r="G5573" s="37"/>
      <c r="H5573" s="37"/>
      <c r="I5573" s="35"/>
      <c r="J5573" s="37"/>
    </row>
    <row r="5574" spans="1:10" ht="15.95" customHeight="1" x14ac:dyDescent="0.2">
      <c r="A5574" s="39"/>
      <c r="B5574" s="36"/>
      <c r="C5574" s="37"/>
      <c r="D5574" s="37"/>
      <c r="E5574" s="37"/>
      <c r="F5574" s="37"/>
      <c r="G5574" s="37"/>
      <c r="H5574" s="37"/>
      <c r="I5574" s="35"/>
      <c r="J5574" s="37"/>
    </row>
    <row r="5575" spans="1:10" ht="15.95" customHeight="1" x14ac:dyDescent="0.2">
      <c r="A5575" s="39"/>
      <c r="B5575" s="36"/>
      <c r="C5575" s="37"/>
      <c r="D5575" s="37"/>
      <c r="E5575" s="37"/>
      <c r="F5575" s="37"/>
      <c r="G5575" s="37"/>
      <c r="H5575" s="37"/>
      <c r="I5575" s="35"/>
      <c r="J5575" s="37"/>
    </row>
    <row r="5576" spans="1:10" ht="15.95" customHeight="1" x14ac:dyDescent="0.2">
      <c r="A5576" s="39"/>
      <c r="B5576" s="36"/>
      <c r="C5576" s="37"/>
      <c r="D5576" s="37"/>
      <c r="E5576" s="37"/>
      <c r="F5576" s="37"/>
      <c r="G5576" s="37"/>
      <c r="H5576" s="37"/>
      <c r="I5576" s="35"/>
      <c r="J5576" s="37"/>
    </row>
    <row r="5577" spans="1:10" ht="15.95" customHeight="1" x14ac:dyDescent="0.2">
      <c r="A5577" s="39"/>
      <c r="B5577" s="36"/>
      <c r="C5577" s="37"/>
      <c r="D5577" s="37"/>
      <c r="E5577" s="37"/>
      <c r="F5577" s="37"/>
      <c r="G5577" s="37"/>
      <c r="H5577" s="37"/>
      <c r="I5577" s="35"/>
      <c r="J5577" s="37"/>
    </row>
    <row r="5578" spans="1:10" ht="15.95" customHeight="1" x14ac:dyDescent="0.2">
      <c r="A5578" s="39"/>
      <c r="B5578" s="36"/>
      <c r="C5578" s="37"/>
      <c r="D5578" s="37"/>
      <c r="E5578" s="37"/>
      <c r="F5578" s="37"/>
      <c r="G5578" s="37"/>
      <c r="H5578" s="37"/>
      <c r="I5578" s="35"/>
      <c r="J5578" s="37"/>
    </row>
    <row r="5579" spans="1:10" ht="15.95" customHeight="1" x14ac:dyDescent="0.2">
      <c r="A5579" s="39"/>
      <c r="B5579" s="36"/>
      <c r="C5579" s="37"/>
      <c r="D5579" s="37"/>
      <c r="E5579" s="37"/>
      <c r="F5579" s="37"/>
      <c r="G5579" s="37"/>
      <c r="H5579" s="37"/>
      <c r="I5579" s="35"/>
      <c r="J5579" s="37"/>
    </row>
    <row r="5580" spans="1:10" ht="15.95" customHeight="1" x14ac:dyDescent="0.2">
      <c r="A5580" s="39"/>
      <c r="B5580" s="36"/>
      <c r="C5580" s="37"/>
      <c r="D5580" s="37"/>
      <c r="E5580" s="37"/>
      <c r="F5580" s="37"/>
      <c r="G5580" s="37"/>
      <c r="H5580" s="37"/>
      <c r="I5580" s="35"/>
      <c r="J5580" s="37"/>
    </row>
    <row r="5581" spans="1:10" ht="15.95" customHeight="1" x14ac:dyDescent="0.2">
      <c r="A5581" s="39"/>
      <c r="B5581" s="36"/>
      <c r="C5581" s="37"/>
      <c r="D5581" s="37"/>
      <c r="E5581" s="37"/>
      <c r="F5581" s="37"/>
      <c r="G5581" s="37"/>
      <c r="H5581" s="37"/>
      <c r="I5581" s="35"/>
      <c r="J5581" s="37"/>
    </row>
    <row r="5582" spans="1:10" ht="15.95" customHeight="1" x14ac:dyDescent="0.2">
      <c r="A5582" s="39"/>
      <c r="B5582" s="36"/>
      <c r="C5582" s="37"/>
      <c r="D5582" s="37"/>
      <c r="E5582" s="37"/>
      <c r="F5582" s="37"/>
      <c r="G5582" s="37"/>
      <c r="H5582" s="37"/>
      <c r="I5582" s="35"/>
      <c r="J5582" s="37"/>
    </row>
    <row r="5583" spans="1:10" ht="15.95" customHeight="1" x14ac:dyDescent="0.2">
      <c r="A5583" s="39"/>
      <c r="B5583" s="36"/>
      <c r="C5583" s="37"/>
      <c r="D5583" s="37"/>
      <c r="E5583" s="37"/>
      <c r="F5583" s="37"/>
      <c r="G5583" s="37"/>
      <c r="H5583" s="37"/>
      <c r="I5583" s="35"/>
      <c r="J5583" s="37"/>
    </row>
    <row r="5584" spans="1:10" ht="15.95" customHeight="1" x14ac:dyDescent="0.2">
      <c r="A5584" s="39"/>
      <c r="B5584" s="36"/>
      <c r="C5584" s="37"/>
      <c r="D5584" s="37"/>
      <c r="E5584" s="37"/>
      <c r="F5584" s="37"/>
      <c r="G5584" s="37"/>
      <c r="H5584" s="37"/>
      <c r="I5584" s="35"/>
      <c r="J5584" s="37"/>
    </row>
    <row r="5585" spans="1:10" ht="15.95" customHeight="1" x14ac:dyDescent="0.2">
      <c r="A5585" s="39"/>
      <c r="B5585" s="36"/>
      <c r="C5585" s="37"/>
      <c r="D5585" s="37"/>
      <c r="E5585" s="37"/>
      <c r="F5585" s="37"/>
      <c r="G5585" s="37"/>
      <c r="H5585" s="37"/>
      <c r="I5585" s="35"/>
      <c r="J5585" s="37"/>
    </row>
    <row r="5586" spans="1:10" ht="15.95" customHeight="1" x14ac:dyDescent="0.2">
      <c r="A5586" s="39"/>
      <c r="B5586" s="36"/>
      <c r="C5586" s="37"/>
      <c r="D5586" s="37"/>
      <c r="E5586" s="37"/>
      <c r="F5586" s="37"/>
      <c r="G5586" s="37"/>
      <c r="H5586" s="37"/>
      <c r="I5586" s="35"/>
      <c r="J5586" s="37"/>
    </row>
    <row r="5587" spans="1:10" ht="15.95" customHeight="1" x14ac:dyDescent="0.2">
      <c r="A5587" s="39"/>
      <c r="B5587" s="36"/>
      <c r="C5587" s="37"/>
      <c r="D5587" s="37"/>
      <c r="E5587" s="37"/>
      <c r="F5587" s="37"/>
      <c r="G5587" s="37"/>
      <c r="H5587" s="37"/>
      <c r="I5587" s="35"/>
      <c r="J5587" s="37"/>
    </row>
    <row r="5588" spans="1:10" ht="15.95" customHeight="1" x14ac:dyDescent="0.2">
      <c r="A5588" s="39"/>
      <c r="B5588" s="36"/>
      <c r="C5588" s="37"/>
      <c r="D5588" s="37"/>
      <c r="E5588" s="37"/>
      <c r="F5588" s="37"/>
      <c r="G5588" s="37"/>
      <c r="H5588" s="37"/>
      <c r="I5588" s="35"/>
      <c r="J5588" s="37"/>
    </row>
    <row r="5589" spans="1:10" ht="15.95" customHeight="1" x14ac:dyDescent="0.2">
      <c r="A5589" s="39"/>
      <c r="B5589" s="36"/>
      <c r="C5589" s="37"/>
      <c r="D5589" s="37"/>
      <c r="E5589" s="37"/>
      <c r="F5589" s="37"/>
      <c r="G5589" s="37"/>
      <c r="H5589" s="37"/>
      <c r="I5589" s="35"/>
      <c r="J5589" s="37"/>
    </row>
    <row r="5590" spans="1:10" ht="15.95" customHeight="1" x14ac:dyDescent="0.2">
      <c r="A5590" s="39"/>
      <c r="B5590" s="36"/>
      <c r="C5590" s="37"/>
      <c r="D5590" s="37"/>
      <c r="E5590" s="37"/>
      <c r="F5590" s="37"/>
      <c r="G5590" s="37"/>
      <c r="H5590" s="37"/>
      <c r="I5590" s="35"/>
      <c r="J5590" s="37"/>
    </row>
    <row r="5591" spans="1:10" ht="15.95" customHeight="1" x14ac:dyDescent="0.2">
      <c r="A5591" s="39"/>
      <c r="B5591" s="36"/>
      <c r="C5591" s="37"/>
      <c r="D5591" s="37"/>
      <c r="E5591" s="37"/>
      <c r="F5591" s="37"/>
      <c r="G5591" s="37"/>
      <c r="H5591" s="37"/>
      <c r="I5591" s="35"/>
      <c r="J5591" s="37"/>
    </row>
    <row r="5592" spans="1:10" ht="15.95" customHeight="1" x14ac:dyDescent="0.2">
      <c r="A5592" s="39"/>
      <c r="B5592" s="36"/>
      <c r="C5592" s="37"/>
      <c r="D5592" s="37"/>
      <c r="E5592" s="37"/>
      <c r="F5592" s="37"/>
      <c r="G5592" s="37"/>
      <c r="H5592" s="37"/>
      <c r="I5592" s="35"/>
      <c r="J5592" s="37"/>
    </row>
    <row r="5593" spans="1:10" ht="15.95" customHeight="1" x14ac:dyDescent="0.2">
      <c r="A5593" s="39"/>
      <c r="B5593" s="36"/>
      <c r="C5593" s="37"/>
      <c r="D5593" s="37"/>
      <c r="E5593" s="37"/>
      <c r="F5593" s="37"/>
      <c r="G5593" s="37"/>
      <c r="H5593" s="37"/>
      <c r="I5593" s="35"/>
      <c r="J5593" s="37"/>
    </row>
    <row r="5594" spans="1:10" ht="15.95" customHeight="1" x14ac:dyDescent="0.2">
      <c r="A5594" s="39"/>
      <c r="B5594" s="36"/>
      <c r="C5594" s="37"/>
      <c r="D5594" s="37"/>
      <c r="E5594" s="37"/>
      <c r="F5594" s="37"/>
      <c r="G5594" s="37"/>
      <c r="H5594" s="37"/>
      <c r="I5594" s="35"/>
      <c r="J5594" s="37"/>
    </row>
    <row r="5595" spans="1:10" ht="15.95" customHeight="1" x14ac:dyDescent="0.2">
      <c r="A5595" s="39"/>
      <c r="B5595" s="36"/>
      <c r="C5595" s="37"/>
      <c r="D5595" s="37"/>
      <c r="E5595" s="37"/>
      <c r="F5595" s="37"/>
      <c r="G5595" s="37"/>
      <c r="H5595" s="37"/>
      <c r="I5595" s="35"/>
      <c r="J5595" s="37"/>
    </row>
    <row r="5596" spans="1:10" ht="15.95" customHeight="1" x14ac:dyDescent="0.2">
      <c r="A5596" s="39"/>
      <c r="B5596" s="36"/>
      <c r="C5596" s="37"/>
      <c r="D5596" s="37"/>
      <c r="E5596" s="37"/>
      <c r="F5596" s="37"/>
      <c r="G5596" s="37"/>
      <c r="H5596" s="37"/>
      <c r="I5596" s="35"/>
      <c r="J5596" s="37"/>
    </row>
    <row r="5597" spans="1:10" ht="15.95" customHeight="1" x14ac:dyDescent="0.2">
      <c r="A5597" s="39"/>
      <c r="B5597" s="36"/>
      <c r="C5597" s="37"/>
      <c r="D5597" s="37"/>
      <c r="E5597" s="37"/>
      <c r="F5597" s="37"/>
      <c r="G5597" s="37"/>
      <c r="H5597" s="37"/>
      <c r="I5597" s="35"/>
      <c r="J5597" s="37"/>
    </row>
    <row r="5598" spans="1:10" ht="15.95" customHeight="1" x14ac:dyDescent="0.2">
      <c r="A5598" s="39"/>
      <c r="B5598" s="36"/>
      <c r="C5598" s="37"/>
      <c r="D5598" s="37"/>
      <c r="E5598" s="37"/>
      <c r="F5598" s="37"/>
      <c r="G5598" s="37"/>
      <c r="H5598" s="37"/>
      <c r="I5598" s="35"/>
      <c r="J5598" s="37"/>
    </row>
    <row r="5599" spans="1:10" ht="15.95" customHeight="1" x14ac:dyDescent="0.2">
      <c r="A5599" s="39"/>
      <c r="B5599" s="36"/>
      <c r="C5599" s="37"/>
      <c r="D5599" s="37"/>
      <c r="E5599" s="37"/>
      <c r="F5599" s="37"/>
      <c r="G5599" s="37"/>
      <c r="H5599" s="37"/>
      <c r="I5599" s="35"/>
      <c r="J5599" s="37"/>
    </row>
    <row r="5600" spans="1:10" ht="15.95" customHeight="1" x14ac:dyDescent="0.2">
      <c r="A5600" s="39"/>
      <c r="B5600" s="36"/>
      <c r="C5600" s="37"/>
      <c r="D5600" s="37"/>
      <c r="E5600" s="37"/>
      <c r="F5600" s="37"/>
      <c r="G5600" s="37"/>
      <c r="H5600" s="37"/>
      <c r="I5600" s="35"/>
      <c r="J5600" s="37"/>
    </row>
    <row r="5601" spans="1:10" ht="15.95" customHeight="1" x14ac:dyDescent="0.2">
      <c r="A5601" s="39"/>
      <c r="B5601" s="36"/>
      <c r="C5601" s="37"/>
      <c r="D5601" s="37"/>
      <c r="E5601" s="37"/>
      <c r="F5601" s="37"/>
      <c r="G5601" s="37"/>
      <c r="H5601" s="37"/>
      <c r="I5601" s="35"/>
      <c r="J5601" s="37"/>
    </row>
    <row r="5602" spans="1:10" ht="15.95" customHeight="1" x14ac:dyDescent="0.2">
      <c r="A5602" s="39"/>
      <c r="B5602" s="36"/>
      <c r="C5602" s="37"/>
      <c r="D5602" s="37"/>
      <c r="E5602" s="37"/>
      <c r="F5602" s="37"/>
      <c r="G5602" s="37"/>
      <c r="H5602" s="37"/>
      <c r="I5602" s="35"/>
      <c r="J5602" s="37"/>
    </row>
    <row r="5603" spans="1:10" ht="15.95" customHeight="1" x14ac:dyDescent="0.2">
      <c r="A5603" s="39"/>
      <c r="B5603" s="36"/>
      <c r="C5603" s="37"/>
      <c r="D5603" s="37"/>
      <c r="E5603" s="37"/>
      <c r="F5603" s="37"/>
      <c r="G5603" s="37"/>
      <c r="H5603" s="37"/>
      <c r="I5603" s="35"/>
      <c r="J5603" s="37"/>
    </row>
    <row r="5604" spans="1:10" ht="15.95" customHeight="1" x14ac:dyDescent="0.2">
      <c r="A5604" s="39"/>
      <c r="B5604" s="36"/>
      <c r="C5604" s="37"/>
      <c r="D5604" s="37"/>
      <c r="E5604" s="37"/>
      <c r="F5604" s="37"/>
      <c r="G5604" s="37"/>
      <c r="H5604" s="37"/>
      <c r="I5604" s="35"/>
      <c r="J5604" s="37"/>
    </row>
    <row r="5605" spans="1:10" ht="15.95" customHeight="1" x14ac:dyDescent="0.2">
      <c r="A5605" s="39"/>
      <c r="B5605" s="36"/>
      <c r="C5605" s="37"/>
      <c r="D5605" s="37"/>
      <c r="E5605" s="37"/>
      <c r="F5605" s="37"/>
      <c r="G5605" s="37"/>
      <c r="H5605" s="37"/>
      <c r="I5605" s="35"/>
      <c r="J5605" s="37"/>
    </row>
    <row r="5606" spans="1:10" ht="15.95" customHeight="1" x14ac:dyDescent="0.2">
      <c r="A5606" s="39"/>
      <c r="B5606" s="36"/>
      <c r="C5606" s="37"/>
      <c r="D5606" s="37"/>
      <c r="E5606" s="37"/>
      <c r="F5606" s="37"/>
      <c r="G5606" s="37"/>
      <c r="H5606" s="37"/>
      <c r="I5606" s="35"/>
      <c r="J5606" s="37"/>
    </row>
    <row r="5607" spans="1:10" ht="15.95" customHeight="1" x14ac:dyDescent="0.2">
      <c r="A5607" s="39"/>
      <c r="B5607" s="36"/>
      <c r="C5607" s="37"/>
      <c r="D5607" s="37"/>
      <c r="E5607" s="37"/>
      <c r="F5607" s="37"/>
      <c r="G5607" s="37"/>
      <c r="H5607" s="37"/>
      <c r="I5607" s="35"/>
      <c r="J5607" s="37"/>
    </row>
    <row r="5608" spans="1:10" ht="15.95" customHeight="1" x14ac:dyDescent="0.2">
      <c r="A5608" s="39"/>
      <c r="B5608" s="36"/>
      <c r="C5608" s="37"/>
      <c r="D5608" s="37"/>
      <c r="E5608" s="37"/>
      <c r="F5608" s="37"/>
      <c r="G5608" s="37"/>
      <c r="H5608" s="37"/>
      <c r="I5608" s="35"/>
      <c r="J5608" s="37"/>
    </row>
    <row r="5609" spans="1:10" ht="15.95" customHeight="1" x14ac:dyDescent="0.2">
      <c r="A5609" s="39"/>
      <c r="B5609" s="36"/>
      <c r="C5609" s="37"/>
      <c r="D5609" s="37"/>
      <c r="E5609" s="37"/>
      <c r="F5609" s="37"/>
      <c r="G5609" s="37"/>
      <c r="H5609" s="37"/>
      <c r="I5609" s="35"/>
      <c r="J5609" s="37"/>
    </row>
    <row r="5610" spans="1:10" ht="15.95" customHeight="1" x14ac:dyDescent="0.2">
      <c r="A5610" s="39"/>
      <c r="B5610" s="36"/>
      <c r="C5610" s="37"/>
      <c r="D5610" s="37"/>
      <c r="E5610" s="37"/>
      <c r="F5610" s="37"/>
      <c r="G5610" s="37"/>
      <c r="H5610" s="37"/>
      <c r="I5610" s="35"/>
      <c r="J5610" s="37"/>
    </row>
    <row r="5611" spans="1:10" ht="15.95" customHeight="1" x14ac:dyDescent="0.2">
      <c r="A5611" s="39"/>
      <c r="B5611" s="36"/>
      <c r="C5611" s="37"/>
      <c r="D5611" s="37"/>
      <c r="E5611" s="37"/>
      <c r="F5611" s="37"/>
      <c r="G5611" s="37"/>
      <c r="H5611" s="37"/>
      <c r="I5611" s="35"/>
      <c r="J5611" s="37"/>
    </row>
    <row r="5612" spans="1:10" ht="15.95" customHeight="1" x14ac:dyDescent="0.2">
      <c r="A5612" s="39"/>
      <c r="B5612" s="36"/>
      <c r="C5612" s="37"/>
      <c r="D5612" s="37"/>
      <c r="E5612" s="37"/>
      <c r="F5612" s="37"/>
      <c r="G5612" s="37"/>
      <c r="H5612" s="37"/>
      <c r="I5612" s="35"/>
      <c r="J5612" s="37"/>
    </row>
    <row r="5613" spans="1:10" ht="15.95" customHeight="1" x14ac:dyDescent="0.2">
      <c r="A5613" s="39"/>
      <c r="B5613" s="36"/>
      <c r="C5613" s="37"/>
      <c r="D5613" s="37"/>
      <c r="E5613" s="37"/>
      <c r="F5613" s="37"/>
      <c r="G5613" s="37"/>
      <c r="H5613" s="37"/>
      <c r="I5613" s="35"/>
      <c r="J5613" s="37"/>
    </row>
    <row r="5614" spans="1:10" ht="15.95" customHeight="1" x14ac:dyDescent="0.2">
      <c r="A5614" s="39"/>
      <c r="B5614" s="36"/>
      <c r="C5614" s="37"/>
      <c r="D5614" s="37"/>
      <c r="E5614" s="37"/>
      <c r="F5614" s="37"/>
      <c r="G5614" s="37"/>
      <c r="H5614" s="37"/>
      <c r="I5614" s="35"/>
      <c r="J5614" s="37"/>
    </row>
    <row r="5615" spans="1:10" ht="15.95" customHeight="1" x14ac:dyDescent="0.2">
      <c r="A5615" s="39"/>
      <c r="B5615" s="36"/>
      <c r="C5615" s="37"/>
      <c r="D5615" s="37"/>
      <c r="E5615" s="37"/>
      <c r="F5615" s="37"/>
      <c r="G5615" s="37"/>
      <c r="H5615" s="37"/>
      <c r="I5615" s="35"/>
      <c r="J5615" s="37"/>
    </row>
    <row r="5616" spans="1:10" ht="15.95" customHeight="1" x14ac:dyDescent="0.2">
      <c r="A5616" s="39"/>
      <c r="B5616" s="36"/>
      <c r="C5616" s="37"/>
      <c r="D5616" s="37"/>
      <c r="E5616" s="37"/>
      <c r="F5616" s="37"/>
      <c r="G5616" s="37"/>
      <c r="H5616" s="37"/>
      <c r="I5616" s="35"/>
      <c r="J5616" s="37"/>
    </row>
    <row r="5617" spans="1:10" ht="15.95" customHeight="1" x14ac:dyDescent="0.2">
      <c r="A5617" s="39"/>
      <c r="B5617" s="36"/>
      <c r="C5617" s="37"/>
      <c r="D5617" s="37"/>
      <c r="E5617" s="37"/>
      <c r="F5617" s="37"/>
      <c r="G5617" s="37"/>
      <c r="H5617" s="37"/>
      <c r="I5617" s="35"/>
      <c r="J5617" s="37"/>
    </row>
    <row r="5618" spans="1:10" ht="15.95" customHeight="1" x14ac:dyDescent="0.2">
      <c r="A5618" s="39"/>
      <c r="B5618" s="36"/>
      <c r="C5618" s="37"/>
      <c r="D5618" s="37"/>
      <c r="E5618" s="37"/>
      <c r="F5618" s="37"/>
      <c r="G5618" s="37"/>
      <c r="H5618" s="37"/>
      <c r="I5618" s="35"/>
      <c r="J5618" s="37"/>
    </row>
    <row r="5619" spans="1:10" ht="15.95" customHeight="1" x14ac:dyDescent="0.2">
      <c r="A5619" s="39"/>
      <c r="B5619" s="36"/>
      <c r="C5619" s="37"/>
      <c r="D5619" s="37"/>
      <c r="E5619" s="37"/>
      <c r="F5619" s="37"/>
      <c r="G5619" s="37"/>
      <c r="H5619" s="37"/>
      <c r="I5619" s="35"/>
      <c r="J5619" s="37"/>
    </row>
    <row r="5620" spans="1:10" ht="15.95" customHeight="1" x14ac:dyDescent="0.2">
      <c r="A5620" s="39"/>
      <c r="B5620" s="36"/>
      <c r="C5620" s="37"/>
      <c r="D5620" s="37"/>
      <c r="E5620" s="37"/>
      <c r="F5620" s="37"/>
      <c r="G5620" s="37"/>
      <c r="H5620" s="37"/>
      <c r="I5620" s="35"/>
      <c r="J5620" s="37"/>
    </row>
    <row r="5621" spans="1:10" ht="15.95" customHeight="1" x14ac:dyDescent="0.2">
      <c r="A5621" s="39"/>
      <c r="B5621" s="36"/>
      <c r="C5621" s="37"/>
      <c r="D5621" s="37"/>
      <c r="E5621" s="37"/>
      <c r="F5621" s="37"/>
      <c r="G5621" s="37"/>
      <c r="H5621" s="37"/>
      <c r="I5621" s="35"/>
      <c r="J5621" s="37"/>
    </row>
    <row r="5622" spans="1:10" ht="15.95" customHeight="1" x14ac:dyDescent="0.2">
      <c r="A5622" s="39"/>
      <c r="B5622" s="36"/>
      <c r="C5622" s="37"/>
      <c r="D5622" s="37"/>
      <c r="E5622" s="37"/>
      <c r="F5622" s="37"/>
      <c r="G5622" s="37"/>
      <c r="H5622" s="37"/>
      <c r="I5622" s="35"/>
      <c r="J5622" s="37"/>
    </row>
    <row r="5623" spans="1:10" ht="15.95" customHeight="1" x14ac:dyDescent="0.2">
      <c r="A5623" s="39"/>
      <c r="B5623" s="36"/>
      <c r="C5623" s="37"/>
      <c r="D5623" s="37"/>
      <c r="E5623" s="37"/>
      <c r="F5623" s="37"/>
      <c r="G5623" s="37"/>
      <c r="H5623" s="37"/>
      <c r="I5623" s="35"/>
      <c r="J5623" s="37"/>
    </row>
    <row r="5624" spans="1:10" ht="15.95" customHeight="1" x14ac:dyDescent="0.2">
      <c r="A5624" s="39"/>
      <c r="B5624" s="36"/>
      <c r="C5624" s="37"/>
      <c r="D5624" s="37"/>
      <c r="E5624" s="37"/>
      <c r="F5624" s="37"/>
      <c r="G5624" s="37"/>
      <c r="H5624" s="37"/>
      <c r="I5624" s="35"/>
      <c r="J5624" s="37"/>
    </row>
    <row r="5625" spans="1:10" ht="15.95" customHeight="1" x14ac:dyDescent="0.2">
      <c r="A5625" s="39"/>
      <c r="B5625" s="36"/>
      <c r="C5625" s="37"/>
      <c r="D5625" s="37"/>
      <c r="E5625" s="37"/>
      <c r="F5625" s="37"/>
      <c r="G5625" s="37"/>
      <c r="H5625" s="37"/>
      <c r="I5625" s="35"/>
      <c r="J5625" s="37"/>
    </row>
    <row r="5626" spans="1:10" ht="15.95" customHeight="1" x14ac:dyDescent="0.2">
      <c r="A5626" s="39"/>
      <c r="B5626" s="36"/>
      <c r="C5626" s="37"/>
      <c r="D5626" s="37"/>
      <c r="E5626" s="37"/>
      <c r="F5626" s="37"/>
      <c r="G5626" s="37"/>
      <c r="H5626" s="37"/>
      <c r="I5626" s="35"/>
      <c r="J5626" s="37"/>
    </row>
    <row r="5627" spans="1:10" ht="15.95" customHeight="1" x14ac:dyDescent="0.2">
      <c r="A5627" s="39"/>
      <c r="B5627" s="36"/>
      <c r="C5627" s="37"/>
      <c r="D5627" s="37"/>
      <c r="E5627" s="37"/>
      <c r="F5627" s="37"/>
      <c r="G5627" s="37"/>
      <c r="H5627" s="37"/>
      <c r="I5627" s="35"/>
      <c r="J5627" s="37"/>
    </row>
    <row r="5628" spans="1:10" ht="15.95" customHeight="1" x14ac:dyDescent="0.2">
      <c r="A5628" s="39"/>
      <c r="B5628" s="36"/>
      <c r="C5628" s="37"/>
      <c r="D5628" s="37"/>
      <c r="E5628" s="37"/>
      <c r="F5628" s="37"/>
      <c r="G5628" s="37"/>
      <c r="H5628" s="37"/>
      <c r="I5628" s="35"/>
      <c r="J5628" s="37"/>
    </row>
    <row r="5629" spans="1:10" ht="15.95" customHeight="1" x14ac:dyDescent="0.2">
      <c r="A5629" s="39"/>
      <c r="B5629" s="36"/>
      <c r="C5629" s="37"/>
      <c r="D5629" s="37"/>
      <c r="E5629" s="37"/>
      <c r="F5629" s="37"/>
      <c r="G5629" s="37"/>
      <c r="H5629" s="37"/>
      <c r="I5629" s="35"/>
      <c r="J5629" s="37"/>
    </row>
    <row r="5630" spans="1:10" ht="15.95" customHeight="1" x14ac:dyDescent="0.2">
      <c r="A5630" s="39"/>
      <c r="B5630" s="36"/>
      <c r="C5630" s="37"/>
      <c r="D5630" s="37"/>
      <c r="E5630" s="37"/>
      <c r="F5630" s="37"/>
      <c r="G5630" s="37"/>
      <c r="H5630" s="37"/>
      <c r="I5630" s="35"/>
      <c r="J5630" s="37"/>
    </row>
    <row r="5631" spans="1:10" ht="15.95" customHeight="1" x14ac:dyDescent="0.2">
      <c r="A5631" s="39"/>
      <c r="B5631" s="36"/>
      <c r="C5631" s="37"/>
      <c r="D5631" s="37"/>
      <c r="E5631" s="37"/>
      <c r="F5631" s="37"/>
      <c r="G5631" s="37"/>
      <c r="H5631" s="37"/>
      <c r="I5631" s="35"/>
      <c r="J5631" s="37"/>
    </row>
    <row r="5632" spans="1:10" ht="15.95" customHeight="1" x14ac:dyDescent="0.2">
      <c r="A5632" s="39"/>
      <c r="B5632" s="36"/>
      <c r="C5632" s="37"/>
      <c r="D5632" s="37"/>
      <c r="E5632" s="37"/>
      <c r="F5632" s="37"/>
      <c r="G5632" s="37"/>
      <c r="H5632" s="37"/>
      <c r="I5632" s="35"/>
      <c r="J5632" s="37"/>
    </row>
    <row r="5633" spans="1:10" ht="15.95" customHeight="1" x14ac:dyDescent="0.2">
      <c r="A5633" s="39"/>
      <c r="B5633" s="36"/>
      <c r="C5633" s="37"/>
      <c r="D5633" s="37"/>
      <c r="E5633" s="37"/>
      <c r="F5633" s="37"/>
      <c r="G5633" s="37"/>
      <c r="H5633" s="37"/>
      <c r="I5633" s="35"/>
      <c r="J5633" s="37"/>
    </row>
    <row r="5634" spans="1:10" ht="15.95" customHeight="1" x14ac:dyDescent="0.2">
      <c r="A5634" s="39"/>
      <c r="B5634" s="36"/>
      <c r="C5634" s="37"/>
      <c r="D5634" s="37"/>
      <c r="E5634" s="37"/>
      <c r="F5634" s="37"/>
      <c r="G5634" s="37"/>
      <c r="H5634" s="37"/>
      <c r="I5634" s="35"/>
      <c r="J5634" s="37"/>
    </row>
    <row r="5635" spans="1:10" ht="15.95" customHeight="1" x14ac:dyDescent="0.2">
      <c r="A5635" s="39"/>
      <c r="B5635" s="36"/>
      <c r="C5635" s="37"/>
      <c r="D5635" s="37"/>
      <c r="E5635" s="37"/>
      <c r="F5635" s="37"/>
      <c r="G5635" s="37"/>
      <c r="H5635" s="37"/>
      <c r="I5635" s="35"/>
      <c r="J5635" s="37"/>
    </row>
    <row r="5636" spans="1:10" ht="15.95" customHeight="1" x14ac:dyDescent="0.2">
      <c r="A5636" s="39"/>
      <c r="B5636" s="36"/>
      <c r="C5636" s="37"/>
      <c r="D5636" s="37"/>
      <c r="E5636" s="37"/>
      <c r="F5636" s="37"/>
      <c r="G5636" s="37"/>
      <c r="H5636" s="37"/>
      <c r="I5636" s="35"/>
      <c r="J5636" s="37"/>
    </row>
    <row r="5637" spans="1:10" ht="15.95" customHeight="1" x14ac:dyDescent="0.2">
      <c r="A5637" s="39"/>
      <c r="B5637" s="36"/>
      <c r="C5637" s="37"/>
      <c r="D5637" s="37"/>
      <c r="E5637" s="37"/>
      <c r="F5637" s="37"/>
      <c r="G5637" s="37"/>
      <c r="H5637" s="37"/>
      <c r="I5637" s="35"/>
      <c r="J5637" s="37"/>
    </row>
    <row r="5638" spans="1:10" ht="15.95" customHeight="1" x14ac:dyDescent="0.2">
      <c r="A5638" s="39"/>
      <c r="B5638" s="36"/>
      <c r="C5638" s="37"/>
      <c r="D5638" s="37"/>
      <c r="E5638" s="37"/>
      <c r="F5638" s="37"/>
      <c r="G5638" s="37"/>
      <c r="H5638" s="37"/>
      <c r="I5638" s="35"/>
      <c r="J5638" s="37"/>
    </row>
    <row r="5639" spans="1:10" ht="15.95" customHeight="1" x14ac:dyDescent="0.2">
      <c r="A5639" s="39"/>
      <c r="B5639" s="36"/>
      <c r="C5639" s="37"/>
      <c r="D5639" s="37"/>
      <c r="E5639" s="37"/>
      <c r="F5639" s="37"/>
      <c r="G5639" s="37"/>
      <c r="H5639" s="37"/>
      <c r="I5639" s="35"/>
      <c r="J5639" s="37"/>
    </row>
    <row r="5640" spans="1:10" ht="15.95" customHeight="1" x14ac:dyDescent="0.2">
      <c r="A5640" s="39"/>
      <c r="B5640" s="36"/>
      <c r="C5640" s="37"/>
      <c r="D5640" s="37"/>
      <c r="E5640" s="37"/>
      <c r="F5640" s="37"/>
      <c r="G5640" s="37"/>
      <c r="H5640" s="37"/>
      <c r="I5640" s="35"/>
      <c r="J5640" s="37"/>
    </row>
    <row r="5641" spans="1:10" ht="15.95" customHeight="1" x14ac:dyDescent="0.2">
      <c r="A5641" s="39"/>
      <c r="B5641" s="36"/>
      <c r="C5641" s="37"/>
      <c r="D5641" s="37"/>
      <c r="E5641" s="37"/>
      <c r="F5641" s="37"/>
      <c r="G5641" s="37"/>
      <c r="H5641" s="37"/>
      <c r="I5641" s="35"/>
      <c r="J5641" s="37"/>
    </row>
    <row r="5642" spans="1:10" ht="15.95" customHeight="1" x14ac:dyDescent="0.2">
      <c r="A5642" s="39"/>
      <c r="B5642" s="36"/>
      <c r="C5642" s="37"/>
      <c r="D5642" s="37"/>
      <c r="E5642" s="37"/>
      <c r="F5642" s="37"/>
      <c r="G5642" s="37"/>
      <c r="H5642" s="37"/>
      <c r="I5642" s="35"/>
      <c r="J5642" s="37"/>
    </row>
    <row r="5643" spans="1:10" ht="15.95" customHeight="1" x14ac:dyDescent="0.2">
      <c r="A5643" s="39"/>
      <c r="B5643" s="36"/>
      <c r="C5643" s="37"/>
      <c r="D5643" s="37"/>
      <c r="E5643" s="37"/>
      <c r="F5643" s="37"/>
      <c r="G5643" s="37"/>
      <c r="H5643" s="37"/>
      <c r="I5643" s="35"/>
      <c r="J5643" s="37"/>
    </row>
    <row r="5644" spans="1:10" ht="15.95" customHeight="1" x14ac:dyDescent="0.2">
      <c r="A5644" s="39"/>
      <c r="B5644" s="36"/>
      <c r="C5644" s="37"/>
      <c r="D5644" s="37"/>
      <c r="E5644" s="37"/>
      <c r="F5644" s="37"/>
      <c r="G5644" s="37"/>
      <c r="H5644" s="37"/>
      <c r="I5644" s="35"/>
      <c r="J5644" s="37"/>
    </row>
    <row r="5645" spans="1:10" ht="15.95" customHeight="1" x14ac:dyDescent="0.2">
      <c r="A5645" s="39"/>
      <c r="B5645" s="36"/>
      <c r="C5645" s="37"/>
      <c r="D5645" s="37"/>
      <c r="E5645" s="37"/>
      <c r="F5645" s="37"/>
      <c r="G5645" s="37"/>
      <c r="H5645" s="37"/>
      <c r="I5645" s="35"/>
      <c r="J5645" s="37"/>
    </row>
    <row r="5646" spans="1:10" ht="15.95" customHeight="1" x14ac:dyDescent="0.2">
      <c r="A5646" s="39"/>
      <c r="B5646" s="36"/>
      <c r="C5646" s="37"/>
      <c r="D5646" s="37"/>
      <c r="E5646" s="37"/>
      <c r="F5646" s="37"/>
      <c r="G5646" s="37"/>
      <c r="H5646" s="37"/>
      <c r="I5646" s="35"/>
      <c r="J5646" s="37"/>
    </row>
    <row r="5647" spans="1:10" ht="15.95" customHeight="1" x14ac:dyDescent="0.2">
      <c r="A5647" s="39"/>
      <c r="B5647" s="36"/>
      <c r="C5647" s="37"/>
      <c r="D5647" s="37"/>
      <c r="E5647" s="37"/>
      <c r="F5647" s="37"/>
      <c r="G5647" s="37"/>
      <c r="H5647" s="37"/>
      <c r="I5647" s="35"/>
      <c r="J5647" s="37"/>
    </row>
    <row r="5648" spans="1:10" ht="15.95" customHeight="1" x14ac:dyDescent="0.2">
      <c r="A5648" s="39"/>
      <c r="B5648" s="36"/>
      <c r="C5648" s="37"/>
      <c r="D5648" s="37"/>
      <c r="E5648" s="37"/>
      <c r="F5648" s="37"/>
      <c r="G5648" s="37"/>
      <c r="H5648" s="37"/>
      <c r="I5648" s="35"/>
      <c r="J5648" s="37"/>
    </row>
    <row r="5649" spans="1:10" ht="15.95" customHeight="1" x14ac:dyDescent="0.2">
      <c r="A5649" s="39"/>
      <c r="B5649" s="36"/>
      <c r="C5649" s="37"/>
      <c r="D5649" s="37"/>
      <c r="E5649" s="37"/>
      <c r="F5649" s="37"/>
      <c r="G5649" s="37"/>
      <c r="H5649" s="37"/>
      <c r="I5649" s="35"/>
      <c r="J5649" s="37"/>
    </row>
    <row r="5650" spans="1:10" ht="15.95" customHeight="1" x14ac:dyDescent="0.2">
      <c r="A5650" s="39"/>
      <c r="B5650" s="36"/>
      <c r="C5650" s="37"/>
      <c r="D5650" s="37"/>
      <c r="E5650" s="37"/>
      <c r="F5650" s="37"/>
      <c r="G5650" s="37"/>
      <c r="H5650" s="37"/>
      <c r="I5650" s="35"/>
      <c r="J5650" s="37"/>
    </row>
    <row r="5651" spans="1:10" ht="15.95" customHeight="1" x14ac:dyDescent="0.2">
      <c r="A5651" s="39"/>
      <c r="B5651" s="36"/>
      <c r="C5651" s="37"/>
      <c r="D5651" s="37"/>
      <c r="E5651" s="37"/>
      <c r="F5651" s="37"/>
      <c r="G5651" s="37"/>
      <c r="H5651" s="37"/>
      <c r="I5651" s="35"/>
      <c r="J5651" s="37"/>
    </row>
    <row r="5652" spans="1:10" ht="15.95" customHeight="1" x14ac:dyDescent="0.2">
      <c r="A5652" s="39"/>
      <c r="B5652" s="36"/>
      <c r="C5652" s="37"/>
      <c r="D5652" s="37"/>
      <c r="E5652" s="37"/>
      <c r="F5652" s="37"/>
      <c r="G5652" s="37"/>
      <c r="H5652" s="37"/>
      <c r="I5652" s="35"/>
      <c r="J5652" s="37"/>
    </row>
    <row r="5653" spans="1:10" ht="15.95" customHeight="1" x14ac:dyDescent="0.2">
      <c r="A5653" s="39"/>
      <c r="B5653" s="36"/>
      <c r="C5653" s="37"/>
      <c r="D5653" s="37"/>
      <c r="E5653" s="37"/>
      <c r="F5653" s="37"/>
      <c r="G5653" s="37"/>
      <c r="H5653" s="37"/>
      <c r="I5653" s="35"/>
      <c r="J5653" s="37"/>
    </row>
    <row r="5654" spans="1:10" ht="15.95" customHeight="1" x14ac:dyDescent="0.2">
      <c r="A5654" s="39"/>
      <c r="B5654" s="36"/>
      <c r="C5654" s="37"/>
      <c r="D5654" s="37"/>
      <c r="E5654" s="37"/>
      <c r="F5654" s="37"/>
      <c r="G5654" s="37"/>
      <c r="H5654" s="37"/>
      <c r="I5654" s="35"/>
      <c r="J5654" s="37"/>
    </row>
    <row r="5655" spans="1:10" ht="15.95" customHeight="1" x14ac:dyDescent="0.2">
      <c r="A5655" s="39"/>
      <c r="B5655" s="36"/>
      <c r="C5655" s="37"/>
      <c r="D5655" s="37"/>
      <c r="E5655" s="37"/>
      <c r="F5655" s="37"/>
      <c r="G5655" s="37"/>
      <c r="H5655" s="37"/>
      <c r="I5655" s="35"/>
      <c r="J5655" s="37"/>
    </row>
    <row r="5656" spans="1:10" ht="15.95" customHeight="1" x14ac:dyDescent="0.2">
      <c r="A5656" s="39"/>
      <c r="B5656" s="36"/>
      <c r="C5656" s="37"/>
      <c r="D5656" s="37"/>
      <c r="E5656" s="37"/>
      <c r="F5656" s="37"/>
      <c r="G5656" s="37"/>
      <c r="H5656" s="37"/>
      <c r="I5656" s="35"/>
      <c r="J5656" s="37"/>
    </row>
    <row r="5657" spans="1:10" ht="15.95" customHeight="1" x14ac:dyDescent="0.2">
      <c r="A5657" s="39"/>
      <c r="B5657" s="36"/>
      <c r="C5657" s="37"/>
      <c r="D5657" s="37"/>
      <c r="E5657" s="37"/>
      <c r="F5657" s="37"/>
      <c r="G5657" s="37"/>
      <c r="H5657" s="37"/>
      <c r="I5657" s="35"/>
      <c r="J5657" s="37"/>
    </row>
    <row r="5658" spans="1:10" ht="15.95" customHeight="1" x14ac:dyDescent="0.2">
      <c r="A5658" s="39"/>
      <c r="B5658" s="36"/>
      <c r="C5658" s="37"/>
      <c r="D5658" s="37"/>
      <c r="E5658" s="37"/>
      <c r="F5658" s="37"/>
      <c r="G5658" s="37"/>
      <c r="H5658" s="37"/>
      <c r="I5658" s="35"/>
      <c r="J5658" s="37"/>
    </row>
    <row r="5659" spans="1:10" ht="15.95" customHeight="1" x14ac:dyDescent="0.2">
      <c r="A5659" s="39"/>
      <c r="B5659" s="36"/>
      <c r="C5659" s="37"/>
      <c r="D5659" s="37"/>
      <c r="E5659" s="37"/>
      <c r="F5659" s="37"/>
      <c r="G5659" s="37"/>
      <c r="H5659" s="37"/>
      <c r="I5659" s="35"/>
      <c r="J5659" s="37"/>
    </row>
    <row r="5660" spans="1:10" ht="15.95" customHeight="1" x14ac:dyDescent="0.2">
      <c r="A5660" s="39"/>
      <c r="B5660" s="36"/>
      <c r="C5660" s="37"/>
      <c r="D5660" s="37"/>
      <c r="E5660" s="37"/>
      <c r="F5660" s="37"/>
      <c r="G5660" s="37"/>
      <c r="H5660" s="37"/>
      <c r="I5660" s="35"/>
      <c r="J5660" s="37"/>
    </row>
    <row r="5661" spans="1:10" ht="15.95" customHeight="1" x14ac:dyDescent="0.2">
      <c r="A5661" s="39"/>
      <c r="B5661" s="36"/>
      <c r="C5661" s="37"/>
      <c r="D5661" s="37"/>
      <c r="E5661" s="37"/>
      <c r="F5661" s="37"/>
      <c r="G5661" s="37"/>
      <c r="H5661" s="37"/>
      <c r="I5661" s="35"/>
      <c r="J5661" s="37"/>
    </row>
    <row r="5662" spans="1:10" ht="15.95" customHeight="1" x14ac:dyDescent="0.2">
      <c r="A5662" s="39"/>
      <c r="B5662" s="36"/>
      <c r="C5662" s="37"/>
      <c r="D5662" s="37"/>
      <c r="E5662" s="37"/>
      <c r="F5662" s="37"/>
      <c r="G5662" s="37"/>
      <c r="H5662" s="37"/>
      <c r="I5662" s="35"/>
      <c r="J5662" s="37"/>
    </row>
    <row r="5663" spans="1:10" ht="15.95" customHeight="1" x14ac:dyDescent="0.2">
      <c r="A5663" s="39"/>
      <c r="B5663" s="36"/>
      <c r="C5663" s="37"/>
      <c r="D5663" s="37"/>
      <c r="E5663" s="37"/>
      <c r="F5663" s="37"/>
      <c r="G5663" s="37"/>
      <c r="H5663" s="37"/>
      <c r="I5663" s="35"/>
      <c r="J5663" s="37"/>
    </row>
    <row r="5664" spans="1:10" ht="15.95" customHeight="1" x14ac:dyDescent="0.2">
      <c r="A5664" s="39"/>
      <c r="B5664" s="36"/>
      <c r="C5664" s="37"/>
      <c r="D5664" s="37"/>
      <c r="E5664" s="37"/>
      <c r="F5664" s="37"/>
      <c r="G5664" s="37"/>
      <c r="H5664" s="37"/>
      <c r="I5664" s="35"/>
      <c r="J5664" s="37"/>
    </row>
    <row r="5665" spans="1:10" ht="15.95" customHeight="1" x14ac:dyDescent="0.2">
      <c r="A5665" s="39"/>
      <c r="B5665" s="36"/>
      <c r="C5665" s="37"/>
      <c r="D5665" s="37"/>
      <c r="E5665" s="37"/>
      <c r="F5665" s="37"/>
      <c r="G5665" s="37"/>
      <c r="H5665" s="37"/>
      <c r="I5665" s="35"/>
      <c r="J5665" s="37"/>
    </row>
    <row r="5666" spans="1:10" ht="15.95" customHeight="1" x14ac:dyDescent="0.2">
      <c r="A5666" s="39"/>
      <c r="B5666" s="36"/>
      <c r="C5666" s="37"/>
      <c r="D5666" s="37"/>
      <c r="E5666" s="37"/>
      <c r="F5666" s="37"/>
      <c r="G5666" s="37"/>
      <c r="H5666" s="37"/>
      <c r="I5666" s="35"/>
      <c r="J5666" s="37"/>
    </row>
    <row r="5667" spans="1:10" ht="15.95" customHeight="1" x14ac:dyDescent="0.2">
      <c r="A5667" s="39"/>
      <c r="B5667" s="36"/>
      <c r="C5667" s="37"/>
      <c r="D5667" s="37"/>
      <c r="E5667" s="37"/>
      <c r="F5667" s="37"/>
      <c r="G5667" s="37"/>
      <c r="H5667" s="37"/>
      <c r="I5667" s="35"/>
      <c r="J5667" s="37"/>
    </row>
    <row r="5668" spans="1:10" ht="15.95" customHeight="1" x14ac:dyDescent="0.2">
      <c r="A5668" s="39"/>
      <c r="B5668" s="36"/>
      <c r="C5668" s="37"/>
      <c r="D5668" s="37"/>
      <c r="E5668" s="37"/>
      <c r="F5668" s="37"/>
      <c r="G5668" s="37"/>
      <c r="H5668" s="37"/>
      <c r="I5668" s="35"/>
      <c r="J5668" s="37"/>
    </row>
    <row r="5669" spans="1:10" ht="15.95" customHeight="1" x14ac:dyDescent="0.2">
      <c r="A5669" s="39"/>
      <c r="B5669" s="36"/>
      <c r="C5669" s="37"/>
      <c r="D5669" s="37"/>
      <c r="E5669" s="37"/>
      <c r="F5669" s="37"/>
      <c r="G5669" s="37"/>
      <c r="H5669" s="37"/>
      <c r="I5669" s="35"/>
      <c r="J5669" s="37"/>
    </row>
    <row r="5670" spans="1:10" ht="15.95" customHeight="1" x14ac:dyDescent="0.2">
      <c r="A5670" s="39"/>
      <c r="B5670" s="36"/>
      <c r="C5670" s="37"/>
      <c r="D5670" s="37"/>
      <c r="E5670" s="37"/>
      <c r="F5670" s="37"/>
      <c r="G5670" s="37"/>
      <c r="H5670" s="37"/>
      <c r="I5670" s="35"/>
      <c r="J5670" s="37"/>
    </row>
    <row r="5671" spans="1:10" ht="15.95" customHeight="1" x14ac:dyDescent="0.2">
      <c r="A5671" s="39"/>
      <c r="B5671" s="36"/>
      <c r="C5671" s="37"/>
      <c r="D5671" s="37"/>
      <c r="E5671" s="37"/>
      <c r="F5671" s="37"/>
      <c r="G5671" s="37"/>
      <c r="H5671" s="37"/>
      <c r="I5671" s="35"/>
      <c r="J5671" s="37"/>
    </row>
    <row r="5672" spans="1:10" ht="15.95" customHeight="1" x14ac:dyDescent="0.2">
      <c r="A5672" s="39"/>
      <c r="B5672" s="36"/>
      <c r="C5672" s="37"/>
      <c r="D5672" s="37"/>
      <c r="E5672" s="37"/>
      <c r="F5672" s="37"/>
      <c r="G5672" s="37"/>
      <c r="H5672" s="37"/>
      <c r="I5672" s="35"/>
      <c r="J5672" s="37"/>
    </row>
    <row r="5673" spans="1:10" ht="15.95" customHeight="1" x14ac:dyDescent="0.2">
      <c r="A5673" s="39"/>
      <c r="B5673" s="36"/>
      <c r="C5673" s="37"/>
      <c r="D5673" s="37"/>
      <c r="E5673" s="37"/>
      <c r="F5673" s="37"/>
      <c r="G5673" s="37"/>
      <c r="H5673" s="37"/>
      <c r="I5673" s="35"/>
      <c r="J5673" s="37"/>
    </row>
    <row r="5674" spans="1:10" ht="15.95" customHeight="1" x14ac:dyDescent="0.2">
      <c r="A5674" s="39"/>
      <c r="B5674" s="36"/>
      <c r="C5674" s="37"/>
      <c r="D5674" s="37"/>
      <c r="E5674" s="37"/>
      <c r="F5674" s="37"/>
      <c r="G5674" s="37"/>
      <c r="H5674" s="37"/>
      <c r="I5674" s="35"/>
      <c r="J5674" s="37"/>
    </row>
    <row r="5675" spans="1:10" ht="15.95" customHeight="1" x14ac:dyDescent="0.2">
      <c r="A5675" s="39"/>
      <c r="B5675" s="36"/>
      <c r="C5675" s="37"/>
      <c r="D5675" s="37"/>
      <c r="E5675" s="37"/>
      <c r="F5675" s="37"/>
      <c r="G5675" s="37"/>
      <c r="H5675" s="37"/>
      <c r="I5675" s="35"/>
      <c r="J5675" s="37"/>
    </row>
    <row r="5676" spans="1:10" ht="15.95" customHeight="1" x14ac:dyDescent="0.2">
      <c r="A5676" s="39"/>
      <c r="B5676" s="36"/>
      <c r="C5676" s="37"/>
      <c r="D5676" s="37"/>
      <c r="E5676" s="37"/>
      <c r="F5676" s="37"/>
      <c r="G5676" s="37"/>
      <c r="H5676" s="37"/>
      <c r="I5676" s="35"/>
      <c r="J5676" s="37"/>
    </row>
    <row r="5677" spans="1:10" ht="15.95" customHeight="1" x14ac:dyDescent="0.2">
      <c r="A5677" s="39"/>
      <c r="B5677" s="36"/>
      <c r="C5677" s="37"/>
      <c r="D5677" s="37"/>
      <c r="E5677" s="37"/>
      <c r="F5677" s="37"/>
      <c r="G5677" s="37"/>
      <c r="H5677" s="37"/>
      <c r="I5677" s="35"/>
      <c r="J5677" s="37"/>
    </row>
    <row r="5678" spans="1:10" ht="15.95" customHeight="1" x14ac:dyDescent="0.2">
      <c r="A5678" s="39"/>
      <c r="B5678" s="36"/>
      <c r="C5678" s="37"/>
      <c r="D5678" s="37"/>
      <c r="E5678" s="37"/>
      <c r="F5678" s="37"/>
      <c r="G5678" s="37"/>
      <c r="H5678" s="37"/>
      <c r="I5678" s="35"/>
      <c r="J5678" s="37"/>
    </row>
    <row r="5679" spans="1:10" ht="15.95" customHeight="1" x14ac:dyDescent="0.2">
      <c r="A5679" s="39"/>
      <c r="B5679" s="36"/>
      <c r="C5679" s="37"/>
      <c r="D5679" s="37"/>
      <c r="E5679" s="37"/>
      <c r="F5679" s="37"/>
      <c r="G5679" s="37"/>
      <c r="H5679" s="37"/>
      <c r="I5679" s="35"/>
      <c r="J5679" s="37"/>
    </row>
    <row r="5680" spans="1:10" ht="15.95" customHeight="1" x14ac:dyDescent="0.2">
      <c r="A5680" s="39"/>
      <c r="B5680" s="36"/>
      <c r="C5680" s="37"/>
      <c r="D5680" s="37"/>
      <c r="E5680" s="37"/>
      <c r="F5680" s="37"/>
      <c r="G5680" s="37"/>
      <c r="H5680" s="37"/>
      <c r="I5680" s="35"/>
      <c r="J5680" s="37"/>
    </row>
    <row r="5681" spans="1:10" ht="15.95" customHeight="1" x14ac:dyDescent="0.2">
      <c r="A5681" s="39"/>
      <c r="B5681" s="36"/>
      <c r="C5681" s="37"/>
      <c r="D5681" s="37"/>
      <c r="E5681" s="37"/>
      <c r="F5681" s="37"/>
      <c r="G5681" s="37"/>
      <c r="H5681" s="37"/>
      <c r="I5681" s="35"/>
      <c r="J5681" s="37"/>
    </row>
    <row r="5682" spans="1:10" ht="15.95" customHeight="1" x14ac:dyDescent="0.2">
      <c r="A5682" s="39"/>
      <c r="B5682" s="36"/>
      <c r="C5682" s="37"/>
      <c r="D5682" s="37"/>
      <c r="E5682" s="37"/>
      <c r="F5682" s="37"/>
      <c r="G5682" s="37"/>
      <c r="H5682" s="37"/>
      <c r="I5682" s="35"/>
      <c r="J5682" s="37"/>
    </row>
    <row r="5683" spans="1:10" ht="15.95" customHeight="1" x14ac:dyDescent="0.2">
      <c r="A5683" s="39"/>
      <c r="B5683" s="36"/>
      <c r="C5683" s="37"/>
      <c r="D5683" s="37"/>
      <c r="E5683" s="37"/>
      <c r="F5683" s="37"/>
      <c r="G5683" s="37"/>
      <c r="H5683" s="37"/>
      <c r="I5683" s="35"/>
      <c r="J5683" s="37"/>
    </row>
    <row r="5684" spans="1:10" ht="15.95" customHeight="1" x14ac:dyDescent="0.2">
      <c r="A5684" s="39"/>
      <c r="B5684" s="36"/>
      <c r="C5684" s="37"/>
      <c r="D5684" s="37"/>
      <c r="E5684" s="37"/>
      <c r="F5684" s="37"/>
      <c r="G5684" s="37"/>
      <c r="H5684" s="37"/>
      <c r="I5684" s="35"/>
      <c r="J5684" s="37"/>
    </row>
    <row r="5685" spans="1:10" ht="15.95" customHeight="1" x14ac:dyDescent="0.2">
      <c r="A5685" s="39"/>
      <c r="B5685" s="36"/>
      <c r="C5685" s="37"/>
      <c r="D5685" s="37"/>
      <c r="E5685" s="37"/>
      <c r="F5685" s="37"/>
      <c r="G5685" s="37"/>
      <c r="H5685" s="37"/>
      <c r="I5685" s="35"/>
      <c r="J5685" s="37"/>
    </row>
    <row r="5686" spans="1:10" ht="15.95" customHeight="1" x14ac:dyDescent="0.2">
      <c r="A5686" s="39"/>
      <c r="B5686" s="36"/>
      <c r="C5686" s="37"/>
      <c r="D5686" s="37"/>
      <c r="E5686" s="37"/>
      <c r="F5686" s="37"/>
      <c r="G5686" s="37"/>
      <c r="H5686" s="37"/>
      <c r="I5686" s="35"/>
      <c r="J5686" s="37"/>
    </row>
    <row r="5687" spans="1:10" ht="15.95" customHeight="1" x14ac:dyDescent="0.2">
      <c r="A5687" s="39"/>
      <c r="B5687" s="36"/>
      <c r="C5687" s="37"/>
      <c r="D5687" s="37"/>
      <c r="E5687" s="37"/>
      <c r="F5687" s="37"/>
      <c r="G5687" s="37"/>
      <c r="H5687" s="37"/>
      <c r="I5687" s="35"/>
      <c r="J5687" s="37"/>
    </row>
    <row r="5688" spans="1:10" ht="15.95" customHeight="1" x14ac:dyDescent="0.2">
      <c r="A5688" s="39"/>
      <c r="B5688" s="36"/>
      <c r="C5688" s="37"/>
      <c r="D5688" s="37"/>
      <c r="E5688" s="37"/>
      <c r="F5688" s="37"/>
      <c r="G5688" s="37"/>
      <c r="H5688" s="37"/>
      <c r="I5688" s="35"/>
      <c r="J5688" s="37"/>
    </row>
    <row r="5689" spans="1:10" ht="15.95" customHeight="1" x14ac:dyDescent="0.2">
      <c r="A5689" s="39"/>
      <c r="B5689" s="36"/>
      <c r="C5689" s="37"/>
      <c r="D5689" s="37"/>
      <c r="E5689" s="37"/>
      <c r="F5689" s="37"/>
      <c r="G5689" s="37"/>
      <c r="H5689" s="37"/>
      <c r="I5689" s="35"/>
      <c r="J5689" s="37"/>
    </row>
    <row r="5690" spans="1:10" ht="15.95" customHeight="1" x14ac:dyDescent="0.2">
      <c r="A5690" s="39"/>
      <c r="B5690" s="36"/>
      <c r="C5690" s="37"/>
      <c r="D5690" s="37"/>
      <c r="E5690" s="37"/>
      <c r="F5690" s="37"/>
      <c r="G5690" s="37"/>
      <c r="H5690" s="37"/>
      <c r="I5690" s="35"/>
      <c r="J5690" s="37"/>
    </row>
    <row r="5691" spans="1:10" ht="15.95" customHeight="1" x14ac:dyDescent="0.2">
      <c r="A5691" s="39"/>
      <c r="B5691" s="36"/>
      <c r="C5691" s="37"/>
      <c r="D5691" s="37"/>
      <c r="E5691" s="37"/>
      <c r="F5691" s="37"/>
      <c r="G5691" s="37"/>
      <c r="H5691" s="37"/>
      <c r="I5691" s="35"/>
      <c r="J5691" s="37"/>
    </row>
    <row r="5692" spans="1:10" ht="15.95" customHeight="1" x14ac:dyDescent="0.2">
      <c r="A5692" s="39"/>
      <c r="B5692" s="36"/>
      <c r="C5692" s="37"/>
      <c r="D5692" s="37"/>
      <c r="E5692" s="37"/>
      <c r="F5692" s="37"/>
      <c r="G5692" s="37"/>
      <c r="H5692" s="37"/>
      <c r="I5692" s="35"/>
      <c r="J5692" s="37"/>
    </row>
    <row r="5693" spans="1:10" ht="15.95" customHeight="1" x14ac:dyDescent="0.2">
      <c r="A5693" s="39"/>
      <c r="B5693" s="36"/>
      <c r="C5693" s="37"/>
      <c r="D5693" s="37"/>
      <c r="E5693" s="37"/>
      <c r="F5693" s="37"/>
      <c r="G5693" s="37"/>
      <c r="H5693" s="37"/>
      <c r="I5693" s="35"/>
      <c r="J5693" s="37"/>
    </row>
    <row r="5694" spans="1:10" ht="15.95" customHeight="1" x14ac:dyDescent="0.2">
      <c r="A5694" s="39"/>
      <c r="B5694" s="36"/>
      <c r="C5694" s="37"/>
      <c r="D5694" s="37"/>
      <c r="E5694" s="37"/>
      <c r="F5694" s="37"/>
      <c r="G5694" s="37"/>
      <c r="H5694" s="37"/>
      <c r="I5694" s="35"/>
      <c r="J5694" s="37"/>
    </row>
    <row r="5695" spans="1:10" ht="15.95" customHeight="1" x14ac:dyDescent="0.2">
      <c r="A5695" s="39"/>
      <c r="B5695" s="36"/>
      <c r="C5695" s="37"/>
      <c r="D5695" s="37"/>
      <c r="E5695" s="37"/>
      <c r="F5695" s="37"/>
      <c r="G5695" s="37"/>
      <c r="H5695" s="37"/>
      <c r="I5695" s="35"/>
      <c r="J5695" s="37"/>
    </row>
    <row r="5696" spans="1:10" ht="15.95" customHeight="1" x14ac:dyDescent="0.2">
      <c r="A5696" s="39"/>
      <c r="B5696" s="36"/>
      <c r="C5696" s="37"/>
      <c r="D5696" s="37"/>
      <c r="E5696" s="37"/>
      <c r="F5696" s="37"/>
      <c r="G5696" s="37"/>
      <c r="H5696" s="37"/>
      <c r="I5696" s="35"/>
      <c r="J5696" s="37"/>
    </row>
    <row r="5697" spans="1:10" ht="15.95" customHeight="1" x14ac:dyDescent="0.2">
      <c r="A5697" s="39"/>
      <c r="B5697" s="36"/>
      <c r="C5697" s="37"/>
      <c r="D5697" s="37"/>
      <c r="E5697" s="37"/>
      <c r="F5697" s="37"/>
      <c r="G5697" s="37"/>
      <c r="H5697" s="37"/>
      <c r="I5697" s="35"/>
      <c r="J5697" s="37"/>
    </row>
    <row r="5698" spans="1:10" ht="15.95" customHeight="1" x14ac:dyDescent="0.2">
      <c r="A5698" s="39"/>
      <c r="B5698" s="36"/>
      <c r="C5698" s="37"/>
      <c r="D5698" s="37"/>
      <c r="E5698" s="37"/>
      <c r="F5698" s="37"/>
      <c r="G5698" s="37"/>
      <c r="H5698" s="37"/>
      <c r="I5698" s="35"/>
      <c r="J5698" s="37"/>
    </row>
    <row r="5699" spans="1:10" ht="15.95" customHeight="1" x14ac:dyDescent="0.2">
      <c r="A5699" s="39"/>
      <c r="B5699" s="36"/>
      <c r="C5699" s="37"/>
      <c r="D5699" s="37"/>
      <c r="E5699" s="37"/>
      <c r="F5699" s="37"/>
      <c r="G5699" s="37"/>
      <c r="H5699" s="37"/>
      <c r="I5699" s="35"/>
      <c r="J5699" s="37"/>
    </row>
    <row r="5700" spans="1:10" ht="15.95" customHeight="1" x14ac:dyDescent="0.2">
      <c r="A5700" s="39"/>
      <c r="B5700" s="36"/>
      <c r="C5700" s="37"/>
      <c r="D5700" s="37"/>
      <c r="E5700" s="37"/>
      <c r="F5700" s="37"/>
      <c r="G5700" s="37"/>
      <c r="H5700" s="37"/>
      <c r="I5700" s="35"/>
      <c r="J5700" s="37"/>
    </row>
    <row r="5701" spans="1:10" ht="15.95" customHeight="1" x14ac:dyDescent="0.2">
      <c r="A5701" s="39"/>
      <c r="B5701" s="36"/>
      <c r="C5701" s="37"/>
      <c r="D5701" s="37"/>
      <c r="E5701" s="37"/>
      <c r="F5701" s="37"/>
      <c r="G5701" s="37"/>
      <c r="H5701" s="37"/>
      <c r="I5701" s="35"/>
      <c r="J5701" s="37"/>
    </row>
    <row r="5702" spans="1:10" ht="15.95" customHeight="1" x14ac:dyDescent="0.2">
      <c r="A5702" s="39"/>
      <c r="B5702" s="36"/>
      <c r="C5702" s="37"/>
      <c r="D5702" s="37"/>
      <c r="E5702" s="37"/>
      <c r="F5702" s="37"/>
      <c r="G5702" s="37"/>
      <c r="H5702" s="37"/>
      <c r="I5702" s="35"/>
      <c r="J5702" s="37"/>
    </row>
    <row r="5703" spans="1:10" ht="15.95" customHeight="1" x14ac:dyDescent="0.2">
      <c r="A5703" s="39"/>
      <c r="B5703" s="36"/>
      <c r="C5703" s="37"/>
      <c r="D5703" s="37"/>
      <c r="E5703" s="37"/>
      <c r="F5703" s="37"/>
      <c r="G5703" s="37"/>
      <c r="H5703" s="37"/>
      <c r="I5703" s="35"/>
      <c r="J5703" s="37"/>
    </row>
    <row r="5704" spans="1:10" ht="15.95" customHeight="1" x14ac:dyDescent="0.2">
      <c r="A5704" s="39"/>
      <c r="B5704" s="36"/>
      <c r="C5704" s="37"/>
      <c r="D5704" s="37"/>
      <c r="E5704" s="37"/>
      <c r="F5704" s="37"/>
      <c r="G5704" s="37"/>
      <c r="H5704" s="37"/>
      <c r="I5704" s="35"/>
      <c r="J5704" s="37"/>
    </row>
    <row r="5705" spans="1:10" ht="15.95" customHeight="1" x14ac:dyDescent="0.2">
      <c r="A5705" s="39"/>
      <c r="B5705" s="36"/>
      <c r="C5705" s="37"/>
      <c r="D5705" s="37"/>
      <c r="E5705" s="37"/>
      <c r="F5705" s="37"/>
      <c r="G5705" s="37"/>
      <c r="H5705" s="37"/>
      <c r="I5705" s="35"/>
      <c r="J5705" s="37"/>
    </row>
    <row r="5706" spans="1:10" ht="15.95" customHeight="1" x14ac:dyDescent="0.2">
      <c r="A5706" s="39"/>
      <c r="B5706" s="36"/>
      <c r="C5706" s="37"/>
      <c r="D5706" s="37"/>
      <c r="E5706" s="37"/>
      <c r="F5706" s="37"/>
      <c r="G5706" s="37"/>
      <c r="H5706" s="37"/>
      <c r="I5706" s="35"/>
      <c r="J5706" s="37"/>
    </row>
    <row r="5707" spans="1:10" ht="15.95" customHeight="1" x14ac:dyDescent="0.2">
      <c r="A5707" s="39"/>
      <c r="B5707" s="36"/>
      <c r="C5707" s="37"/>
      <c r="D5707" s="37"/>
      <c r="E5707" s="37"/>
      <c r="F5707" s="37"/>
      <c r="G5707" s="37"/>
      <c r="H5707" s="37"/>
      <c r="I5707" s="35"/>
      <c r="J5707" s="37"/>
    </row>
    <row r="5708" spans="1:10" ht="15.95" customHeight="1" x14ac:dyDescent="0.2">
      <c r="A5708" s="39"/>
      <c r="B5708" s="36"/>
      <c r="C5708" s="37"/>
      <c r="D5708" s="37"/>
      <c r="E5708" s="37"/>
      <c r="F5708" s="37"/>
      <c r="G5708" s="37"/>
      <c r="H5708" s="37"/>
      <c r="I5708" s="35"/>
      <c r="J5708" s="37"/>
    </row>
    <row r="5709" spans="1:10" ht="15.95" customHeight="1" x14ac:dyDescent="0.2">
      <c r="A5709" s="39"/>
      <c r="B5709" s="36"/>
      <c r="C5709" s="37"/>
      <c r="D5709" s="37"/>
      <c r="E5709" s="37"/>
      <c r="F5709" s="37"/>
      <c r="G5709" s="37"/>
      <c r="H5709" s="37"/>
      <c r="I5709" s="35"/>
      <c r="J5709" s="37"/>
    </row>
    <row r="5710" spans="1:10" ht="15.95" customHeight="1" x14ac:dyDescent="0.2">
      <c r="A5710" s="39"/>
      <c r="B5710" s="36"/>
      <c r="C5710" s="37"/>
      <c r="D5710" s="37"/>
      <c r="E5710" s="37"/>
      <c r="F5710" s="37"/>
      <c r="G5710" s="37"/>
      <c r="H5710" s="37"/>
      <c r="I5710" s="35"/>
      <c r="J5710" s="37"/>
    </row>
    <row r="5711" spans="1:10" ht="15.95" customHeight="1" x14ac:dyDescent="0.2">
      <c r="A5711" s="39"/>
      <c r="B5711" s="36"/>
      <c r="C5711" s="37"/>
      <c r="D5711" s="37"/>
      <c r="E5711" s="37"/>
      <c r="F5711" s="37"/>
      <c r="G5711" s="37"/>
      <c r="H5711" s="37"/>
      <c r="I5711" s="35"/>
      <c r="J5711" s="37"/>
    </row>
    <row r="5712" spans="1:10" ht="15.95" customHeight="1" x14ac:dyDescent="0.2">
      <c r="A5712" s="39"/>
      <c r="B5712" s="36"/>
      <c r="C5712" s="37"/>
      <c r="D5712" s="37"/>
      <c r="E5712" s="37"/>
      <c r="F5712" s="37"/>
      <c r="G5712" s="37"/>
      <c r="H5712" s="37"/>
      <c r="I5712" s="35"/>
      <c r="J5712" s="37"/>
    </row>
    <row r="5713" spans="1:10" ht="15.95" customHeight="1" x14ac:dyDescent="0.2">
      <c r="A5713" s="39"/>
      <c r="B5713" s="36"/>
      <c r="C5713" s="37"/>
      <c r="D5713" s="37"/>
      <c r="E5713" s="37"/>
      <c r="F5713" s="37"/>
      <c r="G5713" s="37"/>
      <c r="H5713" s="37"/>
      <c r="I5713" s="35"/>
      <c r="J5713" s="37"/>
    </row>
    <row r="5714" spans="1:10" ht="15.95" customHeight="1" x14ac:dyDescent="0.2">
      <c r="A5714" s="39"/>
      <c r="B5714" s="36"/>
      <c r="C5714" s="37"/>
      <c r="D5714" s="37"/>
      <c r="E5714" s="37"/>
      <c r="F5714" s="37"/>
      <c r="G5714" s="37"/>
      <c r="H5714" s="37"/>
      <c r="I5714" s="35"/>
      <c r="J5714" s="37"/>
    </row>
    <row r="5715" spans="1:10" ht="15.95" customHeight="1" x14ac:dyDescent="0.2">
      <c r="A5715" s="39"/>
      <c r="B5715" s="36"/>
      <c r="C5715" s="37"/>
      <c r="D5715" s="37"/>
      <c r="E5715" s="37"/>
      <c r="F5715" s="37"/>
      <c r="G5715" s="37"/>
      <c r="H5715" s="37"/>
      <c r="I5715" s="35"/>
      <c r="J5715" s="37"/>
    </row>
    <row r="5716" spans="1:10" ht="15.95" customHeight="1" x14ac:dyDescent="0.2">
      <c r="A5716" s="39"/>
      <c r="B5716" s="36"/>
      <c r="C5716" s="37"/>
      <c r="D5716" s="37"/>
      <c r="E5716" s="37"/>
      <c r="F5716" s="37"/>
      <c r="G5716" s="37"/>
      <c r="H5716" s="37"/>
      <c r="I5716" s="35"/>
      <c r="J5716" s="37"/>
    </row>
    <row r="5717" spans="1:10" ht="15.95" customHeight="1" x14ac:dyDescent="0.2">
      <c r="A5717" s="39"/>
      <c r="B5717" s="36"/>
      <c r="C5717" s="37"/>
      <c r="D5717" s="37"/>
      <c r="E5717" s="37"/>
      <c r="F5717" s="37"/>
      <c r="G5717" s="37"/>
      <c r="H5717" s="37"/>
      <c r="I5717" s="35"/>
      <c r="J5717" s="37"/>
    </row>
    <row r="5718" spans="1:10" ht="15.95" customHeight="1" x14ac:dyDescent="0.2">
      <c r="A5718" s="39"/>
      <c r="B5718" s="36"/>
      <c r="C5718" s="37"/>
      <c r="D5718" s="37"/>
      <c r="E5718" s="37"/>
      <c r="F5718" s="37"/>
      <c r="G5718" s="37"/>
      <c r="H5718" s="37"/>
      <c r="I5718" s="35"/>
      <c r="J5718" s="37"/>
    </row>
    <row r="5719" spans="1:10" ht="15.95" customHeight="1" x14ac:dyDescent="0.2">
      <c r="A5719" s="39"/>
      <c r="B5719" s="36"/>
      <c r="C5719" s="37"/>
      <c r="D5719" s="37"/>
      <c r="E5719" s="37"/>
      <c r="F5719" s="37"/>
      <c r="G5719" s="37"/>
      <c r="H5719" s="37"/>
      <c r="I5719" s="35"/>
      <c r="J5719" s="37"/>
    </row>
    <row r="5720" spans="1:10" ht="15.95" customHeight="1" x14ac:dyDescent="0.2">
      <c r="A5720" s="39"/>
      <c r="B5720" s="36"/>
      <c r="C5720" s="37"/>
      <c r="D5720" s="37"/>
      <c r="E5720" s="37"/>
      <c r="F5720" s="37"/>
      <c r="G5720" s="37"/>
      <c r="H5720" s="37"/>
      <c r="I5720" s="35"/>
      <c r="J5720" s="37"/>
    </row>
    <row r="5721" spans="1:10" ht="15.95" customHeight="1" x14ac:dyDescent="0.2">
      <c r="A5721" s="39"/>
      <c r="B5721" s="36"/>
      <c r="C5721" s="37"/>
      <c r="D5721" s="37"/>
      <c r="E5721" s="37"/>
      <c r="F5721" s="37"/>
      <c r="G5721" s="37"/>
      <c r="H5721" s="37"/>
      <c r="I5721" s="35"/>
      <c r="J5721" s="37"/>
    </row>
    <row r="5722" spans="1:10" ht="15.95" customHeight="1" x14ac:dyDescent="0.2">
      <c r="A5722" s="39"/>
      <c r="B5722" s="36"/>
      <c r="C5722" s="37"/>
      <c r="D5722" s="37"/>
      <c r="E5722" s="37"/>
      <c r="F5722" s="37"/>
      <c r="G5722" s="37"/>
      <c r="H5722" s="37"/>
      <c r="I5722" s="35"/>
      <c r="J5722" s="37"/>
    </row>
    <row r="5723" spans="1:10" ht="15.95" customHeight="1" x14ac:dyDescent="0.2">
      <c r="A5723" s="39"/>
      <c r="B5723" s="36"/>
      <c r="C5723" s="37"/>
      <c r="D5723" s="37"/>
      <c r="E5723" s="37"/>
      <c r="F5723" s="37"/>
      <c r="G5723" s="37"/>
      <c r="H5723" s="37"/>
      <c r="I5723" s="35"/>
      <c r="J5723" s="37"/>
    </row>
    <row r="5724" spans="1:10" ht="15.95" customHeight="1" x14ac:dyDescent="0.2">
      <c r="A5724" s="39"/>
      <c r="B5724" s="36"/>
      <c r="C5724" s="37"/>
      <c r="D5724" s="37"/>
      <c r="E5724" s="37"/>
      <c r="F5724" s="37"/>
      <c r="G5724" s="37"/>
      <c r="H5724" s="37"/>
      <c r="I5724" s="35"/>
      <c r="J5724" s="37"/>
    </row>
    <row r="5725" spans="1:10" ht="15.95" customHeight="1" x14ac:dyDescent="0.2">
      <c r="A5725" s="39"/>
      <c r="B5725" s="36"/>
      <c r="C5725" s="37"/>
      <c r="D5725" s="37"/>
      <c r="E5725" s="37"/>
      <c r="F5725" s="37"/>
      <c r="G5725" s="37"/>
      <c r="H5725" s="37"/>
      <c r="I5725" s="35"/>
      <c r="J5725" s="37"/>
    </row>
    <row r="5726" spans="1:10" ht="15.95" customHeight="1" x14ac:dyDescent="0.2">
      <c r="A5726" s="39"/>
      <c r="B5726" s="36"/>
      <c r="C5726" s="37"/>
      <c r="D5726" s="37"/>
      <c r="E5726" s="37"/>
      <c r="F5726" s="37"/>
      <c r="G5726" s="37"/>
      <c r="H5726" s="37"/>
      <c r="I5726" s="35"/>
      <c r="J5726" s="37"/>
    </row>
    <row r="5727" spans="1:10" ht="15.95" customHeight="1" x14ac:dyDescent="0.2">
      <c r="A5727" s="39"/>
      <c r="B5727" s="36"/>
      <c r="C5727" s="37"/>
      <c r="D5727" s="37"/>
      <c r="E5727" s="37"/>
      <c r="F5727" s="37"/>
      <c r="G5727" s="37"/>
      <c r="H5727" s="37"/>
      <c r="I5727" s="35"/>
      <c r="J5727" s="37"/>
    </row>
    <row r="5728" spans="1:10" ht="15.95" customHeight="1" x14ac:dyDescent="0.2">
      <c r="A5728" s="39"/>
      <c r="B5728" s="36"/>
      <c r="C5728" s="37"/>
      <c r="D5728" s="37"/>
      <c r="E5728" s="37"/>
      <c r="F5728" s="37"/>
      <c r="G5728" s="37"/>
      <c r="H5728" s="37"/>
      <c r="I5728" s="35"/>
      <c r="J5728" s="37"/>
    </row>
    <row r="5729" spans="1:10" ht="15.95" customHeight="1" x14ac:dyDescent="0.2">
      <c r="A5729" s="39"/>
      <c r="B5729" s="36"/>
      <c r="C5729" s="37"/>
      <c r="D5729" s="37"/>
      <c r="E5729" s="37"/>
      <c r="F5729" s="37"/>
      <c r="G5729" s="37"/>
      <c r="H5729" s="37"/>
      <c r="I5729" s="35"/>
      <c r="J5729" s="37"/>
    </row>
    <row r="5730" spans="1:10" ht="15.95" customHeight="1" x14ac:dyDescent="0.2">
      <c r="A5730" s="39"/>
      <c r="B5730" s="36"/>
      <c r="C5730" s="37"/>
      <c r="D5730" s="37"/>
      <c r="E5730" s="37"/>
      <c r="F5730" s="37"/>
      <c r="G5730" s="37"/>
      <c r="H5730" s="37"/>
      <c r="I5730" s="35"/>
      <c r="J5730" s="37"/>
    </row>
    <row r="5731" spans="1:10" ht="15.95" customHeight="1" x14ac:dyDescent="0.2">
      <c r="A5731" s="39"/>
      <c r="B5731" s="36"/>
      <c r="C5731" s="37"/>
      <c r="D5731" s="37"/>
      <c r="E5731" s="37"/>
      <c r="F5731" s="37"/>
      <c r="G5731" s="37"/>
      <c r="H5731" s="37"/>
      <c r="I5731" s="35"/>
      <c r="J5731" s="37"/>
    </row>
    <row r="5732" spans="1:10" ht="15.95" customHeight="1" x14ac:dyDescent="0.2">
      <c r="A5732" s="39"/>
      <c r="B5732" s="36"/>
      <c r="C5732" s="37"/>
      <c r="D5732" s="37"/>
      <c r="E5732" s="37"/>
      <c r="F5732" s="37"/>
      <c r="G5732" s="37"/>
      <c r="H5732" s="37"/>
      <c r="I5732" s="35"/>
      <c r="J5732" s="37"/>
    </row>
    <row r="5733" spans="1:10" ht="15.95" customHeight="1" x14ac:dyDescent="0.2">
      <c r="A5733" s="39"/>
      <c r="B5733" s="36"/>
      <c r="C5733" s="37"/>
      <c r="D5733" s="37"/>
      <c r="E5733" s="37"/>
      <c r="F5733" s="37"/>
      <c r="G5733" s="37"/>
      <c r="H5733" s="37"/>
      <c r="I5733" s="35"/>
      <c r="J5733" s="37"/>
    </row>
    <row r="5734" spans="1:10" ht="15.95" customHeight="1" x14ac:dyDescent="0.2">
      <c r="A5734" s="39"/>
      <c r="B5734" s="36"/>
      <c r="C5734" s="37"/>
      <c r="D5734" s="37"/>
      <c r="E5734" s="37"/>
      <c r="F5734" s="37"/>
      <c r="G5734" s="37"/>
      <c r="H5734" s="37"/>
      <c r="I5734" s="35"/>
      <c r="J5734" s="37"/>
    </row>
    <row r="5735" spans="1:10" ht="15.95" customHeight="1" x14ac:dyDescent="0.2">
      <c r="A5735" s="39"/>
      <c r="B5735" s="36"/>
      <c r="C5735" s="37"/>
      <c r="D5735" s="37"/>
      <c r="E5735" s="37"/>
      <c r="F5735" s="37"/>
      <c r="G5735" s="37"/>
      <c r="H5735" s="37"/>
      <c r="I5735" s="35"/>
      <c r="J5735" s="37"/>
    </row>
    <row r="5736" spans="1:10" ht="15.95" customHeight="1" x14ac:dyDescent="0.2">
      <c r="A5736" s="39"/>
      <c r="B5736" s="36"/>
      <c r="C5736" s="37"/>
      <c r="D5736" s="37"/>
      <c r="E5736" s="37"/>
      <c r="F5736" s="37"/>
      <c r="G5736" s="37"/>
      <c r="H5736" s="37"/>
      <c r="I5736" s="35"/>
      <c r="J5736" s="37"/>
    </row>
    <row r="5737" spans="1:10" ht="15.95" customHeight="1" x14ac:dyDescent="0.2">
      <c r="A5737" s="39"/>
      <c r="B5737" s="36"/>
      <c r="C5737" s="37"/>
      <c r="D5737" s="37"/>
      <c r="E5737" s="37"/>
      <c r="F5737" s="37"/>
      <c r="G5737" s="37"/>
      <c r="H5737" s="37"/>
      <c r="I5737" s="35"/>
      <c r="J5737" s="37"/>
    </row>
    <row r="5738" spans="1:10" ht="15.95" customHeight="1" x14ac:dyDescent="0.2">
      <c r="A5738" s="39"/>
      <c r="B5738" s="36"/>
      <c r="C5738" s="37"/>
      <c r="D5738" s="37"/>
      <c r="E5738" s="37"/>
      <c r="F5738" s="37"/>
      <c r="G5738" s="37"/>
      <c r="H5738" s="37"/>
      <c r="I5738" s="35"/>
      <c r="J5738" s="37"/>
    </row>
    <row r="5739" spans="1:10" ht="15.95" customHeight="1" x14ac:dyDescent="0.2">
      <c r="A5739" s="39"/>
      <c r="B5739" s="36"/>
      <c r="C5739" s="37"/>
      <c r="D5739" s="37"/>
      <c r="E5739" s="37"/>
      <c r="F5739" s="37"/>
      <c r="G5739" s="37"/>
      <c r="H5739" s="37"/>
      <c r="I5739" s="35"/>
      <c r="J5739" s="37"/>
    </row>
    <row r="5740" spans="1:10" ht="15.95" customHeight="1" x14ac:dyDescent="0.2">
      <c r="A5740" s="39"/>
      <c r="B5740" s="36"/>
      <c r="C5740" s="37"/>
      <c r="D5740" s="37"/>
      <c r="E5740" s="37"/>
      <c r="F5740" s="37"/>
      <c r="G5740" s="37"/>
      <c r="H5740" s="37"/>
      <c r="I5740" s="35"/>
      <c r="J5740" s="37"/>
    </row>
    <row r="5741" spans="1:10" ht="15.95" customHeight="1" x14ac:dyDescent="0.2">
      <c r="A5741" s="39"/>
      <c r="B5741" s="36"/>
      <c r="C5741" s="37"/>
      <c r="D5741" s="37"/>
      <c r="E5741" s="37"/>
      <c r="F5741" s="37"/>
      <c r="G5741" s="37"/>
      <c r="H5741" s="37"/>
      <c r="I5741" s="35"/>
      <c r="J5741" s="37"/>
    </row>
    <row r="5742" spans="1:10" ht="15.95" customHeight="1" x14ac:dyDescent="0.2">
      <c r="A5742" s="39"/>
      <c r="B5742" s="36"/>
      <c r="C5742" s="37"/>
      <c r="D5742" s="37"/>
      <c r="E5742" s="37"/>
      <c r="F5742" s="37"/>
      <c r="G5742" s="37"/>
      <c r="H5742" s="37"/>
      <c r="I5742" s="35"/>
      <c r="J5742" s="37"/>
    </row>
    <row r="5743" spans="1:10" ht="15.95" customHeight="1" x14ac:dyDescent="0.2">
      <c r="A5743" s="39"/>
      <c r="B5743" s="36"/>
      <c r="C5743" s="37"/>
      <c r="D5743" s="37"/>
      <c r="E5743" s="37"/>
      <c r="F5743" s="37"/>
      <c r="G5743" s="37"/>
      <c r="H5743" s="37"/>
      <c r="I5743" s="35"/>
      <c r="J5743" s="37"/>
    </row>
    <row r="5744" spans="1:10" ht="15.95" customHeight="1" x14ac:dyDescent="0.2">
      <c r="A5744" s="39"/>
      <c r="B5744" s="36"/>
      <c r="C5744" s="37"/>
      <c r="D5744" s="37"/>
      <c r="E5744" s="37"/>
      <c r="F5744" s="37"/>
      <c r="G5744" s="37"/>
      <c r="H5744" s="37"/>
      <c r="I5744" s="35"/>
      <c r="J5744" s="37"/>
    </row>
    <row r="5745" spans="1:10" ht="15.95" customHeight="1" x14ac:dyDescent="0.2">
      <c r="A5745" s="39"/>
      <c r="B5745" s="36"/>
      <c r="C5745" s="37"/>
      <c r="D5745" s="37"/>
      <c r="E5745" s="37"/>
      <c r="F5745" s="37"/>
      <c r="G5745" s="37"/>
      <c r="H5745" s="37"/>
      <c r="I5745" s="35"/>
      <c r="J5745" s="37"/>
    </row>
    <row r="5746" spans="1:10" ht="15.95" customHeight="1" x14ac:dyDescent="0.2">
      <c r="A5746" s="39"/>
      <c r="B5746" s="36"/>
      <c r="C5746" s="37"/>
      <c r="D5746" s="37"/>
      <c r="E5746" s="37"/>
      <c r="F5746" s="37"/>
      <c r="G5746" s="37"/>
      <c r="H5746" s="37"/>
      <c r="I5746" s="35"/>
      <c r="J5746" s="37"/>
    </row>
    <row r="5747" spans="1:10" ht="15.95" customHeight="1" x14ac:dyDescent="0.2">
      <c r="A5747" s="39"/>
      <c r="B5747" s="36"/>
      <c r="C5747" s="37"/>
      <c r="D5747" s="37"/>
      <c r="E5747" s="37"/>
      <c r="F5747" s="37"/>
      <c r="G5747" s="37"/>
      <c r="H5747" s="37"/>
      <c r="I5747" s="35"/>
      <c r="J5747" s="37"/>
    </row>
    <row r="5748" spans="1:10" ht="15.95" customHeight="1" x14ac:dyDescent="0.2">
      <c r="A5748" s="39"/>
      <c r="B5748" s="36"/>
      <c r="C5748" s="37"/>
      <c r="D5748" s="37"/>
      <c r="E5748" s="37"/>
      <c r="F5748" s="37"/>
      <c r="G5748" s="37"/>
      <c r="H5748" s="37"/>
      <c r="I5748" s="35"/>
      <c r="J5748" s="37"/>
    </row>
    <row r="5749" spans="1:10" ht="15.95" customHeight="1" x14ac:dyDescent="0.2">
      <c r="A5749" s="39"/>
      <c r="B5749" s="36"/>
      <c r="C5749" s="37"/>
      <c r="D5749" s="37"/>
      <c r="E5749" s="37"/>
      <c r="F5749" s="37"/>
      <c r="G5749" s="37"/>
      <c r="H5749" s="37"/>
      <c r="I5749" s="35"/>
      <c r="J5749" s="37"/>
    </row>
    <row r="5750" spans="1:10" ht="15.95" customHeight="1" x14ac:dyDescent="0.2">
      <c r="A5750" s="39"/>
      <c r="B5750" s="36"/>
      <c r="C5750" s="37"/>
      <c r="D5750" s="37"/>
      <c r="E5750" s="37"/>
      <c r="F5750" s="37"/>
      <c r="G5750" s="37"/>
      <c r="H5750" s="37"/>
      <c r="I5750" s="35"/>
      <c r="J5750" s="37"/>
    </row>
    <row r="5751" spans="1:10" ht="15.95" customHeight="1" x14ac:dyDescent="0.2">
      <c r="A5751" s="39"/>
      <c r="B5751" s="36"/>
      <c r="C5751" s="37"/>
      <c r="D5751" s="37"/>
      <c r="E5751" s="37"/>
      <c r="F5751" s="37"/>
      <c r="G5751" s="37"/>
      <c r="H5751" s="37"/>
      <c r="I5751" s="35"/>
      <c r="J5751" s="37"/>
    </row>
    <row r="5752" spans="1:10" ht="15.95" customHeight="1" x14ac:dyDescent="0.2">
      <c r="A5752" s="39"/>
      <c r="B5752" s="36"/>
      <c r="C5752" s="37"/>
      <c r="D5752" s="37"/>
      <c r="E5752" s="37"/>
      <c r="F5752" s="37"/>
      <c r="G5752" s="37"/>
      <c r="H5752" s="37"/>
      <c r="I5752" s="35"/>
      <c r="J5752" s="37"/>
    </row>
    <row r="5753" spans="1:10" ht="15.95" customHeight="1" x14ac:dyDescent="0.2">
      <c r="A5753" s="39"/>
      <c r="B5753" s="36"/>
      <c r="C5753" s="37"/>
      <c r="D5753" s="37"/>
      <c r="E5753" s="37"/>
      <c r="F5753" s="37"/>
      <c r="G5753" s="37"/>
      <c r="H5753" s="37"/>
      <c r="I5753" s="35"/>
      <c r="J5753" s="37"/>
    </row>
    <row r="5754" spans="1:10" ht="15.95" customHeight="1" x14ac:dyDescent="0.2">
      <c r="A5754" s="39"/>
      <c r="B5754" s="36"/>
      <c r="C5754" s="37"/>
      <c r="D5754" s="37"/>
      <c r="E5754" s="37"/>
      <c r="F5754" s="37"/>
      <c r="G5754" s="37"/>
      <c r="H5754" s="37"/>
      <c r="I5754" s="35"/>
      <c r="J5754" s="37"/>
    </row>
    <row r="5755" spans="1:10" ht="15.95" customHeight="1" x14ac:dyDescent="0.2">
      <c r="A5755" s="39"/>
      <c r="B5755" s="36"/>
      <c r="C5755" s="37"/>
      <c r="D5755" s="37"/>
      <c r="E5755" s="37"/>
      <c r="F5755" s="37"/>
      <c r="G5755" s="37"/>
      <c r="H5755" s="37"/>
      <c r="I5755" s="35"/>
      <c r="J5755" s="37"/>
    </row>
    <row r="5756" spans="1:10" ht="15.95" customHeight="1" x14ac:dyDescent="0.2">
      <c r="A5756" s="39"/>
      <c r="B5756" s="36"/>
      <c r="C5756" s="37"/>
      <c r="D5756" s="37"/>
      <c r="E5756" s="37"/>
      <c r="F5756" s="37"/>
      <c r="G5756" s="37"/>
      <c r="H5756" s="37"/>
      <c r="I5756" s="35"/>
      <c r="J5756" s="37"/>
    </row>
    <row r="5757" spans="1:10" ht="15.95" customHeight="1" x14ac:dyDescent="0.2">
      <c r="A5757" s="39"/>
      <c r="B5757" s="36"/>
      <c r="C5757" s="37"/>
      <c r="D5757" s="37"/>
      <c r="E5757" s="37"/>
      <c r="F5757" s="37"/>
      <c r="G5757" s="37"/>
      <c r="H5757" s="37"/>
      <c r="I5757" s="35"/>
      <c r="J5757" s="37"/>
    </row>
    <row r="5758" spans="1:10" ht="15.95" customHeight="1" x14ac:dyDescent="0.2">
      <c r="A5758" s="39"/>
      <c r="B5758" s="36"/>
      <c r="C5758" s="37"/>
      <c r="D5758" s="37"/>
      <c r="E5758" s="37"/>
      <c r="F5758" s="37"/>
      <c r="G5758" s="37"/>
      <c r="H5758" s="37"/>
      <c r="I5758" s="35"/>
      <c r="J5758" s="37"/>
    </row>
    <row r="5759" spans="1:10" ht="15.95" customHeight="1" x14ac:dyDescent="0.2">
      <c r="A5759" s="39"/>
      <c r="B5759" s="36"/>
      <c r="C5759" s="37"/>
      <c r="D5759" s="37"/>
      <c r="E5759" s="37"/>
      <c r="F5759" s="37"/>
      <c r="G5759" s="37"/>
      <c r="H5759" s="37"/>
      <c r="I5759" s="35"/>
      <c r="J5759" s="37"/>
    </row>
    <row r="5760" spans="1:10" ht="15.95" customHeight="1" x14ac:dyDescent="0.2">
      <c r="A5760" s="39"/>
      <c r="B5760" s="36"/>
      <c r="C5760" s="37"/>
      <c r="D5760" s="37"/>
      <c r="E5760" s="37"/>
      <c r="F5760" s="37"/>
      <c r="G5760" s="37"/>
      <c r="H5760" s="37"/>
      <c r="I5760" s="35"/>
      <c r="J5760" s="37"/>
    </row>
    <row r="5761" spans="1:10" ht="15.95" customHeight="1" x14ac:dyDescent="0.2">
      <c r="A5761" s="39"/>
      <c r="B5761" s="36"/>
      <c r="C5761" s="37"/>
      <c r="D5761" s="37"/>
      <c r="E5761" s="37"/>
      <c r="F5761" s="37"/>
      <c r="G5761" s="37"/>
      <c r="H5761" s="37"/>
      <c r="I5761" s="35"/>
      <c r="J5761" s="37"/>
    </row>
    <row r="5762" spans="1:10" ht="15.95" customHeight="1" x14ac:dyDescent="0.2">
      <c r="A5762" s="39"/>
      <c r="B5762" s="36"/>
      <c r="C5762" s="37"/>
      <c r="D5762" s="37"/>
      <c r="E5762" s="37"/>
      <c r="F5762" s="37"/>
      <c r="G5762" s="37"/>
      <c r="H5762" s="37"/>
      <c r="I5762" s="35"/>
      <c r="J5762" s="37"/>
    </row>
    <row r="5763" spans="1:10" ht="15.95" customHeight="1" x14ac:dyDescent="0.2">
      <c r="A5763" s="39"/>
      <c r="B5763" s="36"/>
      <c r="C5763" s="37"/>
      <c r="D5763" s="37"/>
      <c r="E5763" s="37"/>
      <c r="F5763" s="37"/>
      <c r="G5763" s="37"/>
      <c r="H5763" s="37"/>
      <c r="I5763" s="35"/>
      <c r="J5763" s="37"/>
    </row>
    <row r="5764" spans="1:10" ht="15.95" customHeight="1" x14ac:dyDescent="0.2">
      <c r="A5764" s="39"/>
      <c r="B5764" s="36"/>
      <c r="C5764" s="37"/>
      <c r="D5764" s="37"/>
      <c r="E5764" s="37"/>
      <c r="F5764" s="37"/>
      <c r="G5764" s="37"/>
      <c r="H5764" s="37"/>
      <c r="I5764" s="35"/>
      <c r="J5764" s="37"/>
    </row>
    <row r="5765" spans="1:10" ht="15.95" customHeight="1" x14ac:dyDescent="0.2">
      <c r="A5765" s="39"/>
      <c r="B5765" s="36"/>
      <c r="C5765" s="37"/>
      <c r="D5765" s="37"/>
      <c r="E5765" s="37"/>
      <c r="F5765" s="37"/>
      <c r="G5765" s="37"/>
      <c r="H5765" s="37"/>
      <c r="I5765" s="35"/>
      <c r="J5765" s="37"/>
    </row>
    <row r="5766" spans="1:10" ht="15.95" customHeight="1" x14ac:dyDescent="0.2">
      <c r="A5766" s="39"/>
      <c r="B5766" s="36"/>
      <c r="C5766" s="37"/>
      <c r="D5766" s="37"/>
      <c r="E5766" s="37"/>
      <c r="F5766" s="37"/>
      <c r="G5766" s="37"/>
      <c r="H5766" s="37"/>
      <c r="I5766" s="35"/>
      <c r="J5766" s="37"/>
    </row>
    <row r="5767" spans="1:10" ht="15.95" customHeight="1" x14ac:dyDescent="0.2">
      <c r="A5767" s="39"/>
      <c r="B5767" s="36"/>
      <c r="C5767" s="37"/>
      <c r="D5767" s="37"/>
      <c r="E5767" s="37"/>
      <c r="F5767" s="37"/>
      <c r="G5767" s="37"/>
      <c r="H5767" s="37"/>
      <c r="I5767" s="35"/>
      <c r="J5767" s="37"/>
    </row>
    <row r="5768" spans="1:10" ht="15.95" customHeight="1" x14ac:dyDescent="0.2">
      <c r="A5768" s="39"/>
      <c r="B5768" s="36"/>
      <c r="C5768" s="37"/>
      <c r="D5768" s="37"/>
      <c r="E5768" s="37"/>
      <c r="F5768" s="37"/>
      <c r="G5768" s="37"/>
      <c r="H5768" s="37"/>
      <c r="I5768" s="35"/>
      <c r="J5768" s="37"/>
    </row>
    <row r="5769" spans="1:10" ht="15.95" customHeight="1" x14ac:dyDescent="0.2">
      <c r="A5769" s="39"/>
      <c r="B5769" s="36"/>
      <c r="C5769" s="37"/>
      <c r="D5769" s="37"/>
      <c r="E5769" s="37"/>
      <c r="F5769" s="37"/>
      <c r="G5769" s="37"/>
      <c r="H5769" s="37"/>
      <c r="I5769" s="35"/>
      <c r="J5769" s="37"/>
    </row>
    <row r="5770" spans="1:10" ht="15.95" customHeight="1" x14ac:dyDescent="0.2">
      <c r="A5770" s="39"/>
      <c r="B5770" s="36"/>
      <c r="C5770" s="37"/>
      <c r="D5770" s="37"/>
      <c r="E5770" s="37"/>
      <c r="F5770" s="37"/>
      <c r="G5770" s="37"/>
      <c r="H5770" s="37"/>
      <c r="I5770" s="35"/>
      <c r="J5770" s="37"/>
    </row>
    <row r="5771" spans="1:10" ht="15.95" customHeight="1" x14ac:dyDescent="0.2">
      <c r="A5771" s="39"/>
      <c r="B5771" s="36"/>
      <c r="C5771" s="37"/>
      <c r="D5771" s="37"/>
      <c r="E5771" s="37"/>
      <c r="F5771" s="37"/>
      <c r="G5771" s="37"/>
      <c r="H5771" s="37"/>
      <c r="I5771" s="35"/>
      <c r="J5771" s="37"/>
    </row>
    <row r="5772" spans="1:10" ht="15.95" customHeight="1" x14ac:dyDescent="0.2">
      <c r="A5772" s="39"/>
      <c r="B5772" s="36"/>
      <c r="C5772" s="37"/>
      <c r="D5772" s="37"/>
      <c r="E5772" s="37"/>
      <c r="F5772" s="37"/>
      <c r="G5772" s="37"/>
      <c r="H5772" s="37"/>
      <c r="I5772" s="35"/>
      <c r="J5772" s="37"/>
    </row>
    <row r="5773" spans="1:10" ht="15.95" customHeight="1" x14ac:dyDescent="0.2">
      <c r="A5773" s="39"/>
      <c r="B5773" s="36"/>
      <c r="C5773" s="37"/>
      <c r="D5773" s="37"/>
      <c r="E5773" s="37"/>
      <c r="F5773" s="37"/>
      <c r="G5773" s="37"/>
      <c r="H5773" s="37"/>
      <c r="I5773" s="35"/>
      <c r="J5773" s="37"/>
    </row>
    <row r="5774" spans="1:10" ht="15.95" customHeight="1" x14ac:dyDescent="0.2">
      <c r="A5774" s="39"/>
      <c r="B5774" s="36"/>
      <c r="C5774" s="37"/>
      <c r="D5774" s="37"/>
      <c r="E5774" s="37"/>
      <c r="F5774" s="37"/>
      <c r="G5774" s="37"/>
      <c r="H5774" s="37"/>
      <c r="I5774" s="35"/>
      <c r="J5774" s="37"/>
    </row>
    <row r="5775" spans="1:10" ht="15.95" customHeight="1" x14ac:dyDescent="0.2">
      <c r="A5775" s="39"/>
      <c r="B5775" s="36"/>
      <c r="C5775" s="37"/>
      <c r="D5775" s="37"/>
      <c r="E5775" s="37"/>
      <c r="F5775" s="37"/>
      <c r="G5775" s="37"/>
      <c r="H5775" s="37"/>
      <c r="I5775" s="35"/>
      <c r="J5775" s="37"/>
    </row>
    <row r="5776" spans="1:10" ht="15.95" customHeight="1" x14ac:dyDescent="0.2">
      <c r="A5776" s="39"/>
      <c r="B5776" s="36"/>
      <c r="C5776" s="37"/>
      <c r="D5776" s="37"/>
      <c r="E5776" s="37"/>
      <c r="F5776" s="37"/>
      <c r="G5776" s="37"/>
      <c r="H5776" s="37"/>
      <c r="I5776" s="35"/>
      <c r="J5776" s="37"/>
    </row>
    <row r="5777" spans="1:10" ht="15.95" customHeight="1" x14ac:dyDescent="0.2">
      <c r="A5777" s="39"/>
      <c r="B5777" s="36"/>
      <c r="C5777" s="37"/>
      <c r="D5777" s="37"/>
      <c r="E5777" s="37"/>
      <c r="F5777" s="37"/>
      <c r="G5777" s="37"/>
      <c r="H5777" s="37"/>
      <c r="I5777" s="35"/>
      <c r="J5777" s="37"/>
    </row>
    <row r="5778" spans="1:10" ht="15.95" customHeight="1" x14ac:dyDescent="0.2">
      <c r="A5778" s="39"/>
      <c r="B5778" s="36"/>
      <c r="C5778" s="37"/>
      <c r="D5778" s="37"/>
      <c r="E5778" s="37"/>
      <c r="F5778" s="37"/>
      <c r="G5778" s="37"/>
      <c r="H5778" s="37"/>
      <c r="I5778" s="35"/>
      <c r="J5778" s="37"/>
    </row>
    <row r="5779" spans="1:10" ht="15.95" customHeight="1" x14ac:dyDescent="0.2">
      <c r="A5779" s="39"/>
      <c r="B5779" s="36"/>
      <c r="C5779" s="37"/>
      <c r="D5779" s="37"/>
      <c r="E5779" s="37"/>
      <c r="F5779" s="37"/>
      <c r="G5779" s="37"/>
      <c r="H5779" s="37"/>
      <c r="I5779" s="35"/>
      <c r="J5779" s="37"/>
    </row>
    <row r="5780" spans="1:10" ht="15.95" customHeight="1" x14ac:dyDescent="0.2">
      <c r="A5780" s="39"/>
      <c r="B5780" s="36"/>
      <c r="C5780" s="37"/>
      <c r="D5780" s="37"/>
      <c r="E5780" s="37"/>
      <c r="F5780" s="37"/>
      <c r="G5780" s="37"/>
      <c r="H5780" s="37"/>
      <c r="I5780" s="35"/>
      <c r="J5780" s="37"/>
    </row>
    <row r="5781" spans="1:10" ht="15.95" customHeight="1" x14ac:dyDescent="0.2">
      <c r="A5781" s="39"/>
      <c r="B5781" s="36"/>
      <c r="C5781" s="37"/>
      <c r="D5781" s="37"/>
      <c r="E5781" s="37"/>
      <c r="F5781" s="37"/>
      <c r="G5781" s="37"/>
      <c r="H5781" s="37"/>
      <c r="I5781" s="35"/>
      <c r="J5781" s="37"/>
    </row>
    <row r="5782" spans="1:10" ht="15.95" customHeight="1" x14ac:dyDescent="0.2">
      <c r="A5782" s="39"/>
      <c r="B5782" s="36"/>
      <c r="C5782" s="37"/>
      <c r="D5782" s="37"/>
      <c r="E5782" s="37"/>
      <c r="F5782" s="37"/>
      <c r="G5782" s="37"/>
      <c r="H5782" s="37"/>
      <c r="I5782" s="35"/>
      <c r="J5782" s="37"/>
    </row>
    <row r="5783" spans="1:10" ht="15.95" customHeight="1" x14ac:dyDescent="0.2">
      <c r="A5783" s="39"/>
      <c r="B5783" s="36"/>
      <c r="C5783" s="37"/>
      <c r="D5783" s="37"/>
      <c r="E5783" s="37"/>
      <c r="F5783" s="37"/>
      <c r="G5783" s="37"/>
      <c r="H5783" s="37"/>
      <c r="I5783" s="35"/>
      <c r="J5783" s="37"/>
    </row>
    <row r="5784" spans="1:10" ht="15.95" customHeight="1" x14ac:dyDescent="0.2">
      <c r="A5784" s="39"/>
      <c r="B5784" s="36"/>
      <c r="C5784" s="37"/>
      <c r="D5784" s="37"/>
      <c r="E5784" s="37"/>
      <c r="F5784" s="37"/>
      <c r="G5784" s="37"/>
      <c r="H5784" s="37"/>
      <c r="I5784" s="35"/>
      <c r="J5784" s="37"/>
    </row>
    <row r="5785" spans="1:10" ht="15.95" customHeight="1" x14ac:dyDescent="0.2">
      <c r="A5785" s="39"/>
      <c r="B5785" s="36"/>
      <c r="C5785" s="37"/>
      <c r="D5785" s="37"/>
      <c r="E5785" s="37"/>
      <c r="F5785" s="37"/>
      <c r="G5785" s="37"/>
      <c r="H5785" s="37"/>
      <c r="I5785" s="35"/>
      <c r="J5785" s="37"/>
    </row>
    <row r="5786" spans="1:10" ht="15.95" customHeight="1" x14ac:dyDescent="0.2">
      <c r="A5786" s="39"/>
      <c r="B5786" s="36"/>
      <c r="C5786" s="37"/>
      <c r="D5786" s="37"/>
      <c r="E5786" s="37"/>
      <c r="F5786" s="37"/>
      <c r="G5786" s="37"/>
      <c r="H5786" s="37"/>
      <c r="I5786" s="35"/>
      <c r="J5786" s="37"/>
    </row>
    <row r="5787" spans="1:10" ht="15.95" customHeight="1" x14ac:dyDescent="0.2">
      <c r="A5787" s="39"/>
      <c r="B5787" s="36"/>
      <c r="C5787" s="37"/>
      <c r="D5787" s="37"/>
      <c r="E5787" s="37"/>
      <c r="F5787" s="37"/>
      <c r="G5787" s="37"/>
      <c r="H5787" s="37"/>
      <c r="I5787" s="35"/>
      <c r="J5787" s="37"/>
    </row>
    <row r="5788" spans="1:10" ht="15.95" customHeight="1" x14ac:dyDescent="0.2">
      <c r="A5788" s="39"/>
      <c r="B5788" s="36"/>
      <c r="C5788" s="37"/>
      <c r="D5788" s="37"/>
      <c r="E5788" s="37"/>
      <c r="F5788" s="37"/>
      <c r="G5788" s="37"/>
      <c r="H5788" s="37"/>
      <c r="I5788" s="35"/>
      <c r="J5788" s="37"/>
    </row>
    <row r="5789" spans="1:10" ht="15.95" customHeight="1" x14ac:dyDescent="0.2">
      <c r="A5789" s="39"/>
      <c r="B5789" s="36"/>
      <c r="C5789" s="37"/>
      <c r="D5789" s="37"/>
      <c r="E5789" s="37"/>
      <c r="F5789" s="37"/>
      <c r="G5789" s="37"/>
      <c r="H5789" s="37"/>
      <c r="I5789" s="35"/>
      <c r="J5789" s="37"/>
    </row>
    <row r="5790" spans="1:10" ht="15.95" customHeight="1" x14ac:dyDescent="0.2">
      <c r="A5790" s="39"/>
      <c r="B5790" s="36"/>
      <c r="C5790" s="37"/>
      <c r="D5790" s="37"/>
      <c r="E5790" s="37"/>
      <c r="F5790" s="37"/>
      <c r="G5790" s="37"/>
      <c r="H5790" s="37"/>
      <c r="I5790" s="35"/>
      <c r="J5790" s="37"/>
    </row>
    <row r="5791" spans="1:10" ht="15.95" customHeight="1" x14ac:dyDescent="0.2">
      <c r="A5791" s="39"/>
      <c r="B5791" s="36"/>
      <c r="C5791" s="37"/>
      <c r="D5791" s="37"/>
      <c r="E5791" s="37"/>
      <c r="F5791" s="37"/>
      <c r="G5791" s="37"/>
      <c r="H5791" s="37"/>
      <c r="I5791" s="35"/>
      <c r="J5791" s="37"/>
    </row>
    <row r="5792" spans="1:10" ht="15.95" customHeight="1" x14ac:dyDescent="0.2">
      <c r="A5792" s="39"/>
      <c r="B5792" s="36"/>
      <c r="C5792" s="37"/>
      <c r="D5792" s="37"/>
      <c r="E5792" s="37"/>
      <c r="F5792" s="37"/>
      <c r="G5792" s="37"/>
      <c r="H5792" s="37"/>
      <c r="I5792" s="35"/>
      <c r="J5792" s="37"/>
    </row>
    <row r="5793" spans="1:10" ht="15.95" customHeight="1" x14ac:dyDescent="0.2">
      <c r="A5793" s="39"/>
      <c r="B5793" s="36"/>
      <c r="C5793" s="37"/>
      <c r="D5793" s="37"/>
      <c r="E5793" s="37"/>
      <c r="F5793" s="37"/>
      <c r="G5793" s="37"/>
      <c r="H5793" s="37"/>
      <c r="I5793" s="35"/>
      <c r="J5793" s="37"/>
    </row>
    <row r="5794" spans="1:10" ht="15.95" customHeight="1" x14ac:dyDescent="0.2">
      <c r="A5794" s="39"/>
      <c r="B5794" s="36"/>
      <c r="C5794" s="37"/>
      <c r="D5794" s="37"/>
      <c r="E5794" s="37"/>
      <c r="F5794" s="37"/>
      <c r="G5794" s="37"/>
      <c r="H5794" s="37"/>
      <c r="I5794" s="35"/>
      <c r="J5794" s="37"/>
    </row>
    <row r="5795" spans="1:10" ht="15.95" customHeight="1" x14ac:dyDescent="0.2">
      <c r="A5795" s="39"/>
      <c r="B5795" s="36"/>
      <c r="C5795" s="37"/>
      <c r="D5795" s="37"/>
      <c r="E5795" s="37"/>
      <c r="F5795" s="37"/>
      <c r="G5795" s="37"/>
      <c r="H5795" s="37"/>
      <c r="I5795" s="35"/>
      <c r="J5795" s="37"/>
    </row>
    <row r="5796" spans="1:10" ht="15.95" customHeight="1" x14ac:dyDescent="0.2">
      <c r="A5796" s="39"/>
      <c r="B5796" s="36"/>
      <c r="C5796" s="37"/>
      <c r="D5796" s="37"/>
      <c r="E5796" s="37"/>
      <c r="F5796" s="37"/>
      <c r="G5796" s="37"/>
      <c r="H5796" s="37"/>
      <c r="I5796" s="35"/>
      <c r="J5796" s="37"/>
    </row>
    <row r="5797" spans="1:10" ht="15.95" customHeight="1" x14ac:dyDescent="0.2">
      <c r="A5797" s="39"/>
      <c r="B5797" s="36"/>
      <c r="C5797" s="37"/>
      <c r="D5797" s="37"/>
      <c r="E5797" s="37"/>
      <c r="F5797" s="37"/>
      <c r="G5797" s="37"/>
      <c r="H5797" s="37"/>
      <c r="I5797" s="35"/>
      <c r="J5797" s="37"/>
    </row>
    <row r="5798" spans="1:10" ht="15.95" customHeight="1" x14ac:dyDescent="0.2">
      <c r="A5798" s="39"/>
      <c r="B5798" s="36"/>
      <c r="C5798" s="37"/>
      <c r="D5798" s="37"/>
      <c r="E5798" s="37"/>
      <c r="F5798" s="37"/>
      <c r="G5798" s="37"/>
      <c r="H5798" s="37"/>
      <c r="I5798" s="35"/>
      <c r="J5798" s="37"/>
    </row>
    <row r="5799" spans="1:10" ht="15.95" customHeight="1" x14ac:dyDescent="0.2">
      <c r="A5799" s="39"/>
      <c r="B5799" s="36"/>
      <c r="C5799" s="37"/>
      <c r="D5799" s="37"/>
      <c r="E5799" s="37"/>
      <c r="F5799" s="37"/>
      <c r="G5799" s="37"/>
      <c r="H5799" s="37"/>
      <c r="I5799" s="35"/>
      <c r="J5799" s="37"/>
    </row>
    <row r="5800" spans="1:10" ht="15.95" customHeight="1" x14ac:dyDescent="0.2">
      <c r="A5800" s="39"/>
      <c r="B5800" s="36"/>
      <c r="C5800" s="37"/>
      <c r="D5800" s="37"/>
      <c r="E5800" s="37"/>
      <c r="F5800" s="37"/>
      <c r="G5800" s="37"/>
      <c r="H5800" s="37"/>
      <c r="I5800" s="35"/>
      <c r="J5800" s="37"/>
    </row>
    <row r="5801" spans="1:10" ht="15.95" customHeight="1" x14ac:dyDescent="0.2">
      <c r="A5801" s="39"/>
      <c r="B5801" s="36"/>
      <c r="C5801" s="37"/>
      <c r="D5801" s="37"/>
      <c r="E5801" s="37"/>
      <c r="F5801" s="37"/>
      <c r="G5801" s="37"/>
      <c r="H5801" s="37"/>
      <c r="I5801" s="35"/>
      <c r="J5801" s="37"/>
    </row>
    <row r="5802" spans="1:10" ht="15.95" customHeight="1" x14ac:dyDescent="0.2">
      <c r="A5802" s="39"/>
      <c r="B5802" s="36"/>
      <c r="C5802" s="37"/>
      <c r="D5802" s="37"/>
      <c r="E5802" s="37"/>
      <c r="F5802" s="37"/>
      <c r="G5802" s="37"/>
      <c r="H5802" s="37"/>
      <c r="I5802" s="35"/>
      <c r="J5802" s="37"/>
    </row>
    <row r="5803" spans="1:10" ht="15.95" customHeight="1" x14ac:dyDescent="0.2">
      <c r="A5803" s="39"/>
      <c r="B5803" s="36"/>
      <c r="C5803" s="37"/>
      <c r="D5803" s="37"/>
      <c r="E5803" s="37"/>
      <c r="F5803" s="37"/>
      <c r="G5803" s="37"/>
      <c r="H5803" s="37"/>
      <c r="I5803" s="35"/>
      <c r="J5803" s="37"/>
    </row>
    <row r="5804" spans="1:10" ht="15.95" customHeight="1" x14ac:dyDescent="0.2">
      <c r="A5804" s="39"/>
      <c r="B5804" s="36"/>
      <c r="C5804" s="37"/>
      <c r="D5804" s="37"/>
      <c r="E5804" s="37"/>
      <c r="F5804" s="37"/>
      <c r="G5804" s="37"/>
      <c r="H5804" s="37"/>
      <c r="I5804" s="35"/>
      <c r="J5804" s="37"/>
    </row>
    <row r="5805" spans="1:10" ht="15.95" customHeight="1" x14ac:dyDescent="0.2">
      <c r="A5805" s="39"/>
      <c r="B5805" s="36"/>
      <c r="C5805" s="37"/>
      <c r="D5805" s="37"/>
      <c r="E5805" s="37"/>
      <c r="F5805" s="37"/>
      <c r="G5805" s="37"/>
      <c r="H5805" s="37"/>
      <c r="I5805" s="35"/>
      <c r="J5805" s="37"/>
    </row>
    <row r="5806" spans="1:10" ht="15.95" customHeight="1" x14ac:dyDescent="0.2">
      <c r="A5806" s="39"/>
      <c r="B5806" s="36"/>
      <c r="C5806" s="37"/>
      <c r="D5806" s="37"/>
      <c r="E5806" s="37"/>
      <c r="F5806" s="37"/>
      <c r="G5806" s="37"/>
      <c r="H5806" s="37"/>
      <c r="I5806" s="35"/>
      <c r="J5806" s="37"/>
    </row>
    <row r="5807" spans="1:10" ht="15.95" customHeight="1" x14ac:dyDescent="0.2">
      <c r="A5807" s="39"/>
      <c r="B5807" s="36"/>
      <c r="C5807" s="37"/>
      <c r="D5807" s="37"/>
      <c r="E5807" s="37"/>
      <c r="F5807" s="37"/>
      <c r="G5807" s="37"/>
      <c r="H5807" s="37"/>
      <c r="I5807" s="35"/>
      <c r="J5807" s="37"/>
    </row>
    <row r="5808" spans="1:10" ht="15.95" customHeight="1" x14ac:dyDescent="0.2">
      <c r="A5808" s="39"/>
      <c r="B5808" s="36"/>
      <c r="C5808" s="37"/>
      <c r="D5808" s="37"/>
      <c r="E5808" s="37"/>
      <c r="F5808" s="37"/>
      <c r="G5808" s="37"/>
      <c r="H5808" s="37"/>
      <c r="I5808" s="35"/>
      <c r="J5808" s="37"/>
    </row>
    <row r="5809" spans="1:10" ht="15.95" customHeight="1" x14ac:dyDescent="0.2">
      <c r="A5809" s="39"/>
      <c r="B5809" s="36"/>
      <c r="C5809" s="37"/>
      <c r="D5809" s="37"/>
      <c r="E5809" s="37"/>
      <c r="F5809" s="37"/>
      <c r="G5809" s="37"/>
      <c r="H5809" s="37"/>
      <c r="I5809" s="35"/>
      <c r="J5809" s="37"/>
    </row>
    <row r="5810" spans="1:10" ht="15.95" customHeight="1" x14ac:dyDescent="0.2">
      <c r="A5810" s="39"/>
      <c r="B5810" s="36"/>
      <c r="C5810" s="37"/>
      <c r="D5810" s="37"/>
      <c r="E5810" s="37"/>
      <c r="F5810" s="37"/>
      <c r="G5810" s="37"/>
      <c r="H5810" s="37"/>
      <c r="I5810" s="35"/>
      <c r="J5810" s="37"/>
    </row>
    <row r="5811" spans="1:10" ht="15.95" customHeight="1" x14ac:dyDescent="0.2">
      <c r="A5811" s="39"/>
      <c r="B5811" s="36"/>
      <c r="C5811" s="37"/>
      <c r="D5811" s="37"/>
      <c r="E5811" s="37"/>
      <c r="F5811" s="37"/>
      <c r="G5811" s="37"/>
      <c r="H5811" s="37"/>
      <c r="I5811" s="35"/>
      <c r="J5811" s="37"/>
    </row>
    <row r="5812" spans="1:10" ht="15.95" customHeight="1" x14ac:dyDescent="0.2">
      <c r="A5812" s="39"/>
      <c r="B5812" s="36"/>
      <c r="C5812" s="37"/>
      <c r="D5812" s="37"/>
      <c r="E5812" s="37"/>
      <c r="F5812" s="37"/>
      <c r="G5812" s="37"/>
      <c r="H5812" s="37"/>
      <c r="I5812" s="35"/>
      <c r="J5812" s="37"/>
    </row>
    <row r="5813" spans="1:10" ht="15.95" customHeight="1" x14ac:dyDescent="0.2">
      <c r="A5813" s="39"/>
      <c r="B5813" s="36"/>
      <c r="C5813" s="37"/>
      <c r="D5813" s="37"/>
      <c r="E5813" s="37"/>
      <c r="F5813" s="37"/>
      <c r="G5813" s="37"/>
      <c r="H5813" s="37"/>
      <c r="I5813" s="35"/>
      <c r="J5813" s="37"/>
    </row>
    <row r="5814" spans="1:10" ht="15.95" customHeight="1" x14ac:dyDescent="0.2">
      <c r="A5814" s="39"/>
      <c r="B5814" s="36"/>
      <c r="C5814" s="37"/>
      <c r="D5814" s="37"/>
      <c r="E5814" s="37"/>
      <c r="F5814" s="37"/>
      <c r="G5814" s="37"/>
      <c r="H5814" s="37"/>
      <c r="I5814" s="35"/>
      <c r="J5814" s="37"/>
    </row>
    <row r="5815" spans="1:10" ht="15.95" customHeight="1" x14ac:dyDescent="0.2">
      <c r="A5815" s="39"/>
      <c r="B5815" s="36"/>
      <c r="C5815" s="37"/>
      <c r="D5815" s="37"/>
      <c r="E5815" s="37"/>
      <c r="F5815" s="37"/>
      <c r="G5815" s="37"/>
      <c r="H5815" s="37"/>
      <c r="I5815" s="35"/>
      <c r="J5815" s="37"/>
    </row>
    <row r="5816" spans="1:10" ht="15.95" customHeight="1" x14ac:dyDescent="0.2">
      <c r="A5816" s="39"/>
      <c r="B5816" s="36"/>
      <c r="C5816" s="37"/>
      <c r="D5816" s="37"/>
      <c r="E5816" s="37"/>
      <c r="F5816" s="37"/>
      <c r="G5816" s="37"/>
      <c r="H5816" s="37"/>
      <c r="I5816" s="35"/>
      <c r="J5816" s="37"/>
    </row>
    <row r="5817" spans="1:10" ht="15.95" customHeight="1" x14ac:dyDescent="0.2">
      <c r="A5817" s="39"/>
      <c r="B5817" s="36"/>
      <c r="C5817" s="37"/>
      <c r="D5817" s="37"/>
      <c r="E5817" s="37"/>
      <c r="F5817" s="37"/>
      <c r="G5817" s="37"/>
      <c r="H5817" s="37"/>
      <c r="I5817" s="35"/>
      <c r="J5817" s="37"/>
    </row>
    <row r="5818" spans="1:10" ht="15.95" customHeight="1" x14ac:dyDescent="0.2">
      <c r="A5818" s="39"/>
      <c r="B5818" s="36"/>
      <c r="C5818" s="37"/>
      <c r="D5818" s="37"/>
      <c r="E5818" s="37"/>
      <c r="F5818" s="37"/>
      <c r="G5818" s="37"/>
      <c r="H5818" s="37"/>
      <c r="I5818" s="35"/>
      <c r="J5818" s="37"/>
    </row>
    <row r="5819" spans="1:10" ht="15.95" customHeight="1" x14ac:dyDescent="0.2">
      <c r="A5819" s="39"/>
      <c r="B5819" s="36"/>
      <c r="C5819" s="37"/>
      <c r="D5819" s="37"/>
      <c r="E5819" s="37"/>
      <c r="F5819" s="37"/>
      <c r="G5819" s="37"/>
      <c r="H5819" s="37"/>
      <c r="I5819" s="35"/>
      <c r="J5819" s="37"/>
    </row>
    <row r="5820" spans="1:10" ht="15.95" customHeight="1" x14ac:dyDescent="0.2">
      <c r="A5820" s="39"/>
      <c r="B5820" s="36"/>
      <c r="C5820" s="37"/>
      <c r="D5820" s="37"/>
      <c r="E5820" s="37"/>
      <c r="F5820" s="37"/>
      <c r="G5820" s="37"/>
      <c r="H5820" s="37"/>
      <c r="I5820" s="35"/>
      <c r="J5820" s="37"/>
    </row>
    <row r="5821" spans="1:10" ht="15.95" customHeight="1" x14ac:dyDescent="0.2">
      <c r="A5821" s="39"/>
      <c r="B5821" s="36"/>
      <c r="C5821" s="37"/>
      <c r="D5821" s="37"/>
      <c r="E5821" s="37"/>
      <c r="F5821" s="37"/>
      <c r="G5821" s="37"/>
      <c r="H5821" s="37"/>
      <c r="I5821" s="35"/>
      <c r="J5821" s="37"/>
    </row>
    <row r="5822" spans="1:10" ht="15.95" customHeight="1" x14ac:dyDescent="0.2">
      <c r="A5822" s="39"/>
      <c r="B5822" s="36"/>
      <c r="C5822" s="37"/>
      <c r="D5822" s="37"/>
      <c r="E5822" s="37"/>
      <c r="F5822" s="37"/>
      <c r="G5822" s="37"/>
      <c r="H5822" s="37"/>
      <c r="I5822" s="35"/>
      <c r="J5822" s="37"/>
    </row>
    <row r="5823" spans="1:10" ht="15.95" customHeight="1" x14ac:dyDescent="0.2">
      <c r="A5823" s="39"/>
      <c r="B5823" s="36"/>
      <c r="C5823" s="37"/>
      <c r="D5823" s="37"/>
      <c r="E5823" s="37"/>
      <c r="F5823" s="37"/>
      <c r="G5823" s="37"/>
      <c r="H5823" s="37"/>
      <c r="I5823" s="35"/>
      <c r="J5823" s="37"/>
    </row>
    <row r="5824" spans="1:10" ht="15.95" customHeight="1" x14ac:dyDescent="0.2">
      <c r="A5824" s="39"/>
      <c r="B5824" s="36"/>
      <c r="C5824" s="37"/>
      <c r="D5824" s="37"/>
      <c r="E5824" s="37"/>
      <c r="F5824" s="37"/>
      <c r="G5824" s="37"/>
      <c r="H5824" s="37"/>
      <c r="I5824" s="35"/>
      <c r="J5824" s="37"/>
    </row>
    <row r="5825" spans="1:10" ht="15.95" customHeight="1" x14ac:dyDescent="0.2">
      <c r="A5825" s="39"/>
      <c r="B5825" s="36"/>
      <c r="C5825" s="37"/>
      <c r="D5825" s="37"/>
      <c r="E5825" s="37"/>
      <c r="F5825" s="37"/>
      <c r="G5825" s="37"/>
      <c r="H5825" s="37"/>
      <c r="I5825" s="35"/>
      <c r="J5825" s="37"/>
    </row>
    <row r="5826" spans="1:10" ht="15.95" customHeight="1" x14ac:dyDescent="0.2">
      <c r="A5826" s="39"/>
      <c r="B5826" s="36"/>
      <c r="C5826" s="37"/>
      <c r="D5826" s="37"/>
      <c r="E5826" s="37"/>
      <c r="F5826" s="37"/>
      <c r="G5826" s="37"/>
      <c r="H5826" s="37"/>
      <c r="I5826" s="35"/>
      <c r="J5826" s="37"/>
    </row>
    <row r="5827" spans="1:10" ht="15.95" customHeight="1" x14ac:dyDescent="0.2">
      <c r="A5827" s="39"/>
      <c r="B5827" s="36"/>
      <c r="C5827" s="37"/>
      <c r="D5827" s="37"/>
      <c r="E5827" s="37"/>
      <c r="F5827" s="37"/>
      <c r="G5827" s="37"/>
      <c r="H5827" s="37"/>
      <c r="I5827" s="35"/>
      <c r="J5827" s="37"/>
    </row>
    <row r="5828" spans="1:10" ht="15.95" customHeight="1" x14ac:dyDescent="0.2">
      <c r="A5828" s="39"/>
      <c r="B5828" s="36"/>
      <c r="C5828" s="37"/>
      <c r="D5828" s="37"/>
      <c r="E5828" s="37"/>
      <c r="F5828" s="37"/>
      <c r="G5828" s="37"/>
      <c r="H5828" s="37"/>
      <c r="I5828" s="35"/>
      <c r="J5828" s="37"/>
    </row>
    <row r="5829" spans="1:10" ht="15.95" customHeight="1" x14ac:dyDescent="0.2">
      <c r="A5829" s="39"/>
      <c r="B5829" s="36"/>
      <c r="C5829" s="37"/>
      <c r="D5829" s="37"/>
      <c r="E5829" s="37"/>
      <c r="F5829" s="37"/>
      <c r="G5829" s="37"/>
      <c r="H5829" s="37"/>
      <c r="I5829" s="35"/>
      <c r="J5829" s="37"/>
    </row>
    <row r="5830" spans="1:10" ht="15.95" customHeight="1" x14ac:dyDescent="0.2">
      <c r="A5830" s="39"/>
      <c r="B5830" s="36"/>
      <c r="C5830" s="37"/>
      <c r="D5830" s="37"/>
      <c r="E5830" s="37"/>
      <c r="F5830" s="37"/>
      <c r="G5830" s="37"/>
      <c r="H5830" s="37"/>
      <c r="I5830" s="35"/>
      <c r="J5830" s="37"/>
    </row>
    <row r="5831" spans="1:10" ht="15.95" customHeight="1" x14ac:dyDescent="0.2">
      <c r="A5831" s="39"/>
      <c r="B5831" s="36"/>
      <c r="C5831" s="37"/>
      <c r="D5831" s="37"/>
      <c r="E5831" s="37"/>
      <c r="F5831" s="37"/>
      <c r="G5831" s="37"/>
      <c r="H5831" s="37"/>
      <c r="I5831" s="35"/>
      <c r="J5831" s="37"/>
    </row>
    <row r="5832" spans="1:10" ht="15.95" customHeight="1" x14ac:dyDescent="0.2">
      <c r="A5832" s="39"/>
      <c r="B5832" s="36"/>
      <c r="C5832" s="37"/>
      <c r="D5832" s="37"/>
      <c r="E5832" s="37"/>
      <c r="F5832" s="37"/>
      <c r="G5832" s="37"/>
      <c r="H5832" s="37"/>
      <c r="I5832" s="35"/>
      <c r="J5832" s="37"/>
    </row>
    <row r="5833" spans="1:10" ht="15.95" customHeight="1" x14ac:dyDescent="0.2">
      <c r="A5833" s="39"/>
      <c r="B5833" s="36"/>
      <c r="C5833" s="37"/>
      <c r="D5833" s="37"/>
      <c r="E5833" s="37"/>
      <c r="F5833" s="37"/>
      <c r="G5833" s="37"/>
      <c r="H5833" s="37"/>
      <c r="I5833" s="35"/>
      <c r="J5833" s="37"/>
    </row>
    <row r="5834" spans="1:10" ht="15.95" customHeight="1" x14ac:dyDescent="0.2">
      <c r="A5834" s="39"/>
      <c r="B5834" s="36"/>
      <c r="C5834" s="37"/>
      <c r="D5834" s="37"/>
      <c r="E5834" s="37"/>
      <c r="F5834" s="37"/>
      <c r="G5834" s="37"/>
      <c r="H5834" s="37"/>
      <c r="I5834" s="35"/>
      <c r="J5834" s="37"/>
    </row>
    <row r="5835" spans="1:10" ht="15.95" customHeight="1" x14ac:dyDescent="0.2">
      <c r="A5835" s="39"/>
      <c r="B5835" s="36"/>
      <c r="C5835" s="37"/>
      <c r="D5835" s="37"/>
      <c r="E5835" s="37"/>
      <c r="F5835" s="37"/>
      <c r="G5835" s="37"/>
      <c r="H5835" s="37"/>
      <c r="I5835" s="35"/>
      <c r="J5835" s="37"/>
    </row>
    <row r="5836" spans="1:10" ht="15.95" customHeight="1" x14ac:dyDescent="0.2">
      <c r="A5836" s="39"/>
      <c r="B5836" s="36"/>
      <c r="C5836" s="37"/>
      <c r="D5836" s="37"/>
      <c r="E5836" s="37"/>
      <c r="F5836" s="37"/>
      <c r="G5836" s="37"/>
      <c r="H5836" s="37"/>
      <c r="I5836" s="35"/>
      <c r="J5836" s="37"/>
    </row>
    <row r="5837" spans="1:10" ht="15.95" customHeight="1" x14ac:dyDescent="0.2">
      <c r="A5837" s="39"/>
      <c r="B5837" s="36"/>
      <c r="C5837" s="37"/>
      <c r="D5837" s="37"/>
      <c r="E5837" s="37"/>
      <c r="F5837" s="37"/>
      <c r="G5837" s="37"/>
      <c r="H5837" s="37"/>
      <c r="I5837" s="35"/>
      <c r="J5837" s="37"/>
    </row>
    <row r="5838" spans="1:10" ht="15.95" customHeight="1" x14ac:dyDescent="0.2">
      <c r="A5838" s="39"/>
      <c r="B5838" s="36"/>
      <c r="C5838" s="37"/>
      <c r="D5838" s="37"/>
      <c r="E5838" s="37"/>
      <c r="F5838" s="37"/>
      <c r="G5838" s="37"/>
      <c r="H5838" s="37"/>
      <c r="I5838" s="35"/>
      <c r="J5838" s="37"/>
    </row>
    <row r="5839" spans="1:10" ht="15.95" customHeight="1" x14ac:dyDescent="0.2">
      <c r="A5839" s="39"/>
      <c r="B5839" s="36"/>
      <c r="C5839" s="37"/>
      <c r="D5839" s="37"/>
      <c r="E5839" s="37"/>
      <c r="F5839" s="37"/>
      <c r="G5839" s="37"/>
      <c r="H5839" s="37"/>
      <c r="I5839" s="35"/>
      <c r="J5839" s="37"/>
    </row>
    <row r="5840" spans="1:10" ht="15.95" customHeight="1" x14ac:dyDescent="0.2">
      <c r="A5840" s="39"/>
      <c r="B5840" s="36"/>
      <c r="C5840" s="37"/>
      <c r="D5840" s="37"/>
      <c r="E5840" s="37"/>
      <c r="F5840" s="37"/>
      <c r="G5840" s="37"/>
      <c r="H5840" s="37"/>
      <c r="I5840" s="35"/>
      <c r="J5840" s="37"/>
    </row>
    <row r="5841" spans="1:10" ht="15.95" customHeight="1" x14ac:dyDescent="0.2">
      <c r="A5841" s="39"/>
      <c r="B5841" s="36"/>
      <c r="C5841" s="37"/>
      <c r="D5841" s="37"/>
      <c r="E5841" s="37"/>
      <c r="F5841" s="37"/>
      <c r="G5841" s="37"/>
      <c r="H5841" s="37"/>
      <c r="I5841" s="35"/>
      <c r="J5841" s="37"/>
    </row>
    <row r="5842" spans="1:10" ht="15.95" customHeight="1" x14ac:dyDescent="0.2">
      <c r="A5842" s="39"/>
      <c r="B5842" s="36"/>
      <c r="C5842" s="37"/>
      <c r="D5842" s="37"/>
      <c r="E5842" s="37"/>
      <c r="F5842" s="37"/>
      <c r="G5842" s="37"/>
      <c r="H5842" s="37"/>
      <c r="I5842" s="35"/>
      <c r="J5842" s="37"/>
    </row>
    <row r="5843" spans="1:10" ht="15.95" customHeight="1" x14ac:dyDescent="0.2">
      <c r="A5843" s="39"/>
      <c r="B5843" s="36"/>
      <c r="C5843" s="37"/>
      <c r="D5843" s="37"/>
      <c r="E5843" s="37"/>
      <c r="F5843" s="37"/>
      <c r="G5843" s="37"/>
      <c r="H5843" s="37"/>
      <c r="I5843" s="35"/>
      <c r="J5843" s="37"/>
    </row>
    <row r="5844" spans="1:10" ht="15.95" customHeight="1" x14ac:dyDescent="0.2">
      <c r="A5844" s="39"/>
      <c r="B5844" s="36"/>
      <c r="C5844" s="37"/>
      <c r="D5844" s="37"/>
      <c r="E5844" s="37"/>
      <c r="F5844" s="37"/>
      <c r="G5844" s="37"/>
      <c r="H5844" s="37"/>
      <c r="I5844" s="35"/>
      <c r="J5844" s="37"/>
    </row>
    <row r="5845" spans="1:10" ht="15.95" customHeight="1" x14ac:dyDescent="0.2">
      <c r="A5845" s="39"/>
      <c r="B5845" s="36"/>
      <c r="C5845" s="37"/>
      <c r="D5845" s="37"/>
      <c r="E5845" s="37"/>
      <c r="F5845" s="37"/>
      <c r="G5845" s="37"/>
      <c r="H5845" s="37"/>
      <c r="I5845" s="35"/>
      <c r="J5845" s="37"/>
    </row>
    <row r="5846" spans="1:10" ht="15.95" customHeight="1" x14ac:dyDescent="0.2">
      <c r="A5846" s="39"/>
      <c r="B5846" s="36"/>
      <c r="C5846" s="37"/>
      <c r="D5846" s="37"/>
      <c r="E5846" s="37"/>
      <c r="F5846" s="37"/>
      <c r="G5846" s="37"/>
      <c r="H5846" s="37"/>
      <c r="I5846" s="35"/>
      <c r="J5846" s="37"/>
    </row>
    <row r="5847" spans="1:10" ht="15.95" customHeight="1" x14ac:dyDescent="0.2">
      <c r="A5847" s="39"/>
      <c r="B5847" s="36"/>
      <c r="C5847" s="37"/>
      <c r="D5847" s="37"/>
      <c r="E5847" s="37"/>
      <c r="F5847" s="37"/>
      <c r="G5847" s="37"/>
      <c r="H5847" s="37"/>
      <c r="I5847" s="35"/>
      <c r="J5847" s="37"/>
    </row>
    <row r="5848" spans="1:10" ht="15.95" customHeight="1" x14ac:dyDescent="0.2">
      <c r="A5848" s="39"/>
      <c r="B5848" s="36"/>
      <c r="C5848" s="37"/>
      <c r="D5848" s="37"/>
      <c r="E5848" s="37"/>
      <c r="F5848" s="37"/>
      <c r="G5848" s="37"/>
      <c r="H5848" s="37"/>
      <c r="I5848" s="35"/>
      <c r="J5848" s="37"/>
    </row>
    <row r="5849" spans="1:10" ht="15.95" customHeight="1" x14ac:dyDescent="0.2">
      <c r="A5849" s="39"/>
      <c r="B5849" s="36"/>
      <c r="C5849" s="37"/>
      <c r="D5849" s="37"/>
      <c r="E5849" s="37"/>
      <c r="F5849" s="37"/>
      <c r="G5849" s="37"/>
      <c r="H5849" s="37"/>
      <c r="I5849" s="35"/>
      <c r="J5849" s="37"/>
    </row>
    <row r="5850" spans="1:10" ht="15.95" customHeight="1" x14ac:dyDescent="0.2">
      <c r="A5850" s="39"/>
      <c r="B5850" s="36"/>
      <c r="C5850" s="37"/>
      <c r="D5850" s="37"/>
      <c r="E5850" s="37"/>
      <c r="F5850" s="37"/>
      <c r="G5850" s="37"/>
      <c r="H5850" s="37"/>
      <c r="I5850" s="35"/>
      <c r="J5850" s="37"/>
    </row>
    <row r="5851" spans="1:10" ht="15.95" customHeight="1" x14ac:dyDescent="0.2">
      <c r="A5851" s="39"/>
      <c r="B5851" s="36"/>
      <c r="C5851" s="37"/>
      <c r="D5851" s="37"/>
      <c r="E5851" s="37"/>
      <c r="F5851" s="37"/>
      <c r="G5851" s="37"/>
      <c r="H5851" s="37"/>
      <c r="I5851" s="35"/>
      <c r="J5851" s="37"/>
    </row>
    <row r="5852" spans="1:10" ht="15.95" customHeight="1" x14ac:dyDescent="0.2">
      <c r="A5852" s="39"/>
      <c r="B5852" s="36"/>
      <c r="C5852" s="37"/>
      <c r="D5852" s="37"/>
      <c r="E5852" s="37"/>
      <c r="F5852" s="37"/>
      <c r="G5852" s="37"/>
      <c r="H5852" s="37"/>
      <c r="I5852" s="35"/>
      <c r="J5852" s="37"/>
    </row>
    <row r="5853" spans="1:10" ht="15.95" customHeight="1" x14ac:dyDescent="0.2">
      <c r="A5853" s="39"/>
      <c r="B5853" s="36"/>
      <c r="C5853" s="37"/>
      <c r="D5853" s="37"/>
      <c r="E5853" s="37"/>
      <c r="F5853" s="37"/>
      <c r="G5853" s="37"/>
      <c r="H5853" s="37"/>
      <c r="I5853" s="35"/>
      <c r="J5853" s="37"/>
    </row>
    <row r="5854" spans="1:10" ht="15.95" customHeight="1" x14ac:dyDescent="0.2">
      <c r="A5854" s="39"/>
      <c r="B5854" s="36"/>
      <c r="C5854" s="37"/>
      <c r="D5854" s="37"/>
      <c r="E5854" s="37"/>
      <c r="F5854" s="37"/>
      <c r="G5854" s="37"/>
      <c r="H5854" s="37"/>
      <c r="I5854" s="35"/>
      <c r="J5854" s="37"/>
    </row>
    <row r="5855" spans="1:10" ht="15.95" customHeight="1" x14ac:dyDescent="0.2">
      <c r="A5855" s="39"/>
      <c r="B5855" s="36"/>
      <c r="C5855" s="37"/>
      <c r="D5855" s="37"/>
      <c r="E5855" s="37"/>
      <c r="F5855" s="37"/>
      <c r="G5855" s="37"/>
      <c r="H5855" s="37"/>
      <c r="I5855" s="35"/>
      <c r="J5855" s="37"/>
    </row>
    <row r="5856" spans="1:10" ht="15.95" customHeight="1" x14ac:dyDescent="0.2">
      <c r="A5856" s="39"/>
      <c r="B5856" s="36"/>
      <c r="C5856" s="37"/>
      <c r="D5856" s="37"/>
      <c r="E5856" s="37"/>
      <c r="F5856" s="37"/>
      <c r="G5856" s="37"/>
      <c r="H5856" s="37"/>
      <c r="I5856" s="35"/>
      <c r="J5856" s="37"/>
    </row>
    <row r="5857" spans="1:10" ht="15.95" customHeight="1" x14ac:dyDescent="0.2">
      <c r="A5857" s="39"/>
      <c r="B5857" s="36"/>
      <c r="C5857" s="37"/>
      <c r="D5857" s="37"/>
      <c r="E5857" s="37"/>
      <c r="F5857" s="37"/>
      <c r="G5857" s="37"/>
      <c r="H5857" s="37"/>
      <c r="I5857" s="35"/>
      <c r="J5857" s="37"/>
    </row>
    <row r="5858" spans="1:10" ht="15.95" customHeight="1" x14ac:dyDescent="0.2">
      <c r="A5858" s="39"/>
      <c r="B5858" s="36"/>
      <c r="C5858" s="37"/>
      <c r="D5858" s="37"/>
      <c r="E5858" s="37"/>
      <c r="F5858" s="37"/>
      <c r="G5858" s="37"/>
      <c r="H5858" s="37"/>
      <c r="I5858" s="35"/>
      <c r="J5858" s="37"/>
    </row>
    <row r="5859" spans="1:10" ht="15.95" customHeight="1" x14ac:dyDescent="0.2">
      <c r="A5859" s="39"/>
      <c r="B5859" s="36"/>
      <c r="C5859" s="37"/>
      <c r="D5859" s="37"/>
      <c r="E5859" s="37"/>
      <c r="F5859" s="37"/>
      <c r="G5859" s="37"/>
      <c r="H5859" s="37"/>
      <c r="I5859" s="35"/>
      <c r="J5859" s="37"/>
    </row>
    <row r="5860" spans="1:10" ht="15.95" customHeight="1" x14ac:dyDescent="0.2">
      <c r="A5860" s="39"/>
      <c r="B5860" s="36"/>
      <c r="C5860" s="37"/>
      <c r="D5860" s="37"/>
      <c r="E5860" s="37"/>
      <c r="F5860" s="37"/>
      <c r="G5860" s="37"/>
      <c r="H5860" s="37"/>
      <c r="I5860" s="35"/>
      <c r="J5860" s="37"/>
    </row>
    <row r="5861" spans="1:10" ht="15.95" customHeight="1" x14ac:dyDescent="0.2">
      <c r="A5861" s="39"/>
      <c r="B5861" s="36"/>
      <c r="C5861" s="37"/>
      <c r="D5861" s="37"/>
      <c r="E5861" s="37"/>
      <c r="F5861" s="37"/>
      <c r="G5861" s="37"/>
      <c r="H5861" s="37"/>
      <c r="I5861" s="35"/>
      <c r="J5861" s="37"/>
    </row>
    <row r="5862" spans="1:10" ht="15.95" customHeight="1" x14ac:dyDescent="0.2">
      <c r="A5862" s="39"/>
      <c r="B5862" s="36"/>
      <c r="C5862" s="37"/>
      <c r="D5862" s="37"/>
      <c r="E5862" s="37"/>
      <c r="F5862" s="37"/>
      <c r="G5862" s="37"/>
      <c r="H5862" s="37"/>
      <c r="I5862" s="35"/>
      <c r="J5862" s="37"/>
    </row>
    <row r="5863" spans="1:10" ht="15.95" customHeight="1" x14ac:dyDescent="0.2">
      <c r="A5863" s="39"/>
      <c r="B5863" s="36"/>
      <c r="C5863" s="37"/>
      <c r="D5863" s="37"/>
      <c r="E5863" s="37"/>
      <c r="F5863" s="37"/>
      <c r="G5863" s="37"/>
      <c r="H5863" s="37"/>
      <c r="I5863" s="35"/>
      <c r="J5863" s="37"/>
    </row>
    <row r="5864" spans="1:10" ht="15.95" customHeight="1" x14ac:dyDescent="0.2">
      <c r="A5864" s="39"/>
      <c r="B5864" s="36"/>
      <c r="C5864" s="37"/>
      <c r="D5864" s="37"/>
      <c r="E5864" s="37"/>
      <c r="F5864" s="37"/>
      <c r="G5864" s="37"/>
      <c r="H5864" s="37"/>
      <c r="I5864" s="35"/>
      <c r="J5864" s="37"/>
    </row>
    <row r="5865" spans="1:10" ht="15.95" customHeight="1" x14ac:dyDescent="0.2">
      <c r="A5865" s="39"/>
      <c r="B5865" s="36"/>
      <c r="C5865" s="37"/>
      <c r="D5865" s="37"/>
      <c r="E5865" s="37"/>
      <c r="F5865" s="37"/>
      <c r="G5865" s="37"/>
      <c r="H5865" s="37"/>
      <c r="I5865" s="35"/>
      <c r="J5865" s="37"/>
    </row>
    <row r="5866" spans="1:10" ht="15.95" customHeight="1" x14ac:dyDescent="0.2">
      <c r="A5866" s="39"/>
      <c r="B5866" s="36"/>
      <c r="C5866" s="37"/>
      <c r="D5866" s="37"/>
      <c r="E5866" s="37"/>
      <c r="F5866" s="37"/>
      <c r="G5866" s="37"/>
      <c r="H5866" s="37"/>
      <c r="I5866" s="35"/>
      <c r="J5866" s="37"/>
    </row>
    <row r="5867" spans="1:10" ht="15.95" customHeight="1" x14ac:dyDescent="0.2">
      <c r="A5867" s="39"/>
      <c r="B5867" s="36"/>
      <c r="C5867" s="37"/>
      <c r="D5867" s="37"/>
      <c r="E5867" s="37"/>
      <c r="F5867" s="37"/>
      <c r="G5867" s="37"/>
      <c r="H5867" s="37"/>
      <c r="I5867" s="35"/>
      <c r="J5867" s="37"/>
    </row>
    <row r="5868" spans="1:10" ht="15.95" customHeight="1" x14ac:dyDescent="0.2">
      <c r="A5868" s="39"/>
      <c r="B5868" s="36"/>
      <c r="C5868" s="37"/>
      <c r="D5868" s="37"/>
      <c r="E5868" s="37"/>
      <c r="F5868" s="37"/>
      <c r="G5868" s="37"/>
      <c r="H5868" s="37"/>
      <c r="I5868" s="35"/>
      <c r="J5868" s="37"/>
    </row>
    <row r="5869" spans="1:10" ht="15.95" customHeight="1" x14ac:dyDescent="0.2">
      <c r="A5869" s="39"/>
      <c r="B5869" s="36"/>
      <c r="C5869" s="37"/>
      <c r="D5869" s="37"/>
      <c r="E5869" s="37"/>
      <c r="F5869" s="37"/>
      <c r="G5869" s="37"/>
      <c r="H5869" s="37"/>
      <c r="I5869" s="35"/>
      <c r="J5869" s="37"/>
    </row>
    <row r="5870" spans="1:10" ht="15.95" customHeight="1" x14ac:dyDescent="0.2">
      <c r="A5870" s="39"/>
      <c r="B5870" s="36"/>
      <c r="C5870" s="37"/>
      <c r="D5870" s="37"/>
      <c r="E5870" s="37"/>
      <c r="F5870" s="37"/>
      <c r="G5870" s="37"/>
      <c r="H5870" s="37"/>
      <c r="I5870" s="35"/>
      <c r="J5870" s="37"/>
    </row>
    <row r="5871" spans="1:10" ht="15.95" customHeight="1" x14ac:dyDescent="0.2">
      <c r="A5871" s="39"/>
      <c r="B5871" s="36"/>
      <c r="C5871" s="37"/>
      <c r="D5871" s="37"/>
      <c r="E5871" s="37"/>
      <c r="F5871" s="37"/>
      <c r="G5871" s="37"/>
      <c r="H5871" s="37"/>
      <c r="I5871" s="35"/>
      <c r="J5871" s="37"/>
    </row>
    <row r="5872" spans="1:10" ht="15.95" customHeight="1" x14ac:dyDescent="0.2">
      <c r="A5872" s="39"/>
      <c r="B5872" s="36"/>
      <c r="C5872" s="37"/>
      <c r="D5872" s="37"/>
      <c r="E5872" s="37"/>
      <c r="F5872" s="37"/>
      <c r="G5872" s="37"/>
      <c r="H5872" s="37"/>
      <c r="I5872" s="35"/>
      <c r="J5872" s="37"/>
    </row>
    <row r="5873" spans="1:10" ht="15.95" customHeight="1" x14ac:dyDescent="0.2">
      <c r="A5873" s="39"/>
      <c r="B5873" s="36"/>
      <c r="C5873" s="37"/>
      <c r="D5873" s="37"/>
      <c r="E5873" s="37"/>
      <c r="F5873" s="37"/>
      <c r="G5873" s="37"/>
      <c r="H5873" s="37"/>
      <c r="I5873" s="35"/>
      <c r="J5873" s="37"/>
    </row>
    <row r="5874" spans="1:10" ht="15.95" customHeight="1" x14ac:dyDescent="0.2">
      <c r="A5874" s="39"/>
      <c r="B5874" s="36"/>
      <c r="C5874" s="37"/>
      <c r="D5874" s="37"/>
      <c r="E5874" s="37"/>
      <c r="F5874" s="37"/>
      <c r="G5874" s="37"/>
      <c r="H5874" s="37"/>
      <c r="I5874" s="35"/>
      <c r="J5874" s="37"/>
    </row>
    <row r="5875" spans="1:10" ht="15.95" customHeight="1" x14ac:dyDescent="0.2">
      <c r="A5875" s="39"/>
      <c r="B5875" s="36"/>
      <c r="C5875" s="37"/>
      <c r="D5875" s="37"/>
      <c r="E5875" s="37"/>
      <c r="F5875" s="37"/>
      <c r="G5875" s="37"/>
      <c r="H5875" s="37"/>
      <c r="I5875" s="35"/>
      <c r="J5875" s="37"/>
    </row>
    <row r="5876" spans="1:10" ht="15.95" customHeight="1" x14ac:dyDescent="0.2">
      <c r="A5876" s="39"/>
      <c r="B5876" s="36"/>
      <c r="C5876" s="37"/>
      <c r="D5876" s="37"/>
      <c r="E5876" s="37"/>
      <c r="F5876" s="37"/>
      <c r="G5876" s="37"/>
      <c r="H5876" s="37"/>
      <c r="I5876" s="35"/>
      <c r="J5876" s="37"/>
    </row>
    <row r="5877" spans="1:10" ht="15.95" customHeight="1" x14ac:dyDescent="0.2">
      <c r="A5877" s="39"/>
      <c r="B5877" s="36"/>
      <c r="C5877" s="37"/>
      <c r="D5877" s="37"/>
      <c r="E5877" s="37"/>
      <c r="F5877" s="37"/>
      <c r="G5877" s="37"/>
      <c r="H5877" s="37"/>
      <c r="I5877" s="35"/>
      <c r="J5877" s="37"/>
    </row>
    <row r="5878" spans="1:10" ht="15.95" customHeight="1" x14ac:dyDescent="0.2">
      <c r="A5878" s="39"/>
      <c r="B5878" s="36"/>
      <c r="C5878" s="37"/>
      <c r="D5878" s="37"/>
      <c r="E5878" s="37"/>
      <c r="F5878" s="37"/>
      <c r="G5878" s="37"/>
      <c r="H5878" s="37"/>
      <c r="I5878" s="35"/>
      <c r="J5878" s="37"/>
    </row>
    <row r="5879" spans="1:10" ht="15.95" customHeight="1" x14ac:dyDescent="0.2">
      <c r="A5879" s="39"/>
      <c r="B5879" s="36"/>
      <c r="C5879" s="37"/>
      <c r="D5879" s="37"/>
      <c r="E5879" s="37"/>
      <c r="F5879" s="37"/>
      <c r="G5879" s="37"/>
      <c r="H5879" s="37"/>
      <c r="I5879" s="35"/>
      <c r="J5879" s="37"/>
    </row>
    <row r="5880" spans="1:10" ht="15.95" customHeight="1" x14ac:dyDescent="0.2">
      <c r="A5880" s="39"/>
      <c r="B5880" s="36"/>
      <c r="C5880" s="37"/>
      <c r="D5880" s="37"/>
      <c r="E5880" s="37"/>
      <c r="F5880" s="37"/>
      <c r="G5880" s="37"/>
      <c r="H5880" s="37"/>
      <c r="I5880" s="35"/>
      <c r="J5880" s="37"/>
    </row>
    <row r="5881" spans="1:10" ht="15.95" customHeight="1" x14ac:dyDescent="0.2">
      <c r="A5881" s="39"/>
      <c r="B5881" s="36"/>
      <c r="C5881" s="37"/>
      <c r="D5881" s="37"/>
      <c r="E5881" s="37"/>
      <c r="F5881" s="37"/>
      <c r="G5881" s="37"/>
      <c r="H5881" s="37"/>
      <c r="I5881" s="35"/>
      <c r="J5881" s="37"/>
    </row>
    <row r="5882" spans="1:10" ht="15.95" customHeight="1" x14ac:dyDescent="0.2">
      <c r="A5882" s="39"/>
      <c r="B5882" s="36"/>
      <c r="C5882" s="37"/>
      <c r="D5882" s="37"/>
      <c r="E5882" s="37"/>
      <c r="F5882" s="37"/>
      <c r="G5882" s="37"/>
      <c r="H5882" s="37"/>
      <c r="I5882" s="35"/>
      <c r="J5882" s="37"/>
    </row>
    <row r="5883" spans="1:10" ht="15.95" customHeight="1" x14ac:dyDescent="0.2">
      <c r="A5883" s="39"/>
      <c r="B5883" s="36"/>
      <c r="C5883" s="37"/>
      <c r="D5883" s="37"/>
      <c r="E5883" s="37"/>
      <c r="F5883" s="37"/>
      <c r="G5883" s="37"/>
      <c r="H5883" s="37"/>
      <c r="I5883" s="35"/>
      <c r="J5883" s="37"/>
    </row>
    <row r="5884" spans="1:10" ht="15.95" customHeight="1" x14ac:dyDescent="0.2">
      <c r="A5884" s="39"/>
      <c r="B5884" s="36"/>
      <c r="C5884" s="37"/>
      <c r="D5884" s="37"/>
      <c r="E5884" s="37"/>
      <c r="F5884" s="37"/>
      <c r="G5884" s="37"/>
      <c r="H5884" s="37"/>
      <c r="I5884" s="35"/>
      <c r="J5884" s="37"/>
    </row>
    <row r="5885" spans="1:10" ht="15.95" customHeight="1" x14ac:dyDescent="0.2">
      <c r="A5885" s="39"/>
      <c r="B5885" s="36"/>
      <c r="C5885" s="37"/>
      <c r="D5885" s="37"/>
      <c r="E5885" s="37"/>
      <c r="F5885" s="37"/>
      <c r="G5885" s="37"/>
      <c r="H5885" s="37"/>
      <c r="I5885" s="35"/>
      <c r="J5885" s="37"/>
    </row>
    <row r="5886" spans="1:10" ht="15.95" customHeight="1" x14ac:dyDescent="0.2">
      <c r="A5886" s="39"/>
      <c r="B5886" s="36"/>
      <c r="C5886" s="37"/>
      <c r="D5886" s="37"/>
      <c r="E5886" s="37"/>
      <c r="F5886" s="37"/>
      <c r="G5886" s="37"/>
      <c r="H5886" s="37"/>
      <c r="I5886" s="35"/>
      <c r="J5886" s="37"/>
    </row>
    <row r="5887" spans="1:10" ht="15.95" customHeight="1" x14ac:dyDescent="0.2">
      <c r="A5887" s="39"/>
      <c r="B5887" s="36"/>
      <c r="C5887" s="37"/>
      <c r="D5887" s="37"/>
      <c r="E5887" s="37"/>
      <c r="F5887" s="37"/>
      <c r="G5887" s="37"/>
      <c r="H5887" s="37"/>
      <c r="I5887" s="35"/>
      <c r="J5887" s="37"/>
    </row>
    <row r="5888" spans="1:10" ht="15.95" customHeight="1" x14ac:dyDescent="0.2">
      <c r="A5888" s="39"/>
      <c r="B5888" s="36"/>
      <c r="C5888" s="37"/>
      <c r="D5888" s="37"/>
      <c r="E5888" s="37"/>
      <c r="F5888" s="37"/>
      <c r="G5888" s="37"/>
      <c r="H5888" s="37"/>
      <c r="I5888" s="35"/>
      <c r="J5888" s="37"/>
    </row>
    <row r="5889" spans="1:10" ht="15.95" customHeight="1" x14ac:dyDescent="0.2">
      <c r="A5889" s="39"/>
      <c r="B5889" s="36"/>
      <c r="C5889" s="37"/>
      <c r="D5889" s="37"/>
      <c r="E5889" s="37"/>
      <c r="F5889" s="37"/>
      <c r="G5889" s="37"/>
      <c r="H5889" s="37"/>
      <c r="I5889" s="35"/>
      <c r="J5889" s="37"/>
    </row>
    <row r="5890" spans="1:10" ht="15.95" customHeight="1" x14ac:dyDescent="0.2">
      <c r="A5890" s="39"/>
      <c r="B5890" s="36"/>
      <c r="C5890" s="37"/>
      <c r="D5890" s="37"/>
      <c r="E5890" s="37"/>
      <c r="F5890" s="37"/>
      <c r="G5890" s="37"/>
      <c r="H5890" s="37"/>
      <c r="I5890" s="35"/>
      <c r="J5890" s="37"/>
    </row>
    <row r="5891" spans="1:10" ht="15.95" customHeight="1" x14ac:dyDescent="0.2">
      <c r="A5891" s="39"/>
      <c r="B5891" s="36"/>
      <c r="C5891" s="37"/>
      <c r="D5891" s="37"/>
      <c r="E5891" s="37"/>
      <c r="F5891" s="37"/>
      <c r="G5891" s="37"/>
      <c r="H5891" s="37"/>
      <c r="I5891" s="35"/>
      <c r="J5891" s="37"/>
    </row>
    <row r="5892" spans="1:10" ht="15.95" customHeight="1" x14ac:dyDescent="0.2">
      <c r="A5892" s="39"/>
      <c r="B5892" s="36"/>
      <c r="C5892" s="37"/>
      <c r="D5892" s="37"/>
      <c r="E5892" s="37"/>
      <c r="F5892" s="37"/>
      <c r="G5892" s="37"/>
      <c r="H5892" s="37"/>
      <c r="I5892" s="35"/>
      <c r="J5892" s="37"/>
    </row>
    <row r="5893" spans="1:10" ht="15.95" customHeight="1" x14ac:dyDescent="0.2">
      <c r="A5893" s="39"/>
      <c r="B5893" s="36"/>
      <c r="C5893" s="37"/>
      <c r="D5893" s="37"/>
      <c r="E5893" s="37"/>
      <c r="F5893" s="37"/>
      <c r="G5893" s="37"/>
      <c r="H5893" s="37"/>
      <c r="I5893" s="35"/>
      <c r="J5893" s="37"/>
    </row>
    <row r="5894" spans="1:10" ht="15.95" customHeight="1" x14ac:dyDescent="0.2">
      <c r="A5894" s="39"/>
      <c r="B5894" s="36"/>
      <c r="C5894" s="37"/>
      <c r="D5894" s="37"/>
      <c r="E5894" s="37"/>
      <c r="F5894" s="37"/>
      <c r="G5894" s="37"/>
      <c r="H5894" s="37"/>
      <c r="I5894" s="35"/>
      <c r="J5894" s="37"/>
    </row>
    <row r="5895" spans="1:10" ht="15.95" customHeight="1" x14ac:dyDescent="0.2">
      <c r="A5895" s="39"/>
      <c r="B5895" s="36"/>
      <c r="C5895" s="37"/>
      <c r="D5895" s="37"/>
      <c r="E5895" s="37"/>
      <c r="F5895" s="37"/>
      <c r="G5895" s="37"/>
      <c r="H5895" s="37"/>
      <c r="I5895" s="35"/>
      <c r="J5895" s="37"/>
    </row>
    <row r="5896" spans="1:10" ht="15.95" customHeight="1" x14ac:dyDescent="0.2">
      <c r="A5896" s="39"/>
      <c r="B5896" s="36"/>
      <c r="C5896" s="37"/>
      <c r="D5896" s="37"/>
      <c r="E5896" s="37"/>
      <c r="F5896" s="37"/>
      <c r="G5896" s="37"/>
      <c r="H5896" s="37"/>
      <c r="I5896" s="35"/>
      <c r="J5896" s="37"/>
    </row>
    <row r="5897" spans="1:10" ht="15.95" customHeight="1" x14ac:dyDescent="0.2">
      <c r="A5897" s="39"/>
      <c r="B5897" s="36"/>
      <c r="C5897" s="37"/>
      <c r="D5897" s="37"/>
      <c r="E5897" s="37"/>
      <c r="F5897" s="37"/>
      <c r="G5897" s="37"/>
      <c r="H5897" s="37"/>
      <c r="I5897" s="35"/>
      <c r="J5897" s="37"/>
    </row>
    <row r="5898" spans="1:10" ht="15.95" customHeight="1" x14ac:dyDescent="0.2">
      <c r="A5898" s="39"/>
      <c r="B5898" s="36"/>
      <c r="C5898" s="37"/>
      <c r="D5898" s="37"/>
      <c r="E5898" s="37"/>
      <c r="F5898" s="37"/>
      <c r="G5898" s="37"/>
      <c r="H5898" s="37"/>
      <c r="I5898" s="35"/>
      <c r="J5898" s="37"/>
    </row>
    <row r="5899" spans="1:10" ht="15.95" customHeight="1" x14ac:dyDescent="0.2">
      <c r="A5899" s="39"/>
      <c r="B5899" s="36"/>
      <c r="C5899" s="37"/>
      <c r="D5899" s="37"/>
      <c r="E5899" s="37"/>
      <c r="F5899" s="37"/>
      <c r="G5899" s="37"/>
      <c r="H5899" s="37"/>
      <c r="I5899" s="35"/>
      <c r="J5899" s="37"/>
    </row>
    <row r="5900" spans="1:10" ht="15.95" customHeight="1" x14ac:dyDescent="0.2">
      <c r="A5900" s="39"/>
      <c r="B5900" s="36"/>
      <c r="C5900" s="37"/>
      <c r="D5900" s="37"/>
      <c r="E5900" s="37"/>
      <c r="F5900" s="37"/>
      <c r="G5900" s="37"/>
      <c r="H5900" s="37"/>
      <c r="I5900" s="35"/>
      <c r="J5900" s="37"/>
    </row>
    <row r="5901" spans="1:10" ht="15.95" customHeight="1" x14ac:dyDescent="0.2">
      <c r="A5901" s="39"/>
      <c r="B5901" s="36"/>
      <c r="C5901" s="37"/>
      <c r="D5901" s="37"/>
      <c r="E5901" s="37"/>
      <c r="F5901" s="37"/>
      <c r="G5901" s="37"/>
      <c r="H5901" s="37"/>
      <c r="I5901" s="35"/>
      <c r="J5901" s="37"/>
    </row>
    <row r="5902" spans="1:10" ht="15.95" customHeight="1" x14ac:dyDescent="0.2">
      <c r="A5902" s="39"/>
      <c r="B5902" s="36"/>
      <c r="C5902" s="37"/>
      <c r="D5902" s="37"/>
      <c r="E5902" s="37"/>
      <c r="F5902" s="37"/>
      <c r="G5902" s="37"/>
      <c r="H5902" s="37"/>
      <c r="I5902" s="35"/>
      <c r="J5902" s="37"/>
    </row>
    <row r="5903" spans="1:10" ht="15.95" customHeight="1" x14ac:dyDescent="0.2">
      <c r="A5903" s="39"/>
      <c r="B5903" s="36"/>
      <c r="C5903" s="37"/>
      <c r="D5903" s="37"/>
      <c r="E5903" s="37"/>
      <c r="F5903" s="37"/>
      <c r="G5903" s="37"/>
      <c r="H5903" s="37"/>
      <c r="I5903" s="35"/>
      <c r="J5903" s="37"/>
    </row>
    <row r="5904" spans="1:10" ht="15.95" customHeight="1" x14ac:dyDescent="0.2">
      <c r="A5904" s="39"/>
      <c r="B5904" s="36"/>
      <c r="C5904" s="37"/>
      <c r="D5904" s="37"/>
      <c r="E5904" s="37"/>
      <c r="F5904" s="37"/>
      <c r="G5904" s="37"/>
      <c r="H5904" s="37"/>
      <c r="I5904" s="35"/>
      <c r="J5904" s="37"/>
    </row>
    <row r="5905" spans="1:10" ht="15.95" customHeight="1" x14ac:dyDescent="0.2">
      <c r="A5905" s="39"/>
      <c r="B5905" s="36"/>
      <c r="C5905" s="37"/>
      <c r="D5905" s="37"/>
      <c r="E5905" s="37"/>
      <c r="F5905" s="37"/>
      <c r="G5905" s="37"/>
      <c r="H5905" s="37"/>
      <c r="I5905" s="35"/>
      <c r="J5905" s="37"/>
    </row>
    <row r="5906" spans="1:10" ht="15.95" customHeight="1" x14ac:dyDescent="0.2">
      <c r="A5906" s="39"/>
      <c r="B5906" s="36"/>
      <c r="C5906" s="37"/>
      <c r="D5906" s="37"/>
      <c r="E5906" s="37"/>
      <c r="F5906" s="37"/>
      <c r="G5906" s="37"/>
      <c r="H5906" s="37"/>
      <c r="I5906" s="35"/>
      <c r="J5906" s="37"/>
    </row>
    <row r="5907" spans="1:10" ht="15.95" customHeight="1" x14ac:dyDescent="0.2">
      <c r="A5907" s="39"/>
      <c r="B5907" s="36"/>
      <c r="C5907" s="37"/>
      <c r="D5907" s="37"/>
      <c r="E5907" s="37"/>
      <c r="F5907" s="37"/>
      <c r="G5907" s="37"/>
      <c r="H5907" s="37"/>
      <c r="I5907" s="35"/>
      <c r="J5907" s="37"/>
    </row>
    <row r="5908" spans="1:10" ht="15.95" customHeight="1" x14ac:dyDescent="0.2">
      <c r="A5908" s="39"/>
      <c r="B5908" s="36"/>
      <c r="C5908" s="37"/>
      <c r="D5908" s="37"/>
      <c r="E5908" s="37"/>
      <c r="F5908" s="37"/>
      <c r="G5908" s="37"/>
      <c r="H5908" s="37"/>
      <c r="I5908" s="35"/>
      <c r="J5908" s="37"/>
    </row>
    <row r="5909" spans="1:10" ht="15.95" customHeight="1" x14ac:dyDescent="0.2">
      <c r="A5909" s="39"/>
      <c r="B5909" s="36"/>
      <c r="C5909" s="37"/>
      <c r="D5909" s="37"/>
      <c r="E5909" s="37"/>
      <c r="F5909" s="37"/>
      <c r="G5909" s="37"/>
      <c r="H5909" s="37"/>
      <c r="I5909" s="35"/>
      <c r="J5909" s="37"/>
    </row>
    <row r="5910" spans="1:10" ht="15.95" customHeight="1" x14ac:dyDescent="0.2">
      <c r="A5910" s="39"/>
      <c r="B5910" s="36"/>
      <c r="C5910" s="37"/>
      <c r="D5910" s="37"/>
      <c r="E5910" s="37"/>
      <c r="F5910" s="37"/>
      <c r="G5910" s="37"/>
      <c r="H5910" s="37"/>
      <c r="I5910" s="35"/>
      <c r="J5910" s="37"/>
    </row>
    <row r="5911" spans="1:10" ht="15.95" customHeight="1" x14ac:dyDescent="0.2">
      <c r="A5911" s="39"/>
      <c r="B5911" s="36"/>
      <c r="C5911" s="37"/>
      <c r="D5911" s="37"/>
      <c r="E5911" s="37"/>
      <c r="F5911" s="37"/>
      <c r="G5911" s="37"/>
      <c r="H5911" s="37"/>
      <c r="I5911" s="35"/>
      <c r="J5911" s="37"/>
    </row>
    <row r="5912" spans="1:10" ht="15.95" customHeight="1" x14ac:dyDescent="0.2">
      <c r="A5912" s="39"/>
      <c r="B5912" s="36"/>
      <c r="C5912" s="37"/>
      <c r="D5912" s="37"/>
      <c r="E5912" s="37"/>
      <c r="F5912" s="37"/>
      <c r="G5912" s="37"/>
      <c r="H5912" s="37"/>
      <c r="I5912" s="35"/>
      <c r="J5912" s="37"/>
    </row>
    <row r="5913" spans="1:10" ht="15.95" customHeight="1" x14ac:dyDescent="0.2">
      <c r="A5913" s="39"/>
      <c r="B5913" s="36"/>
      <c r="C5913" s="37"/>
      <c r="D5913" s="37"/>
      <c r="E5913" s="37"/>
      <c r="F5913" s="37"/>
      <c r="G5913" s="37"/>
      <c r="H5913" s="37"/>
      <c r="I5913" s="35"/>
      <c r="J5913" s="37"/>
    </row>
    <row r="5914" spans="1:10" ht="15.95" customHeight="1" x14ac:dyDescent="0.2">
      <c r="A5914" s="39"/>
      <c r="B5914" s="36"/>
      <c r="C5914" s="37"/>
      <c r="D5914" s="37"/>
      <c r="E5914" s="37"/>
      <c r="F5914" s="37"/>
      <c r="G5914" s="37"/>
      <c r="H5914" s="37"/>
      <c r="I5914" s="35"/>
      <c r="J5914" s="37"/>
    </row>
    <row r="5915" spans="1:10" ht="15.95" customHeight="1" x14ac:dyDescent="0.2">
      <c r="A5915" s="39"/>
      <c r="B5915" s="36"/>
      <c r="C5915" s="37"/>
      <c r="D5915" s="37"/>
      <c r="E5915" s="37"/>
      <c r="F5915" s="37"/>
      <c r="G5915" s="37"/>
      <c r="H5915" s="37"/>
      <c r="I5915" s="35"/>
      <c r="J5915" s="37"/>
    </row>
    <row r="5916" spans="1:10" ht="15.95" customHeight="1" x14ac:dyDescent="0.2">
      <c r="A5916" s="39"/>
      <c r="B5916" s="36"/>
      <c r="C5916" s="37"/>
      <c r="D5916" s="37"/>
      <c r="E5916" s="37"/>
      <c r="F5916" s="37"/>
      <c r="G5916" s="37"/>
      <c r="H5916" s="37"/>
      <c r="I5916" s="35"/>
      <c r="J5916" s="37"/>
    </row>
    <row r="5917" spans="1:10" ht="15.95" customHeight="1" x14ac:dyDescent="0.2">
      <c r="A5917" s="39"/>
      <c r="B5917" s="36"/>
      <c r="C5917" s="37"/>
      <c r="D5917" s="37"/>
      <c r="E5917" s="37"/>
      <c r="F5917" s="37"/>
      <c r="G5917" s="37"/>
      <c r="H5917" s="37"/>
      <c r="I5917" s="35"/>
      <c r="J5917" s="37"/>
    </row>
    <row r="5918" spans="1:10" ht="15.95" customHeight="1" x14ac:dyDescent="0.2">
      <c r="A5918" s="39"/>
      <c r="B5918" s="36"/>
      <c r="C5918" s="37"/>
      <c r="D5918" s="37"/>
      <c r="E5918" s="37"/>
      <c r="F5918" s="37"/>
      <c r="G5918" s="37"/>
      <c r="H5918" s="37"/>
      <c r="I5918" s="35"/>
      <c r="J5918" s="37"/>
    </row>
    <row r="5919" spans="1:10" ht="15.95" customHeight="1" x14ac:dyDescent="0.2">
      <c r="A5919" s="39"/>
      <c r="B5919" s="36"/>
      <c r="C5919" s="37"/>
      <c r="D5919" s="37"/>
      <c r="E5919" s="37"/>
      <c r="F5919" s="37"/>
      <c r="G5919" s="37"/>
      <c r="H5919" s="37"/>
      <c r="I5919" s="35"/>
      <c r="J5919" s="37"/>
    </row>
    <row r="5920" spans="1:10" ht="15.95" customHeight="1" x14ac:dyDescent="0.2">
      <c r="A5920" s="39"/>
      <c r="B5920" s="36"/>
      <c r="C5920" s="37"/>
      <c r="D5920" s="37"/>
      <c r="E5920" s="37"/>
      <c r="F5920" s="37"/>
      <c r="G5920" s="37"/>
      <c r="H5920" s="37"/>
      <c r="I5920" s="35"/>
      <c r="J5920" s="37"/>
    </row>
    <row r="5921" spans="1:10" ht="15.95" customHeight="1" x14ac:dyDescent="0.2">
      <c r="A5921" s="39"/>
      <c r="B5921" s="36"/>
      <c r="C5921" s="37"/>
      <c r="D5921" s="37"/>
      <c r="E5921" s="37"/>
      <c r="F5921" s="37"/>
      <c r="G5921" s="37"/>
      <c r="H5921" s="37"/>
      <c r="I5921" s="35"/>
      <c r="J5921" s="37"/>
    </row>
    <row r="5922" spans="1:10" ht="15.95" customHeight="1" x14ac:dyDescent="0.2">
      <c r="A5922" s="39"/>
      <c r="B5922" s="36"/>
      <c r="C5922" s="37"/>
      <c r="D5922" s="37"/>
      <c r="E5922" s="37"/>
      <c r="F5922" s="37"/>
      <c r="G5922" s="37"/>
      <c r="H5922" s="37"/>
      <c r="I5922" s="35"/>
      <c r="J5922" s="37"/>
    </row>
    <row r="5923" spans="1:10" ht="15.95" customHeight="1" x14ac:dyDescent="0.2">
      <c r="A5923" s="39"/>
      <c r="B5923" s="36"/>
      <c r="C5923" s="37"/>
      <c r="D5923" s="37"/>
      <c r="E5923" s="37"/>
      <c r="F5923" s="37"/>
      <c r="G5923" s="37"/>
      <c r="H5923" s="37"/>
      <c r="I5923" s="35"/>
      <c r="J5923" s="37"/>
    </row>
    <row r="5924" spans="1:10" ht="15.95" customHeight="1" x14ac:dyDescent="0.2">
      <c r="A5924" s="39"/>
      <c r="B5924" s="36"/>
      <c r="C5924" s="37"/>
      <c r="D5924" s="37"/>
      <c r="E5924" s="37"/>
      <c r="F5924" s="37"/>
      <c r="G5924" s="37"/>
      <c r="H5924" s="37"/>
      <c r="I5924" s="35"/>
      <c r="J5924" s="37"/>
    </row>
    <row r="5925" spans="1:10" ht="15.95" customHeight="1" x14ac:dyDescent="0.2">
      <c r="A5925" s="39"/>
      <c r="B5925" s="36"/>
      <c r="C5925" s="37"/>
      <c r="D5925" s="37"/>
      <c r="E5925" s="37"/>
      <c r="F5925" s="37"/>
      <c r="G5925" s="37"/>
      <c r="H5925" s="37"/>
      <c r="I5925" s="35"/>
      <c r="J5925" s="37"/>
    </row>
    <row r="5926" spans="1:10" ht="15.95" customHeight="1" x14ac:dyDescent="0.2">
      <c r="A5926" s="39"/>
      <c r="B5926" s="36"/>
      <c r="C5926" s="37"/>
      <c r="D5926" s="37"/>
      <c r="E5926" s="37"/>
      <c r="F5926" s="37"/>
      <c r="G5926" s="37"/>
      <c r="H5926" s="37"/>
      <c r="I5926" s="35"/>
      <c r="J5926" s="37"/>
    </row>
    <row r="5927" spans="1:10" ht="15.95" customHeight="1" x14ac:dyDescent="0.2">
      <c r="A5927" s="39"/>
      <c r="B5927" s="36"/>
      <c r="C5927" s="37"/>
      <c r="D5927" s="37"/>
      <c r="E5927" s="37"/>
      <c r="F5927" s="37"/>
      <c r="G5927" s="37"/>
      <c r="H5927" s="37"/>
      <c r="I5927" s="35"/>
      <c r="J5927" s="37"/>
    </row>
    <row r="5928" spans="1:10" ht="15.95" customHeight="1" x14ac:dyDescent="0.2">
      <c r="A5928" s="39"/>
      <c r="B5928" s="36"/>
      <c r="C5928" s="37"/>
      <c r="D5928" s="37"/>
      <c r="E5928" s="37"/>
      <c r="F5928" s="37"/>
      <c r="G5928" s="37"/>
      <c r="H5928" s="37"/>
      <c r="I5928" s="35"/>
      <c r="J5928" s="37"/>
    </row>
    <row r="5929" spans="1:10" ht="15.95" customHeight="1" x14ac:dyDescent="0.2">
      <c r="A5929" s="39"/>
      <c r="B5929" s="36"/>
      <c r="C5929" s="37"/>
      <c r="D5929" s="37"/>
      <c r="E5929" s="37"/>
      <c r="F5929" s="37"/>
      <c r="G5929" s="37"/>
      <c r="H5929" s="37"/>
      <c r="I5929" s="35"/>
      <c r="J5929" s="37"/>
    </row>
    <row r="5930" spans="1:10" ht="15.95" customHeight="1" x14ac:dyDescent="0.2">
      <c r="A5930" s="39"/>
      <c r="B5930" s="36"/>
      <c r="C5930" s="37"/>
      <c r="D5930" s="37"/>
      <c r="E5930" s="37"/>
      <c r="F5930" s="37"/>
      <c r="G5930" s="37"/>
      <c r="H5930" s="37"/>
      <c r="I5930" s="35"/>
      <c r="J5930" s="37"/>
    </row>
    <row r="5931" spans="1:10" ht="15.95" customHeight="1" x14ac:dyDescent="0.2">
      <c r="A5931" s="39"/>
      <c r="B5931" s="36"/>
      <c r="C5931" s="37"/>
      <c r="D5931" s="37"/>
      <c r="E5931" s="37"/>
      <c r="F5931" s="37"/>
      <c r="G5931" s="37"/>
      <c r="H5931" s="37"/>
      <c r="I5931" s="35"/>
      <c r="J5931" s="37"/>
    </row>
    <row r="5932" spans="1:10" ht="15.95" customHeight="1" x14ac:dyDescent="0.2">
      <c r="A5932" s="39"/>
      <c r="B5932" s="36"/>
      <c r="C5932" s="37"/>
      <c r="D5932" s="37"/>
      <c r="E5932" s="37"/>
      <c r="F5932" s="37"/>
      <c r="G5932" s="37"/>
      <c r="H5932" s="37"/>
      <c r="I5932" s="35"/>
      <c r="J5932" s="37"/>
    </row>
    <row r="5933" spans="1:10" ht="15.95" customHeight="1" x14ac:dyDescent="0.2">
      <c r="A5933" s="39"/>
      <c r="B5933" s="36"/>
      <c r="C5933" s="37"/>
      <c r="D5933" s="37"/>
      <c r="E5933" s="37"/>
      <c r="F5933" s="37"/>
      <c r="G5933" s="37"/>
      <c r="H5933" s="37"/>
      <c r="I5933" s="35"/>
      <c r="J5933" s="37"/>
    </row>
    <row r="5934" spans="1:10" ht="15.95" customHeight="1" x14ac:dyDescent="0.2">
      <c r="A5934" s="39"/>
      <c r="B5934" s="36"/>
      <c r="C5934" s="37"/>
      <c r="D5934" s="37"/>
      <c r="E5934" s="37"/>
      <c r="F5934" s="37"/>
      <c r="G5934" s="37"/>
      <c r="H5934" s="37"/>
      <c r="I5934" s="35"/>
      <c r="J5934" s="37"/>
    </row>
    <row r="5935" spans="1:10" ht="15.95" customHeight="1" x14ac:dyDescent="0.2">
      <c r="A5935" s="39"/>
      <c r="B5935" s="36"/>
      <c r="C5935" s="37"/>
      <c r="D5935" s="37"/>
      <c r="E5935" s="37"/>
      <c r="F5935" s="37"/>
      <c r="G5935" s="37"/>
      <c r="H5935" s="37"/>
      <c r="I5935" s="35"/>
      <c r="J5935" s="37"/>
    </row>
    <row r="5936" spans="1:10" ht="15.95" customHeight="1" x14ac:dyDescent="0.2">
      <c r="A5936" s="39"/>
      <c r="B5936" s="36"/>
      <c r="C5936" s="37"/>
      <c r="D5936" s="37"/>
      <c r="E5936" s="37"/>
      <c r="F5936" s="37"/>
      <c r="G5936" s="37"/>
      <c r="H5936" s="37"/>
      <c r="I5936" s="35"/>
      <c r="J5936" s="37"/>
    </row>
    <row r="5937" spans="1:10" ht="15.95" customHeight="1" x14ac:dyDescent="0.2">
      <c r="A5937" s="39"/>
      <c r="B5937" s="36"/>
      <c r="C5937" s="37"/>
      <c r="D5937" s="37"/>
      <c r="E5937" s="37"/>
      <c r="F5937" s="37"/>
      <c r="G5937" s="37"/>
      <c r="H5937" s="37"/>
      <c r="I5937" s="35"/>
      <c r="J5937" s="37"/>
    </row>
    <row r="5938" spans="1:10" ht="15.95" customHeight="1" x14ac:dyDescent="0.2">
      <c r="A5938" s="39"/>
      <c r="B5938" s="36"/>
      <c r="C5938" s="37"/>
      <c r="D5938" s="37"/>
      <c r="E5938" s="37"/>
      <c r="F5938" s="37"/>
      <c r="G5938" s="37"/>
      <c r="H5938" s="37"/>
      <c r="I5938" s="35"/>
      <c r="J5938" s="37"/>
    </row>
    <row r="5939" spans="1:10" ht="15.95" customHeight="1" x14ac:dyDescent="0.2">
      <c r="A5939" s="39"/>
      <c r="B5939" s="36"/>
      <c r="C5939" s="37"/>
      <c r="D5939" s="37"/>
      <c r="E5939" s="37"/>
      <c r="F5939" s="37"/>
      <c r="G5939" s="37"/>
      <c r="H5939" s="37"/>
      <c r="I5939" s="35"/>
      <c r="J5939" s="37"/>
    </row>
    <row r="5940" spans="1:10" ht="15.95" customHeight="1" x14ac:dyDescent="0.2">
      <c r="A5940" s="39"/>
      <c r="B5940" s="36"/>
      <c r="C5940" s="37"/>
      <c r="D5940" s="37"/>
      <c r="E5940" s="37"/>
      <c r="F5940" s="37"/>
      <c r="G5940" s="37"/>
      <c r="H5940" s="37"/>
      <c r="I5940" s="35"/>
      <c r="J5940" s="37"/>
    </row>
    <row r="5941" spans="1:10" ht="15.95" customHeight="1" x14ac:dyDescent="0.2">
      <c r="A5941" s="39"/>
      <c r="B5941" s="36"/>
      <c r="C5941" s="37"/>
      <c r="D5941" s="37"/>
      <c r="E5941" s="37"/>
      <c r="F5941" s="37"/>
      <c r="G5941" s="37"/>
      <c r="H5941" s="37"/>
      <c r="I5941" s="35"/>
      <c r="J5941" s="37"/>
    </row>
    <row r="5942" spans="1:10" ht="15.95" customHeight="1" x14ac:dyDescent="0.2">
      <c r="A5942" s="39"/>
      <c r="B5942" s="36"/>
      <c r="C5942" s="37"/>
      <c r="D5942" s="37"/>
      <c r="E5942" s="37"/>
      <c r="F5942" s="37"/>
      <c r="G5942" s="37"/>
      <c r="H5942" s="37"/>
      <c r="I5942" s="35"/>
      <c r="J5942" s="37"/>
    </row>
    <row r="5943" spans="1:10" ht="15.95" customHeight="1" x14ac:dyDescent="0.2">
      <c r="A5943" s="39"/>
      <c r="B5943" s="36"/>
      <c r="C5943" s="37"/>
      <c r="D5943" s="37"/>
      <c r="E5943" s="37"/>
      <c r="F5943" s="37"/>
      <c r="G5943" s="37"/>
      <c r="H5943" s="37"/>
      <c r="I5943" s="35"/>
      <c r="J5943" s="37"/>
    </row>
    <row r="5944" spans="1:10" ht="15.95" customHeight="1" x14ac:dyDescent="0.2">
      <c r="A5944" s="39"/>
      <c r="B5944" s="36"/>
      <c r="C5944" s="37"/>
      <c r="D5944" s="37"/>
      <c r="E5944" s="37"/>
      <c r="F5944" s="37"/>
      <c r="G5944" s="37"/>
      <c r="H5944" s="37"/>
      <c r="I5944" s="35"/>
      <c r="J5944" s="37"/>
    </row>
    <row r="5945" spans="1:10" ht="15.95" customHeight="1" x14ac:dyDescent="0.2">
      <c r="A5945" s="39"/>
      <c r="B5945" s="36"/>
      <c r="C5945" s="37"/>
      <c r="D5945" s="37"/>
      <c r="E5945" s="37"/>
      <c r="F5945" s="37"/>
      <c r="G5945" s="37"/>
      <c r="H5945" s="37"/>
      <c r="I5945" s="35"/>
      <c r="J5945" s="37"/>
    </row>
    <row r="5946" spans="1:10" ht="15.95" customHeight="1" x14ac:dyDescent="0.2">
      <c r="A5946" s="39"/>
      <c r="B5946" s="36"/>
      <c r="C5946" s="37"/>
      <c r="D5946" s="37"/>
      <c r="E5946" s="37"/>
      <c r="F5946" s="37"/>
      <c r="G5946" s="37"/>
      <c r="H5946" s="37"/>
      <c r="I5946" s="35"/>
      <c r="J5946" s="37"/>
    </row>
    <row r="5947" spans="1:10" ht="15.95" customHeight="1" x14ac:dyDescent="0.2">
      <c r="A5947" s="39"/>
      <c r="B5947" s="36"/>
      <c r="C5947" s="37"/>
      <c r="D5947" s="37"/>
      <c r="E5947" s="37"/>
      <c r="F5947" s="37"/>
      <c r="G5947" s="37"/>
      <c r="H5947" s="37"/>
      <c r="I5947" s="35"/>
      <c r="J5947" s="37"/>
    </row>
    <row r="5948" spans="1:10" ht="15.95" customHeight="1" x14ac:dyDescent="0.2">
      <c r="A5948" s="39"/>
      <c r="B5948" s="36"/>
      <c r="C5948" s="37"/>
      <c r="D5948" s="37"/>
      <c r="E5948" s="37"/>
      <c r="F5948" s="37"/>
      <c r="G5948" s="37"/>
      <c r="H5948" s="37"/>
      <c r="I5948" s="35"/>
      <c r="J5948" s="37"/>
    </row>
    <row r="5949" spans="1:10" ht="15.95" customHeight="1" x14ac:dyDescent="0.2">
      <c r="A5949" s="39"/>
      <c r="B5949" s="36"/>
      <c r="C5949" s="37"/>
      <c r="D5949" s="37"/>
      <c r="E5949" s="37"/>
      <c r="F5949" s="37"/>
      <c r="G5949" s="37"/>
      <c r="H5949" s="37"/>
      <c r="I5949" s="35"/>
      <c r="J5949" s="37"/>
    </row>
    <row r="5950" spans="1:10" ht="15.95" customHeight="1" x14ac:dyDescent="0.2">
      <c r="A5950" s="39"/>
      <c r="B5950" s="36"/>
      <c r="C5950" s="37"/>
      <c r="D5950" s="37"/>
      <c r="E5950" s="37"/>
      <c r="F5950" s="37"/>
      <c r="G5950" s="37"/>
      <c r="H5950" s="37"/>
      <c r="I5950" s="35"/>
      <c r="J5950" s="37"/>
    </row>
    <row r="5951" spans="1:10" ht="15.95" customHeight="1" x14ac:dyDescent="0.2">
      <c r="A5951" s="39"/>
      <c r="B5951" s="36"/>
      <c r="C5951" s="37"/>
      <c r="D5951" s="37"/>
      <c r="E5951" s="37"/>
      <c r="F5951" s="37"/>
      <c r="G5951" s="37"/>
      <c r="H5951" s="37"/>
      <c r="I5951" s="35"/>
      <c r="J5951" s="37"/>
    </row>
    <row r="5952" spans="1:10" ht="15.95" customHeight="1" x14ac:dyDescent="0.2">
      <c r="A5952" s="39"/>
      <c r="B5952" s="36"/>
      <c r="C5952" s="37"/>
      <c r="D5952" s="37"/>
      <c r="E5952" s="37"/>
      <c r="F5952" s="37"/>
      <c r="G5952" s="37"/>
      <c r="H5952" s="37"/>
      <c r="I5952" s="35"/>
      <c r="J5952" s="37"/>
    </row>
    <row r="5953" spans="1:10" ht="15.95" customHeight="1" x14ac:dyDescent="0.2">
      <c r="A5953" s="39"/>
      <c r="B5953" s="36"/>
      <c r="C5953" s="37"/>
      <c r="D5953" s="37"/>
      <c r="E5953" s="37"/>
      <c r="F5953" s="37"/>
      <c r="G5953" s="37"/>
      <c r="H5953" s="37"/>
      <c r="I5953" s="35"/>
      <c r="J5953" s="37"/>
    </row>
    <row r="5954" spans="1:10" ht="15.95" customHeight="1" x14ac:dyDescent="0.2">
      <c r="A5954" s="39"/>
      <c r="B5954" s="36"/>
      <c r="C5954" s="37"/>
      <c r="D5954" s="37"/>
      <c r="E5954" s="37"/>
      <c r="F5954" s="37"/>
      <c r="G5954" s="37"/>
      <c r="H5954" s="37"/>
      <c r="I5954" s="35"/>
      <c r="J5954" s="37"/>
    </row>
    <row r="5955" spans="1:10" ht="15.95" customHeight="1" x14ac:dyDescent="0.2">
      <c r="A5955" s="39"/>
      <c r="B5955" s="36"/>
      <c r="C5955" s="37"/>
      <c r="D5955" s="37"/>
      <c r="E5955" s="37"/>
      <c r="F5955" s="37"/>
      <c r="G5955" s="37"/>
      <c r="H5955" s="37"/>
      <c r="I5955" s="35"/>
      <c r="J5955" s="37"/>
    </row>
    <row r="5956" spans="1:10" ht="15.95" customHeight="1" x14ac:dyDescent="0.2">
      <c r="A5956" s="39"/>
      <c r="B5956" s="36"/>
      <c r="C5956" s="37"/>
      <c r="D5956" s="37"/>
      <c r="E5956" s="37"/>
      <c r="F5956" s="37"/>
      <c r="G5956" s="37"/>
      <c r="H5956" s="37"/>
      <c r="I5956" s="35"/>
      <c r="J5956" s="37"/>
    </row>
    <row r="5957" spans="1:10" ht="15.95" customHeight="1" x14ac:dyDescent="0.2">
      <c r="A5957" s="39"/>
      <c r="B5957" s="36"/>
      <c r="C5957" s="37"/>
      <c r="D5957" s="37"/>
      <c r="E5957" s="37"/>
      <c r="F5957" s="37"/>
      <c r="G5957" s="37"/>
      <c r="H5957" s="37"/>
      <c r="I5957" s="35"/>
      <c r="J5957" s="37"/>
    </row>
    <row r="5958" spans="1:10" ht="15.95" customHeight="1" x14ac:dyDescent="0.2">
      <c r="A5958" s="39"/>
      <c r="B5958" s="36"/>
      <c r="C5958" s="37"/>
      <c r="D5958" s="37"/>
      <c r="E5958" s="37"/>
      <c r="F5958" s="37"/>
      <c r="G5958" s="37"/>
      <c r="H5958" s="37"/>
      <c r="I5958" s="35"/>
      <c r="J5958" s="37"/>
    </row>
    <row r="5959" spans="1:10" ht="15.95" customHeight="1" x14ac:dyDescent="0.2">
      <c r="A5959" s="39"/>
      <c r="B5959" s="36"/>
      <c r="C5959" s="37"/>
      <c r="D5959" s="37"/>
      <c r="E5959" s="37"/>
      <c r="F5959" s="37"/>
      <c r="G5959" s="37"/>
      <c r="H5959" s="37"/>
      <c r="I5959" s="35"/>
      <c r="J5959" s="37"/>
    </row>
    <row r="5960" spans="1:10" ht="15.95" customHeight="1" x14ac:dyDescent="0.2">
      <c r="A5960" s="39"/>
      <c r="B5960" s="36"/>
      <c r="C5960" s="37"/>
      <c r="D5960" s="37"/>
      <c r="E5960" s="37"/>
      <c r="F5960" s="37"/>
      <c r="G5960" s="37"/>
      <c r="H5960" s="37"/>
      <c r="I5960" s="35"/>
      <c r="J5960" s="37"/>
    </row>
    <row r="5961" spans="1:10" ht="15.95" customHeight="1" x14ac:dyDescent="0.2">
      <c r="A5961" s="39"/>
      <c r="B5961" s="36"/>
      <c r="C5961" s="37"/>
      <c r="D5961" s="37"/>
      <c r="E5961" s="37"/>
      <c r="F5961" s="37"/>
      <c r="G5961" s="37"/>
      <c r="H5961" s="37"/>
      <c r="I5961" s="35"/>
      <c r="J5961" s="37"/>
    </row>
    <row r="5962" spans="1:10" ht="15.95" customHeight="1" x14ac:dyDescent="0.2">
      <c r="A5962" s="39"/>
      <c r="B5962" s="36"/>
      <c r="C5962" s="37"/>
      <c r="D5962" s="37"/>
      <c r="E5962" s="37"/>
      <c r="F5962" s="37"/>
      <c r="G5962" s="37"/>
      <c r="H5962" s="37"/>
      <c r="I5962" s="35"/>
      <c r="J5962" s="37"/>
    </row>
    <row r="5963" spans="1:10" ht="15.95" customHeight="1" x14ac:dyDescent="0.2">
      <c r="A5963" s="39"/>
      <c r="B5963" s="36"/>
      <c r="C5963" s="37"/>
      <c r="D5963" s="37"/>
      <c r="E5963" s="37"/>
      <c r="F5963" s="37"/>
      <c r="G5963" s="37"/>
      <c r="H5963" s="37"/>
      <c r="I5963" s="35"/>
      <c r="J5963" s="37"/>
    </row>
    <row r="5964" spans="1:10" ht="15.95" customHeight="1" x14ac:dyDescent="0.2">
      <c r="A5964" s="39"/>
      <c r="B5964" s="36"/>
      <c r="C5964" s="37"/>
      <c r="D5964" s="37"/>
      <c r="E5964" s="37"/>
      <c r="F5964" s="37"/>
      <c r="G5964" s="37"/>
      <c r="H5964" s="37"/>
      <c r="I5964" s="35"/>
      <c r="J5964" s="37"/>
    </row>
    <row r="5965" spans="1:10" ht="15.95" customHeight="1" x14ac:dyDescent="0.2">
      <c r="A5965" s="39"/>
      <c r="B5965" s="36"/>
      <c r="C5965" s="37"/>
      <c r="D5965" s="37"/>
      <c r="E5965" s="37"/>
      <c r="F5965" s="37"/>
      <c r="G5965" s="37"/>
      <c r="H5965" s="37"/>
      <c r="I5965" s="35"/>
      <c r="J5965" s="37"/>
    </row>
    <row r="5966" spans="1:10" ht="15.95" customHeight="1" x14ac:dyDescent="0.2">
      <c r="A5966" s="39"/>
      <c r="B5966" s="36"/>
      <c r="C5966" s="37"/>
      <c r="D5966" s="37"/>
      <c r="E5966" s="37"/>
      <c r="F5966" s="37"/>
      <c r="G5966" s="37"/>
      <c r="H5966" s="37"/>
      <c r="I5966" s="35"/>
      <c r="J5966" s="37"/>
    </row>
    <row r="5967" spans="1:10" ht="15.95" customHeight="1" x14ac:dyDescent="0.2">
      <c r="A5967" s="39"/>
      <c r="B5967" s="36"/>
      <c r="C5967" s="37"/>
      <c r="D5967" s="37"/>
      <c r="E5967" s="37"/>
      <c r="F5967" s="37"/>
      <c r="G5967" s="37"/>
      <c r="H5967" s="37"/>
      <c r="I5967" s="35"/>
      <c r="J5967" s="37"/>
    </row>
    <row r="5968" spans="1:10" ht="15.95" customHeight="1" x14ac:dyDescent="0.2">
      <c r="A5968" s="39"/>
      <c r="B5968" s="36"/>
      <c r="C5968" s="37"/>
      <c r="D5968" s="37"/>
      <c r="E5968" s="37"/>
      <c r="F5968" s="37"/>
      <c r="G5968" s="37"/>
      <c r="H5968" s="37"/>
      <c r="I5968" s="35"/>
      <c r="J5968" s="37"/>
    </row>
    <row r="5969" spans="1:10" ht="15.95" customHeight="1" x14ac:dyDescent="0.2">
      <c r="A5969" s="39"/>
      <c r="B5969" s="36"/>
      <c r="C5969" s="37"/>
      <c r="D5969" s="37"/>
      <c r="E5969" s="37"/>
      <c r="F5969" s="37"/>
      <c r="G5969" s="37"/>
      <c r="H5969" s="37"/>
      <c r="I5969" s="35"/>
      <c r="J5969" s="37"/>
    </row>
    <row r="5970" spans="1:10" ht="15.95" customHeight="1" x14ac:dyDescent="0.2">
      <c r="A5970" s="39"/>
      <c r="B5970" s="36"/>
      <c r="C5970" s="37"/>
      <c r="D5970" s="37"/>
      <c r="E5970" s="37"/>
      <c r="F5970" s="37"/>
      <c r="G5970" s="37"/>
      <c r="H5970" s="37"/>
      <c r="I5970" s="35"/>
      <c r="J5970" s="37"/>
    </row>
    <row r="5971" spans="1:10" ht="15.95" customHeight="1" x14ac:dyDescent="0.2">
      <c r="A5971" s="39"/>
      <c r="B5971" s="36"/>
      <c r="C5971" s="37"/>
      <c r="D5971" s="37"/>
      <c r="E5971" s="37"/>
      <c r="F5971" s="37"/>
      <c r="G5971" s="37"/>
      <c r="H5971" s="37"/>
      <c r="I5971" s="35"/>
      <c r="J5971" s="37"/>
    </row>
    <row r="5972" spans="1:10" ht="15.95" customHeight="1" x14ac:dyDescent="0.2">
      <c r="A5972" s="39"/>
      <c r="B5972" s="36"/>
      <c r="C5972" s="37"/>
      <c r="D5972" s="37"/>
      <c r="E5972" s="37"/>
      <c r="F5972" s="37"/>
      <c r="G5972" s="37"/>
      <c r="H5972" s="37"/>
      <c r="I5972" s="35"/>
      <c r="J5972" s="37"/>
    </row>
    <row r="5973" spans="1:10" ht="15.95" customHeight="1" x14ac:dyDescent="0.2">
      <c r="A5973" s="39"/>
      <c r="B5973" s="36"/>
      <c r="C5973" s="37"/>
      <c r="D5973" s="37"/>
      <c r="E5973" s="37"/>
      <c r="F5973" s="37"/>
      <c r="G5973" s="37"/>
      <c r="H5973" s="37"/>
      <c r="I5973" s="35"/>
      <c r="J5973" s="37"/>
    </row>
    <row r="5974" spans="1:10" ht="15.95" customHeight="1" x14ac:dyDescent="0.2">
      <c r="A5974" s="39"/>
      <c r="B5974" s="36"/>
      <c r="C5974" s="37"/>
      <c r="D5974" s="37"/>
      <c r="E5974" s="37"/>
      <c r="F5974" s="37"/>
      <c r="G5974" s="37"/>
      <c r="H5974" s="37"/>
      <c r="I5974" s="35"/>
      <c r="J5974" s="37"/>
    </row>
    <row r="5975" spans="1:10" ht="15.95" customHeight="1" x14ac:dyDescent="0.2">
      <c r="A5975" s="39"/>
      <c r="B5975" s="36"/>
      <c r="C5975" s="37"/>
      <c r="D5975" s="37"/>
      <c r="E5975" s="37"/>
      <c r="F5975" s="37"/>
      <c r="G5975" s="37"/>
      <c r="H5975" s="37"/>
      <c r="I5975" s="35"/>
      <c r="J5975" s="37"/>
    </row>
    <row r="5976" spans="1:10" ht="15.95" customHeight="1" x14ac:dyDescent="0.2">
      <c r="A5976" s="39"/>
      <c r="B5976" s="36"/>
      <c r="C5976" s="37"/>
      <c r="D5976" s="37"/>
      <c r="E5976" s="37"/>
      <c r="F5976" s="37"/>
      <c r="G5976" s="37"/>
      <c r="H5976" s="37"/>
      <c r="I5976" s="35"/>
      <c r="J5976" s="37"/>
    </row>
    <row r="5977" spans="1:10" ht="15.95" customHeight="1" x14ac:dyDescent="0.2">
      <c r="A5977" s="39"/>
      <c r="B5977" s="36"/>
      <c r="C5977" s="37"/>
      <c r="D5977" s="37"/>
      <c r="E5977" s="37"/>
      <c r="F5977" s="37"/>
      <c r="G5977" s="37"/>
      <c r="H5977" s="37"/>
      <c r="I5977" s="35"/>
      <c r="J5977" s="37"/>
    </row>
    <row r="5978" spans="1:10" ht="15.95" customHeight="1" x14ac:dyDescent="0.2">
      <c r="A5978" s="39"/>
      <c r="B5978" s="36"/>
      <c r="C5978" s="37"/>
      <c r="D5978" s="37"/>
      <c r="E5978" s="37"/>
      <c r="F5978" s="37"/>
      <c r="G5978" s="37"/>
      <c r="H5978" s="37"/>
      <c r="I5978" s="35"/>
      <c r="J5978" s="37"/>
    </row>
    <row r="5979" spans="1:10" ht="15.95" customHeight="1" x14ac:dyDescent="0.2">
      <c r="A5979" s="39"/>
      <c r="B5979" s="36"/>
      <c r="C5979" s="37"/>
      <c r="D5979" s="37"/>
      <c r="E5979" s="37"/>
      <c r="F5979" s="37"/>
      <c r="G5979" s="37"/>
      <c r="H5979" s="37"/>
      <c r="I5979" s="35"/>
      <c r="J5979" s="37"/>
    </row>
    <row r="5980" spans="1:10" ht="15.95" customHeight="1" x14ac:dyDescent="0.2">
      <c r="A5980" s="39"/>
      <c r="B5980" s="36"/>
      <c r="C5980" s="37"/>
      <c r="D5980" s="37"/>
      <c r="E5980" s="37"/>
      <c r="F5980" s="37"/>
      <c r="G5980" s="37"/>
      <c r="H5980" s="37"/>
      <c r="I5980" s="35"/>
      <c r="J5980" s="37"/>
    </row>
    <row r="5981" spans="1:10" ht="15.95" customHeight="1" x14ac:dyDescent="0.2">
      <c r="A5981" s="39"/>
      <c r="B5981" s="36"/>
      <c r="C5981" s="37"/>
      <c r="D5981" s="37"/>
      <c r="E5981" s="37"/>
      <c r="F5981" s="37"/>
      <c r="G5981" s="37"/>
      <c r="H5981" s="37"/>
      <c r="I5981" s="35"/>
      <c r="J5981" s="37"/>
    </row>
    <row r="5982" spans="1:10" ht="15.95" customHeight="1" x14ac:dyDescent="0.2">
      <c r="A5982" s="39"/>
      <c r="B5982" s="36"/>
      <c r="C5982" s="37"/>
      <c r="D5982" s="37"/>
      <c r="E5982" s="37"/>
      <c r="F5982" s="37"/>
      <c r="G5982" s="37"/>
      <c r="H5982" s="37"/>
      <c r="I5982" s="35"/>
      <c r="J5982" s="37"/>
    </row>
    <row r="5983" spans="1:10" ht="15.95" customHeight="1" x14ac:dyDescent="0.2">
      <c r="A5983" s="39"/>
      <c r="B5983" s="36"/>
      <c r="C5983" s="37"/>
      <c r="D5983" s="37"/>
      <c r="E5983" s="37"/>
      <c r="F5983" s="37"/>
      <c r="G5983" s="37"/>
      <c r="H5983" s="37"/>
      <c r="I5983" s="35"/>
      <c r="J5983" s="37"/>
    </row>
    <row r="5984" spans="1:10" ht="15.95" customHeight="1" x14ac:dyDescent="0.2">
      <c r="A5984" s="39"/>
      <c r="B5984" s="36"/>
      <c r="C5984" s="37"/>
      <c r="D5984" s="37"/>
      <c r="E5984" s="37"/>
      <c r="F5984" s="37"/>
      <c r="G5984" s="37"/>
      <c r="H5984" s="37"/>
      <c r="I5984" s="35"/>
      <c r="J5984" s="37"/>
    </row>
    <row r="5985" spans="1:10" ht="15.95" customHeight="1" x14ac:dyDescent="0.2">
      <c r="A5985" s="39"/>
      <c r="B5985" s="36"/>
      <c r="C5985" s="37"/>
      <c r="D5985" s="37"/>
      <c r="E5985" s="37"/>
      <c r="F5985" s="37"/>
      <c r="G5985" s="37"/>
      <c r="H5985" s="37"/>
      <c r="I5985" s="35"/>
      <c r="J5985" s="37"/>
    </row>
    <row r="5986" spans="1:10" ht="15.95" customHeight="1" x14ac:dyDescent="0.2">
      <c r="A5986" s="39"/>
      <c r="B5986" s="36"/>
      <c r="C5986" s="37"/>
      <c r="D5986" s="37"/>
      <c r="E5986" s="37"/>
      <c r="F5986" s="37"/>
      <c r="G5986" s="37"/>
      <c r="H5986" s="37"/>
      <c r="I5986" s="35"/>
      <c r="J5986" s="37"/>
    </row>
    <row r="5987" spans="1:10" ht="15.95" customHeight="1" x14ac:dyDescent="0.2">
      <c r="A5987" s="39"/>
      <c r="B5987" s="36"/>
      <c r="C5987" s="37"/>
      <c r="D5987" s="37"/>
      <c r="E5987" s="37"/>
      <c r="F5987" s="37"/>
      <c r="G5987" s="37"/>
      <c r="H5987" s="37"/>
      <c r="I5987" s="35"/>
      <c r="J5987" s="37"/>
    </row>
    <row r="5988" spans="1:10" ht="15.95" customHeight="1" x14ac:dyDescent="0.2">
      <c r="A5988" s="39"/>
      <c r="B5988" s="36"/>
      <c r="C5988" s="37"/>
      <c r="D5988" s="37"/>
      <c r="E5988" s="37"/>
      <c r="F5988" s="37"/>
      <c r="G5988" s="37"/>
      <c r="H5988" s="37"/>
      <c r="I5988" s="35"/>
      <c r="J5988" s="37"/>
    </row>
    <row r="5989" spans="1:10" ht="15.95" customHeight="1" x14ac:dyDescent="0.2">
      <c r="A5989" s="39"/>
      <c r="B5989" s="36"/>
      <c r="C5989" s="37"/>
      <c r="D5989" s="37"/>
      <c r="E5989" s="37"/>
      <c r="F5989" s="37"/>
      <c r="G5989" s="37"/>
      <c r="H5989" s="37"/>
      <c r="I5989" s="35"/>
      <c r="J5989" s="37"/>
    </row>
    <row r="5990" spans="1:10" ht="15.95" customHeight="1" x14ac:dyDescent="0.2">
      <c r="A5990" s="39"/>
      <c r="B5990" s="36"/>
      <c r="C5990" s="37"/>
      <c r="D5990" s="37"/>
      <c r="E5990" s="37"/>
      <c r="F5990" s="37"/>
      <c r="G5990" s="37"/>
      <c r="H5990" s="37"/>
      <c r="I5990" s="35"/>
      <c r="J5990" s="37"/>
    </row>
    <row r="5991" spans="1:10" ht="15.95" customHeight="1" x14ac:dyDescent="0.2">
      <c r="A5991" s="39"/>
      <c r="B5991" s="36"/>
      <c r="C5991" s="37"/>
      <c r="D5991" s="37"/>
      <c r="E5991" s="37"/>
      <c r="F5991" s="37"/>
      <c r="G5991" s="37"/>
      <c r="H5991" s="37"/>
      <c r="I5991" s="35"/>
      <c r="J5991" s="37"/>
    </row>
    <row r="5992" spans="1:10" ht="15.95" customHeight="1" x14ac:dyDescent="0.2">
      <c r="A5992" s="39"/>
      <c r="B5992" s="36"/>
      <c r="C5992" s="37"/>
      <c r="D5992" s="37"/>
      <c r="E5992" s="37"/>
      <c r="F5992" s="37"/>
      <c r="G5992" s="37"/>
      <c r="H5992" s="37"/>
      <c r="I5992" s="35"/>
      <c r="J5992" s="37"/>
    </row>
    <row r="5993" spans="1:10" ht="15.95" customHeight="1" x14ac:dyDescent="0.2">
      <c r="A5993" s="39"/>
      <c r="B5993" s="36"/>
      <c r="C5993" s="37"/>
      <c r="D5993" s="37"/>
      <c r="E5993" s="37"/>
      <c r="F5993" s="37"/>
      <c r="G5993" s="37"/>
      <c r="H5993" s="37"/>
      <c r="I5993" s="35"/>
      <c r="J5993" s="37"/>
    </row>
    <row r="5994" spans="1:10" ht="15.95" customHeight="1" x14ac:dyDescent="0.2">
      <c r="A5994" s="39"/>
      <c r="B5994" s="36"/>
      <c r="C5994" s="37"/>
      <c r="D5994" s="37"/>
      <c r="E5994" s="37"/>
      <c r="F5994" s="37"/>
      <c r="G5994" s="37"/>
      <c r="H5994" s="37"/>
      <c r="I5994" s="35"/>
      <c r="J5994" s="37"/>
    </row>
    <row r="5995" spans="1:10" ht="15.95" customHeight="1" x14ac:dyDescent="0.2">
      <c r="A5995" s="39"/>
      <c r="B5995" s="36"/>
      <c r="C5995" s="37"/>
      <c r="D5995" s="37"/>
      <c r="E5995" s="37"/>
      <c r="F5995" s="37"/>
      <c r="G5995" s="37"/>
      <c r="H5995" s="37"/>
      <c r="I5995" s="35"/>
      <c r="J5995" s="37"/>
    </row>
    <row r="5996" spans="1:10" ht="15.95" customHeight="1" x14ac:dyDescent="0.2">
      <c r="A5996" s="39"/>
      <c r="B5996" s="36"/>
      <c r="C5996" s="37"/>
      <c r="D5996" s="37"/>
      <c r="E5996" s="37"/>
      <c r="F5996" s="37"/>
      <c r="G5996" s="37"/>
      <c r="H5996" s="37"/>
      <c r="I5996" s="35"/>
      <c r="J5996" s="37"/>
    </row>
    <row r="5997" spans="1:10" ht="15.95" customHeight="1" x14ac:dyDescent="0.2">
      <c r="A5997" s="39"/>
      <c r="B5997" s="36"/>
      <c r="C5997" s="37"/>
      <c r="D5997" s="37"/>
      <c r="E5997" s="37"/>
      <c r="F5997" s="37"/>
      <c r="G5997" s="37"/>
      <c r="H5997" s="37"/>
      <c r="I5997" s="35"/>
      <c r="J5997" s="37"/>
    </row>
    <row r="5998" spans="1:10" ht="15.95" customHeight="1" x14ac:dyDescent="0.2">
      <c r="A5998" s="39"/>
      <c r="B5998" s="36"/>
      <c r="C5998" s="37"/>
      <c r="D5998" s="37"/>
      <c r="E5998" s="37"/>
      <c r="F5998" s="37"/>
      <c r="G5998" s="37"/>
      <c r="H5998" s="37"/>
      <c r="I5998" s="35"/>
      <c r="J5998" s="37"/>
    </row>
    <row r="5999" spans="1:10" ht="15.95" customHeight="1" x14ac:dyDescent="0.2">
      <c r="A5999" s="39"/>
      <c r="B5999" s="36"/>
      <c r="C5999" s="37"/>
      <c r="D5999" s="37"/>
      <c r="E5999" s="37"/>
      <c r="F5999" s="37"/>
      <c r="G5999" s="37"/>
      <c r="H5999" s="37"/>
      <c r="I5999" s="35"/>
      <c r="J5999" s="37"/>
    </row>
    <row r="6000" spans="1:10" ht="15.95" customHeight="1" x14ac:dyDescent="0.2">
      <c r="A6000" s="39"/>
      <c r="B6000" s="36"/>
      <c r="C6000" s="37"/>
      <c r="D6000" s="37"/>
      <c r="E6000" s="37"/>
      <c r="F6000" s="37"/>
      <c r="G6000" s="37"/>
      <c r="H6000" s="37"/>
      <c r="I6000" s="35"/>
      <c r="J6000" s="37"/>
    </row>
    <row r="6001" spans="1:10" ht="15.95" customHeight="1" x14ac:dyDescent="0.2">
      <c r="A6001" s="39"/>
      <c r="B6001" s="36"/>
      <c r="C6001" s="37"/>
      <c r="D6001" s="37"/>
      <c r="E6001" s="37"/>
      <c r="F6001" s="37"/>
      <c r="G6001" s="37"/>
      <c r="H6001" s="37"/>
      <c r="I6001" s="35"/>
      <c r="J6001" s="37"/>
    </row>
    <row r="6002" spans="1:10" ht="15.95" customHeight="1" x14ac:dyDescent="0.2">
      <c r="A6002" s="39"/>
      <c r="B6002" s="36"/>
      <c r="C6002" s="37"/>
      <c r="D6002" s="37"/>
      <c r="E6002" s="37"/>
      <c r="F6002" s="37"/>
      <c r="G6002" s="37"/>
      <c r="H6002" s="37"/>
      <c r="I6002" s="35"/>
      <c r="J6002" s="37"/>
    </row>
    <row r="6003" spans="1:10" ht="15.95" customHeight="1" x14ac:dyDescent="0.2">
      <c r="A6003" s="39"/>
      <c r="B6003" s="36"/>
      <c r="C6003" s="37"/>
      <c r="D6003" s="37"/>
      <c r="E6003" s="37"/>
      <c r="F6003" s="37"/>
      <c r="G6003" s="37"/>
      <c r="H6003" s="37"/>
      <c r="I6003" s="35"/>
      <c r="J6003" s="37"/>
    </row>
    <row r="6004" spans="1:10" ht="15.95" customHeight="1" x14ac:dyDescent="0.2">
      <c r="A6004" s="39"/>
      <c r="B6004" s="36"/>
      <c r="C6004" s="37"/>
      <c r="D6004" s="37"/>
      <c r="E6004" s="37"/>
      <c r="F6004" s="37"/>
      <c r="G6004" s="37"/>
      <c r="H6004" s="37"/>
      <c r="I6004" s="35"/>
      <c r="J6004" s="37"/>
    </row>
    <row r="6005" spans="1:10" ht="15.95" customHeight="1" x14ac:dyDescent="0.2">
      <c r="A6005" s="39"/>
      <c r="B6005" s="36"/>
      <c r="C6005" s="37"/>
      <c r="D6005" s="37"/>
      <c r="E6005" s="37"/>
      <c r="F6005" s="37"/>
      <c r="G6005" s="37"/>
      <c r="H6005" s="37"/>
      <c r="I6005" s="35"/>
      <c r="J6005" s="37"/>
    </row>
    <row r="6006" spans="1:10" ht="15.95" customHeight="1" x14ac:dyDescent="0.2">
      <c r="A6006" s="39"/>
      <c r="B6006" s="36"/>
      <c r="C6006" s="37"/>
      <c r="D6006" s="37"/>
      <c r="E6006" s="37"/>
      <c r="F6006" s="37"/>
      <c r="G6006" s="37"/>
      <c r="H6006" s="37"/>
      <c r="I6006" s="35"/>
      <c r="J6006" s="37"/>
    </row>
    <row r="6007" spans="1:10" ht="15.95" customHeight="1" x14ac:dyDescent="0.2">
      <c r="A6007" s="39"/>
      <c r="B6007" s="36"/>
      <c r="C6007" s="37"/>
      <c r="D6007" s="37"/>
      <c r="E6007" s="37"/>
      <c r="F6007" s="37"/>
      <c r="G6007" s="37"/>
      <c r="H6007" s="37"/>
      <c r="I6007" s="35"/>
      <c r="J6007" s="37"/>
    </row>
    <row r="6008" spans="1:10" ht="15.95" customHeight="1" x14ac:dyDescent="0.2">
      <c r="A6008" s="39"/>
      <c r="B6008" s="36"/>
      <c r="C6008" s="37"/>
      <c r="D6008" s="37"/>
      <c r="E6008" s="37"/>
      <c r="F6008" s="37"/>
      <c r="G6008" s="37"/>
      <c r="H6008" s="37"/>
      <c r="I6008" s="35"/>
      <c r="J6008" s="37"/>
    </row>
    <row r="6009" spans="1:10" ht="15.95" customHeight="1" x14ac:dyDescent="0.2">
      <c r="A6009" s="39"/>
      <c r="B6009" s="36"/>
      <c r="C6009" s="37"/>
      <c r="D6009" s="37"/>
      <c r="E6009" s="37"/>
      <c r="F6009" s="37"/>
      <c r="G6009" s="37"/>
      <c r="H6009" s="37"/>
      <c r="I6009" s="35"/>
      <c r="J6009" s="37"/>
    </row>
    <row r="6010" spans="1:10" ht="15.95" customHeight="1" x14ac:dyDescent="0.2">
      <c r="A6010" s="39"/>
      <c r="B6010" s="36"/>
      <c r="C6010" s="37"/>
      <c r="D6010" s="37"/>
      <c r="E6010" s="37"/>
      <c r="F6010" s="37"/>
      <c r="G6010" s="37"/>
      <c r="H6010" s="37"/>
      <c r="I6010" s="35"/>
      <c r="J6010" s="37"/>
    </row>
    <row r="6011" spans="1:10" ht="15.95" customHeight="1" x14ac:dyDescent="0.2">
      <c r="A6011" s="39"/>
      <c r="B6011" s="36"/>
      <c r="C6011" s="37"/>
      <c r="D6011" s="37"/>
      <c r="E6011" s="37"/>
      <c r="F6011" s="37"/>
      <c r="G6011" s="37"/>
      <c r="H6011" s="37"/>
      <c r="I6011" s="35"/>
      <c r="J6011" s="37"/>
    </row>
    <row r="6012" spans="1:10" ht="15.95" customHeight="1" x14ac:dyDescent="0.2">
      <c r="A6012" s="39"/>
      <c r="B6012" s="36"/>
      <c r="C6012" s="37"/>
      <c r="D6012" s="37"/>
      <c r="E6012" s="37"/>
      <c r="F6012" s="37"/>
      <c r="G6012" s="37"/>
      <c r="H6012" s="37"/>
      <c r="I6012" s="35"/>
      <c r="J6012" s="37"/>
    </row>
    <row r="6013" spans="1:10" ht="15.95" customHeight="1" x14ac:dyDescent="0.2">
      <c r="A6013" s="39"/>
      <c r="B6013" s="36"/>
      <c r="C6013" s="37"/>
      <c r="D6013" s="37"/>
      <c r="E6013" s="37"/>
      <c r="F6013" s="37"/>
      <c r="G6013" s="37"/>
      <c r="H6013" s="37"/>
      <c r="I6013" s="35"/>
      <c r="J6013" s="37"/>
    </row>
    <row r="6014" spans="1:10" ht="15.95" customHeight="1" x14ac:dyDescent="0.2">
      <c r="A6014" s="39"/>
      <c r="B6014" s="36"/>
      <c r="C6014" s="37"/>
      <c r="D6014" s="37"/>
      <c r="E6014" s="37"/>
      <c r="F6014" s="37"/>
      <c r="G6014" s="37"/>
      <c r="H6014" s="37"/>
      <c r="I6014" s="35"/>
      <c r="J6014" s="37"/>
    </row>
    <row r="6015" spans="1:10" ht="15.95" customHeight="1" x14ac:dyDescent="0.2">
      <c r="A6015" s="39"/>
      <c r="B6015" s="36"/>
      <c r="C6015" s="37"/>
      <c r="D6015" s="37"/>
      <c r="E6015" s="37"/>
      <c r="F6015" s="37"/>
      <c r="G6015" s="37"/>
      <c r="H6015" s="37"/>
      <c r="I6015" s="35"/>
      <c r="J6015" s="37"/>
    </row>
    <row r="6016" spans="1:10" ht="15.95" customHeight="1" x14ac:dyDescent="0.2">
      <c r="A6016" s="39"/>
      <c r="B6016" s="36"/>
      <c r="C6016" s="37"/>
      <c r="D6016" s="37"/>
      <c r="E6016" s="37"/>
      <c r="F6016" s="37"/>
      <c r="G6016" s="37"/>
      <c r="H6016" s="37"/>
      <c r="I6016" s="35"/>
      <c r="J6016" s="37"/>
    </row>
    <row r="6017" spans="1:10" ht="15.95" customHeight="1" x14ac:dyDescent="0.2">
      <c r="A6017" s="39"/>
      <c r="B6017" s="36"/>
      <c r="C6017" s="37"/>
      <c r="D6017" s="37"/>
      <c r="E6017" s="37"/>
      <c r="F6017" s="37"/>
      <c r="G6017" s="37"/>
      <c r="H6017" s="37"/>
      <c r="I6017" s="35"/>
      <c r="J6017" s="37"/>
    </row>
    <row r="6018" spans="1:10" ht="15.95" customHeight="1" x14ac:dyDescent="0.2">
      <c r="A6018" s="39"/>
      <c r="B6018" s="36"/>
      <c r="C6018" s="37"/>
      <c r="D6018" s="37"/>
      <c r="E6018" s="37"/>
      <c r="F6018" s="37"/>
      <c r="G6018" s="37"/>
      <c r="H6018" s="37"/>
      <c r="I6018" s="35"/>
      <c r="J6018" s="37"/>
    </row>
    <row r="6019" spans="1:10" ht="15.95" customHeight="1" x14ac:dyDescent="0.2">
      <c r="A6019" s="39"/>
      <c r="B6019" s="36"/>
      <c r="C6019" s="37"/>
      <c r="D6019" s="37"/>
      <c r="E6019" s="37"/>
      <c r="F6019" s="37"/>
      <c r="G6019" s="37"/>
      <c r="H6019" s="37"/>
      <c r="I6019" s="35"/>
      <c r="J6019" s="37"/>
    </row>
    <row r="6020" spans="1:10" ht="15.95" customHeight="1" x14ac:dyDescent="0.2">
      <c r="A6020" s="39"/>
      <c r="B6020" s="36"/>
      <c r="C6020" s="37"/>
      <c r="D6020" s="37"/>
      <c r="E6020" s="37"/>
      <c r="F6020" s="37"/>
      <c r="G6020" s="37"/>
      <c r="H6020" s="37"/>
      <c r="I6020" s="35"/>
      <c r="J6020" s="37"/>
    </row>
    <row r="6021" spans="1:10" ht="15.95" customHeight="1" x14ac:dyDescent="0.2">
      <c r="A6021" s="39"/>
      <c r="B6021" s="36"/>
      <c r="C6021" s="37"/>
      <c r="D6021" s="37"/>
      <c r="E6021" s="37"/>
      <c r="F6021" s="37"/>
      <c r="G6021" s="37"/>
      <c r="H6021" s="37"/>
      <c r="I6021" s="35"/>
      <c r="J6021" s="37"/>
    </row>
    <row r="6022" spans="1:10" ht="15.95" customHeight="1" x14ac:dyDescent="0.2">
      <c r="A6022" s="39"/>
      <c r="B6022" s="36"/>
      <c r="C6022" s="37"/>
      <c r="D6022" s="37"/>
      <c r="E6022" s="37"/>
      <c r="F6022" s="37"/>
      <c r="G6022" s="37"/>
      <c r="H6022" s="37"/>
      <c r="I6022" s="35"/>
      <c r="J6022" s="37"/>
    </row>
    <row r="6023" spans="1:10" ht="15.95" customHeight="1" x14ac:dyDescent="0.2">
      <c r="A6023" s="39"/>
      <c r="B6023" s="36"/>
      <c r="C6023" s="37"/>
      <c r="D6023" s="37"/>
      <c r="E6023" s="37"/>
      <c r="F6023" s="37"/>
      <c r="G6023" s="37"/>
      <c r="H6023" s="37"/>
      <c r="I6023" s="35"/>
      <c r="J6023" s="37"/>
    </row>
    <row r="6024" spans="1:10" ht="15.95" customHeight="1" x14ac:dyDescent="0.2">
      <c r="A6024" s="39"/>
      <c r="B6024" s="36"/>
      <c r="C6024" s="37"/>
      <c r="D6024" s="37"/>
      <c r="E6024" s="37"/>
      <c r="F6024" s="37"/>
      <c r="G6024" s="37"/>
      <c r="H6024" s="37"/>
      <c r="I6024" s="35"/>
      <c r="J6024" s="37"/>
    </row>
    <row r="6025" spans="1:10" ht="15.95" customHeight="1" x14ac:dyDescent="0.2">
      <c r="A6025" s="39"/>
      <c r="B6025" s="36"/>
      <c r="C6025" s="37"/>
      <c r="D6025" s="37"/>
      <c r="E6025" s="37"/>
      <c r="F6025" s="37"/>
      <c r="G6025" s="37"/>
      <c r="H6025" s="37"/>
      <c r="I6025" s="35"/>
      <c r="J6025" s="37"/>
    </row>
    <row r="6026" spans="1:10" ht="15.95" customHeight="1" x14ac:dyDescent="0.2">
      <c r="A6026" s="39"/>
      <c r="B6026" s="36"/>
      <c r="C6026" s="37"/>
      <c r="D6026" s="37"/>
      <c r="E6026" s="37"/>
      <c r="F6026" s="37"/>
      <c r="G6026" s="37"/>
      <c r="H6026" s="37"/>
      <c r="I6026" s="35"/>
      <c r="J6026" s="37"/>
    </row>
    <row r="6027" spans="1:10" ht="15.95" customHeight="1" x14ac:dyDescent="0.2">
      <c r="A6027" s="39"/>
      <c r="B6027" s="36"/>
      <c r="C6027" s="37"/>
      <c r="D6027" s="37"/>
      <c r="E6027" s="37"/>
      <c r="F6027" s="37"/>
      <c r="G6027" s="37"/>
      <c r="H6027" s="37"/>
      <c r="I6027" s="35"/>
      <c r="J6027" s="37"/>
    </row>
    <row r="6028" spans="1:10" ht="15.95" customHeight="1" x14ac:dyDescent="0.2">
      <c r="A6028" s="39"/>
      <c r="B6028" s="36"/>
      <c r="C6028" s="37"/>
      <c r="D6028" s="37"/>
      <c r="E6028" s="37"/>
      <c r="F6028" s="37"/>
      <c r="G6028" s="37"/>
      <c r="H6028" s="37"/>
      <c r="I6028" s="35"/>
      <c r="J6028" s="37"/>
    </row>
    <row r="6029" spans="1:10" ht="15.95" customHeight="1" x14ac:dyDescent="0.2">
      <c r="A6029" s="39"/>
      <c r="B6029" s="36"/>
      <c r="C6029" s="37"/>
      <c r="D6029" s="37"/>
      <c r="E6029" s="37"/>
      <c r="F6029" s="37"/>
      <c r="G6029" s="37"/>
      <c r="H6029" s="37"/>
      <c r="I6029" s="35"/>
      <c r="J6029" s="37"/>
    </row>
    <row r="6030" spans="1:10" ht="15.95" customHeight="1" x14ac:dyDescent="0.2">
      <c r="A6030" s="39"/>
      <c r="B6030" s="36"/>
      <c r="C6030" s="37"/>
      <c r="D6030" s="37"/>
      <c r="E6030" s="37"/>
      <c r="F6030" s="37"/>
      <c r="G6030" s="37"/>
      <c r="H6030" s="37"/>
      <c r="I6030" s="35"/>
      <c r="J6030" s="37"/>
    </row>
    <row r="6031" spans="1:10" ht="15.95" customHeight="1" x14ac:dyDescent="0.2">
      <c r="A6031" s="39"/>
      <c r="B6031" s="36"/>
      <c r="C6031" s="37"/>
      <c r="D6031" s="37"/>
      <c r="E6031" s="37"/>
      <c r="F6031" s="37"/>
      <c r="G6031" s="37"/>
      <c r="H6031" s="37"/>
      <c r="I6031" s="35"/>
      <c r="J6031" s="37"/>
    </row>
    <row r="6032" spans="1:10" ht="15.95" customHeight="1" x14ac:dyDescent="0.2">
      <c r="A6032" s="39"/>
      <c r="B6032" s="36"/>
      <c r="C6032" s="37"/>
      <c r="D6032" s="37"/>
      <c r="E6032" s="37"/>
      <c r="F6032" s="37"/>
      <c r="G6032" s="37"/>
      <c r="H6032" s="37"/>
      <c r="I6032" s="35"/>
      <c r="J6032" s="37"/>
    </row>
    <row r="6033" spans="1:10" ht="15.95" customHeight="1" x14ac:dyDescent="0.2">
      <c r="A6033" s="39"/>
      <c r="B6033" s="36"/>
      <c r="C6033" s="37"/>
      <c r="D6033" s="37"/>
      <c r="E6033" s="37"/>
      <c r="F6033" s="37"/>
      <c r="G6033" s="37"/>
      <c r="H6033" s="37"/>
      <c r="I6033" s="35"/>
      <c r="J6033" s="37"/>
    </row>
    <row r="6034" spans="1:10" ht="15.95" customHeight="1" x14ac:dyDescent="0.2">
      <c r="A6034" s="39"/>
      <c r="B6034" s="36"/>
      <c r="C6034" s="37"/>
      <c r="D6034" s="37"/>
      <c r="E6034" s="37"/>
      <c r="F6034" s="37"/>
      <c r="G6034" s="37"/>
      <c r="H6034" s="37"/>
      <c r="I6034" s="35"/>
      <c r="J6034" s="37"/>
    </row>
    <row r="6035" spans="1:10" ht="15.95" customHeight="1" x14ac:dyDescent="0.2">
      <c r="A6035" s="39"/>
      <c r="B6035" s="36"/>
      <c r="C6035" s="37"/>
      <c r="D6035" s="37"/>
      <c r="E6035" s="37"/>
      <c r="F6035" s="37"/>
      <c r="G6035" s="37"/>
      <c r="H6035" s="37"/>
      <c r="I6035" s="35"/>
      <c r="J6035" s="37"/>
    </row>
    <row r="6036" spans="1:10" ht="15.95" customHeight="1" x14ac:dyDescent="0.2">
      <c r="A6036" s="39"/>
      <c r="B6036" s="36"/>
      <c r="C6036" s="37"/>
      <c r="D6036" s="37"/>
      <c r="E6036" s="37"/>
      <c r="F6036" s="37"/>
      <c r="G6036" s="37"/>
      <c r="H6036" s="37"/>
      <c r="I6036" s="35"/>
      <c r="J6036" s="37"/>
    </row>
    <row r="6037" spans="1:10" ht="15.95" customHeight="1" x14ac:dyDescent="0.2">
      <c r="A6037" s="39"/>
      <c r="B6037" s="36"/>
      <c r="C6037" s="37"/>
      <c r="D6037" s="37"/>
      <c r="E6037" s="37"/>
      <c r="F6037" s="37"/>
      <c r="G6037" s="37"/>
      <c r="H6037" s="37"/>
      <c r="I6037" s="35"/>
      <c r="J6037" s="37"/>
    </row>
    <row r="6038" spans="1:10" ht="15.95" customHeight="1" x14ac:dyDescent="0.2">
      <c r="A6038" s="39"/>
      <c r="B6038" s="36"/>
      <c r="C6038" s="37"/>
      <c r="D6038" s="37"/>
      <c r="E6038" s="37"/>
      <c r="F6038" s="37"/>
      <c r="G6038" s="37"/>
      <c r="H6038" s="37"/>
      <c r="I6038" s="35"/>
      <c r="J6038" s="37"/>
    </row>
    <row r="6039" spans="1:10" ht="15.95" customHeight="1" x14ac:dyDescent="0.2">
      <c r="A6039" s="39"/>
      <c r="B6039" s="36"/>
      <c r="C6039" s="37"/>
      <c r="D6039" s="37"/>
      <c r="E6039" s="37"/>
      <c r="F6039" s="37"/>
      <c r="G6039" s="37"/>
      <c r="H6039" s="37"/>
      <c r="I6039" s="35"/>
      <c r="J6039" s="37"/>
    </row>
    <row r="6040" spans="1:10" ht="15.95" customHeight="1" x14ac:dyDescent="0.2">
      <c r="A6040" s="39"/>
      <c r="B6040" s="36"/>
      <c r="C6040" s="37"/>
      <c r="D6040" s="37"/>
      <c r="E6040" s="37"/>
      <c r="F6040" s="37"/>
      <c r="G6040" s="37"/>
      <c r="H6040" s="37"/>
      <c r="I6040" s="35"/>
      <c r="J6040" s="37"/>
    </row>
    <row r="6041" spans="1:10" ht="15.95" customHeight="1" x14ac:dyDescent="0.2">
      <c r="A6041" s="39"/>
      <c r="B6041" s="36"/>
      <c r="C6041" s="37"/>
      <c r="D6041" s="37"/>
      <c r="E6041" s="37"/>
      <c r="F6041" s="37"/>
      <c r="G6041" s="37"/>
      <c r="H6041" s="37"/>
      <c r="I6041" s="35"/>
      <c r="J6041" s="37"/>
    </row>
    <row r="6042" spans="1:10" ht="15.95" customHeight="1" x14ac:dyDescent="0.2">
      <c r="A6042" s="39"/>
      <c r="B6042" s="36"/>
      <c r="C6042" s="37"/>
      <c r="D6042" s="37"/>
      <c r="E6042" s="37"/>
      <c r="F6042" s="37"/>
      <c r="G6042" s="37"/>
      <c r="H6042" s="37"/>
      <c r="I6042" s="35"/>
      <c r="J6042" s="37"/>
    </row>
    <row r="6043" spans="1:10" ht="15.95" customHeight="1" x14ac:dyDescent="0.2">
      <c r="A6043" s="39"/>
      <c r="B6043" s="36"/>
      <c r="C6043" s="37"/>
      <c r="D6043" s="37"/>
      <c r="E6043" s="37"/>
      <c r="F6043" s="37"/>
      <c r="G6043" s="37"/>
      <c r="H6043" s="37"/>
      <c r="I6043" s="35"/>
      <c r="J6043" s="37"/>
    </row>
    <row r="6044" spans="1:10" ht="15.95" customHeight="1" x14ac:dyDescent="0.2">
      <c r="A6044" s="39"/>
      <c r="B6044" s="36"/>
      <c r="C6044" s="37"/>
      <c r="D6044" s="37"/>
      <c r="E6044" s="37"/>
      <c r="F6044" s="37"/>
      <c r="G6044" s="37"/>
      <c r="H6044" s="37"/>
      <c r="I6044" s="35"/>
      <c r="J6044" s="37"/>
    </row>
    <row r="6045" spans="1:10" ht="15.95" customHeight="1" x14ac:dyDescent="0.2">
      <c r="A6045" s="39"/>
      <c r="B6045" s="36"/>
      <c r="C6045" s="37"/>
      <c r="D6045" s="37"/>
      <c r="E6045" s="37"/>
      <c r="F6045" s="37"/>
      <c r="G6045" s="37"/>
      <c r="H6045" s="37"/>
      <c r="I6045" s="35"/>
      <c r="J6045" s="37"/>
    </row>
    <row r="6046" spans="1:10" ht="15.95" customHeight="1" x14ac:dyDescent="0.2">
      <c r="A6046" s="39"/>
      <c r="B6046" s="36"/>
      <c r="C6046" s="37"/>
      <c r="D6046" s="37"/>
      <c r="E6046" s="37"/>
      <c r="F6046" s="37"/>
      <c r="G6046" s="37"/>
      <c r="H6046" s="37"/>
      <c r="I6046" s="35"/>
      <c r="J6046" s="37"/>
    </row>
    <row r="6047" spans="1:10" ht="15.95" customHeight="1" x14ac:dyDescent="0.2">
      <c r="A6047" s="39"/>
      <c r="B6047" s="36"/>
      <c r="C6047" s="37"/>
      <c r="D6047" s="37"/>
      <c r="E6047" s="37"/>
      <c r="F6047" s="37"/>
      <c r="G6047" s="37"/>
      <c r="H6047" s="37"/>
      <c r="I6047" s="35"/>
      <c r="J6047" s="37"/>
    </row>
    <row r="6048" spans="1:10" ht="15.95" customHeight="1" x14ac:dyDescent="0.2">
      <c r="A6048" s="39"/>
      <c r="B6048" s="36"/>
      <c r="C6048" s="37"/>
      <c r="D6048" s="37"/>
      <c r="E6048" s="37"/>
      <c r="F6048" s="37"/>
      <c r="G6048" s="37"/>
      <c r="H6048" s="37"/>
      <c r="I6048" s="35"/>
      <c r="J6048" s="37"/>
    </row>
    <row r="6049" spans="1:10" ht="15.95" customHeight="1" x14ac:dyDescent="0.2">
      <c r="A6049" s="39"/>
      <c r="B6049" s="36"/>
      <c r="C6049" s="37"/>
      <c r="D6049" s="37"/>
      <c r="E6049" s="37"/>
      <c r="F6049" s="37"/>
      <c r="G6049" s="37"/>
      <c r="H6049" s="37"/>
      <c r="I6049" s="35"/>
      <c r="J6049" s="37"/>
    </row>
    <row r="6050" spans="1:10" ht="15.95" customHeight="1" x14ac:dyDescent="0.2">
      <c r="A6050" s="39"/>
      <c r="B6050" s="36"/>
      <c r="C6050" s="37"/>
      <c r="D6050" s="37"/>
      <c r="E6050" s="37"/>
      <c r="F6050" s="37"/>
      <c r="G6050" s="37"/>
      <c r="H6050" s="37"/>
      <c r="I6050" s="35"/>
      <c r="J6050" s="37"/>
    </row>
    <row r="6051" spans="1:10" ht="15.95" customHeight="1" x14ac:dyDescent="0.2">
      <c r="A6051" s="39"/>
      <c r="B6051" s="36"/>
      <c r="C6051" s="37"/>
      <c r="D6051" s="37"/>
      <c r="E6051" s="37"/>
      <c r="F6051" s="37"/>
      <c r="G6051" s="37"/>
      <c r="H6051" s="37"/>
      <c r="I6051" s="35"/>
      <c r="J6051" s="37"/>
    </row>
    <row r="6052" spans="1:10" ht="15.95" customHeight="1" x14ac:dyDescent="0.2">
      <c r="A6052" s="39"/>
      <c r="B6052" s="36"/>
      <c r="C6052" s="37"/>
      <c r="D6052" s="37"/>
      <c r="E6052" s="37"/>
      <c r="F6052" s="37"/>
      <c r="G6052" s="37"/>
      <c r="H6052" s="37"/>
      <c r="I6052" s="35"/>
      <c r="J6052" s="37"/>
    </row>
    <row r="6053" spans="1:10" ht="15.95" customHeight="1" x14ac:dyDescent="0.2">
      <c r="A6053" s="39"/>
      <c r="B6053" s="36"/>
      <c r="C6053" s="37"/>
      <c r="D6053" s="37"/>
      <c r="E6053" s="37"/>
      <c r="F6053" s="37"/>
      <c r="G6053" s="37"/>
      <c r="H6053" s="37"/>
      <c r="I6053" s="35"/>
      <c r="J6053" s="37"/>
    </row>
    <row r="6054" spans="1:10" ht="15.95" customHeight="1" x14ac:dyDescent="0.2">
      <c r="A6054" s="39"/>
      <c r="B6054" s="36"/>
      <c r="C6054" s="37"/>
      <c r="D6054" s="37"/>
      <c r="E6054" s="37"/>
      <c r="F6054" s="37"/>
      <c r="G6054" s="37"/>
      <c r="H6054" s="37"/>
      <c r="I6054" s="35"/>
      <c r="J6054" s="37"/>
    </row>
    <row r="6055" spans="1:10" ht="15.95" customHeight="1" x14ac:dyDescent="0.2">
      <c r="A6055" s="39"/>
      <c r="B6055" s="36"/>
      <c r="C6055" s="37"/>
      <c r="D6055" s="37"/>
      <c r="E6055" s="37"/>
      <c r="F6055" s="37"/>
      <c r="G6055" s="37"/>
      <c r="H6055" s="37"/>
      <c r="I6055" s="35"/>
      <c r="J6055" s="37"/>
    </row>
    <row r="6056" spans="1:10" ht="15.95" customHeight="1" x14ac:dyDescent="0.2">
      <c r="A6056" s="39"/>
      <c r="B6056" s="36"/>
      <c r="C6056" s="37"/>
      <c r="D6056" s="37"/>
      <c r="E6056" s="37"/>
      <c r="F6056" s="37"/>
      <c r="G6056" s="37"/>
      <c r="H6056" s="37"/>
      <c r="I6056" s="35"/>
      <c r="J6056" s="37"/>
    </row>
    <row r="6057" spans="1:10" ht="15.95" customHeight="1" x14ac:dyDescent="0.2">
      <c r="A6057" s="39"/>
      <c r="B6057" s="36"/>
      <c r="C6057" s="37"/>
      <c r="D6057" s="37"/>
      <c r="E6057" s="37"/>
      <c r="F6057" s="37"/>
      <c r="G6057" s="37"/>
      <c r="H6057" s="37"/>
      <c r="I6057" s="35"/>
      <c r="J6057" s="37"/>
    </row>
    <row r="6058" spans="1:10" ht="15.95" customHeight="1" x14ac:dyDescent="0.2">
      <c r="A6058" s="39"/>
      <c r="B6058" s="36"/>
      <c r="C6058" s="37"/>
      <c r="D6058" s="37"/>
      <c r="E6058" s="37"/>
      <c r="F6058" s="37"/>
      <c r="G6058" s="37"/>
      <c r="H6058" s="37"/>
      <c r="I6058" s="35"/>
      <c r="J6058" s="37"/>
    </row>
    <row r="6059" spans="1:10" ht="15.95" customHeight="1" x14ac:dyDescent="0.2">
      <c r="A6059" s="39"/>
      <c r="B6059" s="36"/>
      <c r="C6059" s="37"/>
      <c r="D6059" s="37"/>
      <c r="E6059" s="37"/>
      <c r="F6059" s="37"/>
      <c r="G6059" s="37"/>
      <c r="H6059" s="37"/>
      <c r="I6059" s="35"/>
      <c r="J6059" s="37"/>
    </row>
    <row r="6060" spans="1:10" ht="15.95" customHeight="1" x14ac:dyDescent="0.2">
      <c r="A6060" s="39"/>
      <c r="B6060" s="36"/>
      <c r="C6060" s="37"/>
      <c r="D6060" s="37"/>
      <c r="E6060" s="37"/>
      <c r="F6060" s="37"/>
      <c r="G6060" s="37"/>
      <c r="H6060" s="37"/>
      <c r="I6060" s="35"/>
      <c r="J6060" s="37"/>
    </row>
    <row r="6061" spans="1:10" ht="15.95" customHeight="1" x14ac:dyDescent="0.2">
      <c r="A6061" s="39"/>
      <c r="B6061" s="36"/>
      <c r="C6061" s="37"/>
      <c r="D6061" s="37"/>
      <c r="E6061" s="37"/>
      <c r="F6061" s="37"/>
      <c r="G6061" s="37"/>
      <c r="H6061" s="37"/>
      <c r="I6061" s="35"/>
      <c r="J6061" s="37"/>
    </row>
    <row r="6062" spans="1:10" ht="15.95" customHeight="1" x14ac:dyDescent="0.2">
      <c r="A6062" s="39"/>
      <c r="B6062" s="36"/>
      <c r="C6062" s="37"/>
      <c r="D6062" s="37"/>
      <c r="E6062" s="37"/>
      <c r="F6062" s="37"/>
      <c r="G6062" s="37"/>
      <c r="H6062" s="37"/>
      <c r="I6062" s="35"/>
      <c r="J6062" s="37"/>
    </row>
    <row r="6063" spans="1:10" ht="15.95" customHeight="1" x14ac:dyDescent="0.2">
      <c r="A6063" s="39"/>
      <c r="B6063" s="36"/>
      <c r="C6063" s="37"/>
      <c r="D6063" s="37"/>
      <c r="E6063" s="37"/>
      <c r="F6063" s="37"/>
      <c r="G6063" s="37"/>
      <c r="H6063" s="37"/>
      <c r="I6063" s="35"/>
      <c r="J6063" s="37"/>
    </row>
    <row r="6064" spans="1:10" ht="15.95" customHeight="1" x14ac:dyDescent="0.2">
      <c r="A6064" s="39"/>
      <c r="B6064" s="36"/>
      <c r="C6064" s="37"/>
      <c r="D6064" s="37"/>
      <c r="E6064" s="37"/>
      <c r="F6064" s="37"/>
      <c r="G6064" s="37"/>
      <c r="H6064" s="37"/>
      <c r="I6064" s="35"/>
      <c r="J6064" s="37"/>
    </row>
    <row r="6065" spans="1:10" ht="15.95" customHeight="1" x14ac:dyDescent="0.2">
      <c r="A6065" s="39"/>
      <c r="B6065" s="36"/>
      <c r="C6065" s="37"/>
      <c r="D6065" s="37"/>
      <c r="E6065" s="37"/>
      <c r="F6065" s="37"/>
      <c r="G6065" s="37"/>
      <c r="H6065" s="37"/>
      <c r="I6065" s="35"/>
      <c r="J6065" s="37"/>
    </row>
    <row r="6066" spans="1:10" ht="15.95" customHeight="1" x14ac:dyDescent="0.2">
      <c r="A6066" s="39"/>
      <c r="B6066" s="36"/>
      <c r="C6066" s="37"/>
      <c r="D6066" s="37"/>
      <c r="E6066" s="37"/>
      <c r="F6066" s="37"/>
      <c r="G6066" s="37"/>
      <c r="H6066" s="37"/>
      <c r="I6066" s="35"/>
      <c r="J6066" s="37"/>
    </row>
    <row r="6067" spans="1:10" ht="15.95" customHeight="1" x14ac:dyDescent="0.2">
      <c r="A6067" s="39"/>
      <c r="B6067" s="36"/>
      <c r="C6067" s="37"/>
      <c r="D6067" s="37"/>
      <c r="E6067" s="37"/>
      <c r="F6067" s="37"/>
      <c r="G6067" s="37"/>
      <c r="H6067" s="37"/>
      <c r="I6067" s="35"/>
      <c r="J6067" s="37"/>
    </row>
    <row r="6068" spans="1:10" ht="15.95" customHeight="1" x14ac:dyDescent="0.2">
      <c r="A6068" s="39"/>
      <c r="B6068" s="36"/>
      <c r="C6068" s="37"/>
      <c r="D6068" s="37"/>
      <c r="E6068" s="37"/>
      <c r="F6068" s="37"/>
      <c r="G6068" s="37"/>
      <c r="H6068" s="37"/>
      <c r="I6068" s="35"/>
      <c r="J6068" s="37"/>
    </row>
    <row r="6069" spans="1:10" ht="15.95" customHeight="1" x14ac:dyDescent="0.2">
      <c r="A6069" s="39"/>
      <c r="B6069" s="36"/>
      <c r="C6069" s="37"/>
      <c r="D6069" s="37"/>
      <c r="E6069" s="37"/>
      <c r="F6069" s="37"/>
      <c r="G6069" s="37"/>
      <c r="H6069" s="37"/>
      <c r="I6069" s="35"/>
      <c r="J6069" s="37"/>
    </row>
    <row r="6070" spans="1:10" ht="15.95" customHeight="1" x14ac:dyDescent="0.2">
      <c r="A6070" s="39"/>
      <c r="B6070" s="36"/>
      <c r="C6070" s="37"/>
      <c r="D6070" s="37"/>
      <c r="E6070" s="37"/>
      <c r="F6070" s="37"/>
      <c r="G6070" s="37"/>
      <c r="H6070" s="37"/>
      <c r="I6070" s="35"/>
      <c r="J6070" s="37"/>
    </row>
    <row r="6071" spans="1:10" ht="15.95" customHeight="1" x14ac:dyDescent="0.2">
      <c r="A6071" s="39"/>
      <c r="B6071" s="36"/>
      <c r="C6071" s="37"/>
      <c r="D6071" s="37"/>
      <c r="E6071" s="37"/>
      <c r="F6071" s="37"/>
      <c r="G6071" s="37"/>
      <c r="H6071" s="37"/>
      <c r="I6071" s="35"/>
      <c r="J6071" s="37"/>
    </row>
    <row r="6072" spans="1:10" ht="15.95" customHeight="1" x14ac:dyDescent="0.2">
      <c r="A6072" s="39"/>
      <c r="B6072" s="36"/>
      <c r="C6072" s="37"/>
      <c r="D6072" s="37"/>
      <c r="E6072" s="37"/>
      <c r="F6072" s="37"/>
      <c r="G6072" s="37"/>
      <c r="H6072" s="37"/>
      <c r="I6072" s="35"/>
      <c r="J6072" s="37"/>
    </row>
    <row r="6073" spans="1:10" ht="15.95" customHeight="1" x14ac:dyDescent="0.2">
      <c r="A6073" s="39"/>
      <c r="B6073" s="36"/>
      <c r="C6073" s="37"/>
      <c r="D6073" s="37"/>
      <c r="E6073" s="37"/>
      <c r="F6073" s="37"/>
      <c r="G6073" s="37"/>
      <c r="H6073" s="37"/>
      <c r="I6073" s="35"/>
      <c r="J6073" s="37"/>
    </row>
    <row r="6074" spans="1:10" ht="15.95" customHeight="1" x14ac:dyDescent="0.2">
      <c r="A6074" s="39"/>
      <c r="B6074" s="36"/>
      <c r="C6074" s="37"/>
      <c r="D6074" s="37"/>
      <c r="E6074" s="37"/>
      <c r="F6074" s="37"/>
      <c r="G6074" s="37"/>
      <c r="H6074" s="37"/>
      <c r="I6074" s="35"/>
      <c r="J6074" s="37"/>
    </row>
    <row r="6075" spans="1:10" ht="15.95" customHeight="1" x14ac:dyDescent="0.2">
      <c r="A6075" s="39"/>
      <c r="B6075" s="36"/>
      <c r="C6075" s="37"/>
      <c r="D6075" s="37"/>
      <c r="E6075" s="37"/>
      <c r="F6075" s="37"/>
      <c r="G6075" s="37"/>
      <c r="H6075" s="37"/>
      <c r="I6075" s="35"/>
      <c r="J6075" s="37"/>
    </row>
    <row r="6076" spans="1:10" ht="15.95" customHeight="1" x14ac:dyDescent="0.2">
      <c r="A6076" s="39"/>
      <c r="B6076" s="36"/>
      <c r="C6076" s="37"/>
      <c r="D6076" s="37"/>
      <c r="E6076" s="37"/>
      <c r="F6076" s="37"/>
      <c r="G6076" s="37"/>
      <c r="H6076" s="37"/>
      <c r="I6076" s="35"/>
      <c r="J6076" s="37"/>
    </row>
    <row r="6077" spans="1:10" ht="15.95" customHeight="1" x14ac:dyDescent="0.2">
      <c r="A6077" s="39"/>
      <c r="B6077" s="36"/>
      <c r="C6077" s="37"/>
      <c r="D6077" s="37"/>
      <c r="E6077" s="37"/>
      <c r="F6077" s="37"/>
      <c r="G6077" s="37"/>
      <c r="H6077" s="37"/>
      <c r="I6077" s="35"/>
      <c r="J6077" s="37"/>
    </row>
    <row r="6078" spans="1:10" ht="15.95" customHeight="1" x14ac:dyDescent="0.2">
      <c r="A6078" s="39"/>
      <c r="B6078" s="36"/>
      <c r="C6078" s="37"/>
      <c r="D6078" s="37"/>
      <c r="E6078" s="37"/>
      <c r="F6078" s="37"/>
      <c r="G6078" s="37"/>
      <c r="H6078" s="37"/>
      <c r="I6078" s="35"/>
      <c r="J6078" s="37"/>
    </row>
    <row r="6079" spans="1:10" ht="15.95" customHeight="1" x14ac:dyDescent="0.2">
      <c r="A6079" s="39"/>
      <c r="B6079" s="36"/>
      <c r="C6079" s="37"/>
      <c r="D6079" s="37"/>
      <c r="E6079" s="37"/>
      <c r="F6079" s="37"/>
      <c r="G6079" s="37"/>
      <c r="H6079" s="37"/>
      <c r="I6079" s="35"/>
      <c r="J6079" s="37"/>
    </row>
    <row r="6080" spans="1:10" ht="15.95" customHeight="1" x14ac:dyDescent="0.2">
      <c r="A6080" s="39"/>
      <c r="B6080" s="36"/>
      <c r="C6080" s="37"/>
      <c r="D6080" s="37"/>
      <c r="E6080" s="37"/>
      <c r="F6080" s="37"/>
      <c r="G6080" s="37"/>
      <c r="H6080" s="37"/>
      <c r="I6080" s="35"/>
      <c r="J6080" s="37"/>
    </row>
    <row r="6081" spans="1:10" ht="15.95" customHeight="1" x14ac:dyDescent="0.2">
      <c r="A6081" s="39"/>
      <c r="B6081" s="36"/>
      <c r="C6081" s="37"/>
      <c r="D6081" s="37"/>
      <c r="E6081" s="37"/>
      <c r="F6081" s="37"/>
      <c r="G6081" s="37"/>
      <c r="H6081" s="37"/>
      <c r="I6081" s="35"/>
      <c r="J6081" s="37"/>
    </row>
    <row r="6082" spans="1:10" ht="15.95" customHeight="1" x14ac:dyDescent="0.2">
      <c r="A6082" s="39"/>
      <c r="B6082" s="36"/>
      <c r="C6082" s="37"/>
      <c r="D6082" s="37"/>
      <c r="E6082" s="37"/>
      <c r="F6082" s="37"/>
      <c r="G6082" s="37"/>
      <c r="H6082" s="37"/>
      <c r="I6082" s="35"/>
      <c r="J6082" s="37"/>
    </row>
    <row r="6083" spans="1:10" ht="15.95" customHeight="1" x14ac:dyDescent="0.2">
      <c r="A6083" s="39"/>
      <c r="B6083" s="36"/>
      <c r="C6083" s="37"/>
      <c r="D6083" s="37"/>
      <c r="E6083" s="37"/>
      <c r="F6083" s="37"/>
      <c r="G6083" s="37"/>
      <c r="H6083" s="37"/>
      <c r="I6083" s="35"/>
      <c r="J6083" s="37"/>
    </row>
    <row r="6084" spans="1:10" ht="15.95" customHeight="1" x14ac:dyDescent="0.2">
      <c r="A6084" s="39"/>
      <c r="B6084" s="36"/>
      <c r="C6084" s="37"/>
      <c r="D6084" s="37"/>
      <c r="E6084" s="37"/>
      <c r="F6084" s="37"/>
      <c r="G6084" s="37"/>
      <c r="H6084" s="37"/>
      <c r="I6084" s="35"/>
      <c r="J6084" s="37"/>
    </row>
    <row r="6085" spans="1:10" ht="15.95" customHeight="1" x14ac:dyDescent="0.2">
      <c r="A6085" s="39"/>
      <c r="B6085" s="36"/>
      <c r="C6085" s="37"/>
      <c r="D6085" s="37"/>
      <c r="E6085" s="37"/>
      <c r="F6085" s="37"/>
      <c r="G6085" s="37"/>
      <c r="H6085" s="37"/>
      <c r="I6085" s="35"/>
      <c r="J6085" s="37"/>
    </row>
    <row r="6086" spans="1:10" ht="15.95" customHeight="1" x14ac:dyDescent="0.2">
      <c r="A6086" s="39"/>
      <c r="B6086" s="36"/>
      <c r="C6086" s="37"/>
      <c r="D6086" s="37"/>
      <c r="E6086" s="37"/>
      <c r="F6086" s="37"/>
      <c r="G6086" s="37"/>
      <c r="H6086" s="37"/>
      <c r="I6086" s="35"/>
      <c r="J6086" s="37"/>
    </row>
    <row r="6087" spans="1:10" ht="15.95" customHeight="1" x14ac:dyDescent="0.2">
      <c r="A6087" s="39"/>
      <c r="B6087" s="36"/>
      <c r="C6087" s="37"/>
      <c r="D6087" s="37"/>
      <c r="E6087" s="37"/>
      <c r="F6087" s="37"/>
      <c r="G6087" s="37"/>
      <c r="H6087" s="37"/>
      <c r="I6087" s="35"/>
      <c r="J6087" s="37"/>
    </row>
    <row r="6088" spans="1:10" ht="15.95" customHeight="1" x14ac:dyDescent="0.2">
      <c r="A6088" s="39"/>
      <c r="B6088" s="36"/>
      <c r="C6088" s="37"/>
      <c r="D6088" s="37"/>
      <c r="E6088" s="37"/>
      <c r="F6088" s="37"/>
      <c r="G6088" s="37"/>
      <c r="H6088" s="37"/>
      <c r="I6088" s="35"/>
      <c r="J6088" s="37"/>
    </row>
    <row r="6089" spans="1:10" ht="15.95" customHeight="1" x14ac:dyDescent="0.2">
      <c r="A6089" s="39"/>
      <c r="B6089" s="36"/>
      <c r="C6089" s="37"/>
      <c r="D6089" s="37"/>
      <c r="E6089" s="37"/>
      <c r="F6089" s="37"/>
      <c r="G6089" s="37"/>
      <c r="H6089" s="37"/>
      <c r="I6089" s="35"/>
      <c r="J6089" s="37"/>
    </row>
    <row r="6090" spans="1:10" ht="15.95" customHeight="1" x14ac:dyDescent="0.2">
      <c r="A6090" s="39"/>
      <c r="B6090" s="36"/>
      <c r="C6090" s="37"/>
      <c r="D6090" s="37"/>
      <c r="E6090" s="37"/>
      <c r="F6090" s="37"/>
      <c r="G6090" s="37"/>
      <c r="H6090" s="37"/>
      <c r="I6090" s="35"/>
      <c r="J6090" s="37"/>
    </row>
    <row r="6091" spans="1:10" ht="15.95" customHeight="1" x14ac:dyDescent="0.2">
      <c r="A6091" s="39"/>
      <c r="B6091" s="36"/>
      <c r="C6091" s="37"/>
      <c r="D6091" s="37"/>
      <c r="E6091" s="37"/>
      <c r="F6091" s="37"/>
      <c r="G6091" s="37"/>
      <c r="H6091" s="37"/>
      <c r="I6091" s="35"/>
      <c r="J6091" s="37"/>
    </row>
    <row r="6092" spans="1:10" ht="15.95" customHeight="1" x14ac:dyDescent="0.2">
      <c r="A6092" s="39"/>
      <c r="B6092" s="36"/>
      <c r="C6092" s="37"/>
      <c r="D6092" s="37"/>
      <c r="E6092" s="37"/>
      <c r="F6092" s="37"/>
      <c r="G6092" s="37"/>
      <c r="H6092" s="37"/>
      <c r="I6092" s="35"/>
      <c r="J6092" s="37"/>
    </row>
    <row r="6093" spans="1:10" ht="15.95" customHeight="1" x14ac:dyDescent="0.2">
      <c r="A6093" s="39"/>
      <c r="B6093" s="36"/>
      <c r="C6093" s="37"/>
      <c r="D6093" s="37"/>
      <c r="E6093" s="37"/>
      <c r="F6093" s="37"/>
      <c r="G6093" s="37"/>
      <c r="H6093" s="37"/>
      <c r="I6093" s="35"/>
      <c r="J6093" s="37"/>
    </row>
    <row r="6094" spans="1:10" ht="15.95" customHeight="1" x14ac:dyDescent="0.2">
      <c r="A6094" s="39"/>
      <c r="B6094" s="36"/>
      <c r="C6094" s="37"/>
      <c r="D6094" s="37"/>
      <c r="E6094" s="37"/>
      <c r="F6094" s="37"/>
      <c r="G6094" s="37"/>
      <c r="H6094" s="37"/>
      <c r="I6094" s="35"/>
      <c r="J6094" s="37"/>
    </row>
    <row r="6095" spans="1:10" ht="15.95" customHeight="1" x14ac:dyDescent="0.2">
      <c r="A6095" s="39"/>
      <c r="B6095" s="36"/>
      <c r="C6095" s="37"/>
      <c r="D6095" s="37"/>
      <c r="E6095" s="37"/>
      <c r="F6095" s="37"/>
      <c r="G6095" s="37"/>
      <c r="H6095" s="37"/>
      <c r="I6095" s="35"/>
      <c r="J6095" s="37"/>
    </row>
    <row r="6096" spans="1:10" ht="15.95" customHeight="1" x14ac:dyDescent="0.2">
      <c r="A6096" s="39"/>
      <c r="B6096" s="36"/>
      <c r="C6096" s="37"/>
      <c r="D6096" s="37"/>
      <c r="E6096" s="37"/>
      <c r="F6096" s="37"/>
      <c r="G6096" s="37"/>
      <c r="H6096" s="37"/>
      <c r="I6096" s="35"/>
      <c r="J6096" s="37"/>
    </row>
    <row r="6097" spans="1:10" ht="15.95" customHeight="1" x14ac:dyDescent="0.2">
      <c r="A6097" s="39"/>
      <c r="B6097" s="36"/>
      <c r="C6097" s="37"/>
      <c r="D6097" s="37"/>
      <c r="E6097" s="37"/>
      <c r="F6097" s="37"/>
      <c r="G6097" s="37"/>
      <c r="H6097" s="37"/>
      <c r="I6097" s="35"/>
      <c r="J6097" s="37"/>
    </row>
    <row r="6098" spans="1:10" ht="15.95" customHeight="1" x14ac:dyDescent="0.2">
      <c r="A6098" s="39"/>
      <c r="B6098" s="36"/>
      <c r="C6098" s="37"/>
      <c r="D6098" s="37"/>
      <c r="E6098" s="37"/>
      <c r="F6098" s="37"/>
      <c r="G6098" s="37"/>
      <c r="H6098" s="37"/>
      <c r="I6098" s="35"/>
      <c r="J6098" s="37"/>
    </row>
    <row r="6099" spans="1:10" ht="15.95" customHeight="1" x14ac:dyDescent="0.2">
      <c r="A6099" s="39"/>
      <c r="B6099" s="36"/>
      <c r="C6099" s="37"/>
      <c r="D6099" s="37"/>
      <c r="E6099" s="37"/>
      <c r="F6099" s="37"/>
      <c r="G6099" s="37"/>
      <c r="H6099" s="37"/>
      <c r="I6099" s="35"/>
      <c r="J6099" s="37"/>
    </row>
    <row r="6100" spans="1:10" ht="15.95" customHeight="1" x14ac:dyDescent="0.2">
      <c r="A6100" s="39"/>
      <c r="B6100" s="36"/>
      <c r="C6100" s="37"/>
      <c r="D6100" s="37"/>
      <c r="E6100" s="37"/>
      <c r="F6100" s="37"/>
      <c r="G6100" s="37"/>
      <c r="H6100" s="37"/>
      <c r="I6100" s="35"/>
      <c r="J6100" s="37"/>
    </row>
    <row r="6101" spans="1:10" ht="15.95" customHeight="1" x14ac:dyDescent="0.2">
      <c r="A6101" s="39"/>
      <c r="B6101" s="36"/>
      <c r="C6101" s="37"/>
      <c r="D6101" s="37"/>
      <c r="E6101" s="37"/>
      <c r="F6101" s="37"/>
      <c r="G6101" s="37"/>
      <c r="H6101" s="37"/>
      <c r="I6101" s="35"/>
      <c r="J6101" s="37"/>
    </row>
    <row r="6102" spans="1:10" ht="15.95" customHeight="1" x14ac:dyDescent="0.2">
      <c r="A6102" s="39"/>
      <c r="B6102" s="36"/>
      <c r="C6102" s="37"/>
      <c r="D6102" s="37"/>
      <c r="E6102" s="37"/>
      <c r="F6102" s="37"/>
      <c r="G6102" s="37"/>
      <c r="H6102" s="37"/>
      <c r="I6102" s="35"/>
      <c r="J6102" s="37"/>
    </row>
    <row r="6103" spans="1:10" ht="15.95" customHeight="1" x14ac:dyDescent="0.2">
      <c r="A6103" s="39"/>
      <c r="B6103" s="36"/>
      <c r="C6103" s="37"/>
      <c r="D6103" s="37"/>
      <c r="E6103" s="37"/>
      <c r="F6103" s="37"/>
      <c r="G6103" s="37"/>
      <c r="H6103" s="37"/>
      <c r="I6103" s="35"/>
      <c r="J6103" s="37"/>
    </row>
    <row r="6104" spans="1:10" ht="15.95" customHeight="1" x14ac:dyDescent="0.2">
      <c r="A6104" s="39"/>
      <c r="B6104" s="36"/>
      <c r="C6104" s="37"/>
      <c r="D6104" s="37"/>
      <c r="E6104" s="37"/>
      <c r="F6104" s="37"/>
      <c r="G6104" s="37"/>
      <c r="H6104" s="37"/>
      <c r="I6104" s="35"/>
      <c r="J6104" s="37"/>
    </row>
    <row r="6105" spans="1:10" ht="15.95" customHeight="1" x14ac:dyDescent="0.2">
      <c r="A6105" s="39"/>
      <c r="B6105" s="36"/>
      <c r="C6105" s="37"/>
      <c r="D6105" s="37"/>
      <c r="E6105" s="37"/>
      <c r="F6105" s="37"/>
      <c r="G6105" s="37"/>
      <c r="H6105" s="37"/>
      <c r="I6105" s="35"/>
      <c r="J6105" s="37"/>
    </row>
    <row r="6106" spans="1:10" ht="15.95" customHeight="1" x14ac:dyDescent="0.2">
      <c r="A6106" s="39"/>
      <c r="B6106" s="36"/>
      <c r="C6106" s="37"/>
      <c r="D6106" s="37"/>
      <c r="E6106" s="37"/>
      <c r="F6106" s="37"/>
      <c r="G6106" s="37"/>
      <c r="H6106" s="37"/>
      <c r="I6106" s="35"/>
      <c r="J6106" s="37"/>
    </row>
    <row r="6107" spans="1:10" ht="15.95" customHeight="1" x14ac:dyDescent="0.2">
      <c r="A6107" s="39"/>
      <c r="B6107" s="36"/>
      <c r="C6107" s="37"/>
      <c r="D6107" s="37"/>
      <c r="E6107" s="37"/>
      <c r="F6107" s="37"/>
      <c r="G6107" s="37"/>
      <c r="H6107" s="37"/>
      <c r="I6107" s="35"/>
      <c r="J6107" s="37"/>
    </row>
    <row r="6108" spans="1:10" ht="15.95" customHeight="1" x14ac:dyDescent="0.2">
      <c r="A6108" s="39"/>
      <c r="B6108" s="36"/>
      <c r="C6108" s="37"/>
      <c r="D6108" s="37"/>
      <c r="E6108" s="37"/>
      <c r="F6108" s="37"/>
      <c r="G6108" s="37"/>
      <c r="H6108" s="37"/>
      <c r="I6108" s="35"/>
      <c r="J6108" s="37"/>
    </row>
    <row r="6109" spans="1:10" ht="15.95" customHeight="1" x14ac:dyDescent="0.2">
      <c r="A6109" s="39"/>
      <c r="B6109" s="36"/>
      <c r="C6109" s="37"/>
      <c r="D6109" s="37"/>
      <c r="E6109" s="37"/>
      <c r="F6109" s="37"/>
      <c r="G6109" s="37"/>
      <c r="H6109" s="37"/>
      <c r="I6109" s="35"/>
      <c r="J6109" s="37"/>
    </row>
    <row r="6110" spans="1:10" ht="15.95" customHeight="1" x14ac:dyDescent="0.2">
      <c r="A6110" s="39"/>
      <c r="B6110" s="36"/>
      <c r="C6110" s="37"/>
      <c r="D6110" s="37"/>
      <c r="E6110" s="37"/>
      <c r="F6110" s="37"/>
      <c r="G6110" s="37"/>
      <c r="H6110" s="37"/>
      <c r="I6110" s="35"/>
      <c r="J6110" s="37"/>
    </row>
    <row r="6111" spans="1:10" ht="15.95" customHeight="1" x14ac:dyDescent="0.2">
      <c r="A6111" s="39"/>
      <c r="B6111" s="36"/>
      <c r="C6111" s="37"/>
      <c r="D6111" s="37"/>
      <c r="E6111" s="37"/>
      <c r="F6111" s="37"/>
      <c r="G6111" s="37"/>
      <c r="H6111" s="37"/>
      <c r="I6111" s="35"/>
      <c r="J6111" s="37"/>
    </row>
    <row r="6112" spans="1:10" ht="15.95" customHeight="1" x14ac:dyDescent="0.2">
      <c r="A6112" s="39"/>
      <c r="B6112" s="36"/>
      <c r="C6112" s="37"/>
      <c r="D6112" s="37"/>
      <c r="E6112" s="37"/>
      <c r="F6112" s="37"/>
      <c r="G6112" s="37"/>
      <c r="H6112" s="37"/>
      <c r="I6112" s="35"/>
      <c r="J6112" s="37"/>
    </row>
    <row r="6113" spans="1:10" ht="15.95" customHeight="1" x14ac:dyDescent="0.2">
      <c r="A6113" s="39"/>
      <c r="B6113" s="36"/>
      <c r="C6113" s="37"/>
      <c r="D6113" s="37"/>
      <c r="E6113" s="37"/>
      <c r="F6113" s="37"/>
      <c r="G6113" s="37"/>
      <c r="H6113" s="37"/>
      <c r="I6113" s="35"/>
      <c r="J6113" s="37"/>
    </row>
    <row r="6114" spans="1:10" ht="15.95" customHeight="1" x14ac:dyDescent="0.2">
      <c r="A6114" s="39"/>
      <c r="B6114" s="36"/>
      <c r="C6114" s="37"/>
      <c r="D6114" s="37"/>
      <c r="E6114" s="37"/>
      <c r="F6114" s="37"/>
      <c r="G6114" s="37"/>
      <c r="H6114" s="37"/>
      <c r="I6114" s="35"/>
      <c r="J6114" s="37"/>
    </row>
    <row r="6115" spans="1:10" ht="15.95" customHeight="1" x14ac:dyDescent="0.2">
      <c r="A6115" s="39"/>
      <c r="B6115" s="36"/>
      <c r="C6115" s="37"/>
      <c r="D6115" s="37"/>
      <c r="E6115" s="37"/>
      <c r="F6115" s="37"/>
      <c r="G6115" s="37"/>
      <c r="H6115" s="37"/>
      <c r="I6115" s="35"/>
      <c r="J6115" s="37"/>
    </row>
    <row r="6116" spans="1:10" ht="15.95" customHeight="1" x14ac:dyDescent="0.2">
      <c r="A6116" s="39"/>
      <c r="B6116" s="36"/>
      <c r="C6116" s="37"/>
      <c r="D6116" s="37"/>
      <c r="E6116" s="37"/>
      <c r="F6116" s="37"/>
      <c r="G6116" s="37"/>
      <c r="H6116" s="37"/>
      <c r="I6116" s="35"/>
      <c r="J6116" s="37"/>
    </row>
    <row r="6117" spans="1:10" ht="15.95" customHeight="1" x14ac:dyDescent="0.2">
      <c r="A6117" s="39"/>
      <c r="B6117" s="36"/>
      <c r="C6117" s="37"/>
      <c r="D6117" s="37"/>
      <c r="E6117" s="37"/>
      <c r="F6117" s="37"/>
      <c r="G6117" s="37"/>
      <c r="H6117" s="37"/>
      <c r="I6117" s="35"/>
      <c r="J6117" s="37"/>
    </row>
    <row r="6118" spans="1:10" ht="15.95" customHeight="1" x14ac:dyDescent="0.2">
      <c r="A6118" s="39"/>
      <c r="B6118" s="36"/>
      <c r="C6118" s="37"/>
      <c r="D6118" s="37"/>
      <c r="E6118" s="37"/>
      <c r="F6118" s="37"/>
      <c r="G6118" s="37"/>
      <c r="H6118" s="37"/>
      <c r="I6118" s="35"/>
      <c r="J6118" s="37"/>
    </row>
    <row r="6119" spans="1:10" ht="15.95" customHeight="1" x14ac:dyDescent="0.2">
      <c r="A6119" s="39"/>
      <c r="B6119" s="36"/>
      <c r="C6119" s="37"/>
      <c r="D6119" s="37"/>
      <c r="E6119" s="37"/>
      <c r="F6119" s="37"/>
      <c r="G6119" s="37"/>
      <c r="H6119" s="37"/>
      <c r="I6119" s="35"/>
      <c r="J6119" s="37"/>
    </row>
    <row r="6120" spans="1:10" ht="15.95" customHeight="1" x14ac:dyDescent="0.2">
      <c r="A6120" s="39"/>
      <c r="B6120" s="36"/>
      <c r="C6120" s="37"/>
      <c r="D6120" s="37"/>
      <c r="E6120" s="37"/>
      <c r="F6120" s="37"/>
      <c r="G6120" s="37"/>
      <c r="H6120" s="37"/>
      <c r="I6120" s="35"/>
      <c r="J6120" s="37"/>
    </row>
    <row r="6121" spans="1:10" ht="15.95" customHeight="1" x14ac:dyDescent="0.2">
      <c r="A6121" s="39"/>
      <c r="B6121" s="36"/>
      <c r="C6121" s="37"/>
      <c r="D6121" s="37"/>
      <c r="E6121" s="37"/>
      <c r="F6121" s="37"/>
      <c r="G6121" s="37"/>
      <c r="H6121" s="37"/>
      <c r="I6121" s="35"/>
      <c r="J6121" s="37"/>
    </row>
    <row r="6122" spans="1:10" ht="15.95" customHeight="1" x14ac:dyDescent="0.2">
      <c r="A6122" s="39"/>
      <c r="B6122" s="36"/>
      <c r="C6122" s="37"/>
      <c r="D6122" s="37"/>
      <c r="E6122" s="37"/>
      <c r="F6122" s="37"/>
      <c r="G6122" s="37"/>
      <c r="H6122" s="37"/>
      <c r="I6122" s="35"/>
      <c r="J6122" s="37"/>
    </row>
    <row r="6123" spans="1:10" ht="15.95" customHeight="1" x14ac:dyDescent="0.2">
      <c r="A6123" s="39"/>
      <c r="B6123" s="36"/>
      <c r="C6123" s="37"/>
      <c r="D6123" s="37"/>
      <c r="E6123" s="37"/>
      <c r="F6123" s="37"/>
      <c r="G6123" s="37"/>
      <c r="H6123" s="37"/>
      <c r="I6123" s="35"/>
      <c r="J6123" s="37"/>
    </row>
    <row r="6124" spans="1:10" ht="15.95" customHeight="1" x14ac:dyDescent="0.2">
      <c r="A6124" s="39"/>
      <c r="B6124" s="36"/>
      <c r="C6124" s="37"/>
      <c r="D6124" s="37"/>
      <c r="E6124" s="37"/>
      <c r="F6124" s="37"/>
      <c r="G6124" s="37"/>
      <c r="H6124" s="37"/>
      <c r="I6124" s="35"/>
      <c r="J6124" s="37"/>
    </row>
    <row r="6125" spans="1:10" ht="15.95" customHeight="1" x14ac:dyDescent="0.2">
      <c r="A6125" s="39"/>
      <c r="B6125" s="36"/>
      <c r="C6125" s="37"/>
      <c r="D6125" s="37"/>
      <c r="E6125" s="37"/>
      <c r="F6125" s="37"/>
      <c r="G6125" s="37"/>
      <c r="H6125" s="37"/>
      <c r="I6125" s="35"/>
      <c r="J6125" s="37"/>
    </row>
    <row r="6126" spans="1:10" ht="15.95" customHeight="1" x14ac:dyDescent="0.2">
      <c r="A6126" s="39"/>
      <c r="B6126" s="36"/>
      <c r="C6126" s="37"/>
      <c r="D6126" s="37"/>
      <c r="E6126" s="37"/>
      <c r="F6126" s="37"/>
      <c r="G6126" s="37"/>
      <c r="H6126" s="37"/>
      <c r="I6126" s="35"/>
      <c r="J6126" s="37"/>
    </row>
    <row r="6127" spans="1:10" ht="15.95" customHeight="1" x14ac:dyDescent="0.2">
      <c r="A6127" s="39"/>
      <c r="B6127" s="36"/>
      <c r="C6127" s="37"/>
      <c r="D6127" s="37"/>
      <c r="E6127" s="37"/>
      <c r="F6127" s="37"/>
      <c r="G6127" s="37"/>
      <c r="H6127" s="37"/>
      <c r="I6127" s="35"/>
      <c r="J6127" s="37"/>
    </row>
    <row r="6128" spans="1:10" ht="15.95" customHeight="1" x14ac:dyDescent="0.2">
      <c r="A6128" s="39"/>
      <c r="B6128" s="36"/>
      <c r="C6128" s="37"/>
      <c r="D6128" s="37"/>
      <c r="E6128" s="37"/>
      <c r="F6128" s="37"/>
      <c r="G6128" s="37"/>
      <c r="H6128" s="37"/>
      <c r="I6128" s="35"/>
      <c r="J6128" s="37"/>
    </row>
    <row r="6129" spans="1:10" ht="15.95" customHeight="1" x14ac:dyDescent="0.2">
      <c r="A6129" s="39"/>
      <c r="B6129" s="36"/>
      <c r="C6129" s="37"/>
      <c r="D6129" s="37"/>
      <c r="E6129" s="37"/>
      <c r="F6129" s="37"/>
      <c r="G6129" s="37"/>
      <c r="H6129" s="37"/>
      <c r="I6129" s="35"/>
      <c r="J6129" s="37"/>
    </row>
    <row r="6130" spans="1:10" ht="15.95" customHeight="1" x14ac:dyDescent="0.2">
      <c r="A6130" s="39"/>
      <c r="B6130" s="36"/>
      <c r="C6130" s="37"/>
      <c r="D6130" s="37"/>
      <c r="E6130" s="37"/>
      <c r="F6130" s="37"/>
      <c r="G6130" s="37"/>
      <c r="H6130" s="37"/>
      <c r="I6130" s="35"/>
      <c r="J6130" s="37"/>
    </row>
    <row r="6131" spans="1:10" ht="15.95" customHeight="1" x14ac:dyDescent="0.2">
      <c r="A6131" s="39"/>
      <c r="B6131" s="36"/>
      <c r="C6131" s="37"/>
      <c r="D6131" s="37"/>
      <c r="E6131" s="37"/>
      <c r="F6131" s="37"/>
      <c r="G6131" s="37"/>
      <c r="H6131" s="37"/>
      <c r="I6131" s="35"/>
      <c r="J6131" s="37"/>
    </row>
    <row r="6132" spans="1:10" ht="15.95" customHeight="1" x14ac:dyDescent="0.2">
      <c r="A6132" s="39"/>
      <c r="B6132" s="36"/>
      <c r="C6132" s="37"/>
      <c r="D6132" s="37"/>
      <c r="E6132" s="37"/>
      <c r="F6132" s="37"/>
      <c r="G6132" s="37"/>
      <c r="H6132" s="37"/>
      <c r="I6132" s="35"/>
      <c r="J6132" s="37"/>
    </row>
    <row r="6133" spans="1:10" ht="15.95" customHeight="1" x14ac:dyDescent="0.2">
      <c r="A6133" s="39"/>
      <c r="B6133" s="36"/>
      <c r="C6133" s="37"/>
      <c r="D6133" s="37"/>
      <c r="E6133" s="37"/>
      <c r="F6133" s="37"/>
      <c r="G6133" s="37"/>
      <c r="H6133" s="37"/>
      <c r="I6133" s="35"/>
      <c r="J6133" s="37"/>
    </row>
    <row r="6134" spans="1:10" ht="15.95" customHeight="1" x14ac:dyDescent="0.2">
      <c r="A6134" s="39"/>
      <c r="B6134" s="36"/>
      <c r="C6134" s="37"/>
      <c r="D6134" s="37"/>
      <c r="E6134" s="37"/>
      <c r="F6134" s="37"/>
      <c r="G6134" s="37"/>
      <c r="H6134" s="37"/>
      <c r="I6134" s="35"/>
      <c r="J6134" s="37"/>
    </row>
    <row r="6135" spans="1:10" ht="15.95" customHeight="1" x14ac:dyDescent="0.2">
      <c r="A6135" s="39"/>
      <c r="B6135" s="36"/>
      <c r="C6135" s="37"/>
      <c r="D6135" s="37"/>
      <c r="E6135" s="37"/>
      <c r="F6135" s="37"/>
      <c r="G6135" s="37"/>
      <c r="H6135" s="37"/>
      <c r="I6135" s="35"/>
      <c r="J6135" s="37"/>
    </row>
    <row r="6136" spans="1:10" ht="15.95" customHeight="1" x14ac:dyDescent="0.2">
      <c r="A6136" s="39"/>
      <c r="B6136" s="36"/>
      <c r="C6136" s="37"/>
      <c r="D6136" s="37"/>
      <c r="E6136" s="37"/>
      <c r="F6136" s="37"/>
      <c r="G6136" s="37"/>
      <c r="H6136" s="37"/>
      <c r="I6136" s="35"/>
      <c r="J6136" s="37"/>
    </row>
    <row r="6137" spans="1:10" ht="15.95" customHeight="1" x14ac:dyDescent="0.2">
      <c r="A6137" s="39"/>
      <c r="B6137" s="36"/>
      <c r="C6137" s="37"/>
      <c r="D6137" s="37"/>
      <c r="E6137" s="37"/>
      <c r="F6137" s="37"/>
      <c r="G6137" s="37"/>
      <c r="H6137" s="37"/>
      <c r="I6137" s="35"/>
      <c r="J6137" s="37"/>
    </row>
    <row r="6138" spans="1:10" ht="15.95" customHeight="1" x14ac:dyDescent="0.2">
      <c r="A6138" s="39"/>
      <c r="B6138" s="36"/>
      <c r="C6138" s="37"/>
      <c r="D6138" s="37"/>
      <c r="E6138" s="37"/>
      <c r="F6138" s="37"/>
      <c r="G6138" s="37"/>
      <c r="H6138" s="37"/>
      <c r="I6138" s="35"/>
      <c r="J6138" s="37"/>
    </row>
    <row r="6139" spans="1:10" ht="15.95" customHeight="1" x14ac:dyDescent="0.2">
      <c r="A6139" s="39"/>
      <c r="B6139" s="36"/>
      <c r="C6139" s="37"/>
      <c r="D6139" s="37"/>
      <c r="E6139" s="37"/>
      <c r="F6139" s="37"/>
      <c r="G6139" s="37"/>
      <c r="H6139" s="37"/>
      <c r="I6139" s="35"/>
      <c r="J6139" s="37"/>
    </row>
    <row r="6140" spans="1:10" ht="15.95" customHeight="1" x14ac:dyDescent="0.2">
      <c r="A6140" s="39"/>
      <c r="B6140" s="36"/>
      <c r="C6140" s="37"/>
      <c r="D6140" s="37"/>
      <c r="E6140" s="37"/>
      <c r="F6140" s="37"/>
      <c r="G6140" s="37"/>
      <c r="H6140" s="37"/>
      <c r="I6140" s="35"/>
      <c r="J6140" s="37"/>
    </row>
    <row r="6141" spans="1:10" ht="15.95" customHeight="1" x14ac:dyDescent="0.2">
      <c r="A6141" s="39"/>
      <c r="B6141" s="36"/>
      <c r="C6141" s="37"/>
      <c r="D6141" s="37"/>
      <c r="E6141" s="37"/>
      <c r="F6141" s="37"/>
      <c r="G6141" s="37"/>
      <c r="H6141" s="37"/>
      <c r="I6141" s="35"/>
      <c r="J6141" s="37"/>
    </row>
    <row r="6142" spans="1:10" ht="15.95" customHeight="1" x14ac:dyDescent="0.2">
      <c r="A6142" s="39"/>
      <c r="B6142" s="36"/>
      <c r="C6142" s="37"/>
      <c r="D6142" s="37"/>
      <c r="E6142" s="37"/>
      <c r="F6142" s="37"/>
      <c r="G6142" s="37"/>
      <c r="H6142" s="37"/>
      <c r="I6142" s="35"/>
      <c r="J6142" s="37"/>
    </row>
    <row r="6143" spans="1:10" ht="15.95" customHeight="1" x14ac:dyDescent="0.2">
      <c r="A6143" s="39"/>
      <c r="B6143" s="36"/>
      <c r="C6143" s="37"/>
      <c r="D6143" s="37"/>
      <c r="E6143" s="37"/>
      <c r="F6143" s="37"/>
      <c r="G6143" s="37"/>
      <c r="H6143" s="37"/>
      <c r="I6143" s="35"/>
      <c r="J6143" s="37"/>
    </row>
    <row r="6144" spans="1:10" ht="15.95" customHeight="1" x14ac:dyDescent="0.2">
      <c r="A6144" s="39"/>
      <c r="B6144" s="36"/>
      <c r="C6144" s="37"/>
      <c r="D6144" s="37"/>
      <c r="E6144" s="37"/>
      <c r="F6144" s="37"/>
      <c r="G6144" s="37"/>
      <c r="H6144" s="37"/>
      <c r="I6144" s="35"/>
      <c r="J6144" s="37"/>
    </row>
    <row r="6145" spans="1:10" ht="15.95" customHeight="1" x14ac:dyDescent="0.2">
      <c r="A6145" s="39"/>
      <c r="B6145" s="36"/>
      <c r="C6145" s="37"/>
      <c r="D6145" s="37"/>
      <c r="E6145" s="37"/>
      <c r="F6145" s="37"/>
      <c r="G6145" s="37"/>
      <c r="H6145" s="37"/>
      <c r="I6145" s="35"/>
      <c r="J6145" s="37"/>
    </row>
    <row r="6146" spans="1:10" ht="15.95" customHeight="1" x14ac:dyDescent="0.2">
      <c r="A6146" s="39"/>
      <c r="B6146" s="36"/>
      <c r="C6146" s="37"/>
      <c r="D6146" s="37"/>
      <c r="E6146" s="37"/>
      <c r="F6146" s="37"/>
      <c r="G6146" s="37"/>
      <c r="H6146" s="37"/>
      <c r="I6146" s="35"/>
      <c r="J6146" s="37"/>
    </row>
    <row r="6147" spans="1:10" ht="15.95" customHeight="1" x14ac:dyDescent="0.2">
      <c r="A6147" s="39"/>
      <c r="B6147" s="36"/>
      <c r="C6147" s="37"/>
      <c r="D6147" s="37"/>
      <c r="E6147" s="37"/>
      <c r="F6147" s="37"/>
      <c r="G6147" s="37"/>
      <c r="H6147" s="37"/>
      <c r="I6147" s="35"/>
      <c r="J6147" s="37"/>
    </row>
    <row r="6148" spans="1:10" ht="15.95" customHeight="1" x14ac:dyDescent="0.2">
      <c r="A6148" s="39"/>
      <c r="B6148" s="36"/>
      <c r="C6148" s="37"/>
      <c r="D6148" s="37"/>
      <c r="E6148" s="37"/>
      <c r="F6148" s="37"/>
      <c r="G6148" s="37"/>
      <c r="H6148" s="37"/>
      <c r="I6148" s="35"/>
      <c r="J6148" s="37"/>
    </row>
    <row r="6149" spans="1:10" ht="15.95" customHeight="1" x14ac:dyDescent="0.2">
      <c r="A6149" s="39"/>
      <c r="B6149" s="36"/>
      <c r="C6149" s="37"/>
      <c r="D6149" s="37"/>
      <c r="E6149" s="37"/>
      <c r="F6149" s="37"/>
      <c r="G6149" s="37"/>
      <c r="H6149" s="37"/>
      <c r="I6149" s="35"/>
      <c r="J6149" s="37"/>
    </row>
    <row r="6150" spans="1:10" ht="15.95" customHeight="1" x14ac:dyDescent="0.2">
      <c r="A6150" s="39"/>
      <c r="B6150" s="36"/>
      <c r="C6150" s="37"/>
      <c r="D6150" s="37"/>
      <c r="E6150" s="37"/>
      <c r="F6150" s="37"/>
      <c r="G6150" s="37"/>
      <c r="H6150" s="37"/>
      <c r="I6150" s="35"/>
      <c r="J6150" s="37"/>
    </row>
    <row r="6151" spans="1:10" ht="15.95" customHeight="1" x14ac:dyDescent="0.2">
      <c r="A6151" s="39"/>
      <c r="B6151" s="36"/>
      <c r="C6151" s="37"/>
      <c r="D6151" s="37"/>
      <c r="E6151" s="37"/>
      <c r="F6151" s="37"/>
      <c r="G6151" s="37"/>
      <c r="H6151" s="37"/>
      <c r="I6151" s="35"/>
      <c r="J6151" s="37"/>
    </row>
    <row r="6152" spans="1:10" ht="15.95" customHeight="1" x14ac:dyDescent="0.2">
      <c r="A6152" s="39"/>
      <c r="B6152" s="36"/>
      <c r="C6152" s="37"/>
      <c r="D6152" s="37"/>
      <c r="E6152" s="37"/>
      <c r="F6152" s="37"/>
      <c r="G6152" s="37"/>
      <c r="H6152" s="37"/>
      <c r="I6152" s="35"/>
      <c r="J6152" s="37"/>
    </row>
    <row r="6153" spans="1:10" ht="15.95" customHeight="1" x14ac:dyDescent="0.2">
      <c r="A6153" s="39"/>
      <c r="B6153" s="36"/>
      <c r="C6153" s="37"/>
      <c r="D6153" s="37"/>
      <c r="E6153" s="37"/>
      <c r="F6153" s="37"/>
      <c r="G6153" s="37"/>
      <c r="H6153" s="37"/>
      <c r="I6153" s="35"/>
      <c r="J6153" s="37"/>
    </row>
    <row r="6154" spans="1:10" ht="15.95" customHeight="1" x14ac:dyDescent="0.2">
      <c r="A6154" s="39"/>
      <c r="B6154" s="36"/>
      <c r="C6154" s="37"/>
      <c r="D6154" s="37"/>
      <c r="E6154" s="37"/>
      <c r="F6154" s="37"/>
      <c r="G6154" s="37"/>
      <c r="H6154" s="37"/>
      <c r="I6154" s="35"/>
      <c r="J6154" s="37"/>
    </row>
    <row r="6155" spans="1:10" ht="15.95" customHeight="1" x14ac:dyDescent="0.2">
      <c r="A6155" s="39"/>
      <c r="B6155" s="36"/>
      <c r="C6155" s="37"/>
      <c r="D6155" s="37"/>
      <c r="E6155" s="37"/>
      <c r="F6155" s="37"/>
      <c r="G6155" s="37"/>
      <c r="H6155" s="37"/>
      <c r="I6155" s="35"/>
      <c r="J6155" s="37"/>
    </row>
    <row r="6156" spans="1:10" ht="15.95" customHeight="1" x14ac:dyDescent="0.2">
      <c r="A6156" s="39"/>
      <c r="B6156" s="36"/>
      <c r="C6156" s="37"/>
      <c r="D6156" s="37"/>
      <c r="E6156" s="37"/>
      <c r="F6156" s="37"/>
      <c r="G6156" s="37"/>
      <c r="H6156" s="37"/>
      <c r="I6156" s="35"/>
      <c r="J6156" s="37"/>
    </row>
    <row r="6157" spans="1:10" ht="15.95" customHeight="1" x14ac:dyDescent="0.2">
      <c r="A6157" s="39"/>
      <c r="B6157" s="36"/>
      <c r="C6157" s="37"/>
      <c r="D6157" s="37"/>
      <c r="E6157" s="37"/>
      <c r="F6157" s="37"/>
      <c r="G6157" s="37"/>
      <c r="H6157" s="37"/>
      <c r="I6157" s="35"/>
      <c r="J6157" s="37"/>
    </row>
    <row r="6158" spans="1:10" ht="15.95" customHeight="1" x14ac:dyDescent="0.2">
      <c r="A6158" s="39"/>
      <c r="B6158" s="36"/>
      <c r="C6158" s="37"/>
      <c r="D6158" s="37"/>
      <c r="E6158" s="37"/>
      <c r="F6158" s="37"/>
      <c r="G6158" s="37"/>
      <c r="H6158" s="37"/>
      <c r="I6158" s="35"/>
      <c r="J6158" s="37"/>
    </row>
    <row r="6159" spans="1:10" ht="15.95" customHeight="1" x14ac:dyDescent="0.2">
      <c r="A6159" s="39"/>
      <c r="B6159" s="36"/>
      <c r="C6159" s="37"/>
      <c r="D6159" s="37"/>
      <c r="E6159" s="37"/>
      <c r="F6159" s="37"/>
      <c r="G6159" s="37"/>
      <c r="H6159" s="37"/>
      <c r="I6159" s="35"/>
      <c r="J6159" s="37"/>
    </row>
    <row r="6160" spans="1:10" ht="15.95" customHeight="1" x14ac:dyDescent="0.2">
      <c r="A6160" s="39"/>
      <c r="B6160" s="36"/>
      <c r="C6160" s="37"/>
      <c r="D6160" s="37"/>
      <c r="E6160" s="37"/>
      <c r="F6160" s="37"/>
      <c r="G6160" s="37"/>
      <c r="H6160" s="37"/>
      <c r="I6160" s="35"/>
      <c r="J6160" s="37"/>
    </row>
    <row r="6161" spans="1:10" ht="15.95" customHeight="1" x14ac:dyDescent="0.2">
      <c r="A6161" s="39"/>
      <c r="B6161" s="36"/>
      <c r="C6161" s="37"/>
      <c r="D6161" s="37"/>
      <c r="E6161" s="37"/>
      <c r="F6161" s="37"/>
      <c r="G6161" s="37"/>
      <c r="H6161" s="37"/>
      <c r="I6161" s="35"/>
      <c r="J6161" s="37"/>
    </row>
    <row r="6162" spans="1:10" ht="15.95" customHeight="1" x14ac:dyDescent="0.2">
      <c r="A6162" s="39"/>
      <c r="B6162" s="36"/>
      <c r="C6162" s="37"/>
      <c r="D6162" s="37"/>
      <c r="E6162" s="37"/>
      <c r="F6162" s="37"/>
      <c r="G6162" s="37"/>
      <c r="H6162" s="37"/>
      <c r="I6162" s="35"/>
      <c r="J6162" s="37"/>
    </row>
    <row r="6163" spans="1:10" ht="15.95" customHeight="1" x14ac:dyDescent="0.2">
      <c r="A6163" s="39"/>
      <c r="B6163" s="36"/>
      <c r="C6163" s="37"/>
      <c r="D6163" s="37"/>
      <c r="E6163" s="37"/>
      <c r="F6163" s="37"/>
      <c r="G6163" s="37"/>
      <c r="H6163" s="37"/>
      <c r="I6163" s="35"/>
      <c r="J6163" s="37"/>
    </row>
    <row r="6164" spans="1:10" ht="15.95" customHeight="1" x14ac:dyDescent="0.2">
      <c r="A6164" s="39"/>
      <c r="B6164" s="36"/>
      <c r="C6164" s="37"/>
      <c r="D6164" s="37"/>
      <c r="E6164" s="37"/>
      <c r="F6164" s="37"/>
      <c r="G6164" s="37"/>
      <c r="H6164" s="37"/>
      <c r="I6164" s="35"/>
      <c r="J6164" s="37"/>
    </row>
    <row r="6165" spans="1:10" ht="15.95" customHeight="1" x14ac:dyDescent="0.2">
      <c r="A6165" s="39"/>
      <c r="B6165" s="36"/>
      <c r="C6165" s="37"/>
      <c r="D6165" s="37"/>
      <c r="E6165" s="37"/>
      <c r="F6165" s="37"/>
      <c r="G6165" s="37"/>
      <c r="H6165" s="37"/>
      <c r="I6165" s="35"/>
      <c r="J6165" s="37"/>
    </row>
    <row r="6166" spans="1:10" ht="15.95" customHeight="1" x14ac:dyDescent="0.2">
      <c r="A6166" s="39"/>
      <c r="B6166" s="36"/>
      <c r="C6166" s="37"/>
      <c r="D6166" s="37"/>
      <c r="E6166" s="37"/>
      <c r="F6166" s="37"/>
      <c r="G6166" s="37"/>
      <c r="H6166" s="37"/>
      <c r="I6166" s="35"/>
      <c r="J6166" s="37"/>
    </row>
    <row r="6167" spans="1:10" ht="15.95" customHeight="1" x14ac:dyDescent="0.2">
      <c r="A6167" s="39"/>
      <c r="B6167" s="36"/>
      <c r="C6167" s="37"/>
      <c r="D6167" s="37"/>
      <c r="E6167" s="37"/>
      <c r="F6167" s="37"/>
      <c r="G6167" s="37"/>
      <c r="H6167" s="37"/>
      <c r="I6167" s="35"/>
      <c r="J6167" s="37"/>
    </row>
    <row r="6168" spans="1:10" ht="15.95" customHeight="1" x14ac:dyDescent="0.2">
      <c r="A6168" s="39"/>
      <c r="B6168" s="36"/>
      <c r="C6168" s="37"/>
      <c r="D6168" s="37"/>
      <c r="E6168" s="37"/>
      <c r="F6168" s="37"/>
      <c r="G6168" s="37"/>
      <c r="H6168" s="37"/>
      <c r="I6168" s="35"/>
      <c r="J6168" s="37"/>
    </row>
    <row r="6169" spans="1:10" ht="15.95" customHeight="1" x14ac:dyDescent="0.2">
      <c r="A6169" s="39"/>
      <c r="B6169" s="36"/>
      <c r="C6169" s="37"/>
      <c r="D6169" s="37"/>
      <c r="E6169" s="37"/>
      <c r="F6169" s="37"/>
      <c r="G6169" s="37"/>
      <c r="H6169" s="37"/>
      <c r="I6169" s="35"/>
      <c r="J6169" s="37"/>
    </row>
    <row r="6170" spans="1:10" ht="15.95" customHeight="1" x14ac:dyDescent="0.2">
      <c r="A6170" s="39"/>
      <c r="B6170" s="36"/>
      <c r="C6170" s="37"/>
      <c r="D6170" s="37"/>
      <c r="E6170" s="37"/>
      <c r="F6170" s="37"/>
      <c r="G6170" s="37"/>
      <c r="H6170" s="37"/>
      <c r="I6170" s="35"/>
      <c r="J6170" s="37"/>
    </row>
    <row r="6171" spans="1:10" ht="15.95" customHeight="1" x14ac:dyDescent="0.2">
      <c r="A6171" s="39"/>
      <c r="B6171" s="36"/>
      <c r="C6171" s="37"/>
      <c r="D6171" s="37"/>
      <c r="E6171" s="37"/>
      <c r="F6171" s="37"/>
      <c r="G6171" s="37"/>
      <c r="H6171" s="37"/>
      <c r="I6171" s="35"/>
      <c r="J6171" s="37"/>
    </row>
    <row r="6172" spans="1:10" ht="15.95" customHeight="1" x14ac:dyDescent="0.2">
      <c r="A6172" s="39"/>
      <c r="B6172" s="36"/>
      <c r="C6172" s="37"/>
      <c r="D6172" s="37"/>
      <c r="E6172" s="37"/>
      <c r="F6172" s="37"/>
      <c r="G6172" s="37"/>
      <c r="H6172" s="37"/>
      <c r="I6172" s="35"/>
      <c r="J6172" s="37"/>
    </row>
    <row r="6173" spans="1:10" ht="15.95" customHeight="1" x14ac:dyDescent="0.2">
      <c r="A6173" s="39"/>
      <c r="B6173" s="36"/>
      <c r="C6173" s="37"/>
      <c r="D6173" s="37"/>
      <c r="E6173" s="37"/>
      <c r="F6173" s="37"/>
      <c r="G6173" s="37"/>
      <c r="H6173" s="37"/>
      <c r="I6173" s="35"/>
      <c r="J6173" s="37"/>
    </row>
    <row r="6174" spans="1:10" ht="15.95" customHeight="1" x14ac:dyDescent="0.2">
      <c r="A6174" s="39"/>
      <c r="B6174" s="36"/>
      <c r="C6174" s="37"/>
      <c r="D6174" s="37"/>
      <c r="E6174" s="37"/>
      <c r="F6174" s="37"/>
      <c r="G6174" s="37"/>
      <c r="H6174" s="37"/>
      <c r="I6174" s="35"/>
      <c r="J6174" s="37"/>
    </row>
    <row r="6175" spans="1:10" ht="15.95" customHeight="1" x14ac:dyDescent="0.2">
      <c r="A6175" s="39"/>
      <c r="B6175" s="36"/>
      <c r="C6175" s="37"/>
      <c r="D6175" s="37"/>
      <c r="E6175" s="37"/>
      <c r="F6175" s="37"/>
      <c r="G6175" s="37"/>
      <c r="H6175" s="37"/>
      <c r="I6175" s="35"/>
      <c r="J6175" s="37"/>
    </row>
    <row r="6176" spans="1:10" ht="15.95" customHeight="1" x14ac:dyDescent="0.2">
      <c r="A6176" s="39"/>
      <c r="B6176" s="36"/>
      <c r="C6176" s="37"/>
      <c r="D6176" s="37"/>
      <c r="E6176" s="37"/>
      <c r="F6176" s="37"/>
      <c r="G6176" s="37"/>
      <c r="H6176" s="37"/>
      <c r="I6176" s="35"/>
      <c r="J6176" s="37"/>
    </row>
    <row r="6177" spans="1:10" ht="15.95" customHeight="1" x14ac:dyDescent="0.2">
      <c r="A6177" s="39"/>
      <c r="B6177" s="36"/>
      <c r="C6177" s="37"/>
      <c r="D6177" s="37"/>
      <c r="E6177" s="37"/>
      <c r="F6177" s="37"/>
      <c r="G6177" s="37"/>
      <c r="H6177" s="37"/>
      <c r="I6177" s="35"/>
      <c r="J6177" s="37"/>
    </row>
    <row r="6178" spans="1:10" ht="15.95" customHeight="1" x14ac:dyDescent="0.2">
      <c r="A6178" s="39"/>
      <c r="B6178" s="36"/>
      <c r="C6178" s="37"/>
      <c r="D6178" s="37"/>
      <c r="E6178" s="37"/>
      <c r="F6178" s="37"/>
      <c r="G6178" s="37"/>
      <c r="H6178" s="37"/>
      <c r="I6178" s="35"/>
      <c r="J6178" s="37"/>
    </row>
    <row r="6179" spans="1:10" ht="15.95" customHeight="1" x14ac:dyDescent="0.2">
      <c r="A6179" s="39"/>
      <c r="B6179" s="36"/>
      <c r="C6179" s="37"/>
      <c r="D6179" s="37"/>
      <c r="E6179" s="37"/>
      <c r="F6179" s="37"/>
      <c r="G6179" s="37"/>
      <c r="H6179" s="37"/>
      <c r="I6179" s="35"/>
      <c r="J6179" s="37"/>
    </row>
    <row r="6180" spans="1:10" ht="15.95" customHeight="1" x14ac:dyDescent="0.2">
      <c r="A6180" s="39"/>
      <c r="B6180" s="36"/>
      <c r="C6180" s="37"/>
      <c r="D6180" s="37"/>
      <c r="E6180" s="37"/>
      <c r="F6180" s="37"/>
      <c r="G6180" s="37"/>
      <c r="H6180" s="37"/>
      <c r="I6180" s="35"/>
      <c r="J6180" s="37"/>
    </row>
    <row r="6181" spans="1:10" ht="15.95" customHeight="1" x14ac:dyDescent="0.2">
      <c r="A6181" s="39"/>
      <c r="B6181" s="36"/>
      <c r="C6181" s="37"/>
      <c r="D6181" s="37"/>
      <c r="E6181" s="37"/>
      <c r="F6181" s="37"/>
      <c r="G6181" s="37"/>
      <c r="H6181" s="37"/>
      <c r="I6181" s="35"/>
      <c r="J6181" s="37"/>
    </row>
    <row r="6182" spans="1:10" ht="15.95" customHeight="1" x14ac:dyDescent="0.2">
      <c r="A6182" s="39"/>
      <c r="B6182" s="36"/>
      <c r="C6182" s="37"/>
      <c r="D6182" s="37"/>
      <c r="E6182" s="37"/>
      <c r="F6182" s="37"/>
      <c r="G6182" s="37"/>
      <c r="H6182" s="37"/>
      <c r="I6182" s="35"/>
      <c r="J6182" s="37"/>
    </row>
    <row r="6183" spans="1:10" ht="15.95" customHeight="1" x14ac:dyDescent="0.2">
      <c r="A6183" s="39"/>
      <c r="B6183" s="36"/>
      <c r="C6183" s="37"/>
      <c r="D6183" s="37"/>
      <c r="E6183" s="37"/>
      <c r="F6183" s="37"/>
      <c r="G6183" s="37"/>
      <c r="H6183" s="37"/>
      <c r="I6183" s="35"/>
      <c r="J6183" s="37"/>
    </row>
    <row r="6184" spans="1:10" ht="15.95" customHeight="1" x14ac:dyDescent="0.2">
      <c r="A6184" s="39"/>
      <c r="B6184" s="36"/>
      <c r="C6184" s="37"/>
      <c r="D6184" s="37"/>
      <c r="E6184" s="37"/>
      <c r="F6184" s="37"/>
      <c r="G6184" s="37"/>
      <c r="H6184" s="37"/>
      <c r="I6184" s="35"/>
      <c r="J6184" s="37"/>
    </row>
    <row r="6185" spans="1:10" ht="15.95" customHeight="1" x14ac:dyDescent="0.2">
      <c r="A6185" s="39"/>
      <c r="B6185" s="36"/>
      <c r="C6185" s="37"/>
      <c r="D6185" s="37"/>
      <c r="E6185" s="37"/>
      <c r="F6185" s="37"/>
      <c r="G6185" s="37"/>
      <c r="H6185" s="37"/>
      <c r="I6185" s="35"/>
      <c r="J6185" s="37"/>
    </row>
    <row r="6186" spans="1:10" ht="15.95" customHeight="1" x14ac:dyDescent="0.2">
      <c r="A6186" s="39"/>
      <c r="B6186" s="36"/>
      <c r="C6186" s="37"/>
      <c r="D6186" s="37"/>
      <c r="E6186" s="37"/>
      <c r="F6186" s="37"/>
      <c r="G6186" s="37"/>
      <c r="H6186" s="37"/>
      <c r="I6186" s="35"/>
      <c r="J6186" s="37"/>
    </row>
    <row r="6187" spans="1:10" ht="15.95" customHeight="1" x14ac:dyDescent="0.2">
      <c r="A6187" s="39"/>
      <c r="B6187" s="36"/>
      <c r="C6187" s="37"/>
      <c r="D6187" s="37"/>
      <c r="E6187" s="37"/>
      <c r="F6187" s="37"/>
      <c r="G6187" s="37"/>
      <c r="H6187" s="37"/>
      <c r="I6187" s="35"/>
      <c r="J6187" s="37"/>
    </row>
    <row r="6188" spans="1:10" ht="15.95" customHeight="1" x14ac:dyDescent="0.2">
      <c r="A6188" s="39"/>
      <c r="B6188" s="36"/>
      <c r="C6188" s="37"/>
      <c r="D6188" s="37"/>
      <c r="E6188" s="37"/>
      <c r="F6188" s="37"/>
      <c r="G6188" s="37"/>
      <c r="H6188" s="37"/>
      <c r="I6188" s="35"/>
      <c r="J6188" s="37"/>
    </row>
    <row r="6189" spans="1:10" ht="15.95" customHeight="1" x14ac:dyDescent="0.2">
      <c r="A6189" s="39"/>
      <c r="B6189" s="36"/>
      <c r="C6189" s="37"/>
      <c r="D6189" s="37"/>
      <c r="E6189" s="37"/>
      <c r="F6189" s="37"/>
      <c r="G6189" s="37"/>
      <c r="H6189" s="37"/>
      <c r="I6189" s="35"/>
      <c r="J6189" s="37"/>
    </row>
    <row r="6190" spans="1:10" ht="15.95" customHeight="1" x14ac:dyDescent="0.2">
      <c r="A6190" s="39"/>
      <c r="B6190" s="36"/>
      <c r="C6190" s="37"/>
      <c r="D6190" s="37"/>
      <c r="E6190" s="37"/>
      <c r="F6190" s="37"/>
      <c r="G6190" s="37"/>
      <c r="H6190" s="37"/>
      <c r="I6190" s="35"/>
      <c r="J6190" s="37"/>
    </row>
    <row r="6191" spans="1:10" ht="15.95" customHeight="1" x14ac:dyDescent="0.2">
      <c r="A6191" s="39"/>
      <c r="B6191" s="36"/>
      <c r="C6191" s="37"/>
      <c r="D6191" s="37"/>
      <c r="E6191" s="37"/>
      <c r="F6191" s="37"/>
      <c r="G6191" s="37"/>
      <c r="H6191" s="37"/>
      <c r="I6191" s="35"/>
      <c r="J6191" s="37"/>
    </row>
    <row r="6192" spans="1:10" ht="15.95" customHeight="1" x14ac:dyDescent="0.2">
      <c r="A6192" s="39"/>
      <c r="B6192" s="36"/>
      <c r="C6192" s="37"/>
      <c r="D6192" s="37"/>
      <c r="E6192" s="37"/>
      <c r="F6192" s="37"/>
      <c r="G6192" s="37"/>
      <c r="H6192" s="37"/>
      <c r="I6192" s="35"/>
      <c r="J6192" s="37"/>
    </row>
    <row r="6193" spans="1:10" ht="15.95" customHeight="1" x14ac:dyDescent="0.2">
      <c r="A6193" s="39"/>
      <c r="B6193" s="36"/>
      <c r="C6193" s="37"/>
      <c r="D6193" s="37"/>
      <c r="E6193" s="37"/>
      <c r="F6193" s="37"/>
      <c r="G6193" s="37"/>
      <c r="H6193" s="37"/>
      <c r="I6193" s="35"/>
      <c r="J6193" s="37"/>
    </row>
    <row r="6194" spans="1:10" ht="15.95" customHeight="1" x14ac:dyDescent="0.2">
      <c r="A6194" s="39"/>
      <c r="B6194" s="36"/>
      <c r="C6194" s="37"/>
      <c r="D6194" s="37"/>
      <c r="E6194" s="37"/>
      <c r="F6194" s="37"/>
      <c r="G6194" s="37"/>
      <c r="H6194" s="37"/>
      <c r="I6194" s="35"/>
      <c r="J6194" s="37"/>
    </row>
    <row r="6195" spans="1:10" ht="15.95" customHeight="1" x14ac:dyDescent="0.2">
      <c r="A6195" s="39"/>
      <c r="B6195" s="36"/>
      <c r="C6195" s="37"/>
      <c r="D6195" s="37"/>
      <c r="E6195" s="37"/>
      <c r="F6195" s="37"/>
      <c r="G6195" s="37"/>
      <c r="H6195" s="37"/>
      <c r="I6195" s="35"/>
      <c r="J6195" s="37"/>
    </row>
    <row r="6196" spans="1:10" ht="15.95" customHeight="1" x14ac:dyDescent="0.2">
      <c r="A6196" s="39"/>
      <c r="B6196" s="36"/>
      <c r="C6196" s="37"/>
      <c r="D6196" s="37"/>
      <c r="E6196" s="37"/>
      <c r="F6196" s="37"/>
      <c r="G6196" s="37"/>
      <c r="H6196" s="37"/>
      <c r="I6196" s="35"/>
      <c r="J6196" s="37"/>
    </row>
    <row r="6197" spans="1:10" ht="15.95" customHeight="1" x14ac:dyDescent="0.2">
      <c r="A6197" s="39"/>
      <c r="B6197" s="36"/>
      <c r="C6197" s="37"/>
      <c r="D6197" s="37"/>
      <c r="E6197" s="37"/>
      <c r="F6197" s="37"/>
      <c r="G6197" s="37"/>
      <c r="H6197" s="37"/>
      <c r="I6197" s="35"/>
      <c r="J6197" s="37"/>
    </row>
    <row r="6198" spans="1:10" ht="15.95" customHeight="1" x14ac:dyDescent="0.2">
      <c r="A6198" s="39"/>
      <c r="B6198" s="36"/>
      <c r="C6198" s="37"/>
      <c r="D6198" s="37"/>
      <c r="E6198" s="37"/>
      <c r="F6198" s="37"/>
      <c r="G6198" s="37"/>
      <c r="H6198" s="37"/>
      <c r="I6198" s="35"/>
      <c r="J6198" s="37"/>
    </row>
    <row r="6199" spans="1:10" ht="15.95" customHeight="1" x14ac:dyDescent="0.2">
      <c r="A6199" s="39"/>
      <c r="B6199" s="36"/>
      <c r="C6199" s="37"/>
      <c r="D6199" s="37"/>
      <c r="E6199" s="37"/>
      <c r="F6199" s="37"/>
      <c r="G6199" s="37"/>
      <c r="H6199" s="37"/>
      <c r="I6199" s="35"/>
      <c r="J6199" s="37"/>
    </row>
    <row r="6200" spans="1:10" ht="15.95" customHeight="1" x14ac:dyDescent="0.2">
      <c r="A6200" s="39"/>
      <c r="B6200" s="36"/>
      <c r="C6200" s="37"/>
      <c r="D6200" s="37"/>
      <c r="E6200" s="37"/>
      <c r="F6200" s="37"/>
      <c r="G6200" s="37"/>
      <c r="H6200" s="37"/>
      <c r="I6200" s="35"/>
      <c r="J6200" s="37"/>
    </row>
    <row r="6201" spans="1:10" ht="15.95" customHeight="1" x14ac:dyDescent="0.2">
      <c r="A6201" s="39"/>
      <c r="B6201" s="36"/>
      <c r="C6201" s="37"/>
      <c r="D6201" s="37"/>
      <c r="E6201" s="37"/>
      <c r="F6201" s="37"/>
      <c r="G6201" s="37"/>
      <c r="H6201" s="37"/>
      <c r="I6201" s="35"/>
      <c r="J6201" s="37"/>
    </row>
    <row r="6202" spans="1:10" ht="15.95" customHeight="1" x14ac:dyDescent="0.2">
      <c r="A6202" s="39"/>
      <c r="B6202" s="36"/>
      <c r="C6202" s="37"/>
      <c r="D6202" s="37"/>
      <c r="E6202" s="37"/>
      <c r="F6202" s="37"/>
      <c r="G6202" s="37"/>
      <c r="H6202" s="37"/>
      <c r="I6202" s="35"/>
      <c r="J6202" s="37"/>
    </row>
    <row r="6203" spans="1:10" ht="15.95" customHeight="1" x14ac:dyDescent="0.2">
      <c r="A6203" s="39"/>
      <c r="B6203" s="36"/>
      <c r="C6203" s="37"/>
      <c r="D6203" s="37"/>
      <c r="E6203" s="37"/>
      <c r="F6203" s="37"/>
      <c r="G6203" s="37"/>
      <c r="H6203" s="37"/>
      <c r="I6203" s="35"/>
      <c r="J6203" s="37"/>
    </row>
    <row r="6204" spans="1:10" ht="15.95" customHeight="1" x14ac:dyDescent="0.2">
      <c r="A6204" s="39"/>
      <c r="B6204" s="36"/>
      <c r="C6204" s="37"/>
      <c r="D6204" s="37"/>
      <c r="E6204" s="37"/>
      <c r="F6204" s="37"/>
      <c r="G6204" s="37"/>
      <c r="H6204" s="37"/>
      <c r="I6204" s="35"/>
      <c r="J6204" s="37"/>
    </row>
    <row r="6205" spans="1:10" ht="15.95" customHeight="1" x14ac:dyDescent="0.2">
      <c r="A6205" s="39"/>
      <c r="B6205" s="36"/>
      <c r="C6205" s="37"/>
      <c r="D6205" s="37"/>
      <c r="E6205" s="37"/>
      <c r="F6205" s="37"/>
      <c r="G6205" s="37"/>
      <c r="H6205" s="37"/>
      <c r="I6205" s="35"/>
      <c r="J6205" s="37"/>
    </row>
    <row r="6206" spans="1:10" ht="15.95" customHeight="1" x14ac:dyDescent="0.2">
      <c r="A6206" s="39"/>
      <c r="B6206" s="36"/>
      <c r="C6206" s="37"/>
      <c r="D6206" s="37"/>
      <c r="E6206" s="37"/>
      <c r="F6206" s="37"/>
      <c r="G6206" s="37"/>
      <c r="H6206" s="37"/>
      <c r="I6206" s="35"/>
      <c r="J6206" s="37"/>
    </row>
    <row r="6207" spans="1:10" ht="15.95" customHeight="1" x14ac:dyDescent="0.2">
      <c r="A6207" s="39"/>
      <c r="B6207" s="36"/>
      <c r="C6207" s="37"/>
      <c r="D6207" s="37"/>
      <c r="E6207" s="37"/>
      <c r="F6207" s="37"/>
      <c r="G6207" s="37"/>
      <c r="H6207" s="37"/>
      <c r="I6207" s="35"/>
      <c r="J6207" s="37"/>
    </row>
    <row r="6208" spans="1:10" ht="15.95" customHeight="1" x14ac:dyDescent="0.2">
      <c r="A6208" s="39"/>
      <c r="B6208" s="36"/>
      <c r="C6208" s="37"/>
      <c r="D6208" s="37"/>
      <c r="E6208" s="37"/>
      <c r="F6208" s="37"/>
      <c r="G6208" s="37"/>
      <c r="H6208" s="37"/>
      <c r="I6208" s="35"/>
      <c r="J6208" s="37"/>
    </row>
    <row r="6209" spans="1:10" ht="15.95" customHeight="1" x14ac:dyDescent="0.2">
      <c r="A6209" s="39"/>
      <c r="B6209" s="36"/>
      <c r="C6209" s="37"/>
      <c r="D6209" s="37"/>
      <c r="E6209" s="37"/>
      <c r="F6209" s="37"/>
      <c r="G6209" s="37"/>
      <c r="H6209" s="37"/>
      <c r="I6209" s="35"/>
      <c r="J6209" s="37"/>
    </row>
    <row r="6210" spans="1:10" ht="15.95" customHeight="1" x14ac:dyDescent="0.2">
      <c r="A6210" s="39"/>
      <c r="B6210" s="36"/>
      <c r="C6210" s="37"/>
      <c r="D6210" s="37"/>
      <c r="E6210" s="37"/>
      <c r="F6210" s="37"/>
      <c r="G6210" s="37"/>
      <c r="H6210" s="37"/>
      <c r="I6210" s="35"/>
      <c r="J6210" s="37"/>
    </row>
    <row r="6211" spans="1:10" ht="15.95" customHeight="1" x14ac:dyDescent="0.2">
      <c r="A6211" s="39"/>
      <c r="B6211" s="36"/>
      <c r="C6211" s="37"/>
      <c r="D6211" s="37"/>
      <c r="E6211" s="37"/>
      <c r="F6211" s="37"/>
      <c r="G6211" s="37"/>
      <c r="H6211" s="37"/>
      <c r="I6211" s="35"/>
      <c r="J6211" s="37"/>
    </row>
    <row r="6212" spans="1:10" ht="15.95" customHeight="1" x14ac:dyDescent="0.2">
      <c r="A6212" s="39"/>
      <c r="B6212" s="36"/>
      <c r="C6212" s="37"/>
      <c r="D6212" s="37"/>
      <c r="E6212" s="37"/>
      <c r="F6212" s="37"/>
      <c r="G6212" s="37"/>
      <c r="H6212" s="37"/>
      <c r="I6212" s="35"/>
      <c r="J6212" s="37"/>
    </row>
    <row r="6213" spans="1:10" ht="15.95" customHeight="1" x14ac:dyDescent="0.2">
      <c r="A6213" s="39"/>
      <c r="B6213" s="36"/>
      <c r="C6213" s="37"/>
      <c r="D6213" s="37"/>
      <c r="E6213" s="37"/>
      <c r="F6213" s="37"/>
      <c r="G6213" s="37"/>
      <c r="H6213" s="37"/>
      <c r="I6213" s="35"/>
      <c r="J6213" s="37"/>
    </row>
    <row r="6214" spans="1:10" ht="15.95" customHeight="1" x14ac:dyDescent="0.2">
      <c r="A6214" s="39"/>
      <c r="B6214" s="36"/>
      <c r="C6214" s="37"/>
      <c r="D6214" s="37"/>
      <c r="E6214" s="37"/>
      <c r="F6214" s="37"/>
      <c r="G6214" s="37"/>
      <c r="H6214" s="37"/>
      <c r="I6214" s="35"/>
      <c r="J6214" s="37"/>
    </row>
    <row r="6215" spans="1:10" ht="15.95" customHeight="1" x14ac:dyDescent="0.2">
      <c r="A6215" s="39"/>
      <c r="B6215" s="36"/>
      <c r="C6215" s="37"/>
      <c r="D6215" s="37"/>
      <c r="E6215" s="37"/>
      <c r="F6215" s="37"/>
      <c r="G6215" s="37"/>
      <c r="H6215" s="37"/>
      <c r="I6215" s="35"/>
      <c r="J6215" s="37"/>
    </row>
    <row r="6216" spans="1:10" ht="15.95" customHeight="1" x14ac:dyDescent="0.2">
      <c r="A6216" s="39"/>
      <c r="B6216" s="36"/>
      <c r="C6216" s="37"/>
      <c r="D6216" s="37"/>
      <c r="E6216" s="37"/>
      <c r="F6216" s="37"/>
      <c r="G6216" s="37"/>
      <c r="H6216" s="37"/>
      <c r="I6216" s="35"/>
      <c r="J6216" s="37"/>
    </row>
    <row r="6217" spans="1:10" ht="15.95" customHeight="1" x14ac:dyDescent="0.2">
      <c r="A6217" s="39"/>
      <c r="B6217" s="36"/>
      <c r="C6217" s="37"/>
      <c r="D6217" s="37"/>
      <c r="E6217" s="37"/>
      <c r="F6217" s="37"/>
      <c r="G6217" s="37"/>
      <c r="H6217" s="37"/>
      <c r="I6217" s="35"/>
      <c r="J6217" s="37"/>
    </row>
    <row r="6218" spans="1:10" ht="15.95" customHeight="1" x14ac:dyDescent="0.2">
      <c r="A6218" s="39"/>
      <c r="B6218" s="36"/>
      <c r="C6218" s="37"/>
      <c r="D6218" s="37"/>
      <c r="E6218" s="37"/>
      <c r="F6218" s="37"/>
      <c r="G6218" s="37"/>
      <c r="H6218" s="37"/>
      <c r="I6218" s="35"/>
      <c r="J6218" s="37"/>
    </row>
    <row r="6219" spans="1:10" ht="15.95" customHeight="1" x14ac:dyDescent="0.2">
      <c r="A6219" s="39"/>
      <c r="B6219" s="36"/>
      <c r="C6219" s="37"/>
      <c r="D6219" s="37"/>
      <c r="E6219" s="37"/>
      <c r="F6219" s="37"/>
      <c r="G6219" s="37"/>
      <c r="H6219" s="37"/>
      <c r="I6219" s="35"/>
      <c r="J6219" s="37"/>
    </row>
    <row r="6220" spans="1:10" ht="15.95" customHeight="1" x14ac:dyDescent="0.2">
      <c r="A6220" s="39"/>
      <c r="B6220" s="36"/>
      <c r="C6220" s="37"/>
      <c r="D6220" s="37"/>
      <c r="E6220" s="37"/>
      <c r="F6220" s="37"/>
      <c r="G6220" s="37"/>
      <c r="H6220" s="37"/>
      <c r="I6220" s="35"/>
      <c r="J6220" s="37"/>
    </row>
    <row r="6221" spans="1:10" ht="15.95" customHeight="1" x14ac:dyDescent="0.2">
      <c r="A6221" s="39"/>
      <c r="B6221" s="36"/>
      <c r="C6221" s="37"/>
      <c r="D6221" s="37"/>
      <c r="E6221" s="37"/>
      <c r="F6221" s="37"/>
      <c r="G6221" s="37"/>
      <c r="H6221" s="37"/>
      <c r="I6221" s="35"/>
      <c r="J6221" s="37"/>
    </row>
    <row r="6222" spans="1:10" ht="15.95" customHeight="1" x14ac:dyDescent="0.2">
      <c r="A6222" s="39"/>
      <c r="B6222" s="36"/>
      <c r="C6222" s="37"/>
      <c r="D6222" s="37"/>
      <c r="E6222" s="37"/>
      <c r="F6222" s="37"/>
      <c r="G6222" s="37"/>
      <c r="H6222" s="37"/>
      <c r="I6222" s="35"/>
      <c r="J6222" s="37"/>
    </row>
    <row r="6223" spans="1:10" ht="15.95" customHeight="1" x14ac:dyDescent="0.2">
      <c r="A6223" s="39"/>
      <c r="B6223" s="36"/>
      <c r="C6223" s="37"/>
      <c r="D6223" s="37"/>
      <c r="E6223" s="37"/>
      <c r="F6223" s="37"/>
      <c r="G6223" s="37"/>
      <c r="H6223" s="37"/>
      <c r="I6223" s="35"/>
      <c r="J6223" s="37"/>
    </row>
    <row r="6224" spans="1:10" ht="15.95" customHeight="1" x14ac:dyDescent="0.2">
      <c r="A6224" s="39"/>
      <c r="B6224" s="36"/>
      <c r="C6224" s="37"/>
      <c r="D6224" s="37"/>
      <c r="E6224" s="37"/>
      <c r="F6224" s="37"/>
      <c r="G6224" s="37"/>
      <c r="H6224" s="37"/>
      <c r="I6224" s="35"/>
      <c r="J6224" s="37"/>
    </row>
    <row r="6225" spans="1:10" ht="15.95" customHeight="1" x14ac:dyDescent="0.2">
      <c r="A6225" s="39"/>
      <c r="B6225" s="36"/>
      <c r="C6225" s="37"/>
      <c r="D6225" s="37"/>
      <c r="E6225" s="37"/>
      <c r="F6225" s="37"/>
      <c r="G6225" s="37"/>
      <c r="H6225" s="37"/>
      <c r="I6225" s="35"/>
      <c r="J6225" s="37"/>
    </row>
    <row r="6226" spans="1:10" ht="15.95" customHeight="1" x14ac:dyDescent="0.2">
      <c r="A6226" s="39"/>
      <c r="B6226" s="36"/>
      <c r="C6226" s="37"/>
      <c r="D6226" s="37"/>
      <c r="E6226" s="37"/>
      <c r="F6226" s="37"/>
      <c r="G6226" s="37"/>
      <c r="H6226" s="37"/>
      <c r="I6226" s="35"/>
      <c r="J6226" s="37"/>
    </row>
    <row r="6227" spans="1:10" ht="15.95" customHeight="1" x14ac:dyDescent="0.2">
      <c r="A6227" s="39"/>
      <c r="B6227" s="36"/>
      <c r="C6227" s="37"/>
      <c r="D6227" s="37"/>
      <c r="E6227" s="37"/>
      <c r="F6227" s="37"/>
      <c r="G6227" s="37"/>
      <c r="H6227" s="37"/>
      <c r="I6227" s="35"/>
      <c r="J6227" s="37"/>
    </row>
    <row r="6228" spans="1:10" ht="15.95" customHeight="1" x14ac:dyDescent="0.2">
      <c r="A6228" s="39"/>
      <c r="B6228" s="36"/>
      <c r="C6228" s="37"/>
      <c r="D6228" s="37"/>
      <c r="E6228" s="37"/>
      <c r="F6228" s="37"/>
      <c r="G6228" s="37"/>
      <c r="H6228" s="37"/>
      <c r="I6228" s="35"/>
      <c r="J6228" s="37"/>
    </row>
    <row r="6229" spans="1:10" ht="15.95" customHeight="1" x14ac:dyDescent="0.2">
      <c r="A6229" s="39"/>
      <c r="B6229" s="36"/>
      <c r="C6229" s="37"/>
      <c r="D6229" s="37"/>
      <c r="E6229" s="37"/>
      <c r="F6229" s="37"/>
      <c r="G6229" s="37"/>
      <c r="H6229" s="37"/>
      <c r="I6229" s="35"/>
      <c r="J6229" s="37"/>
    </row>
    <row r="6230" spans="1:10" ht="15.95" customHeight="1" x14ac:dyDescent="0.2">
      <c r="A6230" s="39"/>
      <c r="B6230" s="36"/>
      <c r="C6230" s="37"/>
      <c r="D6230" s="37"/>
      <c r="E6230" s="37"/>
      <c r="F6230" s="37"/>
      <c r="G6230" s="37"/>
      <c r="H6230" s="37"/>
      <c r="I6230" s="35"/>
      <c r="J6230" s="37"/>
    </row>
    <row r="6231" spans="1:10" ht="15.95" customHeight="1" x14ac:dyDescent="0.2">
      <c r="A6231" s="39"/>
      <c r="B6231" s="36"/>
      <c r="C6231" s="37"/>
      <c r="D6231" s="37"/>
      <c r="E6231" s="37"/>
      <c r="F6231" s="37"/>
      <c r="G6231" s="37"/>
      <c r="H6231" s="37"/>
      <c r="I6231" s="35"/>
      <c r="J6231" s="37"/>
    </row>
    <row r="6232" spans="1:10" ht="15.95" customHeight="1" x14ac:dyDescent="0.2">
      <c r="A6232" s="39"/>
      <c r="B6232" s="36"/>
      <c r="C6232" s="37"/>
      <c r="D6232" s="37"/>
      <c r="E6232" s="37"/>
      <c r="F6232" s="37"/>
      <c r="G6232" s="37"/>
      <c r="H6232" s="37"/>
      <c r="I6232" s="35"/>
      <c r="J6232" s="37"/>
    </row>
    <row r="6233" spans="1:10" ht="15.95" customHeight="1" x14ac:dyDescent="0.2">
      <c r="A6233" s="39"/>
      <c r="B6233" s="36"/>
      <c r="C6233" s="37"/>
      <c r="D6233" s="37"/>
      <c r="E6233" s="37"/>
      <c r="F6233" s="37"/>
      <c r="G6233" s="37"/>
      <c r="H6233" s="37"/>
      <c r="I6233" s="35"/>
      <c r="J6233" s="37"/>
    </row>
    <row r="6234" spans="1:10" ht="15.95" customHeight="1" x14ac:dyDescent="0.2">
      <c r="A6234" s="39"/>
      <c r="B6234" s="36"/>
      <c r="C6234" s="37"/>
      <c r="D6234" s="37"/>
      <c r="E6234" s="37"/>
      <c r="F6234" s="37"/>
      <c r="G6234" s="37"/>
      <c r="H6234" s="37"/>
      <c r="I6234" s="35"/>
      <c r="J6234" s="37"/>
    </row>
    <row r="6235" spans="1:10" ht="15.95" customHeight="1" x14ac:dyDescent="0.2">
      <c r="A6235" s="39"/>
      <c r="B6235" s="36"/>
      <c r="C6235" s="37"/>
      <c r="D6235" s="37"/>
      <c r="E6235" s="37"/>
      <c r="F6235" s="37"/>
      <c r="G6235" s="37"/>
      <c r="H6235" s="37"/>
      <c r="I6235" s="35"/>
      <c r="J6235" s="37"/>
    </row>
    <row r="6236" spans="1:10" ht="15.95" customHeight="1" x14ac:dyDescent="0.2">
      <c r="A6236" s="39"/>
      <c r="B6236" s="36"/>
      <c r="C6236" s="37"/>
      <c r="D6236" s="37"/>
      <c r="E6236" s="37"/>
      <c r="F6236" s="37"/>
      <c r="G6236" s="37"/>
      <c r="H6236" s="37"/>
      <c r="I6236" s="35"/>
      <c r="J6236" s="37"/>
    </row>
    <row r="6237" spans="1:10" ht="15.95" customHeight="1" x14ac:dyDescent="0.2">
      <c r="A6237" s="39"/>
      <c r="B6237" s="36"/>
      <c r="C6237" s="37"/>
      <c r="D6237" s="37"/>
      <c r="E6237" s="37"/>
      <c r="F6237" s="37"/>
      <c r="G6237" s="37"/>
      <c r="H6237" s="37"/>
      <c r="I6237" s="35"/>
      <c r="J6237" s="37"/>
    </row>
    <row r="6238" spans="1:10" ht="15.95" customHeight="1" x14ac:dyDescent="0.2">
      <c r="A6238" s="39"/>
      <c r="B6238" s="36"/>
      <c r="C6238" s="37"/>
      <c r="D6238" s="37"/>
      <c r="E6238" s="37"/>
      <c r="F6238" s="37"/>
      <c r="G6238" s="37"/>
      <c r="H6238" s="37"/>
      <c r="I6238" s="35"/>
      <c r="J6238" s="37"/>
    </row>
    <row r="6239" spans="1:10" ht="15.95" customHeight="1" x14ac:dyDescent="0.2">
      <c r="A6239" s="39"/>
      <c r="B6239" s="36"/>
      <c r="C6239" s="37"/>
      <c r="D6239" s="37"/>
      <c r="E6239" s="37"/>
      <c r="F6239" s="37"/>
      <c r="G6239" s="37"/>
      <c r="H6239" s="37"/>
      <c r="I6239" s="35"/>
      <c r="J6239" s="37"/>
    </row>
    <row r="6240" spans="1:10" ht="15.95" customHeight="1" x14ac:dyDescent="0.2">
      <c r="A6240" s="39"/>
      <c r="B6240" s="36"/>
      <c r="C6240" s="37"/>
      <c r="D6240" s="37"/>
      <c r="E6240" s="37"/>
      <c r="F6240" s="37"/>
      <c r="G6240" s="37"/>
      <c r="H6240" s="37"/>
      <c r="I6240" s="35"/>
      <c r="J6240" s="37"/>
    </row>
    <row r="6241" spans="1:10" ht="15.95" customHeight="1" x14ac:dyDescent="0.2">
      <c r="A6241" s="39"/>
      <c r="B6241" s="36"/>
      <c r="C6241" s="37"/>
      <c r="D6241" s="37"/>
      <c r="E6241" s="37"/>
      <c r="F6241" s="37"/>
      <c r="G6241" s="37"/>
      <c r="H6241" s="37"/>
      <c r="I6241" s="35"/>
      <c r="J6241" s="37"/>
    </row>
    <row r="6242" spans="1:10" ht="15.95" customHeight="1" x14ac:dyDescent="0.2">
      <c r="A6242" s="39"/>
      <c r="B6242" s="36"/>
      <c r="C6242" s="37"/>
      <c r="D6242" s="37"/>
      <c r="E6242" s="37"/>
      <c r="F6242" s="37"/>
      <c r="G6242" s="37"/>
      <c r="H6242" s="37"/>
      <c r="I6242" s="35"/>
      <c r="J6242" s="37"/>
    </row>
    <row r="6243" spans="1:10" ht="15.95" customHeight="1" x14ac:dyDescent="0.2">
      <c r="A6243" s="39"/>
      <c r="B6243" s="36"/>
      <c r="C6243" s="37"/>
      <c r="D6243" s="37"/>
      <c r="E6243" s="37"/>
      <c r="F6243" s="37"/>
      <c r="G6243" s="37"/>
      <c r="H6243" s="37"/>
      <c r="I6243" s="35"/>
      <c r="J6243" s="37"/>
    </row>
    <row r="6244" spans="1:10" ht="15.95" customHeight="1" x14ac:dyDescent="0.2">
      <c r="A6244" s="39"/>
      <c r="B6244" s="36"/>
      <c r="C6244" s="37"/>
      <c r="D6244" s="37"/>
      <c r="E6244" s="37"/>
      <c r="F6244" s="37"/>
      <c r="G6244" s="37"/>
      <c r="H6244" s="37"/>
      <c r="I6244" s="35"/>
      <c r="J6244" s="37"/>
    </row>
    <row r="6245" spans="1:10" ht="15.95" customHeight="1" x14ac:dyDescent="0.2">
      <c r="A6245" s="39"/>
      <c r="B6245" s="36"/>
      <c r="C6245" s="37"/>
      <c r="D6245" s="37"/>
      <c r="E6245" s="37"/>
      <c r="F6245" s="37"/>
      <c r="G6245" s="37"/>
      <c r="H6245" s="37"/>
      <c r="I6245" s="35"/>
      <c r="J6245" s="37"/>
    </row>
    <row r="6246" spans="1:10" ht="15.95" customHeight="1" x14ac:dyDescent="0.2">
      <c r="A6246" s="39"/>
      <c r="B6246" s="36"/>
      <c r="C6246" s="37"/>
      <c r="D6246" s="37"/>
      <c r="E6246" s="37"/>
      <c r="F6246" s="37"/>
      <c r="G6246" s="37"/>
      <c r="H6246" s="37"/>
      <c r="I6246" s="35"/>
      <c r="J6246" s="37"/>
    </row>
    <row r="6247" spans="1:10" ht="15.95" customHeight="1" x14ac:dyDescent="0.2">
      <c r="A6247" s="39"/>
      <c r="B6247" s="36"/>
      <c r="C6247" s="37"/>
      <c r="D6247" s="37"/>
      <c r="E6247" s="37"/>
      <c r="F6247" s="37"/>
      <c r="G6247" s="37"/>
      <c r="H6247" s="37"/>
      <c r="I6247" s="35"/>
      <c r="J6247" s="37"/>
    </row>
    <row r="6248" spans="1:10" ht="15.95" customHeight="1" x14ac:dyDescent="0.2">
      <c r="A6248" s="39"/>
      <c r="B6248" s="36"/>
      <c r="C6248" s="37"/>
      <c r="D6248" s="37"/>
      <c r="E6248" s="37"/>
      <c r="F6248" s="37"/>
      <c r="G6248" s="37"/>
      <c r="H6248" s="37"/>
      <c r="I6248" s="35"/>
      <c r="J6248" s="37"/>
    </row>
    <row r="6249" spans="1:10" ht="15.95" customHeight="1" x14ac:dyDescent="0.2">
      <c r="A6249" s="39"/>
      <c r="B6249" s="36"/>
      <c r="C6249" s="37"/>
      <c r="D6249" s="37"/>
      <c r="E6249" s="37"/>
      <c r="F6249" s="37"/>
      <c r="G6249" s="37"/>
      <c r="H6249" s="37"/>
      <c r="I6249" s="35"/>
      <c r="J6249" s="37"/>
    </row>
    <row r="6250" spans="1:10" ht="15.95" customHeight="1" x14ac:dyDescent="0.2">
      <c r="A6250" s="39"/>
      <c r="B6250" s="36"/>
      <c r="C6250" s="37"/>
      <c r="D6250" s="37"/>
      <c r="E6250" s="37"/>
      <c r="F6250" s="37"/>
      <c r="G6250" s="37"/>
      <c r="H6250" s="37"/>
      <c r="I6250" s="35"/>
      <c r="J6250" s="37"/>
    </row>
    <row r="6251" spans="1:10" ht="15.95" customHeight="1" x14ac:dyDescent="0.2">
      <c r="A6251" s="39"/>
      <c r="B6251" s="36"/>
      <c r="C6251" s="37"/>
      <c r="D6251" s="37"/>
      <c r="E6251" s="37"/>
      <c r="F6251" s="37"/>
      <c r="G6251" s="37"/>
      <c r="H6251" s="37"/>
      <c r="I6251" s="35"/>
      <c r="J6251" s="37"/>
    </row>
    <row r="6252" spans="1:10" ht="15.95" customHeight="1" x14ac:dyDescent="0.2">
      <c r="A6252" s="39"/>
      <c r="B6252" s="36"/>
      <c r="C6252" s="37"/>
      <c r="D6252" s="37"/>
      <c r="E6252" s="37"/>
      <c r="F6252" s="37"/>
      <c r="G6252" s="37"/>
      <c r="H6252" s="37"/>
      <c r="I6252" s="35"/>
      <c r="J6252" s="37"/>
    </row>
    <row r="6253" spans="1:10" ht="15.95" customHeight="1" x14ac:dyDescent="0.2">
      <c r="A6253" s="39"/>
      <c r="B6253" s="36"/>
      <c r="C6253" s="37"/>
      <c r="D6253" s="37"/>
      <c r="E6253" s="37"/>
      <c r="F6253" s="37"/>
      <c r="G6253" s="37"/>
      <c r="H6253" s="37"/>
      <c r="I6253" s="35"/>
      <c r="J6253" s="37"/>
    </row>
    <row r="6254" spans="1:10" ht="15.95" customHeight="1" x14ac:dyDescent="0.2">
      <c r="A6254" s="39"/>
      <c r="B6254" s="36"/>
      <c r="C6254" s="37"/>
      <c r="D6254" s="37"/>
      <c r="E6254" s="37"/>
      <c r="F6254" s="37"/>
      <c r="G6254" s="37"/>
      <c r="H6254" s="37"/>
      <c r="I6254" s="35"/>
      <c r="J6254" s="37"/>
    </row>
    <row r="6255" spans="1:10" ht="15.95" customHeight="1" x14ac:dyDescent="0.2">
      <c r="A6255" s="39"/>
      <c r="B6255" s="36"/>
      <c r="C6255" s="37"/>
      <c r="D6255" s="37"/>
      <c r="E6255" s="37"/>
      <c r="F6255" s="37"/>
      <c r="G6255" s="37"/>
      <c r="H6255" s="37"/>
      <c r="I6255" s="35"/>
      <c r="J6255" s="37"/>
    </row>
    <row r="6256" spans="1:10" ht="15.95" customHeight="1" x14ac:dyDescent="0.2">
      <c r="A6256" s="39"/>
      <c r="B6256" s="36"/>
      <c r="C6256" s="37"/>
      <c r="D6256" s="37"/>
      <c r="E6256" s="37"/>
      <c r="F6256" s="37"/>
      <c r="G6256" s="37"/>
      <c r="H6256" s="37"/>
      <c r="I6256" s="35"/>
      <c r="J6256" s="37"/>
    </row>
    <row r="6257" spans="1:10" ht="15.95" customHeight="1" x14ac:dyDescent="0.2">
      <c r="A6257" s="39"/>
      <c r="B6257" s="36"/>
      <c r="C6257" s="37"/>
      <c r="D6257" s="37"/>
      <c r="E6257" s="37"/>
      <c r="F6257" s="37"/>
      <c r="G6257" s="37"/>
      <c r="H6257" s="37"/>
      <c r="I6257" s="35"/>
      <c r="J6257" s="37"/>
    </row>
    <row r="6258" spans="1:10" ht="15.95" customHeight="1" x14ac:dyDescent="0.2">
      <c r="A6258" s="39"/>
      <c r="B6258" s="36"/>
      <c r="C6258" s="37"/>
      <c r="D6258" s="37"/>
      <c r="E6258" s="37"/>
      <c r="F6258" s="37"/>
      <c r="G6258" s="37"/>
      <c r="H6258" s="37"/>
      <c r="I6258" s="35"/>
      <c r="J6258" s="37"/>
    </row>
    <row r="6259" spans="1:10" ht="15.95" customHeight="1" x14ac:dyDescent="0.2">
      <c r="A6259" s="39"/>
      <c r="B6259" s="36"/>
      <c r="C6259" s="37"/>
      <c r="D6259" s="37"/>
      <c r="E6259" s="37"/>
      <c r="F6259" s="37"/>
      <c r="G6259" s="37"/>
      <c r="H6259" s="37"/>
      <c r="I6259" s="35"/>
      <c r="J6259" s="37"/>
    </row>
    <row r="6260" spans="1:10" ht="15.95" customHeight="1" x14ac:dyDescent="0.2">
      <c r="A6260" s="39"/>
      <c r="B6260" s="36"/>
      <c r="C6260" s="37"/>
      <c r="D6260" s="37"/>
      <c r="E6260" s="37"/>
      <c r="F6260" s="37"/>
      <c r="G6260" s="37"/>
      <c r="H6260" s="37"/>
      <c r="I6260" s="35"/>
      <c r="J6260" s="37"/>
    </row>
    <row r="6261" spans="1:10" ht="15.95" customHeight="1" x14ac:dyDescent="0.2">
      <c r="A6261" s="39"/>
      <c r="B6261" s="36"/>
      <c r="C6261" s="37"/>
      <c r="D6261" s="37"/>
      <c r="E6261" s="37"/>
      <c r="F6261" s="37"/>
      <c r="G6261" s="37"/>
      <c r="H6261" s="37"/>
      <c r="I6261" s="35"/>
      <c r="J6261" s="37"/>
    </row>
    <row r="6262" spans="1:10" ht="15.95" customHeight="1" x14ac:dyDescent="0.2">
      <c r="A6262" s="39"/>
      <c r="B6262" s="36"/>
      <c r="C6262" s="37"/>
      <c r="D6262" s="37"/>
      <c r="E6262" s="37"/>
      <c r="F6262" s="37"/>
      <c r="G6262" s="37"/>
      <c r="H6262" s="37"/>
      <c r="I6262" s="35"/>
      <c r="J6262" s="37"/>
    </row>
    <row r="6263" spans="1:10" ht="15.95" customHeight="1" x14ac:dyDescent="0.2">
      <c r="A6263" s="39"/>
      <c r="B6263" s="36"/>
      <c r="C6263" s="37"/>
      <c r="D6263" s="37"/>
      <c r="E6263" s="37"/>
      <c r="F6263" s="37"/>
      <c r="G6263" s="37"/>
      <c r="H6263" s="37"/>
      <c r="I6263" s="35"/>
      <c r="J6263" s="37"/>
    </row>
    <row r="6264" spans="1:10" ht="15.95" customHeight="1" x14ac:dyDescent="0.2">
      <c r="A6264" s="39"/>
      <c r="B6264" s="36"/>
      <c r="C6264" s="37"/>
      <c r="D6264" s="37"/>
      <c r="E6264" s="37"/>
      <c r="F6264" s="37"/>
      <c r="G6264" s="37"/>
      <c r="H6264" s="37"/>
      <c r="I6264" s="35"/>
      <c r="J6264" s="37"/>
    </row>
    <row r="6265" spans="1:10" ht="15.95" customHeight="1" x14ac:dyDescent="0.2">
      <c r="A6265" s="39"/>
      <c r="B6265" s="36"/>
      <c r="C6265" s="37"/>
      <c r="D6265" s="37"/>
      <c r="E6265" s="37"/>
      <c r="F6265" s="37"/>
      <c r="G6265" s="37"/>
      <c r="H6265" s="37"/>
      <c r="I6265" s="35"/>
      <c r="J6265" s="37"/>
    </row>
    <row r="6266" spans="1:10" ht="15.95" customHeight="1" x14ac:dyDescent="0.2">
      <c r="A6266" s="39"/>
      <c r="B6266" s="36"/>
      <c r="C6266" s="37"/>
      <c r="D6266" s="37"/>
      <c r="E6266" s="37"/>
      <c r="F6266" s="37"/>
      <c r="G6266" s="37"/>
      <c r="H6266" s="37"/>
      <c r="I6266" s="35"/>
      <c r="J6266" s="37"/>
    </row>
    <row r="6267" spans="1:10" ht="15.95" customHeight="1" x14ac:dyDescent="0.2">
      <c r="A6267" s="39"/>
      <c r="B6267" s="36"/>
      <c r="C6267" s="37"/>
      <c r="D6267" s="37"/>
      <c r="E6267" s="37"/>
      <c r="F6267" s="37"/>
      <c r="G6267" s="37"/>
      <c r="H6267" s="37"/>
      <c r="I6267" s="35"/>
      <c r="J6267" s="37"/>
    </row>
    <row r="6268" spans="1:10" ht="15.95" customHeight="1" x14ac:dyDescent="0.2">
      <c r="A6268" s="39"/>
      <c r="B6268" s="36"/>
      <c r="C6268" s="37"/>
      <c r="D6268" s="37"/>
      <c r="E6268" s="37"/>
      <c r="F6268" s="37"/>
      <c r="G6268" s="37"/>
      <c r="H6268" s="37"/>
      <c r="I6268" s="35"/>
      <c r="J6268" s="37"/>
    </row>
    <row r="6269" spans="1:10" ht="15.95" customHeight="1" x14ac:dyDescent="0.2">
      <c r="A6269" s="39"/>
      <c r="B6269" s="36"/>
      <c r="C6269" s="37"/>
      <c r="D6269" s="37"/>
      <c r="E6269" s="37"/>
      <c r="F6269" s="37"/>
      <c r="G6269" s="37"/>
      <c r="H6269" s="37"/>
      <c r="I6269" s="35"/>
      <c r="J6269" s="37"/>
    </row>
    <row r="6270" spans="1:10" ht="15.95" customHeight="1" x14ac:dyDescent="0.2">
      <c r="A6270" s="39"/>
      <c r="B6270" s="36"/>
      <c r="C6270" s="37"/>
      <c r="D6270" s="37"/>
      <c r="E6270" s="37"/>
      <c r="F6270" s="37"/>
      <c r="G6270" s="37"/>
      <c r="H6270" s="37"/>
      <c r="I6270" s="35"/>
      <c r="J6270" s="37"/>
    </row>
    <row r="6271" spans="1:10" ht="15.95" customHeight="1" x14ac:dyDescent="0.2">
      <c r="A6271" s="39"/>
      <c r="B6271" s="36"/>
      <c r="C6271" s="37"/>
      <c r="D6271" s="37"/>
      <c r="E6271" s="37"/>
      <c r="F6271" s="37"/>
      <c r="G6271" s="37"/>
      <c r="H6271" s="37"/>
      <c r="I6271" s="35"/>
      <c r="J6271" s="37"/>
    </row>
    <row r="6272" spans="1:10" ht="15.95" customHeight="1" x14ac:dyDescent="0.2">
      <c r="A6272" s="39"/>
      <c r="B6272" s="36"/>
      <c r="C6272" s="37"/>
      <c r="D6272" s="37"/>
      <c r="E6272" s="37"/>
      <c r="F6272" s="37"/>
      <c r="G6272" s="37"/>
      <c r="H6272" s="37"/>
      <c r="I6272" s="35"/>
      <c r="J6272" s="37"/>
    </row>
    <row r="6273" spans="1:10" ht="15.95" customHeight="1" x14ac:dyDescent="0.2">
      <c r="A6273" s="39"/>
      <c r="B6273" s="36"/>
      <c r="C6273" s="37"/>
      <c r="D6273" s="37"/>
      <c r="E6273" s="37"/>
      <c r="F6273" s="37"/>
      <c r="G6273" s="37"/>
      <c r="H6273" s="37"/>
      <c r="I6273" s="35"/>
      <c r="J6273" s="37"/>
    </row>
    <row r="6274" spans="1:10" ht="15.95" customHeight="1" x14ac:dyDescent="0.2">
      <c r="A6274" s="39"/>
      <c r="B6274" s="36"/>
      <c r="C6274" s="37"/>
      <c r="D6274" s="37"/>
      <c r="E6274" s="37"/>
      <c r="F6274" s="37"/>
      <c r="G6274" s="37"/>
      <c r="H6274" s="37"/>
      <c r="I6274" s="35"/>
      <c r="J6274" s="37"/>
    </row>
    <row r="6275" spans="1:10" ht="15.95" customHeight="1" x14ac:dyDescent="0.2">
      <c r="A6275" s="39"/>
      <c r="B6275" s="36"/>
      <c r="C6275" s="37"/>
      <c r="D6275" s="37"/>
      <c r="E6275" s="37"/>
      <c r="F6275" s="37"/>
      <c r="G6275" s="37"/>
      <c r="H6275" s="37"/>
      <c r="I6275" s="35"/>
      <c r="J6275" s="37"/>
    </row>
    <row r="6276" spans="1:10" ht="15.95" customHeight="1" x14ac:dyDescent="0.2">
      <c r="A6276" s="39"/>
      <c r="B6276" s="36"/>
      <c r="C6276" s="37"/>
      <c r="D6276" s="37"/>
      <c r="E6276" s="37"/>
      <c r="F6276" s="37"/>
      <c r="G6276" s="37"/>
      <c r="H6276" s="37"/>
      <c r="I6276" s="35"/>
      <c r="J6276" s="37"/>
    </row>
    <row r="6277" spans="1:10" ht="15.95" customHeight="1" x14ac:dyDescent="0.2">
      <c r="A6277" s="39"/>
      <c r="B6277" s="36"/>
      <c r="C6277" s="37"/>
      <c r="D6277" s="37"/>
      <c r="E6277" s="37"/>
      <c r="F6277" s="37"/>
      <c r="G6277" s="37"/>
      <c r="H6277" s="37"/>
      <c r="I6277" s="35"/>
      <c r="J6277" s="37"/>
    </row>
    <row r="6278" spans="1:10" ht="15.95" customHeight="1" x14ac:dyDescent="0.2">
      <c r="A6278" s="39"/>
      <c r="B6278" s="36"/>
      <c r="C6278" s="37"/>
      <c r="D6278" s="37"/>
      <c r="E6278" s="37"/>
      <c r="F6278" s="37"/>
      <c r="G6278" s="37"/>
      <c r="H6278" s="37"/>
      <c r="I6278" s="35"/>
      <c r="J6278" s="37"/>
    </row>
    <row r="6279" spans="1:10" ht="15.95" customHeight="1" x14ac:dyDescent="0.2">
      <c r="A6279" s="39"/>
      <c r="B6279" s="36"/>
      <c r="C6279" s="37"/>
      <c r="D6279" s="37"/>
      <c r="E6279" s="37"/>
      <c r="F6279" s="37"/>
      <c r="G6279" s="37"/>
      <c r="H6279" s="37"/>
      <c r="I6279" s="35"/>
      <c r="J6279" s="37"/>
    </row>
    <row r="6280" spans="1:10" ht="15.95" customHeight="1" x14ac:dyDescent="0.2">
      <c r="A6280" s="39"/>
      <c r="B6280" s="36"/>
      <c r="C6280" s="37"/>
      <c r="D6280" s="37"/>
      <c r="E6280" s="37"/>
      <c r="F6280" s="37"/>
      <c r="G6280" s="37"/>
      <c r="H6280" s="37"/>
      <c r="I6280" s="35"/>
      <c r="J6280" s="37"/>
    </row>
    <row r="6281" spans="1:10" ht="15.95" customHeight="1" x14ac:dyDescent="0.2">
      <c r="A6281" s="39"/>
      <c r="B6281" s="36"/>
      <c r="C6281" s="37"/>
      <c r="D6281" s="37"/>
      <c r="E6281" s="37"/>
      <c r="F6281" s="37"/>
      <c r="G6281" s="37"/>
      <c r="H6281" s="37"/>
      <c r="I6281" s="35"/>
      <c r="J6281" s="37"/>
    </row>
    <row r="6282" spans="1:10" ht="15.95" customHeight="1" x14ac:dyDescent="0.2">
      <c r="A6282" s="39"/>
      <c r="B6282" s="36"/>
      <c r="C6282" s="37"/>
      <c r="D6282" s="37"/>
      <c r="E6282" s="37"/>
      <c r="F6282" s="37"/>
      <c r="G6282" s="37"/>
      <c r="H6282" s="37"/>
      <c r="I6282" s="35"/>
      <c r="J6282" s="37"/>
    </row>
    <row r="6283" spans="1:10" ht="15.95" customHeight="1" x14ac:dyDescent="0.2">
      <c r="A6283" s="39"/>
      <c r="B6283" s="36"/>
      <c r="C6283" s="37"/>
      <c r="D6283" s="37"/>
      <c r="E6283" s="37"/>
      <c r="F6283" s="37"/>
      <c r="G6283" s="37"/>
      <c r="H6283" s="37"/>
      <c r="I6283" s="35"/>
      <c r="J6283" s="37"/>
    </row>
    <row r="6284" spans="1:10" ht="15.95" customHeight="1" x14ac:dyDescent="0.2">
      <c r="A6284" s="39"/>
      <c r="B6284" s="36"/>
      <c r="C6284" s="37"/>
      <c r="D6284" s="37"/>
      <c r="E6284" s="37"/>
      <c r="F6284" s="37"/>
      <c r="G6284" s="37"/>
      <c r="H6284" s="37"/>
      <c r="I6284" s="35"/>
      <c r="J6284" s="37"/>
    </row>
    <row r="6285" spans="1:10" ht="15.95" customHeight="1" x14ac:dyDescent="0.2">
      <c r="A6285" s="39"/>
      <c r="B6285" s="36"/>
      <c r="C6285" s="37"/>
      <c r="D6285" s="37"/>
      <c r="E6285" s="37"/>
      <c r="F6285" s="37"/>
      <c r="G6285" s="37"/>
      <c r="H6285" s="37"/>
      <c r="I6285" s="35"/>
      <c r="J6285" s="37"/>
    </row>
    <row r="6286" spans="1:10" ht="15.95" customHeight="1" x14ac:dyDescent="0.2">
      <c r="A6286" s="39"/>
      <c r="B6286" s="36"/>
      <c r="C6286" s="37"/>
      <c r="D6286" s="37"/>
      <c r="E6286" s="37"/>
      <c r="F6286" s="37"/>
      <c r="G6286" s="37"/>
      <c r="H6286" s="37"/>
      <c r="I6286" s="35"/>
      <c r="J6286" s="37"/>
    </row>
    <row r="6287" spans="1:10" ht="15.95" customHeight="1" x14ac:dyDescent="0.2">
      <c r="A6287" s="39"/>
      <c r="B6287" s="36"/>
      <c r="C6287" s="37"/>
      <c r="D6287" s="37"/>
      <c r="E6287" s="37"/>
      <c r="F6287" s="37"/>
      <c r="G6287" s="37"/>
      <c r="H6287" s="37"/>
      <c r="I6287" s="35"/>
      <c r="J6287" s="37"/>
    </row>
    <row r="6288" spans="1:10" ht="15.95" customHeight="1" x14ac:dyDescent="0.2">
      <c r="A6288" s="39"/>
      <c r="B6288" s="36"/>
      <c r="C6288" s="37"/>
      <c r="D6288" s="37"/>
      <c r="E6288" s="37"/>
      <c r="F6288" s="37"/>
      <c r="G6288" s="37"/>
      <c r="H6288" s="37"/>
      <c r="I6288" s="35"/>
      <c r="J6288" s="37"/>
    </row>
    <row r="6289" spans="1:10" ht="15.95" customHeight="1" x14ac:dyDescent="0.2">
      <c r="A6289" s="39"/>
      <c r="B6289" s="36"/>
      <c r="C6289" s="37"/>
      <c r="D6289" s="37"/>
      <c r="E6289" s="37"/>
      <c r="F6289" s="37"/>
      <c r="G6289" s="37"/>
      <c r="H6289" s="37"/>
      <c r="I6289" s="35"/>
      <c r="J6289" s="37"/>
    </row>
    <row r="6290" spans="1:10" ht="15.95" customHeight="1" x14ac:dyDescent="0.2">
      <c r="A6290" s="39"/>
      <c r="B6290" s="36"/>
      <c r="C6290" s="37"/>
      <c r="D6290" s="37"/>
      <c r="E6290" s="37"/>
      <c r="F6290" s="37"/>
      <c r="G6290" s="37"/>
      <c r="H6290" s="37"/>
      <c r="I6290" s="35"/>
      <c r="J6290" s="37"/>
    </row>
    <row r="6291" spans="1:10" ht="15.95" customHeight="1" x14ac:dyDescent="0.2">
      <c r="A6291" s="39"/>
      <c r="B6291" s="36"/>
      <c r="C6291" s="37"/>
      <c r="D6291" s="37"/>
      <c r="E6291" s="37"/>
      <c r="F6291" s="37"/>
      <c r="G6291" s="37"/>
      <c r="H6291" s="37"/>
      <c r="I6291" s="35"/>
      <c r="J6291" s="37"/>
    </row>
    <row r="6292" spans="1:10" ht="15.95" customHeight="1" x14ac:dyDescent="0.2">
      <c r="A6292" s="39"/>
      <c r="B6292" s="36"/>
      <c r="C6292" s="37"/>
      <c r="D6292" s="37"/>
      <c r="E6292" s="37"/>
      <c r="F6292" s="37"/>
      <c r="G6292" s="37"/>
      <c r="H6292" s="37"/>
      <c r="I6292" s="35"/>
      <c r="J6292" s="37"/>
    </row>
    <row r="6293" spans="1:10" ht="15.95" customHeight="1" x14ac:dyDescent="0.2">
      <c r="A6293" s="39"/>
      <c r="B6293" s="36"/>
      <c r="C6293" s="37"/>
      <c r="D6293" s="37"/>
      <c r="E6293" s="37"/>
      <c r="F6293" s="37"/>
      <c r="G6293" s="37"/>
      <c r="H6293" s="37"/>
      <c r="I6293" s="35"/>
      <c r="J6293" s="37"/>
    </row>
    <row r="6294" spans="1:10" ht="15.95" customHeight="1" x14ac:dyDescent="0.2">
      <c r="A6294" s="39"/>
      <c r="B6294" s="36"/>
      <c r="C6294" s="37"/>
      <c r="D6294" s="37"/>
      <c r="E6294" s="37"/>
      <c r="F6294" s="37"/>
      <c r="G6294" s="37"/>
      <c r="H6294" s="37"/>
      <c r="I6294" s="35"/>
      <c r="J6294" s="37"/>
    </row>
    <row r="6295" spans="1:10" ht="15.95" customHeight="1" x14ac:dyDescent="0.2">
      <c r="A6295" s="39"/>
      <c r="B6295" s="36"/>
      <c r="C6295" s="37"/>
      <c r="D6295" s="37"/>
      <c r="E6295" s="37"/>
      <c r="F6295" s="37"/>
      <c r="G6295" s="37"/>
      <c r="H6295" s="37"/>
      <c r="I6295" s="35"/>
      <c r="J6295" s="37"/>
    </row>
    <row r="6296" spans="1:10" ht="15.95" customHeight="1" x14ac:dyDescent="0.2">
      <c r="A6296" s="39"/>
      <c r="B6296" s="36"/>
      <c r="C6296" s="37"/>
      <c r="D6296" s="37"/>
      <c r="E6296" s="37"/>
      <c r="F6296" s="37"/>
      <c r="G6296" s="37"/>
      <c r="H6296" s="37"/>
      <c r="I6296" s="35"/>
      <c r="J6296" s="37"/>
    </row>
    <row r="6297" spans="1:10" ht="15.95" customHeight="1" x14ac:dyDescent="0.2">
      <c r="A6297" s="39"/>
      <c r="B6297" s="36"/>
      <c r="C6297" s="37"/>
      <c r="D6297" s="37"/>
      <c r="E6297" s="37"/>
      <c r="F6297" s="37"/>
      <c r="G6297" s="37"/>
      <c r="H6297" s="37"/>
      <c r="I6297" s="35"/>
      <c r="J6297" s="37"/>
    </row>
    <row r="6298" spans="1:10" ht="15.95" customHeight="1" x14ac:dyDescent="0.2">
      <c r="A6298" s="39"/>
      <c r="B6298" s="36"/>
      <c r="C6298" s="37"/>
      <c r="D6298" s="37"/>
      <c r="E6298" s="37"/>
      <c r="F6298" s="37"/>
      <c r="G6298" s="37"/>
      <c r="H6298" s="37"/>
      <c r="I6298" s="35"/>
      <c r="J6298" s="37"/>
    </row>
    <row r="6299" spans="1:10" ht="15.95" customHeight="1" x14ac:dyDescent="0.2">
      <c r="A6299" s="39"/>
      <c r="B6299" s="36"/>
      <c r="C6299" s="37"/>
      <c r="D6299" s="37"/>
      <c r="E6299" s="37"/>
      <c r="F6299" s="37"/>
      <c r="G6299" s="37"/>
      <c r="H6299" s="37"/>
      <c r="I6299" s="35"/>
      <c r="J6299" s="37"/>
    </row>
    <row r="6300" spans="1:10" ht="15.95" customHeight="1" x14ac:dyDescent="0.2">
      <c r="A6300" s="39"/>
      <c r="B6300" s="36"/>
      <c r="C6300" s="37"/>
      <c r="D6300" s="37"/>
      <c r="E6300" s="37"/>
      <c r="F6300" s="37"/>
      <c r="G6300" s="37"/>
      <c r="H6300" s="37"/>
      <c r="I6300" s="35"/>
      <c r="J6300" s="37"/>
    </row>
    <row r="6301" spans="1:10" ht="15.95" customHeight="1" x14ac:dyDescent="0.2">
      <c r="A6301" s="39"/>
      <c r="B6301" s="36"/>
      <c r="C6301" s="37"/>
      <c r="D6301" s="37"/>
      <c r="E6301" s="37"/>
      <c r="F6301" s="37"/>
      <c r="G6301" s="37"/>
      <c r="H6301" s="37"/>
      <c r="I6301" s="35"/>
      <c r="J6301" s="37"/>
    </row>
    <row r="6302" spans="1:10" ht="15.95" customHeight="1" x14ac:dyDescent="0.2">
      <c r="A6302" s="39"/>
      <c r="B6302" s="36"/>
      <c r="C6302" s="37"/>
      <c r="D6302" s="37"/>
      <c r="E6302" s="37"/>
      <c r="F6302" s="37"/>
      <c r="G6302" s="37"/>
      <c r="H6302" s="37"/>
      <c r="I6302" s="35"/>
      <c r="J6302" s="37"/>
    </row>
    <row r="6303" spans="1:10" ht="15.95" customHeight="1" x14ac:dyDescent="0.2">
      <c r="A6303" s="39"/>
      <c r="B6303" s="36"/>
      <c r="C6303" s="37"/>
      <c r="D6303" s="37"/>
      <c r="E6303" s="37"/>
      <c r="F6303" s="37"/>
      <c r="G6303" s="37"/>
      <c r="H6303" s="37"/>
      <c r="I6303" s="35"/>
      <c r="J6303" s="37"/>
    </row>
    <row r="6304" spans="1:10" ht="15.95" customHeight="1" x14ac:dyDescent="0.2">
      <c r="A6304" s="39"/>
      <c r="B6304" s="36"/>
      <c r="C6304" s="37"/>
      <c r="D6304" s="37"/>
      <c r="E6304" s="37"/>
      <c r="F6304" s="37"/>
      <c r="G6304" s="37"/>
      <c r="H6304" s="37"/>
      <c r="I6304" s="35"/>
      <c r="J6304" s="37"/>
    </row>
    <row r="6305" spans="1:10" ht="15.95" customHeight="1" x14ac:dyDescent="0.2">
      <c r="A6305" s="39"/>
      <c r="B6305" s="36"/>
      <c r="C6305" s="37"/>
      <c r="D6305" s="37"/>
      <c r="E6305" s="37"/>
      <c r="F6305" s="37"/>
      <c r="G6305" s="37"/>
      <c r="H6305" s="37"/>
      <c r="I6305" s="35"/>
      <c r="J6305" s="37"/>
    </row>
    <row r="6306" spans="1:10" ht="15.95" customHeight="1" x14ac:dyDescent="0.2">
      <c r="A6306" s="39"/>
      <c r="B6306" s="36"/>
      <c r="C6306" s="37"/>
      <c r="D6306" s="37"/>
      <c r="E6306" s="37"/>
      <c r="F6306" s="37"/>
      <c r="G6306" s="37"/>
      <c r="H6306" s="37"/>
      <c r="I6306" s="35"/>
      <c r="J6306" s="37"/>
    </row>
    <row r="6307" spans="1:10" ht="15.95" customHeight="1" x14ac:dyDescent="0.2">
      <c r="A6307" s="39"/>
      <c r="B6307" s="36"/>
      <c r="C6307" s="37"/>
      <c r="D6307" s="37"/>
      <c r="E6307" s="37"/>
      <c r="F6307" s="37"/>
      <c r="G6307" s="37"/>
      <c r="H6307" s="37"/>
      <c r="I6307" s="35"/>
      <c r="J6307" s="37"/>
    </row>
    <row r="6308" spans="1:10" ht="15.95" customHeight="1" x14ac:dyDescent="0.2">
      <c r="A6308" s="39"/>
      <c r="B6308" s="36"/>
      <c r="C6308" s="37"/>
      <c r="D6308" s="37"/>
      <c r="E6308" s="37"/>
      <c r="F6308" s="37"/>
      <c r="G6308" s="37"/>
      <c r="H6308" s="37"/>
      <c r="I6308" s="35"/>
      <c r="J6308" s="37"/>
    </row>
    <row r="6309" spans="1:10" ht="15.95" customHeight="1" x14ac:dyDescent="0.2">
      <c r="A6309" s="39"/>
      <c r="B6309" s="36"/>
      <c r="C6309" s="37"/>
      <c r="D6309" s="37"/>
      <c r="E6309" s="37"/>
      <c r="F6309" s="37"/>
      <c r="G6309" s="37"/>
      <c r="H6309" s="37"/>
      <c r="I6309" s="35"/>
      <c r="J6309" s="37"/>
    </row>
    <row r="6310" spans="1:10" ht="15.95" customHeight="1" x14ac:dyDescent="0.2">
      <c r="A6310" s="39"/>
      <c r="B6310" s="36"/>
      <c r="C6310" s="37"/>
      <c r="D6310" s="37"/>
      <c r="E6310" s="37"/>
      <c r="F6310" s="37"/>
      <c r="G6310" s="37"/>
      <c r="H6310" s="37"/>
      <c r="I6310" s="35"/>
      <c r="J6310" s="37"/>
    </row>
    <row r="6311" spans="1:10" ht="15.95" customHeight="1" x14ac:dyDescent="0.2">
      <c r="A6311" s="39"/>
      <c r="B6311" s="36"/>
      <c r="C6311" s="37"/>
      <c r="D6311" s="37"/>
      <c r="E6311" s="37"/>
      <c r="F6311" s="37"/>
      <c r="G6311" s="37"/>
      <c r="H6311" s="37"/>
      <c r="I6311" s="35"/>
      <c r="J6311" s="37"/>
    </row>
    <row r="6312" spans="1:10" ht="15.95" customHeight="1" x14ac:dyDescent="0.2">
      <c r="A6312" s="39"/>
      <c r="B6312" s="36"/>
      <c r="C6312" s="37"/>
      <c r="D6312" s="37"/>
      <c r="E6312" s="37"/>
      <c r="F6312" s="37"/>
      <c r="G6312" s="37"/>
      <c r="H6312" s="37"/>
      <c r="I6312" s="35"/>
      <c r="J6312" s="37"/>
    </row>
    <row r="6313" spans="1:10" ht="15.95" customHeight="1" x14ac:dyDescent="0.2">
      <c r="A6313" s="39"/>
      <c r="B6313" s="36"/>
      <c r="C6313" s="37"/>
      <c r="D6313" s="37"/>
      <c r="E6313" s="37"/>
      <c r="F6313" s="37"/>
      <c r="G6313" s="37"/>
      <c r="H6313" s="37"/>
      <c r="I6313" s="35"/>
      <c r="J6313" s="37"/>
    </row>
    <row r="6314" spans="1:10" ht="15.95" customHeight="1" x14ac:dyDescent="0.2">
      <c r="A6314" s="39"/>
      <c r="B6314" s="36"/>
      <c r="C6314" s="37"/>
      <c r="D6314" s="37"/>
      <c r="E6314" s="37"/>
      <c r="F6314" s="37"/>
      <c r="G6314" s="37"/>
      <c r="H6314" s="37"/>
      <c r="I6314" s="35"/>
      <c r="J6314" s="37"/>
    </row>
    <row r="6315" spans="1:10" ht="15.95" customHeight="1" x14ac:dyDescent="0.2">
      <c r="A6315" s="39"/>
      <c r="B6315" s="36"/>
      <c r="C6315" s="37"/>
      <c r="D6315" s="37"/>
      <c r="E6315" s="37"/>
      <c r="F6315" s="37"/>
      <c r="G6315" s="37"/>
      <c r="H6315" s="37"/>
      <c r="I6315" s="35"/>
      <c r="J6315" s="37"/>
    </row>
    <row r="6316" spans="1:10" ht="15.95" customHeight="1" x14ac:dyDescent="0.2">
      <c r="A6316" s="39"/>
      <c r="B6316" s="36"/>
      <c r="C6316" s="37"/>
      <c r="D6316" s="37"/>
      <c r="E6316" s="37"/>
      <c r="F6316" s="37"/>
      <c r="G6316" s="37"/>
      <c r="H6316" s="37"/>
      <c r="I6316" s="35"/>
      <c r="J6316" s="37"/>
    </row>
    <row r="6317" spans="1:10" ht="15.95" customHeight="1" x14ac:dyDescent="0.2">
      <c r="A6317" s="39"/>
      <c r="B6317" s="36"/>
      <c r="C6317" s="37"/>
      <c r="D6317" s="37"/>
      <c r="E6317" s="37"/>
      <c r="F6317" s="37"/>
      <c r="G6317" s="37"/>
      <c r="H6317" s="37"/>
      <c r="I6317" s="35"/>
      <c r="J6317" s="37"/>
    </row>
    <row r="6318" spans="1:10" ht="15.95" customHeight="1" x14ac:dyDescent="0.2">
      <c r="A6318" s="39"/>
      <c r="B6318" s="36"/>
      <c r="C6318" s="37"/>
      <c r="D6318" s="37"/>
      <c r="E6318" s="37"/>
      <c r="F6318" s="37"/>
      <c r="G6318" s="37"/>
      <c r="H6318" s="37"/>
      <c r="I6318" s="35"/>
      <c r="J6318" s="37"/>
    </row>
    <row r="6319" spans="1:10" ht="15.95" customHeight="1" x14ac:dyDescent="0.2">
      <c r="A6319" s="39"/>
      <c r="B6319" s="36"/>
      <c r="C6319" s="37"/>
      <c r="D6319" s="37"/>
      <c r="E6319" s="37"/>
      <c r="F6319" s="37"/>
      <c r="G6319" s="37"/>
      <c r="H6319" s="37"/>
      <c r="I6319" s="35"/>
      <c r="J6319" s="37"/>
    </row>
    <row r="6320" spans="1:10" ht="15.95" customHeight="1" x14ac:dyDescent="0.2">
      <c r="A6320" s="39"/>
      <c r="B6320" s="36"/>
      <c r="C6320" s="37"/>
      <c r="D6320" s="37"/>
      <c r="E6320" s="37"/>
      <c r="F6320" s="37"/>
      <c r="G6320" s="37"/>
      <c r="H6320" s="37"/>
      <c r="I6320" s="35"/>
      <c r="J6320" s="37"/>
    </row>
    <row r="6321" spans="1:10" ht="15.95" customHeight="1" x14ac:dyDescent="0.2">
      <c r="A6321" s="39"/>
      <c r="B6321" s="36"/>
      <c r="C6321" s="37"/>
      <c r="D6321" s="37"/>
      <c r="E6321" s="37"/>
      <c r="F6321" s="37"/>
      <c r="G6321" s="37"/>
      <c r="H6321" s="37"/>
      <c r="I6321" s="35"/>
      <c r="J6321" s="37"/>
    </row>
    <row r="6322" spans="1:10" ht="15.95" customHeight="1" x14ac:dyDescent="0.2">
      <c r="A6322" s="39"/>
      <c r="B6322" s="36"/>
      <c r="C6322" s="37"/>
      <c r="D6322" s="37"/>
      <c r="E6322" s="37"/>
      <c r="F6322" s="37"/>
      <c r="G6322" s="37"/>
      <c r="H6322" s="37"/>
      <c r="I6322" s="35"/>
      <c r="J6322" s="37"/>
    </row>
    <row r="6323" spans="1:10" ht="15.95" customHeight="1" x14ac:dyDescent="0.2">
      <c r="A6323" s="39"/>
      <c r="B6323" s="36"/>
      <c r="C6323" s="37"/>
      <c r="D6323" s="37"/>
      <c r="E6323" s="37"/>
      <c r="F6323" s="37"/>
      <c r="G6323" s="37"/>
      <c r="H6323" s="37"/>
      <c r="I6323" s="35"/>
      <c r="J6323" s="37"/>
    </row>
    <row r="6324" spans="1:10" ht="15.95" customHeight="1" x14ac:dyDescent="0.2">
      <c r="A6324" s="39"/>
      <c r="B6324" s="36"/>
      <c r="C6324" s="37"/>
      <c r="D6324" s="37"/>
      <c r="E6324" s="37"/>
      <c r="F6324" s="37"/>
      <c r="G6324" s="37"/>
      <c r="H6324" s="37"/>
      <c r="I6324" s="35"/>
      <c r="J6324" s="37"/>
    </row>
    <row r="6325" spans="1:10" ht="15.95" customHeight="1" x14ac:dyDescent="0.2">
      <c r="A6325" s="39"/>
      <c r="B6325" s="36"/>
      <c r="C6325" s="37"/>
      <c r="D6325" s="37"/>
      <c r="E6325" s="37"/>
      <c r="F6325" s="37"/>
      <c r="G6325" s="37"/>
      <c r="H6325" s="37"/>
      <c r="I6325" s="35"/>
      <c r="J6325" s="37"/>
    </row>
    <row r="6326" spans="1:10" ht="15.95" customHeight="1" x14ac:dyDescent="0.2">
      <c r="A6326" s="39"/>
      <c r="B6326" s="36"/>
      <c r="C6326" s="37"/>
      <c r="D6326" s="37"/>
      <c r="E6326" s="37"/>
      <c r="F6326" s="37"/>
      <c r="G6326" s="37"/>
      <c r="H6326" s="37"/>
      <c r="I6326" s="35"/>
      <c r="J6326" s="37"/>
    </row>
    <row r="6327" spans="1:10" ht="15.95" customHeight="1" x14ac:dyDescent="0.2">
      <c r="A6327" s="39"/>
      <c r="B6327" s="36"/>
      <c r="C6327" s="37"/>
      <c r="D6327" s="37"/>
      <c r="E6327" s="37"/>
      <c r="F6327" s="37"/>
      <c r="G6327" s="37"/>
      <c r="H6327" s="37"/>
      <c r="I6327" s="35"/>
      <c r="J6327" s="37"/>
    </row>
    <row r="6328" spans="1:10" ht="15.95" customHeight="1" x14ac:dyDescent="0.2">
      <c r="A6328" s="39"/>
      <c r="B6328" s="36"/>
      <c r="C6328" s="37"/>
      <c r="D6328" s="37"/>
      <c r="E6328" s="37"/>
      <c r="F6328" s="37"/>
      <c r="G6328" s="37"/>
      <c r="H6328" s="37"/>
      <c r="I6328" s="35"/>
      <c r="J6328" s="37"/>
    </row>
    <row r="6329" spans="1:10" ht="15.95" customHeight="1" x14ac:dyDescent="0.2">
      <c r="A6329" s="39"/>
      <c r="B6329" s="36"/>
      <c r="C6329" s="37"/>
      <c r="D6329" s="37"/>
      <c r="E6329" s="37"/>
      <c r="F6329" s="37"/>
      <c r="G6329" s="37"/>
      <c r="H6329" s="37"/>
      <c r="I6329" s="35"/>
      <c r="J6329" s="37"/>
    </row>
    <row r="6330" spans="1:10" ht="15.95" customHeight="1" x14ac:dyDescent="0.2">
      <c r="A6330" s="39"/>
      <c r="B6330" s="36"/>
      <c r="C6330" s="37"/>
      <c r="D6330" s="37"/>
      <c r="E6330" s="37"/>
      <c r="F6330" s="37"/>
      <c r="G6330" s="37"/>
      <c r="H6330" s="37"/>
      <c r="I6330" s="35"/>
      <c r="J6330" s="37"/>
    </row>
    <row r="6331" spans="1:10" ht="15.95" customHeight="1" x14ac:dyDescent="0.2">
      <c r="A6331" s="39"/>
      <c r="B6331" s="36"/>
      <c r="C6331" s="37"/>
      <c r="D6331" s="37"/>
      <c r="E6331" s="37"/>
      <c r="F6331" s="37"/>
      <c r="G6331" s="37"/>
      <c r="H6331" s="37"/>
      <c r="I6331" s="35"/>
      <c r="J6331" s="37"/>
    </row>
    <row r="6332" spans="1:10" ht="15.95" customHeight="1" x14ac:dyDescent="0.2">
      <c r="A6332" s="39"/>
      <c r="B6332" s="36"/>
      <c r="C6332" s="37"/>
      <c r="D6332" s="37"/>
      <c r="E6332" s="37"/>
      <c r="F6332" s="37"/>
      <c r="G6332" s="37"/>
      <c r="H6332" s="37"/>
      <c r="I6332" s="35"/>
      <c r="J6332" s="37"/>
    </row>
    <row r="6333" spans="1:10" ht="15.95" customHeight="1" x14ac:dyDescent="0.2">
      <c r="A6333" s="39"/>
      <c r="B6333" s="36"/>
      <c r="C6333" s="37"/>
      <c r="D6333" s="37"/>
      <c r="E6333" s="37"/>
      <c r="F6333" s="37"/>
      <c r="G6333" s="37"/>
      <c r="H6333" s="37"/>
      <c r="I6333" s="35"/>
      <c r="J6333" s="37"/>
    </row>
    <row r="6334" spans="1:10" ht="15.95" customHeight="1" x14ac:dyDescent="0.2">
      <c r="A6334" s="39"/>
      <c r="B6334" s="36"/>
      <c r="C6334" s="37"/>
      <c r="D6334" s="37"/>
      <c r="E6334" s="37"/>
      <c r="F6334" s="37"/>
      <c r="G6334" s="37"/>
      <c r="H6334" s="37"/>
      <c r="I6334" s="35"/>
      <c r="J6334" s="37"/>
    </row>
    <row r="6335" spans="1:10" ht="15.95" customHeight="1" x14ac:dyDescent="0.2">
      <c r="A6335" s="39"/>
      <c r="B6335" s="36"/>
      <c r="C6335" s="37"/>
      <c r="D6335" s="37"/>
      <c r="E6335" s="37"/>
      <c r="F6335" s="37"/>
      <c r="G6335" s="37"/>
      <c r="H6335" s="37"/>
      <c r="I6335" s="35"/>
      <c r="J6335" s="37"/>
    </row>
    <row r="6336" spans="1:10" ht="15.95" customHeight="1" x14ac:dyDescent="0.2">
      <c r="A6336" s="39"/>
      <c r="B6336" s="36"/>
      <c r="C6336" s="37"/>
      <c r="D6336" s="37"/>
      <c r="E6336" s="37"/>
      <c r="F6336" s="37"/>
      <c r="G6336" s="37"/>
      <c r="H6336" s="37"/>
      <c r="I6336" s="35"/>
      <c r="J6336" s="37"/>
    </row>
    <row r="6337" spans="1:10" ht="15.95" customHeight="1" x14ac:dyDescent="0.2">
      <c r="A6337" s="39"/>
      <c r="B6337" s="36"/>
      <c r="C6337" s="37"/>
      <c r="D6337" s="37"/>
      <c r="E6337" s="37"/>
      <c r="F6337" s="37"/>
      <c r="G6337" s="37"/>
      <c r="H6337" s="37"/>
      <c r="I6337" s="35"/>
      <c r="J6337" s="37"/>
    </row>
    <row r="6338" spans="1:10" ht="15.95" customHeight="1" x14ac:dyDescent="0.2">
      <c r="A6338" s="39"/>
      <c r="B6338" s="36"/>
      <c r="C6338" s="37"/>
      <c r="D6338" s="37"/>
      <c r="E6338" s="37"/>
      <c r="F6338" s="37"/>
      <c r="G6338" s="37"/>
      <c r="H6338" s="37"/>
      <c r="I6338" s="35"/>
      <c r="J6338" s="37"/>
    </row>
    <row r="6339" spans="1:10" ht="15.95" customHeight="1" x14ac:dyDescent="0.2">
      <c r="A6339" s="39"/>
      <c r="B6339" s="36"/>
      <c r="C6339" s="37"/>
      <c r="D6339" s="37"/>
      <c r="E6339" s="37"/>
      <c r="F6339" s="37"/>
      <c r="G6339" s="37"/>
      <c r="H6339" s="37"/>
      <c r="I6339" s="35"/>
      <c r="J6339" s="37"/>
    </row>
    <row r="6340" spans="1:10" ht="15.95" customHeight="1" x14ac:dyDescent="0.2">
      <c r="A6340" s="39"/>
      <c r="B6340" s="36"/>
      <c r="C6340" s="37"/>
      <c r="D6340" s="37"/>
      <c r="E6340" s="37"/>
      <c r="F6340" s="37"/>
      <c r="G6340" s="37"/>
      <c r="H6340" s="37"/>
      <c r="I6340" s="35"/>
      <c r="J6340" s="37"/>
    </row>
    <row r="6341" spans="1:10" ht="15.95" customHeight="1" x14ac:dyDescent="0.2">
      <c r="A6341" s="39"/>
      <c r="B6341" s="36"/>
      <c r="C6341" s="37"/>
      <c r="D6341" s="37"/>
      <c r="E6341" s="37"/>
      <c r="F6341" s="37"/>
      <c r="G6341" s="37"/>
      <c r="H6341" s="37"/>
      <c r="I6341" s="35"/>
      <c r="J6341" s="37"/>
    </row>
    <row r="6342" spans="1:10" ht="15.95" customHeight="1" x14ac:dyDescent="0.2">
      <c r="A6342" s="39"/>
      <c r="B6342" s="36"/>
      <c r="C6342" s="37"/>
      <c r="D6342" s="37"/>
      <c r="E6342" s="37"/>
      <c r="F6342" s="37"/>
      <c r="G6342" s="37"/>
      <c r="H6342" s="37"/>
      <c r="I6342" s="35"/>
      <c r="J6342" s="37"/>
    </row>
    <row r="6343" spans="1:10" ht="15.95" customHeight="1" x14ac:dyDescent="0.2">
      <c r="A6343" s="39"/>
      <c r="B6343" s="36"/>
      <c r="C6343" s="37"/>
      <c r="D6343" s="37"/>
      <c r="E6343" s="37"/>
      <c r="F6343" s="37"/>
      <c r="G6343" s="37"/>
      <c r="H6343" s="37"/>
      <c r="I6343" s="35"/>
      <c r="J6343" s="37"/>
    </row>
    <row r="6344" spans="1:10" ht="15.95" customHeight="1" x14ac:dyDescent="0.2">
      <c r="A6344" s="39"/>
      <c r="B6344" s="36"/>
      <c r="C6344" s="37"/>
      <c r="D6344" s="37"/>
      <c r="E6344" s="37"/>
      <c r="F6344" s="37"/>
      <c r="G6344" s="37"/>
      <c r="H6344" s="37"/>
      <c r="I6344" s="35"/>
      <c r="J6344" s="37"/>
    </row>
    <row r="6345" spans="1:10" ht="15.95" customHeight="1" x14ac:dyDescent="0.2">
      <c r="A6345" s="39"/>
      <c r="B6345" s="36"/>
      <c r="C6345" s="37"/>
      <c r="D6345" s="37"/>
      <c r="E6345" s="37"/>
      <c r="F6345" s="37"/>
      <c r="G6345" s="37"/>
      <c r="H6345" s="37"/>
      <c r="I6345" s="35"/>
      <c r="J6345" s="37"/>
    </row>
    <row r="6346" spans="1:10" ht="15.95" customHeight="1" x14ac:dyDescent="0.2">
      <c r="A6346" s="39"/>
      <c r="B6346" s="36"/>
      <c r="C6346" s="37"/>
      <c r="D6346" s="37"/>
      <c r="E6346" s="37"/>
      <c r="F6346" s="37"/>
      <c r="G6346" s="37"/>
      <c r="H6346" s="37"/>
      <c r="I6346" s="35"/>
      <c r="J6346" s="37"/>
    </row>
    <row r="6347" spans="1:10" ht="15.95" customHeight="1" x14ac:dyDescent="0.2">
      <c r="A6347" s="39"/>
      <c r="B6347" s="36"/>
      <c r="C6347" s="37"/>
      <c r="D6347" s="37"/>
      <c r="E6347" s="37"/>
      <c r="F6347" s="37"/>
      <c r="G6347" s="37"/>
      <c r="H6347" s="37"/>
      <c r="I6347" s="35"/>
      <c r="J6347" s="37"/>
    </row>
    <row r="6348" spans="1:10" ht="15.95" customHeight="1" x14ac:dyDescent="0.2">
      <c r="A6348" s="39"/>
      <c r="B6348" s="36"/>
      <c r="C6348" s="37"/>
      <c r="D6348" s="37"/>
      <c r="E6348" s="37"/>
      <c r="F6348" s="37"/>
      <c r="G6348" s="37"/>
      <c r="H6348" s="37"/>
      <c r="I6348" s="35"/>
      <c r="J6348" s="37"/>
    </row>
    <row r="6349" spans="1:10" ht="15.95" customHeight="1" x14ac:dyDescent="0.2">
      <c r="A6349" s="39"/>
      <c r="B6349" s="36"/>
      <c r="C6349" s="37"/>
      <c r="D6349" s="37"/>
      <c r="E6349" s="37"/>
      <c r="F6349" s="37"/>
      <c r="G6349" s="37"/>
      <c r="H6349" s="37"/>
      <c r="I6349" s="35"/>
      <c r="J6349" s="37"/>
    </row>
    <row r="6350" spans="1:10" ht="15.95" customHeight="1" x14ac:dyDescent="0.2">
      <c r="A6350" s="39"/>
      <c r="B6350" s="36"/>
      <c r="C6350" s="37"/>
      <c r="D6350" s="37"/>
      <c r="E6350" s="37"/>
      <c r="F6350" s="37"/>
      <c r="G6350" s="37"/>
      <c r="H6350" s="37"/>
      <c r="I6350" s="35"/>
      <c r="J6350" s="37"/>
    </row>
    <row r="6351" spans="1:10" ht="15.95" customHeight="1" x14ac:dyDescent="0.2">
      <c r="A6351" s="39"/>
      <c r="B6351" s="36"/>
      <c r="C6351" s="37"/>
      <c r="D6351" s="37"/>
      <c r="E6351" s="37"/>
      <c r="F6351" s="37"/>
      <c r="G6351" s="37"/>
      <c r="H6351" s="37"/>
      <c r="I6351" s="35"/>
      <c r="J6351" s="37"/>
    </row>
    <row r="6352" spans="1:10" ht="15.95" customHeight="1" x14ac:dyDescent="0.2">
      <c r="A6352" s="39"/>
      <c r="B6352" s="36"/>
      <c r="C6352" s="37"/>
      <c r="D6352" s="37"/>
      <c r="E6352" s="37"/>
      <c r="F6352" s="37"/>
      <c r="G6352" s="37"/>
      <c r="H6352" s="37"/>
      <c r="I6352" s="35"/>
      <c r="J6352" s="37"/>
    </row>
    <row r="6353" spans="1:10" ht="15.95" customHeight="1" x14ac:dyDescent="0.2">
      <c r="A6353" s="39"/>
      <c r="B6353" s="36"/>
      <c r="C6353" s="37"/>
      <c r="D6353" s="37"/>
      <c r="E6353" s="37"/>
      <c r="F6353" s="37"/>
      <c r="G6353" s="37"/>
      <c r="H6353" s="37"/>
      <c r="I6353" s="35"/>
      <c r="J6353" s="37"/>
    </row>
    <row r="6354" spans="1:10" ht="15.95" customHeight="1" x14ac:dyDescent="0.2">
      <c r="A6354" s="39"/>
      <c r="B6354" s="36"/>
      <c r="C6354" s="37"/>
      <c r="D6354" s="37"/>
      <c r="E6354" s="37"/>
      <c r="F6354" s="37"/>
      <c r="G6354" s="37"/>
      <c r="H6354" s="37"/>
      <c r="I6354" s="35"/>
      <c r="J6354" s="37"/>
    </row>
    <row r="6355" spans="1:10" ht="15.95" customHeight="1" x14ac:dyDescent="0.2">
      <c r="A6355" s="39"/>
      <c r="B6355" s="36"/>
      <c r="C6355" s="37"/>
      <c r="D6355" s="37"/>
      <c r="E6355" s="37"/>
      <c r="F6355" s="37"/>
      <c r="G6355" s="37"/>
      <c r="H6355" s="37"/>
      <c r="I6355" s="35"/>
      <c r="J6355" s="37"/>
    </row>
    <row r="6356" spans="1:10" ht="15.95" customHeight="1" x14ac:dyDescent="0.2">
      <c r="A6356" s="39"/>
      <c r="B6356" s="36"/>
      <c r="C6356" s="37"/>
      <c r="D6356" s="37"/>
      <c r="E6356" s="37"/>
      <c r="F6356" s="37"/>
      <c r="G6356" s="37"/>
      <c r="H6356" s="37"/>
      <c r="I6356" s="35"/>
      <c r="J6356" s="37"/>
    </row>
    <row r="6357" spans="1:10" ht="15.95" customHeight="1" x14ac:dyDescent="0.2">
      <c r="A6357" s="39"/>
      <c r="B6357" s="36"/>
      <c r="C6357" s="37"/>
      <c r="D6357" s="37"/>
      <c r="E6357" s="37"/>
      <c r="F6357" s="37"/>
      <c r="G6357" s="37"/>
      <c r="H6357" s="37"/>
      <c r="I6357" s="35"/>
      <c r="J6357" s="37"/>
    </row>
    <row r="6358" spans="1:10" ht="15.95" customHeight="1" x14ac:dyDescent="0.2">
      <c r="A6358" s="39"/>
      <c r="B6358" s="36"/>
      <c r="C6358" s="37"/>
      <c r="D6358" s="37"/>
      <c r="E6358" s="37"/>
      <c r="F6358" s="37"/>
      <c r="G6358" s="37"/>
      <c r="H6358" s="37"/>
      <c r="I6358" s="35"/>
      <c r="J6358" s="37"/>
    </row>
    <row r="6359" spans="1:10" ht="15.95" customHeight="1" x14ac:dyDescent="0.2">
      <c r="A6359" s="39"/>
      <c r="B6359" s="36"/>
      <c r="C6359" s="37"/>
      <c r="D6359" s="37"/>
      <c r="E6359" s="37"/>
      <c r="F6359" s="37"/>
      <c r="G6359" s="37"/>
      <c r="H6359" s="37"/>
      <c r="I6359" s="35"/>
      <c r="J6359" s="37"/>
    </row>
    <row r="6360" spans="1:10" ht="15.95" customHeight="1" x14ac:dyDescent="0.2">
      <c r="A6360" s="39"/>
      <c r="B6360" s="36"/>
      <c r="C6360" s="37"/>
      <c r="D6360" s="37"/>
      <c r="E6360" s="37"/>
      <c r="F6360" s="37"/>
      <c r="G6360" s="37"/>
      <c r="H6360" s="37"/>
      <c r="I6360" s="35"/>
      <c r="J6360" s="37"/>
    </row>
    <row r="6361" spans="1:10" ht="15.95" customHeight="1" x14ac:dyDescent="0.2">
      <c r="A6361" s="39"/>
      <c r="B6361" s="36"/>
      <c r="C6361" s="37"/>
      <c r="D6361" s="37"/>
      <c r="E6361" s="37"/>
      <c r="F6361" s="37"/>
      <c r="G6361" s="37"/>
      <c r="H6361" s="37"/>
      <c r="I6361" s="35"/>
      <c r="J6361" s="37"/>
    </row>
    <row r="6362" spans="1:10" ht="15.95" customHeight="1" x14ac:dyDescent="0.2">
      <c r="A6362" s="39"/>
      <c r="B6362" s="36"/>
      <c r="C6362" s="37"/>
      <c r="D6362" s="37"/>
      <c r="E6362" s="37"/>
      <c r="F6362" s="37"/>
      <c r="G6362" s="37"/>
      <c r="H6362" s="37"/>
      <c r="I6362" s="35"/>
      <c r="J6362" s="37"/>
    </row>
    <row r="6363" spans="1:10" ht="15.95" customHeight="1" x14ac:dyDescent="0.2">
      <c r="A6363" s="39"/>
      <c r="B6363" s="36"/>
      <c r="C6363" s="37"/>
      <c r="D6363" s="37"/>
      <c r="E6363" s="37"/>
      <c r="F6363" s="37"/>
      <c r="G6363" s="37"/>
      <c r="H6363" s="37"/>
      <c r="I6363" s="35"/>
      <c r="J6363" s="37"/>
    </row>
    <row r="6364" spans="1:10" ht="15.95" customHeight="1" x14ac:dyDescent="0.2">
      <c r="A6364" s="39"/>
      <c r="B6364" s="36"/>
      <c r="C6364" s="37"/>
      <c r="D6364" s="37"/>
      <c r="E6364" s="37"/>
      <c r="F6364" s="37"/>
      <c r="G6364" s="37"/>
      <c r="H6364" s="37"/>
      <c r="I6364" s="35"/>
      <c r="J6364" s="37"/>
    </row>
    <row r="6365" spans="1:10" ht="15.95" customHeight="1" x14ac:dyDescent="0.2">
      <c r="A6365" s="39"/>
      <c r="B6365" s="36"/>
      <c r="C6365" s="37"/>
      <c r="D6365" s="37"/>
      <c r="E6365" s="37"/>
      <c r="F6365" s="37"/>
      <c r="G6365" s="37"/>
      <c r="H6365" s="37"/>
      <c r="I6365" s="35"/>
      <c r="J6365" s="37"/>
    </row>
    <row r="6366" spans="1:10" ht="15.95" customHeight="1" x14ac:dyDescent="0.2">
      <c r="A6366" s="39"/>
      <c r="B6366" s="36"/>
      <c r="C6366" s="37"/>
      <c r="D6366" s="37"/>
      <c r="E6366" s="37"/>
      <c r="F6366" s="37"/>
      <c r="G6366" s="37"/>
      <c r="H6366" s="37"/>
      <c r="I6366" s="35"/>
      <c r="J6366" s="37"/>
    </row>
    <row r="6367" spans="1:10" ht="15.95" customHeight="1" x14ac:dyDescent="0.2">
      <c r="A6367" s="39"/>
      <c r="B6367" s="36"/>
      <c r="C6367" s="37"/>
      <c r="D6367" s="37"/>
      <c r="E6367" s="37"/>
      <c r="F6367" s="37"/>
      <c r="G6367" s="37"/>
      <c r="H6367" s="37"/>
      <c r="I6367" s="35"/>
      <c r="J6367" s="37"/>
    </row>
    <row r="6368" spans="1:10" ht="15.95" customHeight="1" x14ac:dyDescent="0.2">
      <c r="A6368" s="39"/>
      <c r="B6368" s="36"/>
      <c r="C6368" s="37"/>
      <c r="D6368" s="37"/>
      <c r="E6368" s="37"/>
      <c r="F6368" s="37"/>
      <c r="G6368" s="37"/>
      <c r="H6368" s="37"/>
      <c r="I6368" s="35"/>
      <c r="J6368" s="37"/>
    </row>
    <row r="6369" spans="1:10" ht="15.95" customHeight="1" x14ac:dyDescent="0.2">
      <c r="A6369" s="39"/>
      <c r="B6369" s="36"/>
      <c r="C6369" s="37"/>
      <c r="D6369" s="37"/>
      <c r="E6369" s="37"/>
      <c r="F6369" s="37"/>
      <c r="G6369" s="37"/>
      <c r="H6369" s="37"/>
      <c r="I6369" s="35"/>
      <c r="J6369" s="37"/>
    </row>
    <row r="6370" spans="1:10" ht="15.95" customHeight="1" x14ac:dyDescent="0.2">
      <c r="A6370" s="39"/>
      <c r="B6370" s="36"/>
      <c r="C6370" s="37"/>
      <c r="D6370" s="37"/>
      <c r="E6370" s="37"/>
      <c r="F6370" s="37"/>
      <c r="G6370" s="37"/>
      <c r="H6370" s="37"/>
      <c r="I6370" s="35"/>
      <c r="J6370" s="37"/>
    </row>
    <row r="6371" spans="1:10" ht="15.95" customHeight="1" x14ac:dyDescent="0.2">
      <c r="A6371" s="39"/>
      <c r="B6371" s="36"/>
      <c r="C6371" s="37"/>
      <c r="D6371" s="37"/>
      <c r="E6371" s="37"/>
      <c r="F6371" s="37"/>
      <c r="G6371" s="37"/>
      <c r="H6371" s="37"/>
      <c r="I6371" s="35"/>
      <c r="J6371" s="37"/>
    </row>
    <row r="6372" spans="1:10" ht="15.95" customHeight="1" x14ac:dyDescent="0.2">
      <c r="A6372" s="39"/>
      <c r="B6372" s="36"/>
      <c r="C6372" s="37"/>
      <c r="D6372" s="37"/>
      <c r="E6372" s="37"/>
      <c r="F6372" s="37"/>
      <c r="G6372" s="37"/>
      <c r="H6372" s="37"/>
      <c r="I6372" s="35"/>
      <c r="J6372" s="37"/>
    </row>
    <row r="6373" spans="1:10" ht="15.95" customHeight="1" x14ac:dyDescent="0.2">
      <c r="A6373" s="39"/>
      <c r="B6373" s="36"/>
      <c r="C6373" s="37"/>
      <c r="D6373" s="37"/>
      <c r="E6373" s="37"/>
      <c r="F6373" s="37"/>
      <c r="G6373" s="37"/>
      <c r="H6373" s="37"/>
      <c r="I6373" s="35"/>
      <c r="J6373" s="37"/>
    </row>
    <row r="6374" spans="1:10" ht="15.95" customHeight="1" x14ac:dyDescent="0.2">
      <c r="A6374" s="39"/>
      <c r="B6374" s="36"/>
      <c r="C6374" s="37"/>
      <c r="D6374" s="37"/>
      <c r="E6374" s="37"/>
      <c r="F6374" s="37"/>
      <c r="G6374" s="37"/>
      <c r="H6374" s="37"/>
      <c r="I6374" s="35"/>
      <c r="J6374" s="37"/>
    </row>
    <row r="6375" spans="1:10" ht="15.95" customHeight="1" x14ac:dyDescent="0.2">
      <c r="A6375" s="39"/>
      <c r="B6375" s="36"/>
      <c r="C6375" s="37"/>
      <c r="D6375" s="37"/>
      <c r="E6375" s="37"/>
      <c r="F6375" s="37"/>
      <c r="G6375" s="37"/>
      <c r="H6375" s="37"/>
      <c r="I6375" s="35"/>
      <c r="J6375" s="37"/>
    </row>
    <row r="6376" spans="1:10" ht="15.95" customHeight="1" x14ac:dyDescent="0.2">
      <c r="A6376" s="39"/>
      <c r="B6376" s="36"/>
      <c r="C6376" s="37"/>
      <c r="D6376" s="37"/>
      <c r="E6376" s="37"/>
      <c r="F6376" s="37"/>
      <c r="G6376" s="37"/>
      <c r="H6376" s="37"/>
      <c r="I6376" s="35"/>
      <c r="J6376" s="37"/>
    </row>
    <row r="6377" spans="1:10" ht="15.95" customHeight="1" x14ac:dyDescent="0.2">
      <c r="A6377" s="39"/>
      <c r="B6377" s="36"/>
      <c r="C6377" s="37"/>
      <c r="D6377" s="37"/>
      <c r="E6377" s="37"/>
      <c r="F6377" s="37"/>
      <c r="G6377" s="37"/>
      <c r="H6377" s="37"/>
      <c r="I6377" s="35"/>
      <c r="J6377" s="37"/>
    </row>
    <row r="6378" spans="1:10" ht="15.95" customHeight="1" x14ac:dyDescent="0.2">
      <c r="A6378" s="39"/>
      <c r="B6378" s="36"/>
      <c r="C6378" s="37"/>
      <c r="D6378" s="37"/>
      <c r="E6378" s="37"/>
      <c r="F6378" s="37"/>
      <c r="G6378" s="37"/>
      <c r="H6378" s="37"/>
      <c r="I6378" s="35"/>
      <c r="J6378" s="37"/>
    </row>
    <row r="6379" spans="1:10" ht="15.95" customHeight="1" x14ac:dyDescent="0.2">
      <c r="A6379" s="39"/>
      <c r="B6379" s="36"/>
      <c r="C6379" s="37"/>
      <c r="D6379" s="37"/>
      <c r="E6379" s="37"/>
      <c r="F6379" s="37"/>
      <c r="G6379" s="37"/>
      <c r="H6379" s="37"/>
      <c r="I6379" s="35"/>
      <c r="J6379" s="37"/>
    </row>
    <row r="6380" spans="1:10" ht="15.95" customHeight="1" x14ac:dyDescent="0.2">
      <c r="A6380" s="39"/>
      <c r="B6380" s="36"/>
      <c r="C6380" s="37"/>
      <c r="D6380" s="37"/>
      <c r="E6380" s="37"/>
      <c r="F6380" s="37"/>
      <c r="G6380" s="37"/>
      <c r="H6380" s="37"/>
      <c r="I6380" s="35"/>
      <c r="J6380" s="37"/>
    </row>
    <row r="6381" spans="1:10" ht="15.95" customHeight="1" x14ac:dyDescent="0.2">
      <c r="A6381" s="39"/>
      <c r="B6381" s="36"/>
      <c r="C6381" s="37"/>
      <c r="D6381" s="37"/>
      <c r="E6381" s="37"/>
      <c r="F6381" s="37"/>
      <c r="G6381" s="37"/>
      <c r="H6381" s="37"/>
      <c r="I6381" s="35"/>
      <c r="J6381" s="37"/>
    </row>
    <row r="6382" spans="1:10" ht="15.95" customHeight="1" x14ac:dyDescent="0.2">
      <c r="A6382" s="39"/>
      <c r="B6382" s="36"/>
      <c r="C6382" s="37"/>
      <c r="D6382" s="37"/>
      <c r="E6382" s="37"/>
      <c r="F6382" s="37"/>
      <c r="G6382" s="37"/>
      <c r="H6382" s="37"/>
      <c r="I6382" s="35"/>
      <c r="J6382" s="37"/>
    </row>
    <row r="6383" spans="1:10" ht="15.95" customHeight="1" x14ac:dyDescent="0.2">
      <c r="A6383" s="39"/>
      <c r="B6383" s="36"/>
      <c r="C6383" s="37"/>
      <c r="D6383" s="37"/>
      <c r="E6383" s="37"/>
      <c r="F6383" s="37"/>
      <c r="G6383" s="37"/>
      <c r="H6383" s="37"/>
      <c r="I6383" s="35"/>
      <c r="J6383" s="37"/>
    </row>
    <row r="6384" spans="1:10" ht="15.95" customHeight="1" x14ac:dyDescent="0.2">
      <c r="A6384" s="39"/>
      <c r="B6384" s="36"/>
      <c r="C6384" s="37"/>
      <c r="D6384" s="37"/>
      <c r="E6384" s="37"/>
      <c r="F6384" s="37"/>
      <c r="G6384" s="37"/>
      <c r="H6384" s="37"/>
      <c r="I6384" s="35"/>
      <c r="J6384" s="37"/>
    </row>
    <row r="6385" spans="1:10" ht="15.95" customHeight="1" x14ac:dyDescent="0.2">
      <c r="A6385" s="39"/>
      <c r="B6385" s="36"/>
      <c r="C6385" s="37"/>
      <c r="D6385" s="37"/>
      <c r="E6385" s="37"/>
      <c r="F6385" s="37"/>
      <c r="G6385" s="37"/>
      <c r="H6385" s="37"/>
      <c r="I6385" s="35"/>
      <c r="J6385" s="37"/>
    </row>
    <row r="6386" spans="1:10" ht="15.95" customHeight="1" x14ac:dyDescent="0.2">
      <c r="A6386" s="39"/>
      <c r="B6386" s="36"/>
      <c r="C6386" s="37"/>
      <c r="D6386" s="37"/>
      <c r="E6386" s="37"/>
      <c r="F6386" s="37"/>
      <c r="G6386" s="37"/>
      <c r="H6386" s="37"/>
      <c r="I6386" s="35"/>
      <c r="J6386" s="37"/>
    </row>
    <row r="6387" spans="1:10" ht="15.95" customHeight="1" x14ac:dyDescent="0.2">
      <c r="A6387" s="39"/>
      <c r="B6387" s="36"/>
      <c r="C6387" s="37"/>
      <c r="D6387" s="37"/>
      <c r="E6387" s="37"/>
      <c r="F6387" s="37"/>
      <c r="G6387" s="37"/>
      <c r="H6387" s="37"/>
      <c r="I6387" s="35"/>
      <c r="J6387" s="37"/>
    </row>
    <row r="6388" spans="1:10" ht="15.95" customHeight="1" x14ac:dyDescent="0.2">
      <c r="A6388" s="39"/>
      <c r="B6388" s="36"/>
      <c r="C6388" s="37"/>
      <c r="D6388" s="37"/>
      <c r="E6388" s="37"/>
      <c r="F6388" s="37"/>
      <c r="G6388" s="37"/>
      <c r="H6388" s="37"/>
      <c r="I6388" s="35"/>
      <c r="J6388" s="37"/>
    </row>
    <row r="6389" spans="1:10" ht="15.95" customHeight="1" x14ac:dyDescent="0.2">
      <c r="A6389" s="39"/>
      <c r="B6389" s="36"/>
      <c r="C6389" s="37"/>
      <c r="D6389" s="37"/>
      <c r="E6389" s="37"/>
      <c r="F6389" s="37"/>
      <c r="G6389" s="37"/>
      <c r="H6389" s="37"/>
      <c r="I6389" s="35"/>
      <c r="J6389" s="37"/>
    </row>
    <row r="6390" spans="1:10" ht="15.95" customHeight="1" x14ac:dyDescent="0.2">
      <c r="A6390" s="39"/>
      <c r="B6390" s="36"/>
      <c r="C6390" s="37"/>
      <c r="D6390" s="37"/>
      <c r="E6390" s="37"/>
      <c r="F6390" s="37"/>
      <c r="G6390" s="37"/>
      <c r="H6390" s="37"/>
      <c r="I6390" s="35"/>
      <c r="J6390" s="37"/>
    </row>
    <row r="6391" spans="1:10" ht="15.95" customHeight="1" x14ac:dyDescent="0.2">
      <c r="A6391" s="39"/>
      <c r="B6391" s="36"/>
      <c r="C6391" s="37"/>
      <c r="D6391" s="37"/>
      <c r="E6391" s="37"/>
      <c r="F6391" s="37"/>
      <c r="G6391" s="37"/>
      <c r="H6391" s="37"/>
      <c r="I6391" s="35"/>
      <c r="J6391" s="37"/>
    </row>
    <row r="6392" spans="1:10" ht="15.95" customHeight="1" x14ac:dyDescent="0.2">
      <c r="A6392" s="39"/>
      <c r="B6392" s="36"/>
      <c r="C6392" s="37"/>
      <c r="D6392" s="37"/>
      <c r="E6392" s="37"/>
      <c r="F6392" s="37"/>
      <c r="G6392" s="37"/>
      <c r="H6392" s="37"/>
      <c r="I6392" s="35"/>
      <c r="J6392" s="37"/>
    </row>
    <row r="6393" spans="1:10" ht="15.95" customHeight="1" x14ac:dyDescent="0.2">
      <c r="A6393" s="39"/>
      <c r="B6393" s="36"/>
      <c r="C6393" s="37"/>
      <c r="D6393" s="37"/>
      <c r="E6393" s="37"/>
      <c r="F6393" s="37"/>
      <c r="G6393" s="37"/>
      <c r="H6393" s="37"/>
      <c r="I6393" s="35"/>
      <c r="J6393" s="37"/>
    </row>
    <row r="6394" spans="1:10" ht="15.95" customHeight="1" x14ac:dyDescent="0.2">
      <c r="A6394" s="39"/>
      <c r="B6394" s="36"/>
      <c r="C6394" s="37"/>
      <c r="D6394" s="37"/>
      <c r="E6394" s="37"/>
      <c r="F6394" s="37"/>
      <c r="G6394" s="37"/>
      <c r="H6394" s="37"/>
      <c r="I6394" s="35"/>
      <c r="J6394" s="37"/>
    </row>
    <row r="6395" spans="1:10" ht="15.95" customHeight="1" x14ac:dyDescent="0.2">
      <c r="A6395" s="39"/>
      <c r="B6395" s="36"/>
      <c r="C6395" s="37"/>
      <c r="D6395" s="37"/>
      <c r="E6395" s="37"/>
      <c r="F6395" s="37"/>
      <c r="G6395" s="37"/>
      <c r="H6395" s="37"/>
      <c r="I6395" s="35"/>
      <c r="J6395" s="37"/>
    </row>
    <row r="6396" spans="1:10" ht="15.95" customHeight="1" x14ac:dyDescent="0.2">
      <c r="A6396" s="39"/>
      <c r="B6396" s="36"/>
      <c r="C6396" s="37"/>
      <c r="D6396" s="37"/>
      <c r="E6396" s="37"/>
      <c r="F6396" s="37"/>
      <c r="G6396" s="37"/>
      <c r="H6396" s="37"/>
      <c r="I6396" s="35"/>
      <c r="J6396" s="37"/>
    </row>
    <row r="6397" spans="1:10" ht="15.95" customHeight="1" x14ac:dyDescent="0.2">
      <c r="A6397" s="39"/>
      <c r="B6397" s="36"/>
      <c r="C6397" s="37"/>
      <c r="D6397" s="37"/>
      <c r="E6397" s="37"/>
      <c r="F6397" s="37"/>
      <c r="G6397" s="37"/>
      <c r="H6397" s="37"/>
      <c r="I6397" s="35"/>
      <c r="J6397" s="37"/>
    </row>
    <row r="6398" spans="1:10" ht="15.95" customHeight="1" x14ac:dyDescent="0.2">
      <c r="A6398" s="39"/>
      <c r="B6398" s="36"/>
      <c r="C6398" s="37"/>
      <c r="D6398" s="37"/>
      <c r="E6398" s="37"/>
      <c r="F6398" s="37"/>
      <c r="G6398" s="37"/>
      <c r="H6398" s="37"/>
      <c r="I6398" s="35"/>
      <c r="J6398" s="37"/>
    </row>
    <row r="6399" spans="1:10" ht="15.95" customHeight="1" x14ac:dyDescent="0.2">
      <c r="A6399" s="39"/>
      <c r="B6399" s="36"/>
      <c r="C6399" s="37"/>
      <c r="D6399" s="37"/>
      <c r="E6399" s="37"/>
      <c r="F6399" s="37"/>
      <c r="G6399" s="37"/>
      <c r="H6399" s="37"/>
      <c r="I6399" s="35"/>
      <c r="J6399" s="37"/>
    </row>
    <row r="6400" spans="1:10" ht="15.95" customHeight="1" x14ac:dyDescent="0.2">
      <c r="A6400" s="39"/>
      <c r="B6400" s="36"/>
      <c r="C6400" s="37"/>
      <c r="D6400" s="37"/>
      <c r="E6400" s="37"/>
      <c r="F6400" s="37"/>
      <c r="G6400" s="37"/>
      <c r="H6400" s="37"/>
      <c r="I6400" s="35"/>
      <c r="J6400" s="37"/>
    </row>
    <row r="6401" spans="1:10" ht="15.95" customHeight="1" x14ac:dyDescent="0.2">
      <c r="A6401" s="39"/>
      <c r="B6401" s="36"/>
      <c r="C6401" s="37"/>
      <c r="D6401" s="37"/>
      <c r="E6401" s="37"/>
      <c r="F6401" s="37"/>
      <c r="G6401" s="37"/>
      <c r="H6401" s="37"/>
      <c r="I6401" s="35"/>
      <c r="J6401" s="37"/>
    </row>
    <row r="6402" spans="1:10" ht="15.95" customHeight="1" x14ac:dyDescent="0.2">
      <c r="A6402" s="39"/>
      <c r="B6402" s="36"/>
      <c r="C6402" s="37"/>
      <c r="D6402" s="37"/>
      <c r="E6402" s="37"/>
      <c r="F6402" s="37"/>
      <c r="G6402" s="37"/>
      <c r="H6402" s="37"/>
      <c r="I6402" s="35"/>
      <c r="J6402" s="37"/>
    </row>
    <row r="6403" spans="1:10" ht="15.95" customHeight="1" x14ac:dyDescent="0.2">
      <c r="A6403" s="39"/>
      <c r="B6403" s="36"/>
      <c r="C6403" s="37"/>
      <c r="D6403" s="37"/>
      <c r="E6403" s="37"/>
      <c r="F6403" s="37"/>
      <c r="G6403" s="37"/>
      <c r="H6403" s="37"/>
      <c r="I6403" s="35"/>
      <c r="J6403" s="37"/>
    </row>
    <row r="6404" spans="1:10" ht="15.95" customHeight="1" x14ac:dyDescent="0.2">
      <c r="A6404" s="39"/>
      <c r="B6404" s="36"/>
      <c r="C6404" s="37"/>
      <c r="D6404" s="37"/>
      <c r="E6404" s="37"/>
      <c r="F6404" s="37"/>
      <c r="G6404" s="37"/>
      <c r="H6404" s="37"/>
      <c r="I6404" s="35"/>
      <c r="J6404" s="37"/>
    </row>
    <row r="6405" spans="1:10" ht="15.95" customHeight="1" x14ac:dyDescent="0.2">
      <c r="A6405" s="39"/>
      <c r="B6405" s="36"/>
      <c r="C6405" s="37"/>
      <c r="D6405" s="37"/>
      <c r="E6405" s="37"/>
      <c r="F6405" s="37"/>
      <c r="G6405" s="37"/>
      <c r="H6405" s="37"/>
      <c r="I6405" s="35"/>
      <c r="J6405" s="37"/>
    </row>
    <row r="6406" spans="1:10" ht="15.95" customHeight="1" x14ac:dyDescent="0.2">
      <c r="A6406" s="39"/>
      <c r="B6406" s="36"/>
      <c r="C6406" s="37"/>
      <c r="D6406" s="37"/>
      <c r="E6406" s="37"/>
      <c r="F6406" s="37"/>
      <c r="G6406" s="37"/>
      <c r="H6406" s="37"/>
      <c r="I6406" s="35"/>
      <c r="J6406" s="37"/>
    </row>
    <row r="6407" spans="1:10" ht="15.95" customHeight="1" x14ac:dyDescent="0.2">
      <c r="A6407" s="39"/>
      <c r="B6407" s="36"/>
      <c r="C6407" s="37"/>
      <c r="D6407" s="37"/>
      <c r="E6407" s="37"/>
      <c r="F6407" s="37"/>
      <c r="G6407" s="37"/>
      <c r="H6407" s="37"/>
      <c r="I6407" s="35"/>
      <c r="J6407" s="37"/>
    </row>
    <row r="6408" spans="1:10" ht="15.95" customHeight="1" x14ac:dyDescent="0.2">
      <c r="A6408" s="39"/>
      <c r="B6408" s="36"/>
      <c r="C6408" s="37"/>
      <c r="D6408" s="37"/>
      <c r="E6408" s="37"/>
      <c r="F6408" s="37"/>
      <c r="G6408" s="37"/>
      <c r="H6408" s="37"/>
      <c r="I6408" s="35"/>
      <c r="J6408" s="37"/>
    </row>
    <row r="6409" spans="1:10" ht="15.95" customHeight="1" x14ac:dyDescent="0.2">
      <c r="A6409" s="39"/>
      <c r="B6409" s="36"/>
      <c r="C6409" s="37"/>
      <c r="D6409" s="37"/>
      <c r="E6409" s="37"/>
      <c r="F6409" s="37"/>
      <c r="G6409" s="37"/>
      <c r="H6409" s="37"/>
      <c r="I6409" s="35"/>
      <c r="J6409" s="37"/>
    </row>
    <row r="6410" spans="1:10" ht="15.95" customHeight="1" x14ac:dyDescent="0.2">
      <c r="A6410" s="39"/>
      <c r="B6410" s="36"/>
      <c r="C6410" s="37"/>
      <c r="D6410" s="37"/>
      <c r="E6410" s="37"/>
      <c r="F6410" s="37"/>
      <c r="G6410" s="37"/>
      <c r="H6410" s="37"/>
      <c r="I6410" s="35"/>
      <c r="J6410" s="37"/>
    </row>
    <row r="6411" spans="1:10" ht="15.95" customHeight="1" x14ac:dyDescent="0.2">
      <c r="A6411" s="39"/>
      <c r="B6411" s="36"/>
      <c r="C6411" s="37"/>
      <c r="D6411" s="37"/>
      <c r="E6411" s="37"/>
      <c r="F6411" s="37"/>
      <c r="G6411" s="37"/>
      <c r="H6411" s="37"/>
      <c r="I6411" s="35"/>
      <c r="J6411" s="37"/>
    </row>
    <row r="6412" spans="1:10" ht="15.95" customHeight="1" x14ac:dyDescent="0.2">
      <c r="A6412" s="39"/>
      <c r="B6412" s="36"/>
      <c r="C6412" s="37"/>
      <c r="D6412" s="37"/>
      <c r="E6412" s="37"/>
      <c r="F6412" s="37"/>
      <c r="G6412" s="37"/>
      <c r="H6412" s="37"/>
      <c r="I6412" s="35"/>
      <c r="J6412" s="37"/>
    </row>
    <row r="6413" spans="1:10" ht="15.95" customHeight="1" x14ac:dyDescent="0.2">
      <c r="A6413" s="39"/>
      <c r="B6413" s="36"/>
      <c r="C6413" s="37"/>
      <c r="D6413" s="37"/>
      <c r="E6413" s="37"/>
      <c r="F6413" s="37"/>
      <c r="G6413" s="37"/>
      <c r="H6413" s="37"/>
      <c r="I6413" s="35"/>
      <c r="J6413" s="37"/>
    </row>
    <row r="6414" spans="1:10" ht="15.95" customHeight="1" x14ac:dyDescent="0.2">
      <c r="A6414" s="39"/>
      <c r="B6414" s="36"/>
      <c r="C6414" s="37"/>
      <c r="D6414" s="37"/>
      <c r="E6414" s="37"/>
      <c r="F6414" s="37"/>
      <c r="G6414" s="37"/>
      <c r="H6414" s="37"/>
      <c r="I6414" s="35"/>
      <c r="J6414" s="37"/>
    </row>
    <row r="6415" spans="1:10" ht="15.95" customHeight="1" x14ac:dyDescent="0.2">
      <c r="A6415" s="39"/>
      <c r="B6415" s="36"/>
      <c r="C6415" s="37"/>
      <c r="D6415" s="37"/>
      <c r="E6415" s="37"/>
      <c r="F6415" s="37"/>
      <c r="G6415" s="37"/>
      <c r="H6415" s="37"/>
      <c r="I6415" s="35"/>
      <c r="J6415" s="37"/>
    </row>
    <row r="6416" spans="1:10" ht="15.95" customHeight="1" x14ac:dyDescent="0.2">
      <c r="A6416" s="39"/>
      <c r="B6416" s="36"/>
      <c r="C6416" s="37"/>
      <c r="D6416" s="37"/>
      <c r="E6416" s="37"/>
      <c r="F6416" s="37"/>
      <c r="G6416" s="37"/>
      <c r="H6416" s="37"/>
      <c r="I6416" s="35"/>
      <c r="J6416" s="37"/>
    </row>
    <row r="6417" spans="1:10" ht="15.95" customHeight="1" x14ac:dyDescent="0.2">
      <c r="A6417" s="39"/>
      <c r="B6417" s="36"/>
      <c r="C6417" s="37"/>
      <c r="D6417" s="37"/>
      <c r="E6417" s="37"/>
      <c r="F6417" s="37"/>
      <c r="G6417" s="37"/>
      <c r="H6417" s="37"/>
      <c r="I6417" s="35"/>
      <c r="J6417" s="37"/>
    </row>
    <row r="6418" spans="1:10" ht="15.95" customHeight="1" x14ac:dyDescent="0.2">
      <c r="A6418" s="39"/>
      <c r="B6418" s="36"/>
      <c r="C6418" s="37"/>
      <c r="D6418" s="37"/>
      <c r="E6418" s="37"/>
      <c r="F6418" s="37"/>
      <c r="G6418" s="37"/>
      <c r="H6418" s="37"/>
      <c r="I6418" s="35"/>
      <c r="J6418" s="37"/>
    </row>
    <row r="6419" spans="1:10" ht="15.95" customHeight="1" x14ac:dyDescent="0.2">
      <c r="A6419" s="39"/>
      <c r="B6419" s="36"/>
      <c r="C6419" s="37"/>
      <c r="D6419" s="37"/>
      <c r="E6419" s="37"/>
      <c r="F6419" s="37"/>
      <c r="G6419" s="37"/>
      <c r="H6419" s="37"/>
      <c r="I6419" s="35"/>
      <c r="J6419" s="37"/>
    </row>
    <row r="6420" spans="1:10" ht="15.95" customHeight="1" x14ac:dyDescent="0.2">
      <c r="A6420" s="39"/>
      <c r="B6420" s="36"/>
      <c r="C6420" s="37"/>
      <c r="D6420" s="37"/>
      <c r="E6420" s="37"/>
      <c r="F6420" s="37"/>
      <c r="G6420" s="37"/>
      <c r="H6420" s="37"/>
      <c r="I6420" s="35"/>
      <c r="J6420" s="37"/>
    </row>
    <row r="6421" spans="1:10" ht="15.95" customHeight="1" x14ac:dyDescent="0.2">
      <c r="A6421" s="39"/>
      <c r="B6421" s="36"/>
      <c r="C6421" s="37"/>
      <c r="D6421" s="37"/>
      <c r="E6421" s="37"/>
      <c r="F6421" s="37"/>
      <c r="G6421" s="37"/>
      <c r="H6421" s="37"/>
      <c r="I6421" s="35"/>
      <c r="J6421" s="37"/>
    </row>
    <row r="6422" spans="1:10" ht="15.95" customHeight="1" x14ac:dyDescent="0.2">
      <c r="A6422" s="39"/>
      <c r="B6422" s="36"/>
      <c r="C6422" s="37"/>
      <c r="D6422" s="37"/>
      <c r="E6422" s="37"/>
      <c r="F6422" s="37"/>
      <c r="G6422" s="37"/>
      <c r="H6422" s="37"/>
      <c r="I6422" s="35"/>
      <c r="J6422" s="37"/>
    </row>
    <row r="6423" spans="1:10" ht="15.95" customHeight="1" x14ac:dyDescent="0.2">
      <c r="A6423" s="39"/>
      <c r="B6423" s="36"/>
      <c r="C6423" s="37"/>
      <c r="D6423" s="37"/>
      <c r="E6423" s="37"/>
      <c r="F6423" s="37"/>
      <c r="G6423" s="37"/>
      <c r="H6423" s="37"/>
      <c r="I6423" s="35"/>
      <c r="J6423" s="37"/>
    </row>
    <row r="6424" spans="1:10" ht="15.95" customHeight="1" x14ac:dyDescent="0.2">
      <c r="A6424" s="39"/>
      <c r="B6424" s="36"/>
      <c r="C6424" s="37"/>
      <c r="D6424" s="37"/>
      <c r="E6424" s="37"/>
      <c r="F6424" s="37"/>
      <c r="G6424" s="37"/>
      <c r="H6424" s="37"/>
      <c r="I6424" s="35"/>
      <c r="J6424" s="37"/>
    </row>
    <row r="6425" spans="1:10" ht="15.95" customHeight="1" x14ac:dyDescent="0.2">
      <c r="A6425" s="39"/>
      <c r="B6425" s="36"/>
      <c r="C6425" s="37"/>
      <c r="D6425" s="37"/>
      <c r="E6425" s="37"/>
      <c r="F6425" s="37"/>
      <c r="G6425" s="37"/>
      <c r="H6425" s="37"/>
      <c r="I6425" s="35"/>
      <c r="J6425" s="37"/>
    </row>
    <row r="6426" spans="1:10" ht="15.95" customHeight="1" x14ac:dyDescent="0.2">
      <c r="A6426" s="39"/>
      <c r="B6426" s="36"/>
      <c r="C6426" s="37"/>
      <c r="D6426" s="37"/>
      <c r="E6426" s="37"/>
      <c r="F6426" s="37"/>
      <c r="G6426" s="37"/>
      <c r="H6426" s="37"/>
      <c r="I6426" s="35"/>
      <c r="J6426" s="37"/>
    </row>
    <row r="6427" spans="1:10" ht="15.95" customHeight="1" x14ac:dyDescent="0.2">
      <c r="A6427" s="39"/>
      <c r="B6427" s="36"/>
      <c r="C6427" s="37"/>
      <c r="D6427" s="37"/>
      <c r="E6427" s="37"/>
      <c r="F6427" s="37"/>
      <c r="G6427" s="37"/>
      <c r="H6427" s="37"/>
      <c r="I6427" s="35"/>
      <c r="J6427" s="37"/>
    </row>
    <row r="6428" spans="1:10" ht="15.95" customHeight="1" x14ac:dyDescent="0.2">
      <c r="A6428" s="39"/>
      <c r="B6428" s="36"/>
      <c r="C6428" s="37"/>
      <c r="D6428" s="37"/>
      <c r="E6428" s="37"/>
      <c r="F6428" s="37"/>
      <c r="G6428" s="37"/>
      <c r="H6428" s="37"/>
      <c r="I6428" s="35"/>
      <c r="J6428" s="37"/>
    </row>
    <row r="6429" spans="1:10" ht="15.95" customHeight="1" x14ac:dyDescent="0.2">
      <c r="A6429" s="39"/>
      <c r="B6429" s="36"/>
      <c r="C6429" s="37"/>
      <c r="D6429" s="37"/>
      <c r="E6429" s="37"/>
      <c r="F6429" s="37"/>
      <c r="G6429" s="37"/>
      <c r="H6429" s="37"/>
      <c r="I6429" s="35"/>
      <c r="J6429" s="37"/>
    </row>
    <row r="6430" spans="1:10" ht="15.95" customHeight="1" x14ac:dyDescent="0.2">
      <c r="A6430" s="39"/>
      <c r="B6430" s="36"/>
      <c r="C6430" s="37"/>
      <c r="D6430" s="37"/>
      <c r="E6430" s="37"/>
      <c r="F6430" s="37"/>
      <c r="G6430" s="37"/>
      <c r="H6430" s="37"/>
      <c r="I6430" s="35"/>
      <c r="J6430" s="37"/>
    </row>
    <row r="6431" spans="1:10" ht="15.95" customHeight="1" x14ac:dyDescent="0.2">
      <c r="A6431" s="39"/>
      <c r="B6431" s="36"/>
      <c r="C6431" s="37"/>
      <c r="D6431" s="37"/>
      <c r="E6431" s="37"/>
      <c r="F6431" s="37"/>
      <c r="G6431" s="37"/>
      <c r="H6431" s="37"/>
      <c r="I6431" s="35"/>
      <c r="J6431" s="37"/>
    </row>
    <row r="6432" spans="1:10" ht="15.95" customHeight="1" x14ac:dyDescent="0.2">
      <c r="A6432" s="39"/>
      <c r="B6432" s="36"/>
      <c r="C6432" s="37"/>
      <c r="D6432" s="37"/>
      <c r="E6432" s="37"/>
      <c r="F6432" s="37"/>
      <c r="G6432" s="37"/>
      <c r="H6432" s="37"/>
      <c r="I6432" s="35"/>
      <c r="J6432" s="37"/>
    </row>
    <row r="6433" spans="1:10" ht="15.95" customHeight="1" x14ac:dyDescent="0.2">
      <c r="A6433" s="39"/>
      <c r="B6433" s="36"/>
      <c r="C6433" s="37"/>
      <c r="D6433" s="37"/>
      <c r="E6433" s="37"/>
      <c r="F6433" s="37"/>
      <c r="G6433" s="37"/>
      <c r="H6433" s="37"/>
      <c r="I6433" s="35"/>
      <c r="J6433" s="37"/>
    </row>
    <row r="6434" spans="1:10" ht="15.95" customHeight="1" x14ac:dyDescent="0.2">
      <c r="A6434" s="39"/>
      <c r="B6434" s="36"/>
      <c r="C6434" s="37"/>
      <c r="D6434" s="37"/>
      <c r="E6434" s="37"/>
      <c r="F6434" s="37"/>
      <c r="G6434" s="37"/>
      <c r="H6434" s="37"/>
      <c r="I6434" s="35"/>
      <c r="J6434" s="37"/>
    </row>
    <row r="6435" spans="1:10" ht="15.95" customHeight="1" x14ac:dyDescent="0.2">
      <c r="A6435" s="39"/>
      <c r="B6435" s="36"/>
      <c r="C6435" s="37"/>
      <c r="D6435" s="37"/>
      <c r="E6435" s="37"/>
      <c r="F6435" s="37"/>
      <c r="G6435" s="37"/>
      <c r="H6435" s="37"/>
      <c r="I6435" s="35"/>
      <c r="J6435" s="37"/>
    </row>
    <row r="6436" spans="1:10" ht="15.95" customHeight="1" x14ac:dyDescent="0.2">
      <c r="A6436" s="39"/>
      <c r="B6436" s="36"/>
      <c r="C6436" s="37"/>
      <c r="D6436" s="37"/>
      <c r="E6436" s="37"/>
      <c r="F6436" s="37"/>
      <c r="G6436" s="37"/>
      <c r="H6436" s="37"/>
      <c r="I6436" s="35"/>
      <c r="J6436" s="37"/>
    </row>
    <row r="6437" spans="1:10" ht="15.95" customHeight="1" x14ac:dyDescent="0.2">
      <c r="A6437" s="39"/>
      <c r="B6437" s="36"/>
      <c r="C6437" s="37"/>
      <c r="D6437" s="37"/>
      <c r="E6437" s="37"/>
      <c r="F6437" s="37"/>
      <c r="G6437" s="37"/>
      <c r="H6437" s="37"/>
      <c r="I6437" s="35"/>
      <c r="J6437" s="37"/>
    </row>
    <row r="6438" spans="1:10" ht="15.95" customHeight="1" x14ac:dyDescent="0.2">
      <c r="A6438" s="39"/>
      <c r="B6438" s="36"/>
      <c r="C6438" s="37"/>
      <c r="D6438" s="37"/>
      <c r="E6438" s="37"/>
      <c r="F6438" s="37"/>
      <c r="G6438" s="37"/>
      <c r="H6438" s="37"/>
      <c r="I6438" s="35"/>
      <c r="J6438" s="37"/>
    </row>
    <row r="6439" spans="1:10" ht="15.95" customHeight="1" x14ac:dyDescent="0.2">
      <c r="A6439" s="39"/>
      <c r="B6439" s="36"/>
      <c r="C6439" s="37"/>
      <c r="D6439" s="37"/>
      <c r="E6439" s="37"/>
      <c r="F6439" s="37"/>
      <c r="G6439" s="37"/>
      <c r="H6439" s="37"/>
      <c r="I6439" s="35"/>
      <c r="J6439" s="37"/>
    </row>
    <row r="6440" spans="1:10" ht="15.95" customHeight="1" x14ac:dyDescent="0.2">
      <c r="A6440" s="39"/>
      <c r="B6440" s="36"/>
      <c r="C6440" s="37"/>
      <c r="D6440" s="37"/>
      <c r="E6440" s="37"/>
      <c r="F6440" s="37"/>
      <c r="G6440" s="37"/>
      <c r="H6440" s="37"/>
      <c r="I6440" s="35"/>
      <c r="J6440" s="37"/>
    </row>
    <row r="6441" spans="1:10" ht="15.95" customHeight="1" x14ac:dyDescent="0.2">
      <c r="A6441" s="39"/>
      <c r="B6441" s="36"/>
      <c r="C6441" s="37"/>
      <c r="D6441" s="37"/>
      <c r="E6441" s="37"/>
      <c r="F6441" s="37"/>
      <c r="G6441" s="37"/>
      <c r="H6441" s="37"/>
      <c r="I6441" s="35"/>
      <c r="J6441" s="37"/>
    </row>
    <row r="6442" spans="1:10" ht="15.95" customHeight="1" x14ac:dyDescent="0.2">
      <c r="A6442" s="39"/>
      <c r="B6442" s="36"/>
      <c r="C6442" s="37"/>
      <c r="D6442" s="37"/>
      <c r="E6442" s="37"/>
      <c r="F6442" s="37"/>
      <c r="G6442" s="37"/>
      <c r="H6442" s="37"/>
      <c r="I6442" s="35"/>
      <c r="J6442" s="37"/>
    </row>
    <row r="6443" spans="1:10" ht="15.95" customHeight="1" x14ac:dyDescent="0.2">
      <c r="A6443" s="39"/>
      <c r="B6443" s="36"/>
      <c r="C6443" s="37"/>
      <c r="D6443" s="37"/>
      <c r="E6443" s="37"/>
      <c r="F6443" s="37"/>
      <c r="G6443" s="37"/>
      <c r="H6443" s="37"/>
      <c r="I6443" s="35"/>
      <c r="J6443" s="37"/>
    </row>
    <row r="6444" spans="1:10" ht="15.95" customHeight="1" x14ac:dyDescent="0.2">
      <c r="A6444" s="39"/>
      <c r="B6444" s="36"/>
      <c r="C6444" s="37"/>
      <c r="D6444" s="37"/>
      <c r="E6444" s="37"/>
      <c r="F6444" s="37"/>
      <c r="G6444" s="37"/>
      <c r="H6444" s="37"/>
      <c r="I6444" s="35"/>
      <c r="J6444" s="37"/>
    </row>
    <row r="6445" spans="1:10" ht="15.95" customHeight="1" x14ac:dyDescent="0.2">
      <c r="A6445" s="39"/>
      <c r="B6445" s="36"/>
      <c r="C6445" s="37"/>
      <c r="D6445" s="37"/>
      <c r="E6445" s="37"/>
      <c r="F6445" s="37"/>
      <c r="G6445" s="37"/>
      <c r="H6445" s="37"/>
      <c r="I6445" s="35"/>
      <c r="J6445" s="37"/>
    </row>
    <row r="6446" spans="1:10" ht="15.95" customHeight="1" x14ac:dyDescent="0.2">
      <c r="A6446" s="39"/>
      <c r="B6446" s="36"/>
      <c r="C6446" s="37"/>
      <c r="D6446" s="37"/>
      <c r="E6446" s="37"/>
      <c r="F6446" s="37"/>
      <c r="G6446" s="37"/>
      <c r="H6446" s="37"/>
      <c r="I6446" s="35"/>
      <c r="J6446" s="37"/>
    </row>
    <row r="6447" spans="1:10" ht="15.95" customHeight="1" x14ac:dyDescent="0.2">
      <c r="A6447" s="39"/>
      <c r="B6447" s="36"/>
      <c r="C6447" s="37"/>
      <c r="D6447" s="37"/>
      <c r="E6447" s="37"/>
      <c r="F6447" s="37"/>
      <c r="G6447" s="37"/>
      <c r="H6447" s="37"/>
      <c r="I6447" s="35"/>
      <c r="J6447" s="37"/>
    </row>
    <row r="6448" spans="1:10" ht="15.95" customHeight="1" x14ac:dyDescent="0.2">
      <c r="A6448" s="39"/>
      <c r="B6448" s="36"/>
      <c r="C6448" s="37"/>
      <c r="D6448" s="37"/>
      <c r="E6448" s="37"/>
      <c r="F6448" s="37"/>
      <c r="G6448" s="37"/>
      <c r="H6448" s="37"/>
      <c r="I6448" s="35"/>
      <c r="J6448" s="37"/>
    </row>
    <row r="6449" spans="1:10" ht="15.95" customHeight="1" x14ac:dyDescent="0.2">
      <c r="A6449" s="39"/>
      <c r="B6449" s="36"/>
      <c r="C6449" s="37"/>
      <c r="D6449" s="37"/>
      <c r="E6449" s="37"/>
      <c r="F6449" s="37"/>
      <c r="G6449" s="37"/>
      <c r="H6449" s="37"/>
      <c r="I6449" s="35"/>
      <c r="J6449" s="37"/>
    </row>
    <row r="6450" spans="1:10" ht="15.95" customHeight="1" x14ac:dyDescent="0.2">
      <c r="A6450" s="39"/>
      <c r="B6450" s="36"/>
      <c r="C6450" s="37"/>
      <c r="D6450" s="37"/>
      <c r="E6450" s="37"/>
      <c r="F6450" s="37"/>
      <c r="G6450" s="37"/>
      <c r="H6450" s="37"/>
      <c r="I6450" s="35"/>
      <c r="J6450" s="37"/>
    </row>
    <row r="6451" spans="1:10" ht="15.95" customHeight="1" x14ac:dyDescent="0.2">
      <c r="A6451" s="39"/>
      <c r="B6451" s="36"/>
      <c r="C6451" s="37"/>
      <c r="D6451" s="37"/>
      <c r="E6451" s="37"/>
      <c r="F6451" s="37"/>
      <c r="G6451" s="37"/>
      <c r="H6451" s="37"/>
      <c r="I6451" s="35"/>
      <c r="J6451" s="37"/>
    </row>
    <row r="6452" spans="1:10" ht="15.95" customHeight="1" x14ac:dyDescent="0.2">
      <c r="A6452" s="39"/>
      <c r="B6452" s="36"/>
      <c r="C6452" s="37"/>
      <c r="D6452" s="37"/>
      <c r="E6452" s="37"/>
      <c r="F6452" s="37"/>
      <c r="G6452" s="37"/>
      <c r="H6452" s="37"/>
      <c r="I6452" s="35"/>
      <c r="J6452" s="37"/>
    </row>
    <row r="6453" spans="1:10" ht="15.95" customHeight="1" x14ac:dyDescent="0.2">
      <c r="A6453" s="39"/>
      <c r="B6453" s="36"/>
      <c r="C6453" s="37"/>
      <c r="D6453" s="37"/>
      <c r="E6453" s="37"/>
      <c r="F6453" s="37"/>
      <c r="G6453" s="37"/>
      <c r="H6453" s="37"/>
      <c r="I6453" s="35"/>
      <c r="J6453" s="37"/>
    </row>
    <row r="6454" spans="1:10" ht="15.95" customHeight="1" x14ac:dyDescent="0.2">
      <c r="A6454" s="39"/>
      <c r="B6454" s="36"/>
      <c r="C6454" s="37"/>
      <c r="D6454" s="37"/>
      <c r="E6454" s="37"/>
      <c r="F6454" s="37"/>
      <c r="G6454" s="37"/>
      <c r="H6454" s="37"/>
      <c r="I6454" s="35"/>
      <c r="J6454" s="37"/>
    </row>
    <row r="6455" spans="1:10" ht="15.95" customHeight="1" x14ac:dyDescent="0.2">
      <c r="A6455" s="39"/>
      <c r="B6455" s="36"/>
      <c r="C6455" s="37"/>
      <c r="D6455" s="37"/>
      <c r="E6455" s="37"/>
      <c r="F6455" s="37"/>
      <c r="G6455" s="37"/>
      <c r="H6455" s="37"/>
      <c r="I6455" s="35"/>
      <c r="J6455" s="37"/>
    </row>
    <row r="6456" spans="1:10" ht="15.95" customHeight="1" x14ac:dyDescent="0.2">
      <c r="A6456" s="39"/>
      <c r="B6456" s="36"/>
      <c r="C6456" s="37"/>
      <c r="D6456" s="37"/>
      <c r="E6456" s="37"/>
      <c r="F6456" s="37"/>
      <c r="G6456" s="37"/>
      <c r="H6456" s="37"/>
      <c r="I6456" s="35"/>
      <c r="J6456" s="37"/>
    </row>
    <row r="6457" spans="1:10" ht="15.95" customHeight="1" x14ac:dyDescent="0.2">
      <c r="A6457" s="39"/>
      <c r="B6457" s="36"/>
      <c r="C6457" s="37"/>
      <c r="D6457" s="37"/>
      <c r="E6457" s="37"/>
      <c r="F6457" s="37"/>
      <c r="G6457" s="37"/>
      <c r="H6457" s="37"/>
      <c r="I6457" s="35"/>
      <c r="J6457" s="37"/>
    </row>
    <row r="6458" spans="1:10" ht="15.95" customHeight="1" x14ac:dyDescent="0.2">
      <c r="A6458" s="39"/>
      <c r="B6458" s="36"/>
      <c r="C6458" s="37"/>
      <c r="D6458" s="37"/>
      <c r="E6458" s="37"/>
      <c r="F6458" s="37"/>
      <c r="G6458" s="37"/>
      <c r="H6458" s="37"/>
      <c r="I6458" s="35"/>
      <c r="J6458" s="37"/>
    </row>
    <row r="6459" spans="1:10" ht="15.95" customHeight="1" x14ac:dyDescent="0.2">
      <c r="A6459" s="39"/>
      <c r="B6459" s="36"/>
      <c r="C6459" s="37"/>
      <c r="D6459" s="37"/>
      <c r="E6459" s="37"/>
      <c r="F6459" s="37"/>
      <c r="G6459" s="37"/>
      <c r="H6459" s="37"/>
      <c r="I6459" s="35"/>
      <c r="J6459" s="37"/>
    </row>
    <row r="6460" spans="1:10" ht="15.95" customHeight="1" x14ac:dyDescent="0.2">
      <c r="A6460" s="39"/>
      <c r="B6460" s="36"/>
      <c r="C6460" s="37"/>
      <c r="D6460" s="37"/>
      <c r="E6460" s="37"/>
      <c r="F6460" s="37"/>
      <c r="G6460" s="37"/>
      <c r="H6460" s="37"/>
      <c r="I6460" s="35"/>
      <c r="J6460" s="37"/>
    </row>
    <row r="6461" spans="1:10" ht="15.95" customHeight="1" x14ac:dyDescent="0.2">
      <c r="A6461" s="39"/>
      <c r="B6461" s="36"/>
      <c r="C6461" s="37"/>
      <c r="D6461" s="37"/>
      <c r="E6461" s="37"/>
      <c r="F6461" s="37"/>
      <c r="G6461" s="37"/>
      <c r="H6461" s="37"/>
      <c r="I6461" s="35"/>
      <c r="J6461" s="37"/>
    </row>
    <row r="6462" spans="1:10" ht="15.95" customHeight="1" x14ac:dyDescent="0.2">
      <c r="A6462" s="39"/>
      <c r="B6462" s="36"/>
      <c r="C6462" s="37"/>
      <c r="D6462" s="37"/>
      <c r="E6462" s="37"/>
      <c r="F6462" s="37"/>
      <c r="G6462" s="37"/>
      <c r="H6462" s="37"/>
      <c r="I6462" s="35"/>
      <c r="J6462" s="37"/>
    </row>
    <row r="6463" spans="1:10" ht="15.95" customHeight="1" x14ac:dyDescent="0.2">
      <c r="A6463" s="39"/>
      <c r="B6463" s="36"/>
      <c r="C6463" s="37"/>
      <c r="D6463" s="37"/>
      <c r="E6463" s="37"/>
      <c r="F6463" s="37"/>
      <c r="G6463" s="37"/>
      <c r="H6463" s="37"/>
      <c r="I6463" s="35"/>
      <c r="J6463" s="37"/>
    </row>
    <row r="6464" spans="1:10" ht="15.95" customHeight="1" x14ac:dyDescent="0.2">
      <c r="A6464" s="39"/>
      <c r="B6464" s="36"/>
      <c r="C6464" s="37"/>
      <c r="D6464" s="37"/>
      <c r="E6464" s="37"/>
      <c r="F6464" s="37"/>
      <c r="G6464" s="37"/>
      <c r="H6464" s="37"/>
      <c r="I6464" s="35"/>
      <c r="J6464" s="37"/>
    </row>
    <row r="6465" spans="1:10" ht="15.95" customHeight="1" x14ac:dyDescent="0.2">
      <c r="A6465" s="39"/>
      <c r="B6465" s="36"/>
      <c r="C6465" s="37"/>
      <c r="D6465" s="37"/>
      <c r="E6465" s="37"/>
      <c r="F6465" s="37"/>
      <c r="G6465" s="37"/>
      <c r="H6465" s="37"/>
      <c r="I6465" s="35"/>
      <c r="J6465" s="37"/>
    </row>
    <row r="6466" spans="1:10" ht="15.95" customHeight="1" x14ac:dyDescent="0.2">
      <c r="A6466" s="39"/>
      <c r="B6466" s="36"/>
      <c r="C6466" s="37"/>
      <c r="D6466" s="37"/>
      <c r="E6466" s="37"/>
      <c r="F6466" s="37"/>
      <c r="G6466" s="37"/>
      <c r="H6466" s="37"/>
      <c r="I6466" s="35"/>
      <c r="J6466" s="37"/>
    </row>
    <row r="6467" spans="1:10" ht="15.95" customHeight="1" x14ac:dyDescent="0.2">
      <c r="A6467" s="39"/>
      <c r="B6467" s="36"/>
      <c r="C6467" s="37"/>
      <c r="D6467" s="37"/>
      <c r="E6467" s="37"/>
      <c r="F6467" s="37"/>
      <c r="G6467" s="37"/>
      <c r="H6467" s="37"/>
      <c r="I6467" s="35"/>
      <c r="J6467" s="37"/>
    </row>
    <row r="6468" spans="1:10" ht="15.95" customHeight="1" x14ac:dyDescent="0.2">
      <c r="A6468" s="39"/>
      <c r="B6468" s="36"/>
      <c r="C6468" s="37"/>
      <c r="D6468" s="37"/>
      <c r="E6468" s="37"/>
      <c r="F6468" s="37"/>
      <c r="G6468" s="37"/>
      <c r="H6468" s="37"/>
      <c r="I6468" s="35"/>
      <c r="J6468" s="37"/>
    </row>
    <row r="6469" spans="1:10" ht="15.95" customHeight="1" x14ac:dyDescent="0.2">
      <c r="A6469" s="39"/>
      <c r="B6469" s="36"/>
      <c r="C6469" s="37"/>
      <c r="D6469" s="37"/>
      <c r="E6469" s="37"/>
      <c r="F6469" s="37"/>
      <c r="G6469" s="37"/>
      <c r="H6469" s="37"/>
      <c r="I6469" s="35"/>
      <c r="J6469" s="37"/>
    </row>
    <row r="6470" spans="1:10" ht="15.95" customHeight="1" x14ac:dyDescent="0.2">
      <c r="A6470" s="39"/>
      <c r="B6470" s="36"/>
      <c r="C6470" s="37"/>
      <c r="D6470" s="37"/>
      <c r="E6470" s="37"/>
      <c r="F6470" s="37"/>
      <c r="G6470" s="37"/>
      <c r="H6470" s="37"/>
      <c r="I6470" s="35"/>
      <c r="J6470" s="37"/>
    </row>
    <row r="6471" spans="1:10" ht="15.95" customHeight="1" x14ac:dyDescent="0.2">
      <c r="A6471" s="39"/>
      <c r="B6471" s="36"/>
      <c r="C6471" s="37"/>
      <c r="D6471" s="37"/>
      <c r="E6471" s="37"/>
      <c r="F6471" s="37"/>
      <c r="G6471" s="37"/>
      <c r="H6471" s="37"/>
      <c r="I6471" s="35"/>
      <c r="J6471" s="37"/>
    </row>
    <row r="6472" spans="1:10" ht="15.95" customHeight="1" x14ac:dyDescent="0.2">
      <c r="A6472" s="39"/>
      <c r="B6472" s="36"/>
      <c r="C6472" s="37"/>
      <c r="D6472" s="37"/>
      <c r="E6472" s="37"/>
      <c r="F6472" s="37"/>
      <c r="G6472" s="37"/>
      <c r="H6472" s="37"/>
      <c r="I6472" s="35"/>
      <c r="J6472" s="37"/>
    </row>
    <row r="6473" spans="1:10" ht="15.95" customHeight="1" x14ac:dyDescent="0.2">
      <c r="A6473" s="39"/>
      <c r="B6473" s="36"/>
      <c r="C6473" s="37"/>
      <c r="D6473" s="37"/>
      <c r="E6473" s="37"/>
      <c r="F6473" s="37"/>
      <c r="G6473" s="37"/>
      <c r="H6473" s="37"/>
      <c r="I6473" s="35"/>
      <c r="J6473" s="37"/>
    </row>
    <row r="6474" spans="1:10" ht="15.95" customHeight="1" x14ac:dyDescent="0.2">
      <c r="A6474" s="39"/>
      <c r="B6474" s="36"/>
      <c r="C6474" s="37"/>
      <c r="D6474" s="37"/>
      <c r="E6474" s="37"/>
      <c r="F6474" s="37"/>
      <c r="G6474" s="37"/>
      <c r="H6474" s="37"/>
      <c r="I6474" s="35"/>
      <c r="J6474" s="37"/>
    </row>
    <row r="6475" spans="1:10" ht="15.95" customHeight="1" x14ac:dyDescent="0.2">
      <c r="A6475" s="39"/>
      <c r="B6475" s="36"/>
      <c r="C6475" s="37"/>
      <c r="D6475" s="37"/>
      <c r="E6475" s="37"/>
      <c r="F6475" s="37"/>
      <c r="G6475" s="37"/>
      <c r="H6475" s="37"/>
      <c r="I6475" s="35"/>
      <c r="J6475" s="37"/>
    </row>
    <row r="6476" spans="1:10" ht="15.95" customHeight="1" x14ac:dyDescent="0.2">
      <c r="A6476" s="39"/>
      <c r="B6476" s="36"/>
      <c r="C6476" s="37"/>
      <c r="D6476" s="37"/>
      <c r="E6476" s="37"/>
      <c r="F6476" s="37"/>
      <c r="G6476" s="37"/>
      <c r="H6476" s="37"/>
      <c r="I6476" s="35"/>
      <c r="J6476" s="37"/>
    </row>
    <row r="6477" spans="1:10" ht="15.95" customHeight="1" x14ac:dyDescent="0.2">
      <c r="A6477" s="39"/>
      <c r="B6477" s="36"/>
      <c r="C6477" s="37"/>
      <c r="D6477" s="37"/>
      <c r="E6477" s="37"/>
      <c r="F6477" s="37"/>
      <c r="G6477" s="37"/>
      <c r="H6477" s="37"/>
      <c r="I6477" s="35"/>
      <c r="J6477" s="37"/>
    </row>
    <row r="6478" spans="1:10" ht="15.95" customHeight="1" x14ac:dyDescent="0.2">
      <c r="A6478" s="39"/>
      <c r="B6478" s="36"/>
      <c r="C6478" s="37"/>
      <c r="D6478" s="37"/>
      <c r="E6478" s="37"/>
      <c r="F6478" s="37"/>
      <c r="G6478" s="37"/>
      <c r="H6478" s="37"/>
      <c r="I6478" s="35"/>
      <c r="J6478" s="37"/>
    </row>
    <row r="6479" spans="1:10" ht="15.95" customHeight="1" x14ac:dyDescent="0.2">
      <c r="A6479" s="39"/>
      <c r="B6479" s="36"/>
      <c r="C6479" s="37"/>
      <c r="D6479" s="37"/>
      <c r="E6479" s="37"/>
      <c r="F6479" s="37"/>
      <c r="G6479" s="37"/>
      <c r="H6479" s="37"/>
      <c r="I6479" s="35"/>
      <c r="J6479" s="37"/>
    </row>
    <row r="6480" spans="1:10" ht="15.95" customHeight="1" x14ac:dyDescent="0.2">
      <c r="A6480" s="39"/>
      <c r="B6480" s="36"/>
      <c r="C6480" s="37"/>
      <c r="D6480" s="37"/>
      <c r="E6480" s="37"/>
      <c r="F6480" s="37"/>
      <c r="G6480" s="37"/>
      <c r="H6480" s="37"/>
      <c r="I6480" s="35"/>
      <c r="J6480" s="37"/>
    </row>
    <row r="6481" spans="1:10" ht="15.95" customHeight="1" x14ac:dyDescent="0.2">
      <c r="A6481" s="39"/>
      <c r="B6481" s="36"/>
      <c r="C6481" s="37"/>
      <c r="D6481" s="37"/>
      <c r="E6481" s="37"/>
      <c r="F6481" s="37"/>
      <c r="G6481" s="37"/>
      <c r="H6481" s="37"/>
      <c r="I6481" s="35"/>
      <c r="J6481" s="37"/>
    </row>
    <row r="6482" spans="1:10" ht="15.95" customHeight="1" x14ac:dyDescent="0.2">
      <c r="A6482" s="39"/>
      <c r="B6482" s="36"/>
      <c r="C6482" s="37"/>
      <c r="D6482" s="37"/>
      <c r="E6482" s="37"/>
      <c r="F6482" s="37"/>
      <c r="G6482" s="37"/>
      <c r="H6482" s="37"/>
      <c r="I6482" s="35"/>
      <c r="J6482" s="37"/>
    </row>
    <row r="6483" spans="1:10" ht="15.95" customHeight="1" x14ac:dyDescent="0.2">
      <c r="A6483" s="39"/>
      <c r="B6483" s="36"/>
      <c r="C6483" s="37"/>
      <c r="D6483" s="37"/>
      <c r="E6483" s="37"/>
      <c r="F6483" s="37"/>
      <c r="G6483" s="37"/>
      <c r="H6483" s="37"/>
      <c r="I6483" s="35"/>
      <c r="J6483" s="37"/>
    </row>
    <row r="6484" spans="1:10" ht="15.95" customHeight="1" x14ac:dyDescent="0.2">
      <c r="A6484" s="39"/>
      <c r="B6484" s="36"/>
      <c r="C6484" s="37"/>
      <c r="D6484" s="37"/>
      <c r="E6484" s="37"/>
      <c r="F6484" s="37"/>
      <c r="G6484" s="37"/>
      <c r="H6484" s="37"/>
      <c r="I6484" s="35"/>
      <c r="J6484" s="37"/>
    </row>
    <row r="6485" spans="1:10" ht="15.95" customHeight="1" x14ac:dyDescent="0.2">
      <c r="A6485" s="39"/>
      <c r="B6485" s="36"/>
      <c r="C6485" s="37"/>
      <c r="D6485" s="37"/>
      <c r="E6485" s="37"/>
      <c r="F6485" s="37"/>
      <c r="G6485" s="37"/>
      <c r="H6485" s="37"/>
      <c r="I6485" s="35"/>
      <c r="J6485" s="37"/>
    </row>
    <row r="6486" spans="1:10" ht="15.95" customHeight="1" x14ac:dyDescent="0.2">
      <c r="A6486" s="39"/>
      <c r="B6486" s="36"/>
      <c r="C6486" s="37"/>
      <c r="D6486" s="37"/>
      <c r="E6486" s="37"/>
      <c r="F6486" s="37"/>
      <c r="G6486" s="37"/>
      <c r="H6486" s="37"/>
      <c r="I6486" s="35"/>
      <c r="J6486" s="37"/>
    </row>
    <row r="6487" spans="1:10" ht="15.95" customHeight="1" x14ac:dyDescent="0.2">
      <c r="A6487" s="39"/>
      <c r="B6487" s="36"/>
      <c r="C6487" s="37"/>
      <c r="D6487" s="37"/>
      <c r="E6487" s="37"/>
      <c r="F6487" s="37"/>
      <c r="G6487" s="37"/>
      <c r="H6487" s="37"/>
      <c r="I6487" s="35"/>
      <c r="J6487" s="37"/>
    </row>
    <row r="6488" spans="1:10" ht="15.95" customHeight="1" x14ac:dyDescent="0.2">
      <c r="A6488" s="39"/>
      <c r="B6488" s="36"/>
      <c r="C6488" s="37"/>
      <c r="D6488" s="37"/>
      <c r="E6488" s="37"/>
      <c r="F6488" s="37"/>
      <c r="G6488" s="37"/>
      <c r="H6488" s="37"/>
      <c r="I6488" s="35"/>
      <c r="J6488" s="37"/>
    </row>
    <row r="6489" spans="1:10" ht="15.95" customHeight="1" x14ac:dyDescent="0.2">
      <c r="A6489" s="39"/>
      <c r="B6489" s="36"/>
      <c r="C6489" s="37"/>
      <c r="D6489" s="37"/>
      <c r="E6489" s="37"/>
      <c r="F6489" s="37"/>
      <c r="G6489" s="37"/>
      <c r="H6489" s="37"/>
      <c r="I6489" s="35"/>
      <c r="J6489" s="37"/>
    </row>
    <row r="6490" spans="1:10" ht="15.95" customHeight="1" x14ac:dyDescent="0.2">
      <c r="A6490" s="39"/>
      <c r="B6490" s="36"/>
      <c r="C6490" s="37"/>
      <c r="D6490" s="37"/>
      <c r="E6490" s="37"/>
      <c r="F6490" s="37"/>
      <c r="G6490" s="37"/>
      <c r="H6490" s="37"/>
      <c r="I6490" s="35"/>
      <c r="J6490" s="37"/>
    </row>
    <row r="6491" spans="1:10" ht="15.95" customHeight="1" x14ac:dyDescent="0.2">
      <c r="A6491" s="39"/>
      <c r="B6491" s="36"/>
      <c r="C6491" s="37"/>
      <c r="D6491" s="37"/>
      <c r="E6491" s="37"/>
      <c r="F6491" s="37"/>
      <c r="G6491" s="37"/>
      <c r="H6491" s="37"/>
      <c r="I6491" s="35"/>
      <c r="J6491" s="37"/>
    </row>
    <row r="6492" spans="1:10" ht="15.95" customHeight="1" x14ac:dyDescent="0.2">
      <c r="A6492" s="39"/>
      <c r="B6492" s="36"/>
      <c r="C6492" s="37"/>
      <c r="D6492" s="37"/>
      <c r="E6492" s="37"/>
      <c r="F6492" s="37"/>
      <c r="G6492" s="37"/>
      <c r="H6492" s="37"/>
      <c r="I6492" s="35"/>
      <c r="J6492" s="37"/>
    </row>
    <row r="6493" spans="1:10" ht="15.95" customHeight="1" x14ac:dyDescent="0.2">
      <c r="A6493" s="39"/>
      <c r="B6493" s="36"/>
      <c r="C6493" s="37"/>
      <c r="D6493" s="37"/>
      <c r="E6493" s="37"/>
      <c r="F6493" s="37"/>
      <c r="G6493" s="37"/>
      <c r="H6493" s="37"/>
      <c r="I6493" s="35"/>
      <c r="J6493" s="37"/>
    </row>
    <row r="6494" spans="1:10" ht="15.95" customHeight="1" x14ac:dyDescent="0.2">
      <c r="A6494" s="39"/>
      <c r="B6494" s="36"/>
      <c r="C6494" s="37"/>
      <c r="D6494" s="37"/>
      <c r="E6494" s="37"/>
      <c r="F6494" s="37"/>
      <c r="G6494" s="37"/>
      <c r="H6494" s="37"/>
      <c r="I6494" s="35"/>
      <c r="J6494" s="37"/>
    </row>
    <row r="6495" spans="1:10" ht="15.95" customHeight="1" x14ac:dyDescent="0.2">
      <c r="A6495" s="39"/>
      <c r="B6495" s="36"/>
      <c r="C6495" s="37"/>
      <c r="D6495" s="37"/>
      <c r="E6495" s="37"/>
      <c r="F6495" s="37"/>
      <c r="G6495" s="37"/>
      <c r="H6495" s="37"/>
      <c r="I6495" s="35"/>
      <c r="J6495" s="37"/>
    </row>
    <row r="6496" spans="1:10" ht="15.95" customHeight="1" x14ac:dyDescent="0.2">
      <c r="A6496" s="39"/>
      <c r="B6496" s="36"/>
      <c r="C6496" s="37"/>
      <c r="D6496" s="37"/>
      <c r="E6496" s="37"/>
      <c r="F6496" s="37"/>
      <c r="G6496" s="37"/>
      <c r="H6496" s="37"/>
      <c r="I6496" s="35"/>
      <c r="J6496" s="37"/>
    </row>
    <row r="6497" spans="1:10" ht="15.95" customHeight="1" x14ac:dyDescent="0.2">
      <c r="A6497" s="39"/>
      <c r="B6497" s="36"/>
      <c r="C6497" s="37"/>
      <c r="D6497" s="37"/>
      <c r="E6497" s="37"/>
      <c r="F6497" s="37"/>
      <c r="G6497" s="37"/>
      <c r="H6497" s="37"/>
      <c r="I6497" s="35"/>
      <c r="J6497" s="37"/>
    </row>
    <row r="6498" spans="1:10" ht="15.95" customHeight="1" x14ac:dyDescent="0.2">
      <c r="A6498" s="39"/>
      <c r="B6498" s="36"/>
      <c r="C6498" s="37"/>
      <c r="D6498" s="37"/>
      <c r="E6498" s="37"/>
      <c r="F6498" s="37"/>
      <c r="G6498" s="37"/>
      <c r="H6498" s="37"/>
      <c r="I6498" s="35"/>
      <c r="J6498" s="37"/>
    </row>
    <row r="6499" spans="1:10" ht="15.95" customHeight="1" x14ac:dyDescent="0.2">
      <c r="A6499" s="39"/>
      <c r="B6499" s="36"/>
      <c r="C6499" s="37"/>
      <c r="D6499" s="37"/>
      <c r="E6499" s="37"/>
      <c r="F6499" s="37"/>
      <c r="G6499" s="37"/>
      <c r="H6499" s="37"/>
      <c r="I6499" s="35"/>
      <c r="J6499" s="37"/>
    </row>
    <row r="6500" spans="1:10" ht="15.95" customHeight="1" x14ac:dyDescent="0.2">
      <c r="A6500" s="39"/>
      <c r="B6500" s="36"/>
      <c r="C6500" s="37"/>
      <c r="D6500" s="37"/>
      <c r="E6500" s="37"/>
      <c r="F6500" s="37"/>
      <c r="G6500" s="37"/>
      <c r="H6500" s="37"/>
      <c r="I6500" s="35"/>
      <c r="J6500" s="37"/>
    </row>
    <row r="6501" spans="1:10" ht="15.95" customHeight="1" x14ac:dyDescent="0.2">
      <c r="A6501" s="39"/>
      <c r="B6501" s="36"/>
      <c r="C6501" s="37"/>
      <c r="D6501" s="37"/>
      <c r="E6501" s="37"/>
      <c r="F6501" s="37"/>
      <c r="G6501" s="37"/>
      <c r="H6501" s="37"/>
      <c r="I6501" s="35"/>
      <c r="J6501" s="37"/>
    </row>
    <row r="6502" spans="1:10" ht="15.95" customHeight="1" x14ac:dyDescent="0.2">
      <c r="A6502" s="39"/>
      <c r="B6502" s="36"/>
      <c r="C6502" s="37"/>
      <c r="D6502" s="37"/>
      <c r="E6502" s="37"/>
      <c r="F6502" s="37"/>
      <c r="G6502" s="37"/>
      <c r="H6502" s="37"/>
      <c r="I6502" s="35"/>
      <c r="J6502" s="37"/>
    </row>
    <row r="6503" spans="1:10" ht="15.95" customHeight="1" x14ac:dyDescent="0.2">
      <c r="A6503" s="39"/>
      <c r="B6503" s="36"/>
      <c r="C6503" s="37"/>
      <c r="D6503" s="37"/>
      <c r="E6503" s="37"/>
      <c r="F6503" s="37"/>
      <c r="G6503" s="37"/>
      <c r="H6503" s="37"/>
      <c r="I6503" s="35"/>
      <c r="J6503" s="37"/>
    </row>
    <row r="6504" spans="1:10" ht="15.95" customHeight="1" x14ac:dyDescent="0.2">
      <c r="A6504" s="39"/>
      <c r="B6504" s="36"/>
      <c r="C6504" s="37"/>
      <c r="D6504" s="37"/>
      <c r="E6504" s="37"/>
      <c r="F6504" s="37"/>
      <c r="G6504" s="37"/>
      <c r="H6504" s="37"/>
      <c r="I6504" s="35"/>
      <c r="J6504" s="37"/>
    </row>
    <row r="6505" spans="1:10" ht="15.95" customHeight="1" x14ac:dyDescent="0.2">
      <c r="A6505" s="39"/>
      <c r="B6505" s="36"/>
      <c r="C6505" s="37"/>
      <c r="D6505" s="37"/>
      <c r="E6505" s="37"/>
      <c r="F6505" s="37"/>
      <c r="G6505" s="37"/>
      <c r="H6505" s="37"/>
      <c r="I6505" s="35"/>
      <c r="J6505" s="37"/>
    </row>
    <row r="6506" spans="1:10" ht="15.95" customHeight="1" x14ac:dyDescent="0.2">
      <c r="A6506" s="39"/>
      <c r="B6506" s="36"/>
      <c r="C6506" s="37"/>
      <c r="D6506" s="37"/>
      <c r="E6506" s="37"/>
      <c r="F6506" s="37"/>
      <c r="G6506" s="37"/>
      <c r="H6506" s="37"/>
      <c r="I6506" s="35"/>
      <c r="J6506" s="37"/>
    </row>
    <row r="6507" spans="1:10" ht="15.95" customHeight="1" x14ac:dyDescent="0.2">
      <c r="A6507" s="39"/>
      <c r="B6507" s="36"/>
      <c r="C6507" s="37"/>
      <c r="D6507" s="37"/>
      <c r="E6507" s="37"/>
      <c r="F6507" s="37"/>
      <c r="G6507" s="37"/>
      <c r="H6507" s="37"/>
      <c r="I6507" s="35"/>
      <c r="J6507" s="37"/>
    </row>
    <row r="6508" spans="1:10" ht="15.95" customHeight="1" x14ac:dyDescent="0.2">
      <c r="A6508" s="39"/>
      <c r="B6508" s="36"/>
      <c r="C6508" s="37"/>
      <c r="D6508" s="37"/>
      <c r="E6508" s="37"/>
      <c r="F6508" s="37"/>
      <c r="G6508" s="37"/>
      <c r="H6508" s="37"/>
      <c r="I6508" s="35"/>
      <c r="J6508" s="37"/>
    </row>
    <row r="6509" spans="1:10" ht="15.95" customHeight="1" x14ac:dyDescent="0.2">
      <c r="A6509" s="39"/>
      <c r="B6509" s="36"/>
      <c r="C6509" s="37"/>
      <c r="D6509" s="37"/>
      <c r="E6509" s="37"/>
      <c r="F6509" s="37"/>
      <c r="G6509" s="37"/>
      <c r="H6509" s="37"/>
      <c r="I6509" s="35"/>
      <c r="J6509" s="37"/>
    </row>
    <row r="6510" spans="1:10" ht="15.95" customHeight="1" x14ac:dyDescent="0.2">
      <c r="A6510" s="39"/>
      <c r="B6510" s="36"/>
      <c r="C6510" s="37"/>
      <c r="D6510" s="37"/>
      <c r="E6510" s="37"/>
      <c r="F6510" s="37"/>
      <c r="G6510" s="37"/>
      <c r="H6510" s="37"/>
      <c r="I6510" s="35"/>
      <c r="J6510" s="37"/>
    </row>
    <row r="6511" spans="1:10" ht="15.95" customHeight="1" x14ac:dyDescent="0.2">
      <c r="A6511" s="39"/>
      <c r="B6511" s="36"/>
      <c r="C6511" s="37"/>
      <c r="D6511" s="37"/>
      <c r="E6511" s="37"/>
      <c r="F6511" s="37"/>
      <c r="G6511" s="37"/>
      <c r="H6511" s="37"/>
      <c r="I6511" s="35"/>
      <c r="J6511" s="37"/>
    </row>
    <row r="6512" spans="1:10" ht="15.95" customHeight="1" x14ac:dyDescent="0.2">
      <c r="A6512" s="39"/>
      <c r="B6512" s="36"/>
      <c r="C6512" s="37"/>
      <c r="D6512" s="37"/>
      <c r="E6512" s="37"/>
      <c r="F6512" s="37"/>
      <c r="G6512" s="37"/>
      <c r="H6512" s="37"/>
      <c r="I6512" s="35"/>
      <c r="J6512" s="37"/>
    </row>
    <row r="6513" spans="1:10" ht="15.95" customHeight="1" x14ac:dyDescent="0.2">
      <c r="A6513" s="39"/>
      <c r="B6513" s="36"/>
      <c r="C6513" s="37"/>
      <c r="D6513" s="37"/>
      <c r="E6513" s="37"/>
      <c r="F6513" s="37"/>
      <c r="G6513" s="37"/>
      <c r="H6513" s="37"/>
      <c r="I6513" s="35"/>
      <c r="J6513" s="37"/>
    </row>
    <row r="6514" spans="1:10" ht="15.95" customHeight="1" x14ac:dyDescent="0.2">
      <c r="A6514" s="39"/>
      <c r="B6514" s="36"/>
      <c r="C6514" s="37"/>
      <c r="D6514" s="37"/>
      <c r="E6514" s="37"/>
      <c r="F6514" s="37"/>
      <c r="G6514" s="37"/>
      <c r="H6514" s="37"/>
      <c r="I6514" s="35"/>
      <c r="J6514" s="37"/>
    </row>
    <row r="6515" spans="1:10" ht="15.95" customHeight="1" x14ac:dyDescent="0.2">
      <c r="A6515" s="39"/>
      <c r="B6515" s="36"/>
      <c r="C6515" s="37"/>
      <c r="D6515" s="37"/>
      <c r="E6515" s="37"/>
      <c r="F6515" s="37"/>
      <c r="G6515" s="37"/>
      <c r="H6515" s="37"/>
      <c r="I6515" s="35"/>
      <c r="J6515" s="37"/>
    </row>
    <row r="6516" spans="1:10" ht="15.95" customHeight="1" x14ac:dyDescent="0.2">
      <c r="A6516" s="39"/>
      <c r="B6516" s="36"/>
      <c r="C6516" s="37"/>
      <c r="D6516" s="37"/>
      <c r="E6516" s="37"/>
      <c r="F6516" s="37"/>
      <c r="G6516" s="37"/>
      <c r="H6516" s="37"/>
      <c r="I6516" s="35"/>
      <c r="J6516" s="37"/>
    </row>
    <row r="6517" spans="1:10" ht="15.95" customHeight="1" x14ac:dyDescent="0.2">
      <c r="A6517" s="39"/>
      <c r="B6517" s="36"/>
      <c r="C6517" s="37"/>
      <c r="D6517" s="37"/>
      <c r="E6517" s="37"/>
      <c r="F6517" s="37"/>
      <c r="G6517" s="37"/>
      <c r="H6517" s="37"/>
      <c r="I6517" s="35"/>
      <c r="J6517" s="37"/>
    </row>
    <row r="6518" spans="1:10" ht="15.95" customHeight="1" x14ac:dyDescent="0.2">
      <c r="A6518" s="39"/>
      <c r="B6518" s="36"/>
      <c r="C6518" s="37"/>
      <c r="D6518" s="37"/>
      <c r="E6518" s="37"/>
      <c r="F6518" s="37"/>
      <c r="G6518" s="37"/>
      <c r="H6518" s="37"/>
      <c r="I6518" s="35"/>
      <c r="J6518" s="37"/>
    </row>
    <row r="6519" spans="1:10" ht="15.95" customHeight="1" x14ac:dyDescent="0.2">
      <c r="A6519" s="39"/>
      <c r="B6519" s="36"/>
      <c r="C6519" s="37"/>
      <c r="D6519" s="37"/>
      <c r="E6519" s="37"/>
      <c r="F6519" s="37"/>
      <c r="G6519" s="37"/>
      <c r="H6519" s="37"/>
      <c r="I6519" s="35"/>
      <c r="J6519" s="37"/>
    </row>
    <row r="6520" spans="1:10" ht="15.95" customHeight="1" x14ac:dyDescent="0.2">
      <c r="A6520" s="39"/>
      <c r="B6520" s="36"/>
      <c r="C6520" s="37"/>
      <c r="D6520" s="37"/>
      <c r="E6520" s="37"/>
      <c r="F6520" s="37"/>
      <c r="G6520" s="37"/>
      <c r="H6520" s="37"/>
      <c r="I6520" s="35"/>
      <c r="J6520" s="37"/>
    </row>
    <row r="6521" spans="1:10" ht="15.95" customHeight="1" x14ac:dyDescent="0.2">
      <c r="A6521" s="39"/>
      <c r="B6521" s="36"/>
      <c r="C6521" s="37"/>
      <c r="D6521" s="37"/>
      <c r="E6521" s="37"/>
      <c r="F6521" s="37"/>
      <c r="G6521" s="37"/>
      <c r="H6521" s="37"/>
      <c r="I6521" s="35"/>
      <c r="J6521" s="37"/>
    </row>
    <row r="6522" spans="1:10" ht="15.95" customHeight="1" x14ac:dyDescent="0.2">
      <c r="A6522" s="39"/>
      <c r="B6522" s="36"/>
      <c r="C6522" s="37"/>
      <c r="D6522" s="37"/>
      <c r="E6522" s="37"/>
      <c r="F6522" s="37"/>
      <c r="G6522" s="37"/>
      <c r="H6522" s="37"/>
      <c r="I6522" s="35"/>
      <c r="J6522" s="37"/>
    </row>
    <row r="6523" spans="1:10" ht="15.95" customHeight="1" x14ac:dyDescent="0.2">
      <c r="A6523" s="39"/>
      <c r="B6523" s="36"/>
      <c r="C6523" s="37"/>
      <c r="D6523" s="37"/>
      <c r="E6523" s="37"/>
      <c r="F6523" s="37"/>
      <c r="G6523" s="37"/>
      <c r="H6523" s="37"/>
      <c r="I6523" s="35"/>
      <c r="J6523" s="37"/>
    </row>
    <row r="6524" spans="1:10" ht="15.95" customHeight="1" x14ac:dyDescent="0.2">
      <c r="A6524" s="39"/>
      <c r="B6524" s="36"/>
      <c r="C6524" s="37"/>
      <c r="D6524" s="37"/>
      <c r="E6524" s="37"/>
      <c r="F6524" s="37"/>
      <c r="G6524" s="37"/>
      <c r="H6524" s="37"/>
      <c r="I6524" s="35"/>
      <c r="J6524" s="37"/>
    </row>
    <row r="6525" spans="1:10" ht="15.95" customHeight="1" x14ac:dyDescent="0.2">
      <c r="A6525" s="39"/>
      <c r="B6525" s="36"/>
      <c r="C6525" s="37"/>
      <c r="D6525" s="37"/>
      <c r="E6525" s="37"/>
      <c r="F6525" s="37"/>
      <c r="G6525" s="37"/>
      <c r="H6525" s="37"/>
      <c r="I6525" s="35"/>
      <c r="J6525" s="37"/>
    </row>
    <row r="6526" spans="1:10" ht="15.95" customHeight="1" x14ac:dyDescent="0.2">
      <c r="A6526" s="39"/>
      <c r="B6526" s="36"/>
      <c r="C6526" s="37"/>
      <c r="D6526" s="37"/>
      <c r="E6526" s="37"/>
      <c r="F6526" s="37"/>
      <c r="G6526" s="37"/>
      <c r="H6526" s="37"/>
      <c r="I6526" s="35"/>
      <c r="J6526" s="37"/>
    </row>
    <row r="6527" spans="1:10" ht="15.95" customHeight="1" x14ac:dyDescent="0.2">
      <c r="A6527" s="39"/>
      <c r="B6527" s="36"/>
      <c r="C6527" s="37"/>
      <c r="D6527" s="37"/>
      <c r="E6527" s="37"/>
      <c r="F6527" s="37"/>
      <c r="G6527" s="37"/>
      <c r="H6527" s="37"/>
      <c r="I6527" s="35"/>
      <c r="J6527" s="37"/>
    </row>
    <row r="6528" spans="1:10" ht="15.95" customHeight="1" x14ac:dyDescent="0.2">
      <c r="A6528" s="39"/>
      <c r="B6528" s="36"/>
      <c r="C6528" s="37"/>
      <c r="D6528" s="37"/>
      <c r="E6528" s="37"/>
      <c r="F6528" s="37"/>
      <c r="G6528" s="37"/>
      <c r="H6528" s="37"/>
      <c r="I6528" s="35"/>
      <c r="J6528" s="37"/>
    </row>
    <row r="6529" spans="1:10" ht="15.95" customHeight="1" x14ac:dyDescent="0.2">
      <c r="A6529" s="39"/>
      <c r="B6529" s="36"/>
      <c r="C6529" s="37"/>
      <c r="D6529" s="37"/>
      <c r="E6529" s="37"/>
      <c r="F6529" s="37"/>
      <c r="G6529" s="37"/>
      <c r="H6529" s="37"/>
      <c r="I6529" s="35"/>
      <c r="J6529" s="37"/>
    </row>
    <row r="6530" spans="1:10" ht="15.95" customHeight="1" x14ac:dyDescent="0.2">
      <c r="A6530" s="39"/>
      <c r="B6530" s="36"/>
      <c r="C6530" s="37"/>
      <c r="D6530" s="37"/>
      <c r="E6530" s="37"/>
      <c r="F6530" s="37"/>
      <c r="G6530" s="37"/>
      <c r="H6530" s="37"/>
      <c r="I6530" s="35"/>
      <c r="J6530" s="37"/>
    </row>
    <row r="6531" spans="1:10" ht="15.95" customHeight="1" x14ac:dyDescent="0.2">
      <c r="A6531" s="39"/>
      <c r="B6531" s="36"/>
      <c r="C6531" s="37"/>
      <c r="D6531" s="37"/>
      <c r="E6531" s="37"/>
      <c r="F6531" s="37"/>
      <c r="G6531" s="37"/>
      <c r="H6531" s="37"/>
      <c r="I6531" s="35"/>
      <c r="J6531" s="37"/>
    </row>
    <row r="6532" spans="1:10" ht="15.95" customHeight="1" x14ac:dyDescent="0.2">
      <c r="A6532" s="39"/>
      <c r="B6532" s="36"/>
      <c r="C6532" s="37"/>
      <c r="D6532" s="37"/>
      <c r="E6532" s="37"/>
      <c r="F6532" s="37"/>
      <c r="G6532" s="37"/>
      <c r="H6532" s="37"/>
      <c r="I6532" s="35"/>
      <c r="J6532" s="37"/>
    </row>
    <row r="6533" spans="1:10" ht="15.95" customHeight="1" x14ac:dyDescent="0.2">
      <c r="A6533" s="39"/>
      <c r="B6533" s="36"/>
      <c r="C6533" s="37"/>
      <c r="D6533" s="37"/>
      <c r="E6533" s="37"/>
      <c r="F6533" s="37"/>
      <c r="G6533" s="37"/>
      <c r="H6533" s="37"/>
      <c r="I6533" s="35"/>
      <c r="J6533" s="37"/>
    </row>
    <row r="6534" spans="1:10" ht="15.95" customHeight="1" x14ac:dyDescent="0.2">
      <c r="A6534" s="39"/>
      <c r="B6534" s="36"/>
      <c r="C6534" s="37"/>
      <c r="D6534" s="37"/>
      <c r="E6534" s="37"/>
      <c r="F6534" s="37"/>
      <c r="G6534" s="37"/>
      <c r="H6534" s="37"/>
      <c r="I6534" s="35"/>
      <c r="J6534" s="37"/>
    </row>
    <row r="6535" spans="1:10" ht="15.95" customHeight="1" x14ac:dyDescent="0.2">
      <c r="A6535" s="39"/>
      <c r="B6535" s="36"/>
      <c r="C6535" s="37"/>
      <c r="D6535" s="37"/>
      <c r="E6535" s="37"/>
      <c r="F6535" s="37"/>
      <c r="G6535" s="37"/>
      <c r="H6535" s="37"/>
      <c r="I6535" s="35"/>
      <c r="J6535" s="37"/>
    </row>
    <row r="6536" spans="1:10" ht="15.95" customHeight="1" x14ac:dyDescent="0.2">
      <c r="A6536" s="39"/>
      <c r="B6536" s="36"/>
      <c r="C6536" s="37"/>
      <c r="D6536" s="37"/>
      <c r="E6536" s="37"/>
      <c r="F6536" s="37"/>
      <c r="G6536" s="37"/>
      <c r="H6536" s="37"/>
      <c r="I6536" s="35"/>
      <c r="J6536" s="37"/>
    </row>
    <row r="6537" spans="1:10" ht="15.95" customHeight="1" x14ac:dyDescent="0.2">
      <c r="A6537" s="39"/>
      <c r="B6537" s="36"/>
      <c r="C6537" s="37"/>
      <c r="D6537" s="37"/>
      <c r="E6537" s="37"/>
      <c r="F6537" s="37"/>
      <c r="G6537" s="37"/>
      <c r="H6537" s="37"/>
      <c r="I6537" s="35"/>
      <c r="J6537" s="37"/>
    </row>
    <row r="6538" spans="1:10" ht="15.95" customHeight="1" x14ac:dyDescent="0.2">
      <c r="A6538" s="39"/>
      <c r="B6538" s="36"/>
      <c r="C6538" s="37"/>
      <c r="D6538" s="37"/>
      <c r="E6538" s="37"/>
      <c r="F6538" s="37"/>
      <c r="G6538" s="37"/>
      <c r="H6538" s="37"/>
      <c r="I6538" s="35"/>
      <c r="J6538" s="37"/>
    </row>
    <row r="6539" spans="1:10" ht="15.95" customHeight="1" x14ac:dyDescent="0.2">
      <c r="A6539" s="39"/>
      <c r="B6539" s="36"/>
      <c r="C6539" s="37"/>
      <c r="D6539" s="37"/>
      <c r="E6539" s="37"/>
      <c r="F6539" s="37"/>
      <c r="G6539" s="37"/>
      <c r="H6539" s="37"/>
      <c r="I6539" s="35"/>
      <c r="J6539" s="37"/>
    </row>
    <row r="6540" spans="1:10" ht="15.95" customHeight="1" x14ac:dyDescent="0.2">
      <c r="A6540" s="39"/>
      <c r="B6540" s="36"/>
      <c r="C6540" s="37"/>
      <c r="D6540" s="37"/>
      <c r="E6540" s="37"/>
      <c r="F6540" s="37"/>
      <c r="G6540" s="37"/>
      <c r="H6540" s="37"/>
      <c r="I6540" s="35"/>
      <c r="J6540" s="37"/>
    </row>
    <row r="6541" spans="1:10" ht="15.95" customHeight="1" x14ac:dyDescent="0.2">
      <c r="A6541" s="39"/>
      <c r="B6541" s="36"/>
      <c r="C6541" s="37"/>
      <c r="D6541" s="37"/>
      <c r="E6541" s="37"/>
      <c r="F6541" s="37"/>
      <c r="G6541" s="37"/>
      <c r="H6541" s="37"/>
      <c r="I6541" s="35"/>
      <c r="J6541" s="37"/>
    </row>
    <row r="6542" spans="1:10" ht="15.95" customHeight="1" x14ac:dyDescent="0.2">
      <c r="A6542" s="39"/>
      <c r="B6542" s="36"/>
      <c r="C6542" s="37"/>
      <c r="D6542" s="37"/>
      <c r="E6542" s="37"/>
      <c r="F6542" s="37"/>
      <c r="G6542" s="37"/>
      <c r="H6542" s="37"/>
      <c r="I6542" s="35"/>
      <c r="J6542" s="37"/>
    </row>
    <row r="6543" spans="1:10" ht="15.95" customHeight="1" x14ac:dyDescent="0.2">
      <c r="A6543" s="39"/>
      <c r="B6543" s="36"/>
      <c r="C6543" s="37"/>
      <c r="D6543" s="37"/>
      <c r="E6543" s="37"/>
      <c r="F6543" s="37"/>
      <c r="G6543" s="37"/>
      <c r="H6543" s="37"/>
      <c r="I6543" s="35"/>
      <c r="J6543" s="37"/>
    </row>
    <row r="6544" spans="1:10" ht="15.95" customHeight="1" x14ac:dyDescent="0.2">
      <c r="A6544" s="39"/>
      <c r="B6544" s="36"/>
      <c r="C6544" s="37"/>
      <c r="D6544" s="37"/>
      <c r="E6544" s="37"/>
      <c r="F6544" s="37"/>
      <c r="G6544" s="37"/>
      <c r="H6544" s="37"/>
      <c r="I6544" s="35"/>
      <c r="J6544" s="37"/>
    </row>
    <row r="6545" spans="1:10" ht="15.95" customHeight="1" x14ac:dyDescent="0.2">
      <c r="A6545" s="39"/>
      <c r="B6545" s="36"/>
      <c r="C6545" s="37"/>
      <c r="D6545" s="37"/>
      <c r="E6545" s="37"/>
      <c r="F6545" s="37"/>
      <c r="G6545" s="37"/>
      <c r="H6545" s="37"/>
      <c r="I6545" s="35"/>
      <c r="J6545" s="37"/>
    </row>
    <row r="6546" spans="1:10" ht="15.95" customHeight="1" x14ac:dyDescent="0.2">
      <c r="A6546" s="39"/>
      <c r="B6546" s="36"/>
      <c r="C6546" s="37"/>
      <c r="D6546" s="37"/>
      <c r="E6546" s="37"/>
      <c r="F6546" s="37"/>
      <c r="G6546" s="37"/>
      <c r="H6546" s="37"/>
      <c r="I6546" s="35"/>
      <c r="J6546" s="37"/>
    </row>
    <row r="6547" spans="1:10" ht="15.95" customHeight="1" x14ac:dyDescent="0.2">
      <c r="A6547" s="39"/>
      <c r="B6547" s="36"/>
      <c r="C6547" s="37"/>
      <c r="D6547" s="37"/>
      <c r="E6547" s="37"/>
      <c r="F6547" s="37"/>
      <c r="G6547" s="37"/>
      <c r="H6547" s="37"/>
      <c r="I6547" s="35"/>
      <c r="J6547" s="37"/>
    </row>
    <row r="6548" spans="1:10" ht="15.95" customHeight="1" x14ac:dyDescent="0.2">
      <c r="A6548" s="39"/>
      <c r="B6548" s="36"/>
      <c r="C6548" s="37"/>
      <c r="D6548" s="37"/>
      <c r="E6548" s="37"/>
      <c r="F6548" s="37"/>
      <c r="G6548" s="37"/>
      <c r="H6548" s="37"/>
      <c r="I6548" s="35"/>
      <c r="J6548" s="37"/>
    </row>
    <row r="6549" spans="1:10" ht="15.95" customHeight="1" x14ac:dyDescent="0.2">
      <c r="A6549" s="39"/>
      <c r="B6549" s="36"/>
      <c r="C6549" s="37"/>
      <c r="D6549" s="37"/>
      <c r="E6549" s="37"/>
      <c r="F6549" s="37"/>
      <c r="G6549" s="37"/>
      <c r="H6549" s="37"/>
      <c r="I6549" s="35"/>
      <c r="J6549" s="37"/>
    </row>
    <row r="6550" spans="1:10" ht="15.95" customHeight="1" x14ac:dyDescent="0.2">
      <c r="A6550" s="39"/>
      <c r="B6550" s="36"/>
      <c r="C6550" s="37"/>
      <c r="D6550" s="37"/>
      <c r="E6550" s="37"/>
      <c r="F6550" s="37"/>
      <c r="G6550" s="37"/>
      <c r="H6550" s="37"/>
      <c r="I6550" s="35"/>
      <c r="J6550" s="37"/>
    </row>
    <row r="6551" spans="1:10" ht="15.95" customHeight="1" x14ac:dyDescent="0.2">
      <c r="A6551" s="39"/>
      <c r="B6551" s="36"/>
      <c r="C6551" s="37"/>
      <c r="D6551" s="37"/>
      <c r="E6551" s="37"/>
      <c r="F6551" s="37"/>
      <c r="G6551" s="37"/>
      <c r="H6551" s="37"/>
      <c r="I6551" s="35"/>
      <c r="J6551" s="37"/>
    </row>
    <row r="6552" spans="1:10" ht="15.95" customHeight="1" x14ac:dyDescent="0.2">
      <c r="A6552" s="39"/>
      <c r="B6552" s="36"/>
      <c r="C6552" s="37"/>
      <c r="D6552" s="37"/>
      <c r="E6552" s="37"/>
      <c r="F6552" s="37"/>
      <c r="G6552" s="37"/>
      <c r="H6552" s="37"/>
      <c r="I6552" s="35"/>
      <c r="J6552" s="37"/>
    </row>
    <row r="6553" spans="1:10" ht="15.95" customHeight="1" x14ac:dyDescent="0.2">
      <c r="A6553" s="39"/>
      <c r="B6553" s="36"/>
      <c r="C6553" s="37"/>
      <c r="D6553" s="37"/>
      <c r="E6553" s="37"/>
      <c r="F6553" s="37"/>
      <c r="G6553" s="37"/>
      <c r="H6553" s="37"/>
      <c r="I6553" s="35"/>
      <c r="J6553" s="37"/>
    </row>
    <row r="6554" spans="1:10" ht="15.95" customHeight="1" x14ac:dyDescent="0.2">
      <c r="A6554" s="39"/>
      <c r="B6554" s="36"/>
      <c r="C6554" s="37"/>
      <c r="D6554" s="37"/>
      <c r="E6554" s="37"/>
      <c r="F6554" s="37"/>
      <c r="G6554" s="37"/>
      <c r="H6554" s="37"/>
      <c r="I6554" s="35"/>
      <c r="J6554" s="37"/>
    </row>
    <row r="6555" spans="1:10" ht="15.95" customHeight="1" x14ac:dyDescent="0.2">
      <c r="A6555" s="39"/>
      <c r="B6555" s="36"/>
      <c r="C6555" s="37"/>
      <c r="D6555" s="37"/>
      <c r="E6555" s="37"/>
      <c r="F6555" s="37"/>
      <c r="G6555" s="37"/>
      <c r="H6555" s="37"/>
      <c r="I6555" s="35"/>
      <c r="J6555" s="37"/>
    </row>
    <row r="6556" spans="1:10" ht="15.95" customHeight="1" x14ac:dyDescent="0.2">
      <c r="A6556" s="39"/>
      <c r="B6556" s="36"/>
      <c r="C6556" s="37"/>
      <c r="D6556" s="37"/>
      <c r="E6556" s="37"/>
      <c r="F6556" s="37"/>
      <c r="G6556" s="37"/>
      <c r="H6556" s="37"/>
      <c r="I6556" s="35"/>
      <c r="J6556" s="37"/>
    </row>
    <row r="6557" spans="1:10" ht="15.95" customHeight="1" x14ac:dyDescent="0.2">
      <c r="A6557" s="39"/>
      <c r="B6557" s="36"/>
      <c r="C6557" s="37"/>
      <c r="D6557" s="37"/>
      <c r="E6557" s="37"/>
      <c r="F6557" s="37"/>
      <c r="G6557" s="37"/>
      <c r="H6557" s="37"/>
      <c r="I6557" s="35"/>
      <c r="J6557" s="37"/>
    </row>
    <row r="6558" spans="1:10" ht="15.95" customHeight="1" x14ac:dyDescent="0.2">
      <c r="A6558" s="39"/>
      <c r="B6558" s="36"/>
      <c r="C6558" s="37"/>
      <c r="D6558" s="37"/>
      <c r="E6558" s="37"/>
      <c r="F6558" s="37"/>
      <c r="G6558" s="37"/>
      <c r="H6558" s="37"/>
      <c r="I6558" s="35"/>
      <c r="J6558" s="37"/>
    </row>
    <row r="6559" spans="1:10" ht="15.95" customHeight="1" x14ac:dyDescent="0.2">
      <c r="A6559" s="39"/>
      <c r="B6559" s="36"/>
      <c r="C6559" s="37"/>
      <c r="D6559" s="37"/>
      <c r="E6559" s="37"/>
      <c r="F6559" s="37"/>
      <c r="G6559" s="37"/>
      <c r="H6559" s="37"/>
      <c r="I6559" s="35"/>
      <c r="J6559" s="37"/>
    </row>
    <row r="6560" spans="1:10" ht="15.95" customHeight="1" x14ac:dyDescent="0.2">
      <c r="A6560" s="39"/>
      <c r="B6560" s="36"/>
      <c r="C6560" s="37"/>
      <c r="D6560" s="37"/>
      <c r="E6560" s="37"/>
      <c r="F6560" s="37"/>
      <c r="G6560" s="37"/>
      <c r="H6560" s="37"/>
      <c r="I6560" s="35"/>
      <c r="J6560" s="37"/>
    </row>
    <row r="6561" spans="1:10" ht="15.95" customHeight="1" x14ac:dyDescent="0.2">
      <c r="A6561" s="39"/>
      <c r="B6561" s="36"/>
      <c r="C6561" s="37"/>
      <c r="D6561" s="37"/>
      <c r="E6561" s="37"/>
      <c r="F6561" s="37"/>
      <c r="G6561" s="37"/>
      <c r="H6561" s="37"/>
      <c r="I6561" s="35"/>
      <c r="J6561" s="37"/>
    </row>
    <row r="6562" spans="1:10" ht="15.95" customHeight="1" x14ac:dyDescent="0.2">
      <c r="A6562" s="39"/>
      <c r="B6562" s="36"/>
      <c r="C6562" s="37"/>
      <c r="D6562" s="37"/>
      <c r="E6562" s="37"/>
      <c r="F6562" s="37"/>
      <c r="G6562" s="37"/>
      <c r="H6562" s="37"/>
      <c r="I6562" s="35"/>
      <c r="J6562" s="37"/>
    </row>
    <row r="6563" spans="1:10" ht="15.95" customHeight="1" x14ac:dyDescent="0.2">
      <c r="A6563" s="39"/>
      <c r="B6563" s="36"/>
      <c r="C6563" s="37"/>
      <c r="D6563" s="37"/>
      <c r="E6563" s="37"/>
      <c r="F6563" s="37"/>
      <c r="G6563" s="37"/>
      <c r="H6563" s="37"/>
      <c r="I6563" s="35"/>
      <c r="J6563" s="37"/>
    </row>
    <row r="6564" spans="1:10" ht="15.95" customHeight="1" x14ac:dyDescent="0.2">
      <c r="A6564" s="39"/>
      <c r="B6564" s="36"/>
      <c r="C6564" s="37"/>
      <c r="D6564" s="37"/>
      <c r="E6564" s="37"/>
      <c r="F6564" s="37"/>
      <c r="G6564" s="37"/>
      <c r="H6564" s="37"/>
      <c r="I6564" s="35"/>
      <c r="J6564" s="37"/>
    </row>
    <row r="6565" spans="1:10" ht="15.95" customHeight="1" x14ac:dyDescent="0.2">
      <c r="A6565" s="39"/>
      <c r="B6565" s="36"/>
      <c r="C6565" s="37"/>
      <c r="D6565" s="37"/>
      <c r="E6565" s="37"/>
      <c r="F6565" s="37"/>
      <c r="G6565" s="37"/>
      <c r="H6565" s="37"/>
      <c r="I6565" s="35"/>
      <c r="J6565" s="37"/>
    </row>
    <row r="6566" spans="1:10" ht="15.95" customHeight="1" x14ac:dyDescent="0.2">
      <c r="A6566" s="39"/>
      <c r="B6566" s="36"/>
      <c r="C6566" s="37"/>
      <c r="D6566" s="37"/>
      <c r="E6566" s="37"/>
      <c r="F6566" s="37"/>
      <c r="G6566" s="37"/>
      <c r="H6566" s="37"/>
      <c r="I6566" s="35"/>
      <c r="J6566" s="37"/>
    </row>
    <row r="6567" spans="1:10" ht="15.95" customHeight="1" x14ac:dyDescent="0.2">
      <c r="A6567" s="39"/>
      <c r="B6567" s="36"/>
      <c r="C6567" s="37"/>
      <c r="D6567" s="37"/>
      <c r="E6567" s="37"/>
      <c r="F6567" s="37"/>
      <c r="G6567" s="37"/>
      <c r="H6567" s="37"/>
      <c r="I6567" s="35"/>
      <c r="J6567" s="37"/>
    </row>
    <row r="6568" spans="1:10" ht="15.95" customHeight="1" x14ac:dyDescent="0.2">
      <c r="A6568" s="39"/>
      <c r="B6568" s="36"/>
      <c r="C6568" s="37"/>
      <c r="D6568" s="37"/>
      <c r="E6568" s="37"/>
      <c r="F6568" s="37"/>
      <c r="G6568" s="37"/>
      <c r="H6568" s="37"/>
      <c r="I6568" s="35"/>
      <c r="J6568" s="37"/>
    </row>
    <row r="6569" spans="1:10" ht="15.95" customHeight="1" x14ac:dyDescent="0.2">
      <c r="A6569" s="39"/>
      <c r="B6569" s="36"/>
      <c r="C6569" s="37"/>
      <c r="D6569" s="37"/>
      <c r="E6569" s="37"/>
      <c r="F6569" s="37"/>
      <c r="G6569" s="37"/>
      <c r="H6569" s="37"/>
      <c r="I6569" s="35"/>
      <c r="J6569" s="37"/>
    </row>
    <row r="6570" spans="1:10" ht="15.95" customHeight="1" x14ac:dyDescent="0.2">
      <c r="A6570" s="39"/>
      <c r="B6570" s="36"/>
      <c r="C6570" s="37"/>
      <c r="D6570" s="37"/>
      <c r="E6570" s="37"/>
      <c r="F6570" s="37"/>
      <c r="G6570" s="37"/>
      <c r="H6570" s="37"/>
      <c r="I6570" s="35"/>
      <c r="J6570" s="37"/>
    </row>
    <row r="6571" spans="1:10" ht="15.95" customHeight="1" x14ac:dyDescent="0.2">
      <c r="A6571" s="39"/>
      <c r="B6571" s="36"/>
      <c r="C6571" s="37"/>
      <c r="D6571" s="37"/>
      <c r="E6571" s="37"/>
      <c r="F6571" s="37"/>
      <c r="G6571" s="37"/>
      <c r="H6571" s="37"/>
      <c r="I6571" s="35"/>
      <c r="J6571" s="37"/>
    </row>
    <row r="6572" spans="1:10" ht="15.95" customHeight="1" x14ac:dyDescent="0.2">
      <c r="A6572" s="39"/>
      <c r="B6572" s="36"/>
      <c r="C6572" s="37"/>
      <c r="D6572" s="37"/>
      <c r="E6572" s="37"/>
      <c r="F6572" s="37"/>
      <c r="G6572" s="37"/>
      <c r="H6572" s="37"/>
      <c r="I6572" s="35"/>
      <c r="J6572" s="37"/>
    </row>
    <row r="6573" spans="1:10" ht="15.95" customHeight="1" x14ac:dyDescent="0.2">
      <c r="A6573" s="39"/>
      <c r="B6573" s="36"/>
      <c r="C6573" s="37"/>
      <c r="D6573" s="37"/>
      <c r="E6573" s="37"/>
      <c r="F6573" s="37"/>
      <c r="G6573" s="37"/>
      <c r="H6573" s="37"/>
      <c r="I6573" s="35"/>
      <c r="J6573" s="37"/>
    </row>
    <row r="6574" spans="1:10" ht="15.95" customHeight="1" x14ac:dyDescent="0.2">
      <c r="A6574" s="39"/>
      <c r="B6574" s="36"/>
      <c r="C6574" s="37"/>
      <c r="D6574" s="37"/>
      <c r="E6574" s="37"/>
      <c r="F6574" s="37"/>
      <c r="G6574" s="37"/>
      <c r="H6574" s="37"/>
      <c r="I6574" s="35"/>
      <c r="J6574" s="37"/>
    </row>
    <row r="6575" spans="1:10" ht="15.95" customHeight="1" x14ac:dyDescent="0.2">
      <c r="A6575" s="39"/>
      <c r="B6575" s="36"/>
      <c r="C6575" s="37"/>
      <c r="D6575" s="37"/>
      <c r="E6575" s="37"/>
      <c r="F6575" s="37"/>
      <c r="G6575" s="37"/>
      <c r="H6575" s="37"/>
      <c r="I6575" s="35"/>
      <c r="J6575" s="37"/>
    </row>
    <row r="6576" spans="1:10" ht="15.95" customHeight="1" x14ac:dyDescent="0.2">
      <c r="A6576" s="39"/>
      <c r="B6576" s="36"/>
      <c r="C6576" s="37"/>
      <c r="D6576" s="37"/>
      <c r="E6576" s="37"/>
      <c r="F6576" s="37"/>
      <c r="G6576" s="37"/>
      <c r="H6576" s="37"/>
      <c r="I6576" s="35"/>
      <c r="J6576" s="37"/>
    </row>
    <row r="6577" spans="1:10" ht="15.95" customHeight="1" x14ac:dyDescent="0.2">
      <c r="A6577" s="39"/>
      <c r="B6577" s="36"/>
      <c r="C6577" s="37"/>
      <c r="D6577" s="37"/>
      <c r="E6577" s="37"/>
      <c r="F6577" s="37"/>
      <c r="G6577" s="37"/>
      <c r="H6577" s="37"/>
      <c r="I6577" s="35"/>
      <c r="J6577" s="37"/>
    </row>
    <row r="6578" spans="1:10" ht="15.95" customHeight="1" x14ac:dyDescent="0.2">
      <c r="A6578" s="39"/>
      <c r="B6578" s="36"/>
      <c r="C6578" s="37"/>
      <c r="D6578" s="37"/>
      <c r="E6578" s="37"/>
      <c r="F6578" s="37"/>
      <c r="G6578" s="37"/>
      <c r="H6578" s="37"/>
      <c r="I6578" s="35"/>
      <c r="J6578" s="37"/>
    </row>
    <row r="6579" spans="1:10" ht="15.95" customHeight="1" x14ac:dyDescent="0.2">
      <c r="A6579" s="39"/>
      <c r="B6579" s="36"/>
      <c r="C6579" s="37"/>
      <c r="D6579" s="37"/>
      <c r="E6579" s="37"/>
      <c r="F6579" s="37"/>
      <c r="G6579" s="37"/>
      <c r="H6579" s="37"/>
      <c r="I6579" s="35"/>
      <c r="J6579" s="37"/>
    </row>
    <row r="6580" spans="1:10" ht="15.95" customHeight="1" x14ac:dyDescent="0.2">
      <c r="A6580" s="39"/>
      <c r="B6580" s="36"/>
      <c r="C6580" s="37"/>
      <c r="D6580" s="37"/>
      <c r="E6580" s="37"/>
      <c r="F6580" s="37"/>
      <c r="G6580" s="37"/>
      <c r="H6580" s="37"/>
      <c r="I6580" s="35"/>
      <c r="J6580" s="37"/>
    </row>
    <row r="6581" spans="1:10" ht="15.95" customHeight="1" x14ac:dyDescent="0.2">
      <c r="A6581" s="39"/>
      <c r="B6581" s="36"/>
      <c r="C6581" s="37"/>
      <c r="D6581" s="37"/>
      <c r="E6581" s="37"/>
      <c r="F6581" s="37"/>
      <c r="G6581" s="37"/>
      <c r="H6581" s="37"/>
      <c r="I6581" s="35"/>
      <c r="J6581" s="37"/>
    </row>
    <row r="6582" spans="1:10" ht="15.95" customHeight="1" x14ac:dyDescent="0.2">
      <c r="A6582" s="39"/>
      <c r="B6582" s="36"/>
      <c r="C6582" s="37"/>
      <c r="D6582" s="37"/>
      <c r="E6582" s="37"/>
      <c r="F6582" s="37"/>
      <c r="G6582" s="37"/>
      <c r="H6582" s="37"/>
      <c r="I6582" s="35"/>
      <c r="J6582" s="37"/>
    </row>
    <row r="6583" spans="1:10" ht="15.95" customHeight="1" x14ac:dyDescent="0.2">
      <c r="A6583" s="39"/>
      <c r="B6583" s="36"/>
      <c r="C6583" s="37"/>
      <c r="D6583" s="37"/>
      <c r="E6583" s="37"/>
      <c r="F6583" s="37"/>
      <c r="G6583" s="37"/>
      <c r="H6583" s="37"/>
      <c r="I6583" s="35"/>
      <c r="J6583" s="37"/>
    </row>
    <row r="6584" spans="1:10" ht="15.95" customHeight="1" x14ac:dyDescent="0.2">
      <c r="A6584" s="39"/>
      <c r="B6584" s="36"/>
      <c r="C6584" s="37"/>
      <c r="D6584" s="37"/>
      <c r="E6584" s="37"/>
      <c r="F6584" s="37"/>
      <c r="G6584" s="37"/>
      <c r="H6584" s="37"/>
      <c r="I6584" s="35"/>
      <c r="J6584" s="37"/>
    </row>
    <row r="6585" spans="1:10" ht="15.95" customHeight="1" x14ac:dyDescent="0.2">
      <c r="A6585" s="39"/>
      <c r="B6585" s="36"/>
      <c r="C6585" s="37"/>
      <c r="D6585" s="37"/>
      <c r="E6585" s="37"/>
      <c r="F6585" s="37"/>
      <c r="G6585" s="37"/>
      <c r="H6585" s="37"/>
      <c r="I6585" s="35"/>
      <c r="J6585" s="37"/>
    </row>
    <row r="6586" spans="1:10" ht="15.95" customHeight="1" x14ac:dyDescent="0.2">
      <c r="A6586" s="39"/>
      <c r="B6586" s="36"/>
      <c r="C6586" s="37"/>
      <c r="D6586" s="37"/>
      <c r="E6586" s="37"/>
      <c r="F6586" s="37"/>
      <c r="G6586" s="37"/>
      <c r="H6586" s="37"/>
      <c r="I6586" s="35"/>
      <c r="J6586" s="37"/>
    </row>
    <row r="6587" spans="1:10" ht="15.95" customHeight="1" x14ac:dyDescent="0.2">
      <c r="A6587" s="39"/>
      <c r="B6587" s="36"/>
      <c r="C6587" s="37"/>
      <c r="D6587" s="37"/>
      <c r="E6587" s="37"/>
      <c r="F6587" s="37"/>
      <c r="G6587" s="37"/>
      <c r="H6587" s="37"/>
      <c r="I6587" s="35"/>
      <c r="J6587" s="37"/>
    </row>
    <row r="6588" spans="1:10" ht="15.95" customHeight="1" x14ac:dyDescent="0.2">
      <c r="A6588" s="39"/>
      <c r="B6588" s="36"/>
      <c r="C6588" s="37"/>
      <c r="D6588" s="37"/>
      <c r="E6588" s="37"/>
      <c r="F6588" s="37"/>
      <c r="G6588" s="37"/>
      <c r="H6588" s="37"/>
      <c r="I6588" s="35"/>
      <c r="J6588" s="37"/>
    </row>
    <row r="6589" spans="1:10" ht="15.95" customHeight="1" x14ac:dyDescent="0.2">
      <c r="A6589" s="39"/>
      <c r="B6589" s="36"/>
      <c r="C6589" s="37"/>
      <c r="D6589" s="37"/>
      <c r="E6589" s="37"/>
      <c r="F6589" s="37"/>
      <c r="G6589" s="37"/>
      <c r="H6589" s="37"/>
      <c r="I6589" s="35"/>
      <c r="J6589" s="37"/>
    </row>
    <row r="6590" spans="1:10" ht="15.95" customHeight="1" x14ac:dyDescent="0.2">
      <c r="A6590" s="39"/>
      <c r="B6590" s="36"/>
      <c r="C6590" s="37"/>
      <c r="D6590" s="37"/>
      <c r="E6590" s="37"/>
      <c r="F6590" s="37"/>
      <c r="G6590" s="37"/>
      <c r="H6590" s="37"/>
      <c r="I6590" s="35"/>
      <c r="J6590" s="37"/>
    </row>
    <row r="6591" spans="1:10" ht="15.95" customHeight="1" x14ac:dyDescent="0.2">
      <c r="A6591" s="39"/>
      <c r="B6591" s="36"/>
      <c r="C6591" s="37"/>
      <c r="D6591" s="37"/>
      <c r="E6591" s="37"/>
      <c r="F6591" s="37"/>
      <c r="G6591" s="37"/>
      <c r="H6591" s="37"/>
      <c r="I6591" s="35"/>
      <c r="J6591" s="37"/>
    </row>
    <row r="6592" spans="1:10" ht="15.95" customHeight="1" x14ac:dyDescent="0.2">
      <c r="A6592" s="39"/>
      <c r="B6592" s="36"/>
      <c r="C6592" s="37"/>
      <c r="D6592" s="37"/>
      <c r="E6592" s="37"/>
      <c r="F6592" s="37"/>
      <c r="G6592" s="37"/>
      <c r="H6592" s="37"/>
      <c r="I6592" s="35"/>
      <c r="J6592" s="37"/>
    </row>
    <row r="6593" spans="1:10" ht="15.95" customHeight="1" x14ac:dyDescent="0.2">
      <c r="A6593" s="39"/>
      <c r="B6593" s="36"/>
      <c r="C6593" s="37"/>
      <c r="D6593" s="37"/>
      <c r="E6593" s="37"/>
      <c r="F6593" s="37"/>
      <c r="G6593" s="37"/>
      <c r="H6593" s="37"/>
      <c r="I6593" s="35"/>
      <c r="J6593" s="37"/>
    </row>
    <row r="6594" spans="1:10" ht="15.95" customHeight="1" x14ac:dyDescent="0.2">
      <c r="A6594" s="39"/>
      <c r="B6594" s="36"/>
      <c r="C6594" s="37"/>
      <c r="D6594" s="37"/>
      <c r="E6594" s="37"/>
      <c r="F6594" s="37"/>
      <c r="G6594" s="37"/>
      <c r="H6594" s="37"/>
      <c r="I6594" s="35"/>
      <c r="J6594" s="37"/>
    </row>
    <row r="6595" spans="1:10" ht="15.95" customHeight="1" x14ac:dyDescent="0.2">
      <c r="A6595" s="39"/>
      <c r="B6595" s="36"/>
      <c r="C6595" s="37"/>
      <c r="D6595" s="37"/>
      <c r="E6595" s="37"/>
      <c r="F6595" s="37"/>
      <c r="G6595" s="37"/>
      <c r="H6595" s="37"/>
      <c r="I6595" s="35"/>
      <c r="J6595" s="37"/>
    </row>
    <row r="6596" spans="1:10" ht="15.95" customHeight="1" x14ac:dyDescent="0.2">
      <c r="A6596" s="39"/>
      <c r="B6596" s="36"/>
      <c r="C6596" s="37"/>
      <c r="D6596" s="37"/>
      <c r="E6596" s="37"/>
      <c r="F6596" s="37"/>
      <c r="G6596" s="37"/>
      <c r="H6596" s="37"/>
      <c r="I6596" s="35"/>
      <c r="J6596" s="37"/>
    </row>
    <row r="6597" spans="1:10" ht="15.95" customHeight="1" x14ac:dyDescent="0.2">
      <c r="A6597" s="39"/>
      <c r="B6597" s="36"/>
      <c r="C6597" s="37"/>
      <c r="D6597" s="37"/>
      <c r="E6597" s="37"/>
      <c r="F6597" s="37"/>
      <c r="G6597" s="37"/>
      <c r="H6597" s="37"/>
      <c r="I6597" s="35"/>
      <c r="J6597" s="37"/>
    </row>
    <row r="6598" spans="1:10" ht="15.95" customHeight="1" x14ac:dyDescent="0.2">
      <c r="A6598" s="39"/>
      <c r="B6598" s="36"/>
      <c r="C6598" s="37"/>
      <c r="D6598" s="37"/>
      <c r="E6598" s="37"/>
      <c r="F6598" s="37"/>
      <c r="G6598" s="37"/>
      <c r="H6598" s="37"/>
      <c r="I6598" s="35"/>
      <c r="J6598" s="37"/>
    </row>
    <row r="6599" spans="1:10" ht="15.95" customHeight="1" x14ac:dyDescent="0.2">
      <c r="A6599" s="39"/>
      <c r="B6599" s="36"/>
      <c r="C6599" s="37"/>
      <c r="D6599" s="37"/>
      <c r="E6599" s="37"/>
      <c r="F6599" s="37"/>
      <c r="G6599" s="37"/>
      <c r="H6599" s="37"/>
      <c r="I6599" s="35"/>
      <c r="J6599" s="37"/>
    </row>
    <row r="6600" spans="1:10" ht="15.95" customHeight="1" x14ac:dyDescent="0.2">
      <c r="A6600" s="39"/>
      <c r="B6600" s="36"/>
      <c r="C6600" s="37"/>
      <c r="D6600" s="37"/>
      <c r="E6600" s="37"/>
      <c r="F6600" s="37"/>
      <c r="G6600" s="37"/>
      <c r="H6600" s="37"/>
      <c r="I6600" s="35"/>
      <c r="J6600" s="37"/>
    </row>
    <row r="6601" spans="1:10" ht="15.95" customHeight="1" x14ac:dyDescent="0.2">
      <c r="A6601" s="39"/>
      <c r="B6601" s="36"/>
      <c r="C6601" s="37"/>
      <c r="D6601" s="37"/>
      <c r="E6601" s="37"/>
      <c r="F6601" s="37"/>
      <c r="G6601" s="37"/>
      <c r="H6601" s="37"/>
      <c r="I6601" s="35"/>
      <c r="J6601" s="37"/>
    </row>
    <row r="6602" spans="1:10" ht="15.95" customHeight="1" x14ac:dyDescent="0.2">
      <c r="A6602" s="39"/>
      <c r="B6602" s="36"/>
      <c r="C6602" s="37"/>
      <c r="D6602" s="37"/>
      <c r="E6602" s="37"/>
      <c r="F6602" s="37"/>
      <c r="G6602" s="37"/>
      <c r="H6602" s="37"/>
      <c r="I6602" s="35"/>
      <c r="J6602" s="37"/>
    </row>
    <row r="6603" spans="1:10" ht="15.95" customHeight="1" x14ac:dyDescent="0.2">
      <c r="A6603" s="39"/>
      <c r="B6603" s="36"/>
      <c r="C6603" s="37"/>
      <c r="D6603" s="37"/>
      <c r="E6603" s="37"/>
      <c r="F6603" s="37"/>
      <c r="G6603" s="37"/>
      <c r="H6603" s="37"/>
      <c r="I6603" s="35"/>
      <c r="J6603" s="37"/>
    </row>
    <row r="6604" spans="1:10" ht="15.95" customHeight="1" x14ac:dyDescent="0.2">
      <c r="A6604" s="39"/>
      <c r="B6604" s="36"/>
      <c r="C6604" s="37"/>
      <c r="D6604" s="37"/>
      <c r="E6604" s="37"/>
      <c r="F6604" s="37"/>
      <c r="G6604" s="37"/>
      <c r="H6604" s="37"/>
      <c r="I6604" s="35"/>
      <c r="J6604" s="37"/>
    </row>
    <row r="6605" spans="1:10" ht="15.95" customHeight="1" x14ac:dyDescent="0.2">
      <c r="A6605" s="39"/>
      <c r="B6605" s="36"/>
      <c r="C6605" s="37"/>
      <c r="D6605" s="37"/>
      <c r="E6605" s="37"/>
      <c r="F6605" s="37"/>
      <c r="G6605" s="37"/>
      <c r="H6605" s="37"/>
      <c r="I6605" s="35"/>
      <c r="J6605" s="37"/>
    </row>
    <row r="6606" spans="1:10" ht="15.95" customHeight="1" x14ac:dyDescent="0.2">
      <c r="A6606" s="39"/>
      <c r="B6606" s="36"/>
      <c r="C6606" s="37"/>
      <c r="D6606" s="37"/>
      <c r="E6606" s="37"/>
      <c r="F6606" s="37"/>
      <c r="G6606" s="37"/>
      <c r="H6606" s="37"/>
      <c r="I6606" s="35"/>
      <c r="J6606" s="37"/>
    </row>
    <row r="6607" spans="1:10" ht="15.95" customHeight="1" x14ac:dyDescent="0.2">
      <c r="A6607" s="39"/>
      <c r="B6607" s="36"/>
      <c r="C6607" s="37"/>
      <c r="D6607" s="37"/>
      <c r="E6607" s="37"/>
      <c r="F6607" s="37"/>
      <c r="G6607" s="37"/>
      <c r="H6607" s="37"/>
      <c r="I6607" s="35"/>
      <c r="J6607" s="37"/>
    </row>
    <row r="6608" spans="1:10" ht="15.95" customHeight="1" x14ac:dyDescent="0.2">
      <c r="A6608" s="39"/>
      <c r="B6608" s="36"/>
      <c r="C6608" s="37"/>
      <c r="D6608" s="37"/>
      <c r="E6608" s="37"/>
      <c r="F6608" s="37"/>
      <c r="G6608" s="37"/>
      <c r="H6608" s="37"/>
      <c r="I6608" s="35"/>
      <c r="J6608" s="37"/>
    </row>
    <row r="6609" spans="1:10" ht="15.95" customHeight="1" x14ac:dyDescent="0.2">
      <c r="A6609" s="39"/>
      <c r="B6609" s="36"/>
      <c r="C6609" s="37"/>
      <c r="D6609" s="37"/>
      <c r="E6609" s="37"/>
      <c r="F6609" s="37"/>
      <c r="G6609" s="37"/>
      <c r="H6609" s="37"/>
      <c r="I6609" s="35"/>
      <c r="J6609" s="37"/>
    </row>
    <row r="6610" spans="1:10" ht="15.95" customHeight="1" x14ac:dyDescent="0.2">
      <c r="A6610" s="39"/>
      <c r="B6610" s="36"/>
      <c r="C6610" s="37"/>
      <c r="D6610" s="37"/>
      <c r="E6610" s="37"/>
      <c r="F6610" s="37"/>
      <c r="G6610" s="37"/>
      <c r="H6610" s="37"/>
      <c r="I6610" s="35"/>
      <c r="J6610" s="37"/>
    </row>
    <row r="6611" spans="1:10" ht="15.95" customHeight="1" x14ac:dyDescent="0.2">
      <c r="A6611" s="39"/>
      <c r="B6611" s="36"/>
      <c r="C6611" s="37"/>
      <c r="D6611" s="37"/>
      <c r="E6611" s="37"/>
      <c r="F6611" s="37"/>
      <c r="G6611" s="37"/>
      <c r="H6611" s="37"/>
      <c r="I6611" s="35"/>
      <c r="J6611" s="37"/>
    </row>
    <row r="6612" spans="1:10" ht="15.95" customHeight="1" x14ac:dyDescent="0.2">
      <c r="A6612" s="39"/>
      <c r="B6612" s="36"/>
      <c r="C6612" s="37"/>
      <c r="D6612" s="37"/>
      <c r="E6612" s="37"/>
      <c r="F6612" s="37"/>
      <c r="G6612" s="37"/>
      <c r="H6612" s="37"/>
      <c r="I6612" s="35"/>
      <c r="J6612" s="37"/>
    </row>
    <row r="6613" spans="1:10" ht="15.95" customHeight="1" x14ac:dyDescent="0.2">
      <c r="A6613" s="39"/>
      <c r="B6613" s="36"/>
      <c r="C6613" s="37"/>
      <c r="D6613" s="37"/>
      <c r="E6613" s="37"/>
      <c r="F6613" s="37"/>
      <c r="G6613" s="37"/>
      <c r="H6613" s="37"/>
      <c r="I6613" s="35"/>
      <c r="J6613" s="37"/>
    </row>
    <row r="6614" spans="1:10" ht="15.95" customHeight="1" x14ac:dyDescent="0.2">
      <c r="A6614" s="39"/>
      <c r="B6614" s="36"/>
      <c r="C6614" s="37"/>
      <c r="D6614" s="37"/>
      <c r="E6614" s="37"/>
      <c r="F6614" s="37"/>
      <c r="G6614" s="37"/>
      <c r="H6614" s="37"/>
      <c r="I6614" s="35"/>
      <c r="J6614" s="37"/>
    </row>
    <row r="6615" spans="1:10" ht="15.95" customHeight="1" x14ac:dyDescent="0.2">
      <c r="A6615" s="39"/>
      <c r="B6615" s="36"/>
      <c r="C6615" s="37"/>
      <c r="D6615" s="37"/>
      <c r="E6615" s="37"/>
      <c r="F6615" s="37"/>
      <c r="G6615" s="37"/>
      <c r="H6615" s="37"/>
      <c r="I6615" s="35"/>
      <c r="J6615" s="37"/>
    </row>
    <row r="6616" spans="1:10" ht="15.95" customHeight="1" x14ac:dyDescent="0.2">
      <c r="A6616" s="39"/>
      <c r="B6616" s="36"/>
      <c r="C6616" s="37"/>
      <c r="D6616" s="37"/>
      <c r="E6616" s="37"/>
      <c r="F6616" s="37"/>
      <c r="G6616" s="37"/>
      <c r="H6616" s="37"/>
      <c r="I6616" s="35"/>
      <c r="J6616" s="37"/>
    </row>
    <row r="6617" spans="1:10" ht="15.95" customHeight="1" x14ac:dyDescent="0.2">
      <c r="A6617" s="39"/>
      <c r="B6617" s="36"/>
      <c r="C6617" s="37"/>
      <c r="D6617" s="37"/>
      <c r="E6617" s="37"/>
      <c r="F6617" s="37"/>
      <c r="G6617" s="37"/>
      <c r="H6617" s="37"/>
      <c r="I6617" s="35"/>
      <c r="J6617" s="37"/>
    </row>
    <row r="6618" spans="1:10" ht="15.95" customHeight="1" x14ac:dyDescent="0.2">
      <c r="A6618" s="39"/>
      <c r="B6618" s="36"/>
      <c r="C6618" s="37"/>
      <c r="D6618" s="37"/>
      <c r="E6618" s="37"/>
      <c r="F6618" s="37"/>
      <c r="G6618" s="37"/>
      <c r="H6618" s="37"/>
      <c r="I6618" s="35"/>
      <c r="J6618" s="37"/>
    </row>
    <row r="6619" spans="1:10" ht="15.95" customHeight="1" x14ac:dyDescent="0.2">
      <c r="A6619" s="39"/>
      <c r="B6619" s="36"/>
      <c r="C6619" s="37"/>
      <c r="D6619" s="37"/>
      <c r="E6619" s="37"/>
      <c r="F6619" s="37"/>
      <c r="G6619" s="37"/>
      <c r="H6619" s="37"/>
      <c r="I6619" s="35"/>
      <c r="J6619" s="37"/>
    </row>
    <row r="6620" spans="1:10" ht="15.95" customHeight="1" x14ac:dyDescent="0.2">
      <c r="A6620" s="39"/>
      <c r="B6620" s="36"/>
      <c r="C6620" s="37"/>
      <c r="D6620" s="37"/>
      <c r="E6620" s="37"/>
      <c r="F6620" s="37"/>
      <c r="G6620" s="37"/>
      <c r="H6620" s="37"/>
      <c r="I6620" s="35"/>
      <c r="J6620" s="37"/>
    </row>
    <row r="6621" spans="1:10" ht="15.95" customHeight="1" x14ac:dyDescent="0.2">
      <c r="A6621" s="39"/>
      <c r="B6621" s="36"/>
      <c r="C6621" s="37"/>
      <c r="D6621" s="37"/>
      <c r="E6621" s="37"/>
      <c r="F6621" s="37"/>
      <c r="G6621" s="37"/>
      <c r="H6621" s="37"/>
      <c r="I6621" s="35"/>
      <c r="J6621" s="37"/>
    </row>
    <row r="6622" spans="1:10" ht="15.95" customHeight="1" x14ac:dyDescent="0.2">
      <c r="A6622" s="39"/>
      <c r="B6622" s="36"/>
      <c r="C6622" s="37"/>
      <c r="D6622" s="37"/>
      <c r="E6622" s="37"/>
      <c r="F6622" s="37"/>
      <c r="G6622" s="37"/>
      <c r="H6622" s="37"/>
      <c r="I6622" s="35"/>
      <c r="J6622" s="37"/>
    </row>
    <row r="6623" spans="1:10" ht="15.95" customHeight="1" x14ac:dyDescent="0.2">
      <c r="A6623" s="39"/>
      <c r="B6623" s="36"/>
      <c r="C6623" s="37"/>
      <c r="D6623" s="37"/>
      <c r="E6623" s="37"/>
      <c r="F6623" s="37"/>
      <c r="G6623" s="37"/>
      <c r="H6623" s="37"/>
      <c r="I6623" s="35"/>
      <c r="J6623" s="37"/>
    </row>
    <row r="6624" spans="1:10" ht="15.95" customHeight="1" x14ac:dyDescent="0.2">
      <c r="A6624" s="39"/>
      <c r="B6624" s="36"/>
      <c r="C6624" s="37"/>
      <c r="D6624" s="37"/>
      <c r="E6624" s="37"/>
      <c r="F6624" s="37"/>
      <c r="G6624" s="37"/>
      <c r="H6624" s="37"/>
      <c r="I6624" s="35"/>
      <c r="J6624" s="37"/>
    </row>
    <row r="6625" spans="1:10" ht="15.95" customHeight="1" x14ac:dyDescent="0.2">
      <c r="A6625" s="39"/>
      <c r="B6625" s="36"/>
      <c r="C6625" s="37"/>
      <c r="D6625" s="37"/>
      <c r="E6625" s="37"/>
      <c r="F6625" s="37"/>
      <c r="G6625" s="37"/>
      <c r="H6625" s="37"/>
      <c r="I6625" s="35"/>
      <c r="J6625" s="37"/>
    </row>
    <row r="6626" spans="1:10" ht="15.95" customHeight="1" x14ac:dyDescent="0.2">
      <c r="A6626" s="39"/>
      <c r="B6626" s="36"/>
      <c r="C6626" s="37"/>
      <c r="D6626" s="37"/>
      <c r="E6626" s="37"/>
      <c r="F6626" s="37"/>
      <c r="G6626" s="37"/>
      <c r="H6626" s="37"/>
      <c r="I6626" s="35"/>
      <c r="J6626" s="37"/>
    </row>
    <row r="6627" spans="1:10" ht="15.95" customHeight="1" x14ac:dyDescent="0.2">
      <c r="A6627" s="39"/>
      <c r="B6627" s="36"/>
      <c r="C6627" s="37"/>
      <c r="D6627" s="37"/>
      <c r="E6627" s="37"/>
      <c r="F6627" s="37"/>
      <c r="G6627" s="37"/>
      <c r="H6627" s="37"/>
      <c r="I6627" s="35"/>
      <c r="J6627" s="37"/>
    </row>
    <row r="6628" spans="1:10" ht="15.95" customHeight="1" x14ac:dyDescent="0.2">
      <c r="A6628" s="39"/>
      <c r="B6628" s="36"/>
      <c r="C6628" s="37"/>
      <c r="D6628" s="37"/>
      <c r="E6628" s="37"/>
      <c r="F6628" s="37"/>
      <c r="G6628" s="37"/>
      <c r="H6628" s="37"/>
      <c r="I6628" s="35"/>
      <c r="J6628" s="37"/>
    </row>
    <row r="6629" spans="1:10" ht="15.95" customHeight="1" x14ac:dyDescent="0.2">
      <c r="A6629" s="39"/>
      <c r="B6629" s="36"/>
      <c r="C6629" s="37"/>
      <c r="D6629" s="37"/>
      <c r="E6629" s="37"/>
      <c r="F6629" s="37"/>
      <c r="G6629" s="37"/>
      <c r="H6629" s="37"/>
      <c r="I6629" s="35"/>
      <c r="J6629" s="37"/>
    </row>
    <row r="6630" spans="1:10" ht="15.95" customHeight="1" x14ac:dyDescent="0.2">
      <c r="A6630" s="39"/>
      <c r="B6630" s="36"/>
      <c r="C6630" s="37"/>
      <c r="D6630" s="37"/>
      <c r="E6630" s="37"/>
      <c r="F6630" s="37"/>
      <c r="G6630" s="37"/>
      <c r="H6630" s="37"/>
      <c r="I6630" s="35"/>
      <c r="J6630" s="37"/>
    </row>
    <row r="6631" spans="1:10" ht="15.95" customHeight="1" x14ac:dyDescent="0.2">
      <c r="A6631" s="39"/>
      <c r="B6631" s="36"/>
      <c r="C6631" s="37"/>
      <c r="D6631" s="37"/>
      <c r="E6631" s="37"/>
      <c r="F6631" s="37"/>
      <c r="G6631" s="37"/>
      <c r="H6631" s="37"/>
      <c r="I6631" s="35"/>
      <c r="J6631" s="37"/>
    </row>
    <row r="6632" spans="1:10" ht="15.95" customHeight="1" x14ac:dyDescent="0.2">
      <c r="A6632" s="39"/>
      <c r="B6632" s="36"/>
      <c r="C6632" s="37"/>
      <c r="D6632" s="37"/>
      <c r="E6632" s="37"/>
      <c r="F6632" s="37"/>
      <c r="G6632" s="37"/>
      <c r="H6632" s="37"/>
      <c r="I6632" s="35"/>
      <c r="J6632" s="37"/>
    </row>
    <row r="6633" spans="1:10" ht="15.95" customHeight="1" x14ac:dyDescent="0.2">
      <c r="A6633" s="39"/>
      <c r="B6633" s="36"/>
      <c r="C6633" s="37"/>
      <c r="D6633" s="37"/>
      <c r="E6633" s="37"/>
      <c r="F6633" s="37"/>
      <c r="G6633" s="37"/>
      <c r="H6633" s="37"/>
      <c r="I6633" s="35"/>
      <c r="J6633" s="37"/>
    </row>
    <row r="6634" spans="1:10" ht="15.95" customHeight="1" x14ac:dyDescent="0.2">
      <c r="A6634" s="39"/>
      <c r="B6634" s="36"/>
      <c r="C6634" s="37"/>
      <c r="D6634" s="37"/>
      <c r="E6634" s="37"/>
      <c r="F6634" s="37"/>
      <c r="G6634" s="37"/>
      <c r="H6634" s="37"/>
      <c r="I6634" s="35"/>
      <c r="J6634" s="37"/>
    </row>
    <row r="6635" spans="1:10" ht="15.95" customHeight="1" x14ac:dyDescent="0.2">
      <c r="A6635" s="39"/>
      <c r="B6635" s="36"/>
      <c r="C6635" s="37"/>
      <c r="D6635" s="37"/>
      <c r="E6635" s="37"/>
      <c r="F6635" s="37"/>
      <c r="G6635" s="37"/>
      <c r="H6635" s="37"/>
      <c r="I6635" s="35"/>
      <c r="J6635" s="37"/>
    </row>
    <row r="6636" spans="1:10" ht="15.95" customHeight="1" x14ac:dyDescent="0.2">
      <c r="A6636" s="39"/>
      <c r="B6636" s="36"/>
      <c r="C6636" s="37"/>
      <c r="D6636" s="37"/>
      <c r="E6636" s="37"/>
      <c r="F6636" s="37"/>
      <c r="G6636" s="37"/>
      <c r="H6636" s="37"/>
      <c r="I6636" s="35"/>
      <c r="J6636" s="37"/>
    </row>
    <row r="6637" spans="1:10" ht="15.95" customHeight="1" x14ac:dyDescent="0.2">
      <c r="A6637" s="39"/>
      <c r="B6637" s="36"/>
      <c r="C6637" s="37"/>
      <c r="D6637" s="37"/>
      <c r="E6637" s="37"/>
      <c r="F6637" s="37"/>
      <c r="G6637" s="37"/>
      <c r="H6637" s="37"/>
      <c r="I6637" s="35"/>
      <c r="J6637" s="37"/>
    </row>
    <row r="6638" spans="1:10" ht="15.95" customHeight="1" x14ac:dyDescent="0.2">
      <c r="A6638" s="39"/>
      <c r="B6638" s="36"/>
      <c r="C6638" s="37"/>
      <c r="D6638" s="37"/>
      <c r="E6638" s="37"/>
      <c r="F6638" s="37"/>
      <c r="G6638" s="37"/>
      <c r="H6638" s="37"/>
      <c r="I6638" s="35"/>
      <c r="J6638" s="37"/>
    </row>
    <row r="6639" spans="1:10" ht="15.95" customHeight="1" x14ac:dyDescent="0.2">
      <c r="A6639" s="39"/>
      <c r="B6639" s="36"/>
      <c r="C6639" s="37"/>
      <c r="D6639" s="37"/>
      <c r="E6639" s="37"/>
      <c r="F6639" s="37"/>
      <c r="G6639" s="37"/>
      <c r="H6639" s="37"/>
      <c r="I6639" s="35"/>
      <c r="J6639" s="37"/>
    </row>
    <row r="6640" spans="1:10" ht="15.95" customHeight="1" x14ac:dyDescent="0.2">
      <c r="A6640" s="39"/>
      <c r="B6640" s="36"/>
      <c r="C6640" s="37"/>
      <c r="D6640" s="37"/>
      <c r="E6640" s="37"/>
      <c r="F6640" s="37"/>
      <c r="G6640" s="37"/>
      <c r="H6640" s="37"/>
      <c r="I6640" s="35"/>
      <c r="J6640" s="37"/>
    </row>
    <row r="6641" spans="1:10" ht="15.95" customHeight="1" x14ac:dyDescent="0.2">
      <c r="A6641" s="39"/>
      <c r="B6641" s="36"/>
      <c r="C6641" s="37"/>
      <c r="D6641" s="37"/>
      <c r="E6641" s="37"/>
      <c r="F6641" s="37"/>
      <c r="G6641" s="37"/>
      <c r="H6641" s="37"/>
      <c r="I6641" s="35"/>
      <c r="J6641" s="37"/>
    </row>
    <row r="6642" spans="1:10" ht="15.95" customHeight="1" x14ac:dyDescent="0.2">
      <c r="A6642" s="39"/>
      <c r="B6642" s="36"/>
      <c r="C6642" s="37"/>
      <c r="D6642" s="37"/>
      <c r="E6642" s="37"/>
      <c r="F6642" s="37"/>
      <c r="G6642" s="37"/>
      <c r="H6642" s="37"/>
      <c r="I6642" s="35"/>
      <c r="J6642" s="37"/>
    </row>
    <row r="6643" spans="1:10" ht="15.95" customHeight="1" x14ac:dyDescent="0.2">
      <c r="A6643" s="39"/>
      <c r="B6643" s="36"/>
      <c r="C6643" s="37"/>
      <c r="D6643" s="37"/>
      <c r="E6643" s="37"/>
      <c r="F6643" s="37"/>
      <c r="G6643" s="37"/>
      <c r="H6643" s="37"/>
      <c r="I6643" s="35"/>
      <c r="J6643" s="37"/>
    </row>
    <row r="6644" spans="1:10" ht="15.95" customHeight="1" x14ac:dyDescent="0.2">
      <c r="A6644" s="39"/>
      <c r="B6644" s="36"/>
      <c r="C6644" s="37"/>
      <c r="D6644" s="37"/>
      <c r="E6644" s="37"/>
      <c r="F6644" s="37"/>
      <c r="G6644" s="37"/>
      <c r="H6644" s="37"/>
      <c r="I6644" s="35"/>
      <c r="J6644" s="37"/>
    </row>
    <row r="6645" spans="1:10" ht="15.95" customHeight="1" x14ac:dyDescent="0.2">
      <c r="A6645" s="39"/>
      <c r="B6645" s="36"/>
      <c r="C6645" s="37"/>
      <c r="D6645" s="37"/>
      <c r="E6645" s="37"/>
      <c r="F6645" s="37"/>
      <c r="G6645" s="37"/>
      <c r="H6645" s="37"/>
      <c r="I6645" s="35"/>
      <c r="J6645" s="37"/>
    </row>
    <row r="6646" spans="1:10" ht="15.95" customHeight="1" x14ac:dyDescent="0.2">
      <c r="A6646" s="39"/>
      <c r="B6646" s="36"/>
      <c r="C6646" s="37"/>
      <c r="D6646" s="37"/>
      <c r="E6646" s="37"/>
      <c r="F6646" s="37"/>
      <c r="G6646" s="37"/>
      <c r="H6646" s="37"/>
      <c r="I6646" s="35"/>
      <c r="J6646" s="37"/>
    </row>
    <row r="6647" spans="1:10" ht="15.95" customHeight="1" x14ac:dyDescent="0.2">
      <c r="A6647" s="39"/>
      <c r="B6647" s="36"/>
      <c r="C6647" s="37"/>
      <c r="D6647" s="37"/>
      <c r="E6647" s="37"/>
      <c r="F6647" s="37"/>
      <c r="G6647" s="37"/>
      <c r="H6647" s="37"/>
      <c r="I6647" s="35"/>
      <c r="J6647" s="37"/>
    </row>
    <row r="6648" spans="1:10" ht="15.95" customHeight="1" x14ac:dyDescent="0.2">
      <c r="A6648" s="39"/>
      <c r="B6648" s="36"/>
      <c r="C6648" s="37"/>
      <c r="D6648" s="37"/>
      <c r="E6648" s="37"/>
      <c r="F6648" s="37"/>
      <c r="G6648" s="37"/>
      <c r="H6648" s="37"/>
      <c r="I6648" s="35"/>
      <c r="J6648" s="37"/>
    </row>
    <row r="6649" spans="1:10" ht="15.95" customHeight="1" x14ac:dyDescent="0.2">
      <c r="A6649" s="39"/>
      <c r="B6649" s="36"/>
      <c r="C6649" s="37"/>
      <c r="D6649" s="37"/>
      <c r="E6649" s="37"/>
      <c r="F6649" s="37"/>
      <c r="G6649" s="37"/>
      <c r="H6649" s="37"/>
      <c r="I6649" s="35"/>
      <c r="J6649" s="37"/>
    </row>
    <row r="6650" spans="1:10" ht="15.95" customHeight="1" x14ac:dyDescent="0.2">
      <c r="A6650" s="39"/>
      <c r="B6650" s="36"/>
      <c r="C6650" s="37"/>
      <c r="D6650" s="37"/>
      <c r="E6650" s="37"/>
      <c r="F6650" s="37"/>
      <c r="G6650" s="37"/>
      <c r="H6650" s="37"/>
      <c r="I6650" s="35"/>
      <c r="J6650" s="37"/>
    </row>
    <row r="6651" spans="1:10" ht="15.95" customHeight="1" x14ac:dyDescent="0.2">
      <c r="A6651" s="39"/>
      <c r="B6651" s="36"/>
      <c r="C6651" s="37"/>
      <c r="D6651" s="37"/>
      <c r="E6651" s="37"/>
      <c r="F6651" s="37"/>
      <c r="G6651" s="37"/>
      <c r="H6651" s="37"/>
      <c r="I6651" s="35"/>
      <c r="J6651" s="37"/>
    </row>
    <row r="6652" spans="1:10" ht="15.95" customHeight="1" x14ac:dyDescent="0.2">
      <c r="A6652" s="39"/>
      <c r="B6652" s="36"/>
      <c r="C6652" s="37"/>
      <c r="D6652" s="37"/>
      <c r="E6652" s="37"/>
      <c r="F6652" s="37"/>
      <c r="G6652" s="37"/>
      <c r="H6652" s="37"/>
      <c r="I6652" s="35"/>
      <c r="J6652" s="37"/>
    </row>
    <row r="6653" spans="1:10" ht="15.95" customHeight="1" x14ac:dyDescent="0.2">
      <c r="A6653" s="39"/>
      <c r="B6653" s="36"/>
      <c r="C6653" s="37"/>
      <c r="D6653" s="37"/>
      <c r="E6653" s="37"/>
      <c r="F6653" s="37"/>
      <c r="G6653" s="37"/>
      <c r="H6653" s="37"/>
      <c r="I6653" s="35"/>
      <c r="J6653" s="37"/>
    </row>
    <row r="6654" spans="1:10" ht="15.95" customHeight="1" x14ac:dyDescent="0.2">
      <c r="A6654" s="39"/>
      <c r="B6654" s="36"/>
      <c r="C6654" s="37"/>
      <c r="D6654" s="37"/>
      <c r="E6654" s="37"/>
      <c r="F6654" s="37"/>
      <c r="G6654" s="37"/>
      <c r="H6654" s="37"/>
      <c r="I6654" s="35"/>
      <c r="J6654" s="37"/>
    </row>
    <row r="6655" spans="1:10" ht="15.95" customHeight="1" x14ac:dyDescent="0.2">
      <c r="A6655" s="39"/>
      <c r="B6655" s="36"/>
      <c r="C6655" s="37"/>
      <c r="D6655" s="37"/>
      <c r="E6655" s="37"/>
      <c r="F6655" s="37"/>
      <c r="G6655" s="37"/>
      <c r="H6655" s="37"/>
      <c r="I6655" s="35"/>
      <c r="J6655" s="37"/>
    </row>
    <row r="6656" spans="1:10" ht="15.95" customHeight="1" x14ac:dyDescent="0.2">
      <c r="A6656" s="39"/>
      <c r="B6656" s="36"/>
      <c r="C6656" s="37"/>
      <c r="D6656" s="37"/>
      <c r="E6656" s="37"/>
      <c r="F6656" s="37"/>
      <c r="G6656" s="37"/>
      <c r="H6656" s="37"/>
      <c r="I6656" s="35"/>
      <c r="J6656" s="37"/>
    </row>
    <row r="6657" spans="1:10" ht="15.95" customHeight="1" x14ac:dyDescent="0.2">
      <c r="A6657" s="39"/>
      <c r="B6657" s="36"/>
      <c r="C6657" s="37"/>
      <c r="D6657" s="37"/>
      <c r="E6657" s="37"/>
      <c r="F6657" s="37"/>
      <c r="G6657" s="37"/>
      <c r="H6657" s="37"/>
      <c r="I6657" s="35"/>
      <c r="J6657" s="37"/>
    </row>
    <row r="6658" spans="1:10" ht="15.95" customHeight="1" x14ac:dyDescent="0.2">
      <c r="A6658" s="39"/>
      <c r="B6658" s="36"/>
      <c r="C6658" s="37"/>
      <c r="D6658" s="37"/>
      <c r="E6658" s="37"/>
      <c r="F6658" s="37"/>
      <c r="G6658" s="37"/>
      <c r="H6658" s="37"/>
      <c r="I6658" s="35"/>
      <c r="J6658" s="37"/>
    </row>
    <row r="6659" spans="1:10" ht="15.95" customHeight="1" x14ac:dyDescent="0.2">
      <c r="A6659" s="39"/>
      <c r="B6659" s="36"/>
      <c r="C6659" s="37"/>
      <c r="D6659" s="37"/>
      <c r="E6659" s="37"/>
      <c r="F6659" s="37"/>
      <c r="G6659" s="37"/>
      <c r="H6659" s="37"/>
      <c r="I6659" s="35"/>
      <c r="J6659" s="37"/>
    </row>
    <row r="6660" spans="1:10" ht="15.95" customHeight="1" x14ac:dyDescent="0.2">
      <c r="A6660" s="39"/>
      <c r="B6660" s="36"/>
      <c r="C6660" s="37"/>
      <c r="D6660" s="37"/>
      <c r="E6660" s="37"/>
      <c r="F6660" s="37"/>
      <c r="G6660" s="37"/>
      <c r="H6660" s="37"/>
      <c r="I6660" s="35"/>
      <c r="J6660" s="37"/>
    </row>
    <row r="6661" spans="1:10" ht="15.95" customHeight="1" x14ac:dyDescent="0.2">
      <c r="A6661" s="39"/>
      <c r="B6661" s="36"/>
      <c r="C6661" s="37"/>
      <c r="D6661" s="37"/>
      <c r="E6661" s="37"/>
      <c r="F6661" s="37"/>
      <c r="G6661" s="37"/>
      <c r="H6661" s="37"/>
      <c r="I6661" s="35"/>
      <c r="J6661" s="37"/>
    </row>
    <row r="6662" spans="1:10" ht="15.95" customHeight="1" x14ac:dyDescent="0.2">
      <c r="A6662" s="39"/>
      <c r="B6662" s="36"/>
      <c r="C6662" s="37"/>
      <c r="D6662" s="37"/>
      <c r="E6662" s="37"/>
      <c r="F6662" s="37"/>
      <c r="G6662" s="37"/>
      <c r="H6662" s="37"/>
      <c r="I6662" s="35"/>
      <c r="J6662" s="37"/>
    </row>
    <row r="6663" spans="1:10" ht="15.95" customHeight="1" x14ac:dyDescent="0.2">
      <c r="A6663" s="39"/>
      <c r="B6663" s="36"/>
      <c r="C6663" s="37"/>
      <c r="D6663" s="37"/>
      <c r="E6663" s="37"/>
      <c r="F6663" s="37"/>
      <c r="G6663" s="37"/>
      <c r="H6663" s="37"/>
      <c r="I6663" s="35"/>
      <c r="J6663" s="37"/>
    </row>
    <row r="6664" spans="1:10" ht="15.95" customHeight="1" x14ac:dyDescent="0.2">
      <c r="A6664" s="39"/>
      <c r="B6664" s="36"/>
      <c r="C6664" s="37"/>
      <c r="D6664" s="37"/>
      <c r="E6664" s="37"/>
      <c r="F6664" s="37"/>
      <c r="G6664" s="37"/>
      <c r="H6664" s="37"/>
      <c r="I6664" s="35"/>
      <c r="J6664" s="37"/>
    </row>
    <row r="6665" spans="1:10" ht="15.95" customHeight="1" x14ac:dyDescent="0.2">
      <c r="A6665" s="39"/>
      <c r="B6665" s="36"/>
      <c r="C6665" s="37"/>
      <c r="D6665" s="37"/>
      <c r="E6665" s="37"/>
      <c r="F6665" s="37"/>
      <c r="G6665" s="37"/>
      <c r="H6665" s="37"/>
      <c r="I6665" s="35"/>
      <c r="J6665" s="37"/>
    </row>
    <row r="6666" spans="1:10" ht="15.95" customHeight="1" x14ac:dyDescent="0.2">
      <c r="A6666" s="39"/>
      <c r="B6666" s="36"/>
      <c r="C6666" s="37"/>
      <c r="D6666" s="37"/>
      <c r="E6666" s="37"/>
      <c r="F6666" s="37"/>
      <c r="G6666" s="37"/>
      <c r="H6666" s="37"/>
      <c r="I6666" s="35"/>
      <c r="J6666" s="37"/>
    </row>
    <row r="6667" spans="1:10" ht="15.95" customHeight="1" x14ac:dyDescent="0.2">
      <c r="A6667" s="39"/>
      <c r="B6667" s="36"/>
      <c r="C6667" s="37"/>
      <c r="D6667" s="37"/>
      <c r="E6667" s="37"/>
      <c r="F6667" s="37"/>
      <c r="G6667" s="37"/>
      <c r="H6667" s="37"/>
      <c r="I6667" s="35"/>
      <c r="J6667" s="37"/>
    </row>
    <row r="6668" spans="1:10" ht="15.95" customHeight="1" x14ac:dyDescent="0.2">
      <c r="A6668" s="39"/>
      <c r="B6668" s="36"/>
      <c r="C6668" s="37"/>
      <c r="D6668" s="37"/>
      <c r="E6668" s="37"/>
      <c r="F6668" s="37"/>
      <c r="G6668" s="37"/>
      <c r="H6668" s="37"/>
      <c r="I6668" s="35"/>
      <c r="J6668" s="37"/>
    </row>
    <row r="6669" spans="1:10" ht="15.95" customHeight="1" x14ac:dyDescent="0.2">
      <c r="A6669" s="39"/>
      <c r="B6669" s="36"/>
      <c r="C6669" s="37"/>
      <c r="D6669" s="37"/>
      <c r="E6669" s="37"/>
      <c r="F6669" s="37"/>
      <c r="G6669" s="37"/>
      <c r="H6669" s="37"/>
      <c r="I6669" s="35"/>
      <c r="J6669" s="37"/>
    </row>
    <row r="6670" spans="1:10" ht="15.95" customHeight="1" x14ac:dyDescent="0.2">
      <c r="A6670" s="39"/>
      <c r="B6670" s="36"/>
      <c r="C6670" s="37"/>
      <c r="D6670" s="37"/>
      <c r="E6670" s="37"/>
      <c r="F6670" s="37"/>
      <c r="G6670" s="37"/>
      <c r="H6670" s="37"/>
      <c r="I6670" s="35"/>
      <c r="J6670" s="37"/>
    </row>
    <row r="6671" spans="1:10" ht="15.95" customHeight="1" x14ac:dyDescent="0.2">
      <c r="A6671" s="39"/>
      <c r="B6671" s="36"/>
      <c r="C6671" s="37"/>
      <c r="D6671" s="37"/>
      <c r="E6671" s="37"/>
      <c r="F6671" s="37"/>
      <c r="G6671" s="37"/>
      <c r="H6671" s="37"/>
      <c r="I6671" s="35"/>
      <c r="J6671" s="37"/>
    </row>
    <row r="6672" spans="1:10" ht="15.95" customHeight="1" x14ac:dyDescent="0.2">
      <c r="A6672" s="39"/>
      <c r="B6672" s="36"/>
      <c r="C6672" s="37"/>
      <c r="D6672" s="37"/>
      <c r="E6672" s="37"/>
      <c r="F6672" s="37"/>
      <c r="G6672" s="37"/>
      <c r="H6672" s="37"/>
      <c r="I6672" s="35"/>
      <c r="J6672" s="37"/>
    </row>
    <row r="6673" spans="1:10" ht="15.95" customHeight="1" x14ac:dyDescent="0.2">
      <c r="A6673" s="39"/>
      <c r="B6673" s="36"/>
      <c r="C6673" s="37"/>
      <c r="D6673" s="37"/>
      <c r="E6673" s="37"/>
      <c r="F6673" s="37"/>
      <c r="G6673" s="37"/>
      <c r="H6673" s="37"/>
      <c r="I6673" s="35"/>
      <c r="J6673" s="37"/>
    </row>
    <row r="6674" spans="1:10" ht="15.95" customHeight="1" x14ac:dyDescent="0.2">
      <c r="A6674" s="39"/>
      <c r="B6674" s="36"/>
      <c r="C6674" s="37"/>
      <c r="D6674" s="37"/>
      <c r="E6674" s="37"/>
      <c r="F6674" s="37"/>
      <c r="G6674" s="37"/>
      <c r="H6674" s="37"/>
      <c r="I6674" s="35"/>
      <c r="J6674" s="37"/>
    </row>
    <row r="6675" spans="1:10" ht="15.95" customHeight="1" x14ac:dyDescent="0.2">
      <c r="A6675" s="39"/>
      <c r="B6675" s="36"/>
      <c r="C6675" s="37"/>
      <c r="D6675" s="37"/>
      <c r="E6675" s="37"/>
      <c r="F6675" s="37"/>
      <c r="G6675" s="37"/>
      <c r="H6675" s="37"/>
      <c r="I6675" s="35"/>
      <c r="J6675" s="37"/>
    </row>
    <row r="6676" spans="1:10" ht="15.95" customHeight="1" x14ac:dyDescent="0.2">
      <c r="A6676" s="39"/>
      <c r="B6676" s="36"/>
      <c r="C6676" s="37"/>
      <c r="D6676" s="37"/>
      <c r="E6676" s="37"/>
      <c r="F6676" s="37"/>
      <c r="G6676" s="37"/>
      <c r="H6676" s="37"/>
      <c r="I6676" s="35"/>
      <c r="J6676" s="37"/>
    </row>
    <row r="6677" spans="1:10" ht="15.95" customHeight="1" x14ac:dyDescent="0.2">
      <c r="A6677" s="39"/>
      <c r="B6677" s="36"/>
      <c r="C6677" s="37"/>
      <c r="D6677" s="37"/>
      <c r="E6677" s="37"/>
      <c r="F6677" s="37"/>
      <c r="G6677" s="37"/>
      <c r="H6677" s="37"/>
      <c r="I6677" s="35"/>
      <c r="J6677" s="37"/>
    </row>
    <row r="6678" spans="1:10" ht="15.95" customHeight="1" x14ac:dyDescent="0.2">
      <c r="A6678" s="39"/>
      <c r="B6678" s="36"/>
      <c r="C6678" s="37"/>
      <c r="D6678" s="37"/>
      <c r="E6678" s="37"/>
      <c r="F6678" s="37"/>
      <c r="G6678" s="37"/>
      <c r="H6678" s="37"/>
      <c r="I6678" s="35"/>
      <c r="J6678" s="37"/>
    </row>
    <row r="6679" spans="1:10" ht="15.95" customHeight="1" x14ac:dyDescent="0.2">
      <c r="A6679" s="39"/>
      <c r="B6679" s="36"/>
      <c r="C6679" s="37"/>
      <c r="D6679" s="37"/>
      <c r="E6679" s="37"/>
      <c r="F6679" s="37"/>
      <c r="G6679" s="37"/>
      <c r="H6679" s="37"/>
      <c r="I6679" s="35"/>
      <c r="J6679" s="37"/>
    </row>
    <row r="6680" spans="1:10" ht="15.95" customHeight="1" x14ac:dyDescent="0.2">
      <c r="A6680" s="39"/>
      <c r="B6680" s="36"/>
      <c r="C6680" s="37"/>
      <c r="D6680" s="37"/>
      <c r="E6680" s="37"/>
      <c r="F6680" s="37"/>
      <c r="G6680" s="37"/>
      <c r="H6680" s="37"/>
      <c r="I6680" s="35"/>
      <c r="J6680" s="37"/>
    </row>
    <row r="6681" spans="1:10" ht="15.95" customHeight="1" x14ac:dyDescent="0.2">
      <c r="A6681" s="39"/>
      <c r="B6681" s="36"/>
      <c r="C6681" s="37"/>
      <c r="D6681" s="37"/>
      <c r="E6681" s="37"/>
      <c r="F6681" s="37"/>
      <c r="G6681" s="37"/>
      <c r="H6681" s="37"/>
      <c r="I6681" s="35"/>
      <c r="J6681" s="37"/>
    </row>
    <row r="6682" spans="1:10" ht="15.95" customHeight="1" x14ac:dyDescent="0.2">
      <c r="A6682" s="39"/>
      <c r="B6682" s="36"/>
      <c r="C6682" s="37"/>
      <c r="D6682" s="37"/>
      <c r="E6682" s="37"/>
      <c r="F6682" s="37"/>
      <c r="G6682" s="37"/>
      <c r="H6682" s="37"/>
      <c r="I6682" s="35"/>
      <c r="J6682" s="37"/>
    </row>
    <row r="6683" spans="1:10" ht="15.95" customHeight="1" x14ac:dyDescent="0.2">
      <c r="A6683" s="39"/>
      <c r="B6683" s="36"/>
      <c r="C6683" s="37"/>
      <c r="D6683" s="37"/>
      <c r="E6683" s="37"/>
      <c r="F6683" s="37"/>
      <c r="G6683" s="37"/>
      <c r="H6683" s="37"/>
      <c r="I6683" s="35"/>
      <c r="J6683" s="37"/>
    </row>
    <row r="6684" spans="1:10" ht="15.95" customHeight="1" x14ac:dyDescent="0.2">
      <c r="A6684" s="39"/>
      <c r="B6684" s="36"/>
      <c r="C6684" s="37"/>
      <c r="D6684" s="37"/>
      <c r="E6684" s="37"/>
      <c r="F6684" s="37"/>
      <c r="G6684" s="37"/>
      <c r="H6684" s="37"/>
      <c r="I6684" s="35"/>
      <c r="J6684" s="37"/>
    </row>
    <row r="6685" spans="1:10" ht="15.95" customHeight="1" x14ac:dyDescent="0.2">
      <c r="A6685" s="39"/>
      <c r="B6685" s="36"/>
      <c r="C6685" s="37"/>
      <c r="D6685" s="37"/>
      <c r="E6685" s="37"/>
      <c r="F6685" s="37"/>
      <c r="G6685" s="37"/>
      <c r="H6685" s="37"/>
      <c r="I6685" s="35"/>
      <c r="J6685" s="37"/>
    </row>
    <row r="6686" spans="1:10" ht="15.95" customHeight="1" x14ac:dyDescent="0.2">
      <c r="A6686" s="39"/>
      <c r="B6686" s="36"/>
      <c r="C6686" s="37"/>
      <c r="D6686" s="37"/>
      <c r="E6686" s="37"/>
      <c r="F6686" s="37"/>
      <c r="G6686" s="37"/>
      <c r="H6686" s="37"/>
      <c r="I6686" s="35"/>
      <c r="J6686" s="37"/>
    </row>
    <row r="6687" spans="1:10" ht="15.95" customHeight="1" x14ac:dyDescent="0.2">
      <c r="A6687" s="39"/>
      <c r="B6687" s="36"/>
      <c r="C6687" s="37"/>
      <c r="D6687" s="37"/>
      <c r="E6687" s="37"/>
      <c r="F6687" s="37"/>
      <c r="G6687" s="37"/>
      <c r="H6687" s="37"/>
      <c r="I6687" s="35"/>
      <c r="J6687" s="37"/>
    </row>
    <row r="6688" spans="1:10" ht="15.95" customHeight="1" x14ac:dyDescent="0.2">
      <c r="A6688" s="39"/>
      <c r="B6688" s="36"/>
      <c r="C6688" s="37"/>
      <c r="D6688" s="37"/>
      <c r="E6688" s="37"/>
      <c r="F6688" s="37"/>
      <c r="G6688" s="37"/>
      <c r="H6688" s="37"/>
      <c r="I6688" s="35"/>
      <c r="J6688" s="37"/>
    </row>
    <row r="6689" spans="1:10" ht="15.95" customHeight="1" x14ac:dyDescent="0.2">
      <c r="A6689" s="39"/>
      <c r="B6689" s="36"/>
      <c r="C6689" s="37"/>
      <c r="D6689" s="37"/>
      <c r="E6689" s="37"/>
      <c r="F6689" s="37"/>
      <c r="G6689" s="37"/>
      <c r="H6689" s="37"/>
      <c r="I6689" s="35"/>
      <c r="J6689" s="37"/>
    </row>
    <row r="6690" spans="1:10" ht="15.95" customHeight="1" x14ac:dyDescent="0.2">
      <c r="A6690" s="39"/>
      <c r="B6690" s="36"/>
      <c r="C6690" s="37"/>
      <c r="D6690" s="37"/>
      <c r="E6690" s="37"/>
      <c r="F6690" s="37"/>
      <c r="G6690" s="37"/>
      <c r="H6690" s="37"/>
      <c r="I6690" s="35"/>
      <c r="J6690" s="37"/>
    </row>
    <row r="6691" spans="1:10" ht="15.95" customHeight="1" x14ac:dyDescent="0.2">
      <c r="A6691" s="39"/>
      <c r="B6691" s="36"/>
      <c r="C6691" s="37"/>
      <c r="D6691" s="37"/>
      <c r="E6691" s="37"/>
      <c r="F6691" s="37"/>
      <c r="G6691" s="37"/>
      <c r="H6691" s="37"/>
      <c r="I6691" s="35"/>
      <c r="J6691" s="37"/>
    </row>
    <row r="6692" spans="1:10" ht="15.95" customHeight="1" x14ac:dyDescent="0.2">
      <c r="A6692" s="39"/>
      <c r="B6692" s="36"/>
      <c r="C6692" s="37"/>
      <c r="D6692" s="37"/>
      <c r="E6692" s="37"/>
      <c r="F6692" s="37"/>
      <c r="G6692" s="37"/>
      <c r="H6692" s="37"/>
      <c r="I6692" s="35"/>
      <c r="J6692" s="37"/>
    </row>
    <row r="6693" spans="1:10" ht="15.95" customHeight="1" x14ac:dyDescent="0.2">
      <c r="A6693" s="39"/>
      <c r="B6693" s="36"/>
      <c r="C6693" s="37"/>
      <c r="D6693" s="37"/>
      <c r="E6693" s="37"/>
      <c r="F6693" s="37"/>
      <c r="G6693" s="37"/>
      <c r="H6693" s="37"/>
      <c r="I6693" s="35"/>
      <c r="J6693" s="37"/>
    </row>
    <row r="6694" spans="1:10" ht="15.95" customHeight="1" x14ac:dyDescent="0.2">
      <c r="A6694" s="39"/>
      <c r="B6694" s="36"/>
      <c r="C6694" s="37"/>
      <c r="D6694" s="37"/>
      <c r="E6694" s="37"/>
      <c r="F6694" s="37"/>
      <c r="G6694" s="37"/>
      <c r="H6694" s="37"/>
      <c r="I6694" s="35"/>
      <c r="J6694" s="37"/>
    </row>
    <row r="6695" spans="1:10" ht="15.95" customHeight="1" x14ac:dyDescent="0.2">
      <c r="A6695" s="39"/>
      <c r="B6695" s="36"/>
      <c r="C6695" s="37"/>
      <c r="D6695" s="37"/>
      <c r="E6695" s="37"/>
      <c r="F6695" s="37"/>
      <c r="G6695" s="37"/>
      <c r="H6695" s="37"/>
      <c r="I6695" s="35"/>
      <c r="J6695" s="37"/>
    </row>
    <row r="6696" spans="1:10" ht="15.95" customHeight="1" x14ac:dyDescent="0.2">
      <c r="A6696" s="39"/>
      <c r="B6696" s="36"/>
      <c r="C6696" s="37"/>
      <c r="D6696" s="37"/>
      <c r="E6696" s="37"/>
      <c r="F6696" s="37"/>
      <c r="G6696" s="37"/>
      <c r="H6696" s="37"/>
      <c r="I6696" s="35"/>
      <c r="J6696" s="37"/>
    </row>
    <row r="6697" spans="1:10" ht="15.95" customHeight="1" x14ac:dyDescent="0.2">
      <c r="A6697" s="39"/>
      <c r="B6697" s="36"/>
      <c r="C6697" s="37"/>
      <c r="D6697" s="37"/>
      <c r="E6697" s="37"/>
      <c r="F6697" s="37"/>
      <c r="G6697" s="37"/>
      <c r="H6697" s="37"/>
      <c r="I6697" s="35"/>
      <c r="J6697" s="37"/>
    </row>
    <row r="6698" spans="1:10" ht="15.95" customHeight="1" x14ac:dyDescent="0.2">
      <c r="A6698" s="39"/>
      <c r="B6698" s="36"/>
      <c r="C6698" s="37"/>
      <c r="D6698" s="37"/>
      <c r="E6698" s="37"/>
      <c r="F6698" s="37"/>
      <c r="G6698" s="37"/>
      <c r="H6698" s="37"/>
      <c r="I6698" s="35"/>
      <c r="J6698" s="37"/>
    </row>
    <row r="6699" spans="1:10" ht="15.95" customHeight="1" x14ac:dyDescent="0.2">
      <c r="A6699" s="39"/>
      <c r="B6699" s="36"/>
      <c r="C6699" s="37"/>
      <c r="D6699" s="37"/>
      <c r="E6699" s="37"/>
      <c r="F6699" s="37"/>
      <c r="G6699" s="37"/>
      <c r="H6699" s="37"/>
      <c r="I6699" s="35"/>
      <c r="J6699" s="37"/>
    </row>
    <row r="6700" spans="1:10" ht="15.95" customHeight="1" x14ac:dyDescent="0.2">
      <c r="A6700" s="39"/>
      <c r="B6700" s="36"/>
      <c r="C6700" s="37"/>
      <c r="D6700" s="37"/>
      <c r="E6700" s="37"/>
      <c r="F6700" s="37"/>
      <c r="G6700" s="37"/>
      <c r="H6700" s="37"/>
      <c r="I6700" s="35"/>
      <c r="J6700" s="37"/>
    </row>
    <row r="6701" spans="1:10" ht="15.95" customHeight="1" x14ac:dyDescent="0.2">
      <c r="A6701" s="39"/>
      <c r="B6701" s="36"/>
      <c r="C6701" s="37"/>
      <c r="D6701" s="37"/>
      <c r="E6701" s="37"/>
      <c r="F6701" s="37"/>
      <c r="G6701" s="37"/>
      <c r="H6701" s="37"/>
      <c r="I6701" s="35"/>
      <c r="J6701" s="37"/>
    </row>
    <row r="6702" spans="1:10" ht="15.95" customHeight="1" x14ac:dyDescent="0.2">
      <c r="A6702" s="39"/>
      <c r="B6702" s="36"/>
      <c r="C6702" s="37"/>
      <c r="D6702" s="37"/>
      <c r="E6702" s="37"/>
      <c r="F6702" s="37"/>
      <c r="G6702" s="37"/>
      <c r="H6702" s="37"/>
      <c r="I6702" s="35"/>
      <c r="J6702" s="37"/>
    </row>
    <row r="6703" spans="1:10" ht="15.95" customHeight="1" x14ac:dyDescent="0.2">
      <c r="A6703" s="39"/>
      <c r="B6703" s="36"/>
      <c r="C6703" s="37"/>
      <c r="D6703" s="37"/>
      <c r="E6703" s="37"/>
      <c r="F6703" s="37"/>
      <c r="G6703" s="37"/>
      <c r="H6703" s="37"/>
      <c r="I6703" s="35"/>
      <c r="J6703" s="37"/>
    </row>
    <row r="6704" spans="1:10" ht="15.95" customHeight="1" x14ac:dyDescent="0.2">
      <c r="A6704" s="39"/>
      <c r="B6704" s="36"/>
      <c r="C6704" s="37"/>
      <c r="D6704" s="37"/>
      <c r="E6704" s="37"/>
      <c r="F6704" s="37"/>
      <c r="G6704" s="37"/>
      <c r="H6704" s="37"/>
      <c r="I6704" s="35"/>
      <c r="J6704" s="37"/>
    </row>
    <row r="6705" spans="1:10" ht="15.95" customHeight="1" x14ac:dyDescent="0.2">
      <c r="A6705" s="39"/>
      <c r="B6705" s="36"/>
      <c r="C6705" s="37"/>
      <c r="D6705" s="37"/>
      <c r="E6705" s="37"/>
      <c r="F6705" s="37"/>
      <c r="G6705" s="37"/>
      <c r="H6705" s="37"/>
      <c r="I6705" s="35"/>
      <c r="J6705" s="37"/>
    </row>
    <row r="6706" spans="1:10" ht="15.95" customHeight="1" x14ac:dyDescent="0.2">
      <c r="A6706" s="39"/>
      <c r="B6706" s="36"/>
      <c r="C6706" s="37"/>
      <c r="D6706" s="37"/>
      <c r="E6706" s="37"/>
      <c r="F6706" s="37"/>
      <c r="G6706" s="37"/>
      <c r="H6706" s="37"/>
      <c r="I6706" s="35"/>
      <c r="J6706" s="37"/>
    </row>
    <row r="6707" spans="1:10" ht="15.95" customHeight="1" x14ac:dyDescent="0.2">
      <c r="A6707" s="39"/>
      <c r="B6707" s="36"/>
      <c r="C6707" s="37"/>
      <c r="D6707" s="37"/>
      <c r="E6707" s="37"/>
      <c r="F6707" s="37"/>
      <c r="G6707" s="37"/>
      <c r="H6707" s="37"/>
      <c r="I6707" s="35"/>
      <c r="J6707" s="37"/>
    </row>
    <row r="6708" spans="1:10" ht="15.95" customHeight="1" x14ac:dyDescent="0.2">
      <c r="A6708" s="39"/>
      <c r="B6708" s="36"/>
      <c r="C6708" s="37"/>
      <c r="D6708" s="37"/>
      <c r="E6708" s="37"/>
      <c r="F6708" s="37"/>
      <c r="G6708" s="37"/>
      <c r="H6708" s="37"/>
      <c r="I6708" s="35"/>
      <c r="J6708" s="37"/>
    </row>
    <row r="6709" spans="1:10" ht="15.95" customHeight="1" x14ac:dyDescent="0.2">
      <c r="A6709" s="39"/>
      <c r="B6709" s="36"/>
      <c r="C6709" s="37"/>
      <c r="D6709" s="37"/>
      <c r="E6709" s="37"/>
      <c r="F6709" s="37"/>
      <c r="G6709" s="37"/>
      <c r="H6709" s="37"/>
      <c r="I6709" s="35"/>
      <c r="J6709" s="37"/>
    </row>
    <row r="6710" spans="1:10" ht="15.95" customHeight="1" x14ac:dyDescent="0.2">
      <c r="A6710" s="39"/>
      <c r="B6710" s="36"/>
      <c r="C6710" s="37"/>
      <c r="D6710" s="37"/>
      <c r="E6710" s="37"/>
      <c r="F6710" s="37"/>
      <c r="G6710" s="37"/>
      <c r="H6710" s="37"/>
      <c r="I6710" s="35"/>
      <c r="J6710" s="37"/>
    </row>
    <row r="6711" spans="1:10" ht="15.95" customHeight="1" x14ac:dyDescent="0.2">
      <c r="A6711" s="39"/>
      <c r="B6711" s="36"/>
      <c r="C6711" s="37"/>
      <c r="D6711" s="37"/>
      <c r="E6711" s="37"/>
      <c r="F6711" s="37"/>
      <c r="G6711" s="37"/>
      <c r="H6711" s="37"/>
      <c r="I6711" s="35"/>
      <c r="J6711" s="37"/>
    </row>
    <row r="6712" spans="1:10" ht="15.95" customHeight="1" x14ac:dyDescent="0.2">
      <c r="A6712" s="39"/>
      <c r="B6712" s="36"/>
      <c r="C6712" s="37"/>
      <c r="D6712" s="37"/>
      <c r="E6712" s="37"/>
      <c r="F6712" s="37"/>
      <c r="G6712" s="37"/>
      <c r="H6712" s="37"/>
      <c r="I6712" s="35"/>
      <c r="J6712" s="37"/>
    </row>
    <row r="6713" spans="1:10" ht="15.95" customHeight="1" x14ac:dyDescent="0.2">
      <c r="A6713" s="39"/>
      <c r="B6713" s="36"/>
      <c r="C6713" s="37"/>
      <c r="D6713" s="37"/>
      <c r="E6713" s="37"/>
      <c r="F6713" s="37"/>
      <c r="G6713" s="37"/>
      <c r="H6713" s="37"/>
      <c r="I6713" s="35"/>
      <c r="J6713" s="37"/>
    </row>
    <row r="6714" spans="1:10" ht="15.95" customHeight="1" x14ac:dyDescent="0.2">
      <c r="A6714" s="39"/>
      <c r="B6714" s="36"/>
      <c r="C6714" s="37"/>
      <c r="D6714" s="37"/>
      <c r="E6714" s="37"/>
      <c r="F6714" s="37"/>
      <c r="G6714" s="37"/>
      <c r="H6714" s="37"/>
      <c r="I6714" s="35"/>
      <c r="J6714" s="37"/>
    </row>
    <row r="6715" spans="1:10" ht="15.95" customHeight="1" x14ac:dyDescent="0.2">
      <c r="A6715" s="39"/>
      <c r="B6715" s="36"/>
      <c r="C6715" s="37"/>
      <c r="D6715" s="37"/>
      <c r="E6715" s="37"/>
      <c r="F6715" s="37"/>
      <c r="G6715" s="37"/>
      <c r="H6715" s="37"/>
      <c r="I6715" s="35"/>
      <c r="J6715" s="37"/>
    </row>
    <row r="6716" spans="1:10" ht="15.95" customHeight="1" x14ac:dyDescent="0.2">
      <c r="A6716" s="39"/>
      <c r="B6716" s="36"/>
      <c r="C6716" s="37"/>
      <c r="D6716" s="37"/>
      <c r="E6716" s="37"/>
      <c r="F6716" s="37"/>
      <c r="G6716" s="37"/>
      <c r="H6716" s="37"/>
      <c r="I6716" s="35"/>
      <c r="J6716" s="37"/>
    </row>
    <row r="6717" spans="1:10" ht="15.95" customHeight="1" x14ac:dyDescent="0.2">
      <c r="A6717" s="39"/>
      <c r="B6717" s="36"/>
      <c r="C6717" s="37"/>
      <c r="D6717" s="37"/>
      <c r="E6717" s="37"/>
      <c r="F6717" s="37"/>
      <c r="G6717" s="37"/>
      <c r="H6717" s="37"/>
      <c r="I6717" s="35"/>
      <c r="J6717" s="37"/>
    </row>
    <row r="6718" spans="1:10" ht="15.95" customHeight="1" x14ac:dyDescent="0.2">
      <c r="A6718" s="39"/>
      <c r="B6718" s="36"/>
      <c r="C6718" s="37"/>
      <c r="D6718" s="37"/>
      <c r="E6718" s="37"/>
      <c r="F6718" s="37"/>
      <c r="G6718" s="37"/>
      <c r="H6718" s="37"/>
      <c r="I6718" s="35"/>
      <c r="J6718" s="37"/>
    </row>
    <row r="6719" spans="1:10" ht="15.95" customHeight="1" x14ac:dyDescent="0.2">
      <c r="A6719" s="39"/>
      <c r="B6719" s="36"/>
      <c r="C6719" s="37"/>
      <c r="D6719" s="37"/>
      <c r="E6719" s="37"/>
      <c r="F6719" s="37"/>
      <c r="G6719" s="37"/>
      <c r="H6719" s="37"/>
      <c r="I6719" s="35"/>
      <c r="J6719" s="37"/>
    </row>
    <row r="6720" spans="1:10" ht="15.95" customHeight="1" x14ac:dyDescent="0.2">
      <c r="A6720" s="39"/>
      <c r="B6720" s="36"/>
      <c r="C6720" s="37"/>
      <c r="D6720" s="37"/>
      <c r="E6720" s="37"/>
      <c r="F6720" s="37"/>
      <c r="G6720" s="37"/>
      <c r="H6720" s="37"/>
      <c r="I6720" s="35"/>
      <c r="J6720" s="37"/>
    </row>
    <row r="6721" spans="1:10" ht="15.95" customHeight="1" x14ac:dyDescent="0.2">
      <c r="A6721" s="39"/>
      <c r="B6721" s="36"/>
      <c r="C6721" s="37"/>
      <c r="D6721" s="37"/>
      <c r="E6721" s="37"/>
      <c r="F6721" s="37"/>
      <c r="G6721" s="37"/>
      <c r="H6721" s="37"/>
      <c r="I6721" s="35"/>
      <c r="J6721" s="37"/>
    </row>
    <row r="6722" spans="1:10" ht="15.95" customHeight="1" x14ac:dyDescent="0.2">
      <c r="A6722" s="39"/>
      <c r="B6722" s="36"/>
      <c r="C6722" s="37"/>
      <c r="D6722" s="37"/>
      <c r="E6722" s="37"/>
      <c r="F6722" s="37"/>
      <c r="G6722" s="37"/>
      <c r="H6722" s="37"/>
      <c r="I6722" s="35"/>
      <c r="J6722" s="37"/>
    </row>
    <row r="6723" spans="1:10" ht="15.95" customHeight="1" x14ac:dyDescent="0.2">
      <c r="A6723" s="39"/>
      <c r="B6723" s="36"/>
      <c r="C6723" s="37"/>
      <c r="D6723" s="37"/>
      <c r="E6723" s="37"/>
      <c r="F6723" s="37"/>
      <c r="G6723" s="37"/>
      <c r="H6723" s="37"/>
      <c r="I6723" s="35"/>
      <c r="J6723" s="37"/>
    </row>
    <row r="6724" spans="1:10" ht="15.95" customHeight="1" x14ac:dyDescent="0.2">
      <c r="A6724" s="39"/>
      <c r="B6724" s="36"/>
      <c r="C6724" s="37"/>
      <c r="D6724" s="37"/>
      <c r="E6724" s="37"/>
      <c r="F6724" s="37"/>
      <c r="G6724" s="37"/>
      <c r="H6724" s="37"/>
      <c r="I6724" s="35"/>
      <c r="J6724" s="37"/>
    </row>
    <row r="6725" spans="1:10" ht="15.95" customHeight="1" x14ac:dyDescent="0.2">
      <c r="A6725" s="39"/>
      <c r="B6725" s="36"/>
      <c r="C6725" s="37"/>
      <c r="D6725" s="37"/>
      <c r="E6725" s="37"/>
      <c r="F6725" s="37"/>
      <c r="G6725" s="37"/>
      <c r="H6725" s="37"/>
      <c r="I6725" s="35"/>
      <c r="J6725" s="37"/>
    </row>
    <row r="6726" spans="1:10" ht="15.95" customHeight="1" x14ac:dyDescent="0.2">
      <c r="A6726" s="39"/>
      <c r="B6726" s="36"/>
      <c r="C6726" s="37"/>
      <c r="D6726" s="37"/>
      <c r="E6726" s="37"/>
      <c r="F6726" s="37"/>
      <c r="G6726" s="37"/>
      <c r="H6726" s="37"/>
      <c r="I6726" s="35"/>
      <c r="J6726" s="37"/>
    </row>
    <row r="6727" spans="1:10" ht="15.95" customHeight="1" x14ac:dyDescent="0.2">
      <c r="A6727" s="39"/>
      <c r="B6727" s="36"/>
      <c r="C6727" s="37"/>
      <c r="D6727" s="37"/>
      <c r="E6727" s="37"/>
      <c r="F6727" s="37"/>
      <c r="G6727" s="37"/>
      <c r="H6727" s="37"/>
      <c r="I6727" s="35"/>
      <c r="J6727" s="37"/>
    </row>
    <row r="6728" spans="1:10" ht="15.95" customHeight="1" x14ac:dyDescent="0.2">
      <c r="A6728" s="39"/>
      <c r="B6728" s="36"/>
      <c r="C6728" s="37"/>
      <c r="D6728" s="37"/>
      <c r="E6728" s="37"/>
      <c r="F6728" s="37"/>
      <c r="G6728" s="37"/>
      <c r="H6728" s="37"/>
      <c r="I6728" s="35"/>
      <c r="J6728" s="37"/>
    </row>
    <row r="6729" spans="1:10" ht="15.95" customHeight="1" x14ac:dyDescent="0.2">
      <c r="A6729" s="39"/>
      <c r="B6729" s="36"/>
      <c r="C6729" s="37"/>
      <c r="D6729" s="37"/>
      <c r="E6729" s="37"/>
      <c r="F6729" s="37"/>
      <c r="G6729" s="37"/>
      <c r="H6729" s="37"/>
      <c r="I6729" s="35"/>
      <c r="J6729" s="37"/>
    </row>
    <row r="6730" spans="1:10" ht="15.95" customHeight="1" x14ac:dyDescent="0.2">
      <c r="A6730" s="39"/>
      <c r="B6730" s="36"/>
      <c r="C6730" s="37"/>
      <c r="D6730" s="37"/>
      <c r="E6730" s="37"/>
      <c r="F6730" s="37"/>
      <c r="G6730" s="37"/>
      <c r="H6730" s="37"/>
      <c r="I6730" s="35"/>
      <c r="J6730" s="37"/>
    </row>
    <row r="6731" spans="1:10" ht="15.95" customHeight="1" x14ac:dyDescent="0.2">
      <c r="A6731" s="39"/>
      <c r="B6731" s="36"/>
      <c r="C6731" s="37"/>
      <c r="D6731" s="37"/>
      <c r="E6731" s="37"/>
      <c r="F6731" s="37"/>
      <c r="G6731" s="37"/>
      <c r="H6731" s="37"/>
      <c r="I6731" s="35"/>
      <c r="J6731" s="37"/>
    </row>
    <row r="6732" spans="1:10" ht="15.95" customHeight="1" x14ac:dyDescent="0.2">
      <c r="A6732" s="39"/>
      <c r="B6732" s="36"/>
      <c r="C6732" s="37"/>
      <c r="D6732" s="37"/>
      <c r="E6732" s="37"/>
      <c r="F6732" s="37"/>
      <c r="G6732" s="37"/>
      <c r="H6732" s="37"/>
      <c r="I6732" s="35"/>
      <c r="J6732" s="37"/>
    </row>
    <row r="6733" spans="1:10" ht="15.95" customHeight="1" x14ac:dyDescent="0.2">
      <c r="A6733" s="39"/>
      <c r="B6733" s="36"/>
      <c r="C6733" s="37"/>
      <c r="D6733" s="37"/>
      <c r="E6733" s="37"/>
      <c r="F6733" s="37"/>
      <c r="G6733" s="37"/>
      <c r="H6733" s="37"/>
      <c r="I6733" s="35"/>
      <c r="J6733" s="37"/>
    </row>
    <row r="6734" spans="1:10" ht="15.95" customHeight="1" x14ac:dyDescent="0.2">
      <c r="A6734" s="39"/>
      <c r="B6734" s="36"/>
      <c r="C6734" s="37"/>
      <c r="D6734" s="37"/>
      <c r="E6734" s="37"/>
      <c r="F6734" s="37"/>
      <c r="G6734" s="37"/>
      <c r="H6734" s="37"/>
      <c r="I6734" s="35"/>
      <c r="J6734" s="37"/>
    </row>
    <row r="6735" spans="1:10" ht="15.95" customHeight="1" x14ac:dyDescent="0.2">
      <c r="A6735" s="39"/>
      <c r="B6735" s="36"/>
      <c r="C6735" s="37"/>
      <c r="D6735" s="37"/>
      <c r="E6735" s="37"/>
      <c r="F6735" s="37"/>
      <c r="G6735" s="37"/>
      <c r="H6735" s="37"/>
      <c r="I6735" s="35"/>
      <c r="J6735" s="37"/>
    </row>
    <row r="6736" spans="1:10" ht="15.95" customHeight="1" x14ac:dyDescent="0.2">
      <c r="A6736" s="39"/>
      <c r="B6736" s="36"/>
      <c r="C6736" s="37"/>
      <c r="D6736" s="37"/>
      <c r="E6736" s="37"/>
      <c r="F6736" s="37"/>
      <c r="G6736" s="37"/>
      <c r="H6736" s="37"/>
      <c r="I6736" s="35"/>
      <c r="J6736" s="37"/>
    </row>
    <row r="6737" spans="1:10" ht="15.95" customHeight="1" x14ac:dyDescent="0.2">
      <c r="A6737" s="39"/>
      <c r="B6737" s="36"/>
      <c r="C6737" s="37"/>
      <c r="D6737" s="37"/>
      <c r="E6737" s="37"/>
      <c r="F6737" s="37"/>
      <c r="G6737" s="37"/>
      <c r="H6737" s="37"/>
      <c r="I6737" s="35"/>
      <c r="J6737" s="37"/>
    </row>
    <row r="6738" spans="1:10" ht="15.95" customHeight="1" x14ac:dyDescent="0.2">
      <c r="A6738" s="39"/>
      <c r="B6738" s="36"/>
      <c r="C6738" s="37"/>
      <c r="D6738" s="37"/>
      <c r="E6738" s="37"/>
      <c r="F6738" s="37"/>
      <c r="G6738" s="37"/>
      <c r="H6738" s="37"/>
      <c r="I6738" s="35"/>
      <c r="J6738" s="37"/>
    </row>
    <row r="6739" spans="1:10" ht="15.95" customHeight="1" x14ac:dyDescent="0.2">
      <c r="A6739" s="39"/>
      <c r="B6739" s="36"/>
      <c r="C6739" s="37"/>
      <c r="D6739" s="37"/>
      <c r="E6739" s="37"/>
      <c r="F6739" s="37"/>
      <c r="G6739" s="37"/>
      <c r="H6739" s="37"/>
      <c r="I6739" s="35"/>
      <c r="J6739" s="37"/>
    </row>
    <row r="6740" spans="1:10" ht="15.95" customHeight="1" x14ac:dyDescent="0.2">
      <c r="A6740" s="39"/>
      <c r="B6740" s="36"/>
      <c r="C6740" s="37"/>
      <c r="D6740" s="37"/>
      <c r="E6740" s="37"/>
      <c r="F6740" s="37"/>
      <c r="G6740" s="37"/>
      <c r="H6740" s="37"/>
      <c r="I6740" s="35"/>
      <c r="J6740" s="37"/>
    </row>
    <row r="6741" spans="1:10" ht="15.95" customHeight="1" x14ac:dyDescent="0.2">
      <c r="A6741" s="39"/>
      <c r="B6741" s="36"/>
      <c r="C6741" s="37"/>
      <c r="D6741" s="37"/>
      <c r="E6741" s="37"/>
      <c r="F6741" s="37"/>
      <c r="G6741" s="37"/>
      <c r="H6741" s="37"/>
      <c r="I6741" s="35"/>
      <c r="J6741" s="37"/>
    </row>
    <row r="6742" spans="1:10" ht="15.95" customHeight="1" x14ac:dyDescent="0.2">
      <c r="A6742" s="39"/>
      <c r="B6742" s="36"/>
      <c r="C6742" s="37"/>
      <c r="D6742" s="37"/>
      <c r="E6742" s="37"/>
      <c r="F6742" s="37"/>
      <c r="G6742" s="37"/>
      <c r="H6742" s="37"/>
      <c r="I6742" s="35"/>
      <c r="J6742" s="37"/>
    </row>
    <row r="6743" spans="1:10" ht="15.95" customHeight="1" x14ac:dyDescent="0.2">
      <c r="A6743" s="39"/>
      <c r="B6743" s="36"/>
      <c r="C6743" s="37"/>
      <c r="D6743" s="37"/>
      <c r="E6743" s="37"/>
      <c r="F6743" s="37"/>
      <c r="G6743" s="37"/>
      <c r="H6743" s="37"/>
      <c r="I6743" s="35"/>
      <c r="J6743" s="37"/>
    </row>
    <row r="6744" spans="1:10" ht="15.95" customHeight="1" x14ac:dyDescent="0.2">
      <c r="A6744" s="39"/>
      <c r="B6744" s="36"/>
      <c r="C6744" s="37"/>
      <c r="D6744" s="37"/>
      <c r="E6744" s="37"/>
      <c r="F6744" s="37"/>
      <c r="G6744" s="37"/>
      <c r="H6744" s="37"/>
      <c r="I6744" s="35"/>
      <c r="J6744" s="37"/>
    </row>
    <row r="6745" spans="1:10" ht="15.95" customHeight="1" x14ac:dyDescent="0.2">
      <c r="A6745" s="39"/>
      <c r="B6745" s="36"/>
      <c r="C6745" s="37"/>
      <c r="D6745" s="37"/>
      <c r="E6745" s="37"/>
      <c r="F6745" s="37"/>
      <c r="G6745" s="37"/>
      <c r="H6745" s="37"/>
      <c r="I6745" s="35"/>
      <c r="J6745" s="37"/>
    </row>
    <row r="6746" spans="1:10" ht="15.95" customHeight="1" x14ac:dyDescent="0.2">
      <c r="A6746" s="39"/>
      <c r="B6746" s="36"/>
      <c r="C6746" s="37"/>
      <c r="D6746" s="37"/>
      <c r="E6746" s="37"/>
      <c r="F6746" s="37"/>
      <c r="G6746" s="37"/>
      <c r="H6746" s="37"/>
      <c r="I6746" s="35"/>
      <c r="J6746" s="37"/>
    </row>
    <row r="6747" spans="1:10" ht="15.95" customHeight="1" x14ac:dyDescent="0.2">
      <c r="A6747" s="39"/>
      <c r="B6747" s="36"/>
      <c r="C6747" s="37"/>
      <c r="D6747" s="37"/>
      <c r="E6747" s="37"/>
      <c r="F6747" s="37"/>
      <c r="G6747" s="37"/>
      <c r="H6747" s="37"/>
      <c r="I6747" s="35"/>
      <c r="J6747" s="37"/>
    </row>
    <row r="6748" spans="1:10" ht="15.95" customHeight="1" x14ac:dyDescent="0.2">
      <c r="A6748" s="39"/>
      <c r="B6748" s="36"/>
      <c r="C6748" s="37"/>
      <c r="D6748" s="37"/>
      <c r="E6748" s="37"/>
      <c r="F6748" s="37"/>
      <c r="G6748" s="37"/>
      <c r="H6748" s="37"/>
      <c r="I6748" s="35"/>
      <c r="J6748" s="37"/>
    </row>
    <row r="6749" spans="1:10" ht="15.95" customHeight="1" x14ac:dyDescent="0.2">
      <c r="A6749" s="39"/>
      <c r="B6749" s="36"/>
      <c r="C6749" s="37"/>
      <c r="D6749" s="37"/>
      <c r="E6749" s="37"/>
      <c r="F6749" s="37"/>
      <c r="G6749" s="37"/>
      <c r="H6749" s="37"/>
      <c r="I6749" s="35"/>
      <c r="J6749" s="37"/>
    </row>
    <row r="6750" spans="1:10" ht="15.95" customHeight="1" x14ac:dyDescent="0.2">
      <c r="A6750" s="39"/>
      <c r="B6750" s="36"/>
      <c r="C6750" s="37"/>
      <c r="D6750" s="37"/>
      <c r="E6750" s="37"/>
      <c r="F6750" s="37"/>
      <c r="G6750" s="37"/>
      <c r="H6750" s="37"/>
      <c r="I6750" s="35"/>
      <c r="J6750" s="37"/>
    </row>
    <row r="6751" spans="1:10" ht="15.95" customHeight="1" x14ac:dyDescent="0.2">
      <c r="A6751" s="39"/>
      <c r="B6751" s="36"/>
      <c r="C6751" s="37"/>
      <c r="D6751" s="37"/>
      <c r="E6751" s="37"/>
      <c r="F6751" s="37"/>
      <c r="G6751" s="37"/>
      <c r="H6751" s="37"/>
      <c r="I6751" s="35"/>
      <c r="J6751" s="37"/>
    </row>
    <row r="6752" spans="1:10" ht="15.95" customHeight="1" x14ac:dyDescent="0.2">
      <c r="A6752" s="39"/>
      <c r="B6752" s="36"/>
      <c r="C6752" s="37"/>
      <c r="D6752" s="37"/>
      <c r="E6752" s="37"/>
      <c r="F6752" s="37"/>
      <c r="G6752" s="37"/>
      <c r="H6752" s="37"/>
      <c r="I6752" s="35"/>
      <c r="J6752" s="37"/>
    </row>
    <row r="6753" spans="1:10" ht="15.95" customHeight="1" x14ac:dyDescent="0.2">
      <c r="A6753" s="39"/>
      <c r="B6753" s="36"/>
      <c r="C6753" s="37"/>
      <c r="D6753" s="37"/>
      <c r="E6753" s="37"/>
      <c r="F6753" s="37"/>
      <c r="G6753" s="37"/>
      <c r="H6753" s="37"/>
      <c r="I6753" s="35"/>
      <c r="J6753" s="37"/>
    </row>
    <row r="6754" spans="1:10" ht="15.95" customHeight="1" x14ac:dyDescent="0.2">
      <c r="A6754" s="39"/>
      <c r="B6754" s="36"/>
      <c r="C6754" s="37"/>
      <c r="D6754" s="37"/>
      <c r="E6754" s="37"/>
      <c r="F6754" s="37"/>
      <c r="G6754" s="37"/>
      <c r="H6754" s="37"/>
      <c r="I6754" s="35"/>
      <c r="J6754" s="37"/>
    </row>
    <row r="6755" spans="1:10" ht="15.95" customHeight="1" x14ac:dyDescent="0.2">
      <c r="A6755" s="39"/>
      <c r="B6755" s="36"/>
      <c r="C6755" s="37"/>
      <c r="D6755" s="37"/>
      <c r="E6755" s="37"/>
      <c r="F6755" s="37"/>
      <c r="G6755" s="37"/>
      <c r="H6755" s="37"/>
      <c r="I6755" s="35"/>
      <c r="J6755" s="37"/>
    </row>
    <row r="6756" spans="1:10" ht="15.95" customHeight="1" x14ac:dyDescent="0.2">
      <c r="A6756" s="39"/>
      <c r="B6756" s="36"/>
      <c r="C6756" s="37"/>
      <c r="D6756" s="37"/>
      <c r="E6756" s="37"/>
      <c r="F6756" s="37"/>
      <c r="G6756" s="37"/>
      <c r="H6756" s="37"/>
      <c r="I6756" s="35"/>
      <c r="J6756" s="37"/>
    </row>
    <row r="6757" spans="1:10" ht="15.95" customHeight="1" x14ac:dyDescent="0.2">
      <c r="A6757" s="39"/>
      <c r="B6757" s="36"/>
      <c r="C6757" s="37"/>
      <c r="D6757" s="37"/>
      <c r="E6757" s="37"/>
      <c r="F6757" s="37"/>
      <c r="G6757" s="37"/>
      <c r="H6757" s="37"/>
      <c r="I6757" s="35"/>
      <c r="J6757" s="37"/>
    </row>
    <row r="6758" spans="1:10" ht="15.95" customHeight="1" x14ac:dyDescent="0.2">
      <c r="A6758" s="39"/>
      <c r="B6758" s="36"/>
      <c r="C6758" s="37"/>
      <c r="D6758" s="37"/>
      <c r="E6758" s="37"/>
      <c r="F6758" s="37"/>
      <c r="G6758" s="37"/>
      <c r="H6758" s="37"/>
      <c r="I6758" s="35"/>
      <c r="J6758" s="37"/>
    </row>
    <row r="6759" spans="1:10" ht="15.95" customHeight="1" x14ac:dyDescent="0.2">
      <c r="A6759" s="39"/>
      <c r="B6759" s="36"/>
      <c r="C6759" s="37"/>
      <c r="D6759" s="37"/>
      <c r="E6759" s="37"/>
      <c r="F6759" s="37"/>
      <c r="G6759" s="37"/>
      <c r="H6759" s="37"/>
      <c r="I6759" s="35"/>
      <c r="J6759" s="37"/>
    </row>
    <row r="6760" spans="1:10" ht="15.95" customHeight="1" x14ac:dyDescent="0.2">
      <c r="A6760" s="39"/>
      <c r="B6760" s="36"/>
      <c r="C6760" s="37"/>
      <c r="D6760" s="37"/>
      <c r="E6760" s="37"/>
      <c r="F6760" s="37"/>
      <c r="G6760" s="37"/>
      <c r="H6760" s="37"/>
      <c r="I6760" s="35"/>
      <c r="J6760" s="37"/>
    </row>
    <row r="6761" spans="1:10" ht="15.95" customHeight="1" x14ac:dyDescent="0.2">
      <c r="A6761" s="39"/>
      <c r="B6761" s="36"/>
      <c r="C6761" s="37"/>
      <c r="D6761" s="37"/>
      <c r="E6761" s="37"/>
      <c r="F6761" s="37"/>
      <c r="G6761" s="37"/>
      <c r="H6761" s="37"/>
      <c r="I6761" s="35"/>
      <c r="J6761" s="37"/>
    </row>
    <row r="6762" spans="1:10" ht="15.95" customHeight="1" x14ac:dyDescent="0.2">
      <c r="A6762" s="39"/>
      <c r="B6762" s="36"/>
      <c r="C6762" s="37"/>
      <c r="D6762" s="37"/>
      <c r="E6762" s="37"/>
      <c r="F6762" s="37"/>
      <c r="G6762" s="37"/>
      <c r="H6762" s="37"/>
      <c r="I6762" s="35"/>
      <c r="J6762" s="37"/>
    </row>
    <row r="6763" spans="1:10" ht="15.95" customHeight="1" x14ac:dyDescent="0.2">
      <c r="A6763" s="39"/>
      <c r="B6763" s="36"/>
      <c r="C6763" s="37"/>
      <c r="D6763" s="37"/>
      <c r="E6763" s="37"/>
      <c r="F6763" s="37"/>
      <c r="G6763" s="37"/>
      <c r="H6763" s="37"/>
      <c r="I6763" s="35"/>
      <c r="J6763" s="37"/>
    </row>
    <row r="6764" spans="1:10" ht="15.95" customHeight="1" x14ac:dyDescent="0.2">
      <c r="A6764" s="39"/>
      <c r="B6764" s="36"/>
      <c r="C6764" s="37"/>
      <c r="D6764" s="37"/>
      <c r="E6764" s="37"/>
      <c r="F6764" s="37"/>
      <c r="G6764" s="37"/>
      <c r="H6764" s="37"/>
      <c r="I6764" s="35"/>
      <c r="J6764" s="37"/>
    </row>
    <row r="6765" spans="1:10" ht="15.95" customHeight="1" x14ac:dyDescent="0.2">
      <c r="A6765" s="39"/>
      <c r="B6765" s="36"/>
      <c r="C6765" s="37"/>
      <c r="D6765" s="37"/>
      <c r="E6765" s="37"/>
      <c r="F6765" s="37"/>
      <c r="G6765" s="37"/>
      <c r="H6765" s="37"/>
      <c r="I6765" s="35"/>
      <c r="J6765" s="37"/>
    </row>
    <row r="6766" spans="1:10" ht="15.95" customHeight="1" x14ac:dyDescent="0.2">
      <c r="A6766" s="39"/>
      <c r="B6766" s="36"/>
      <c r="C6766" s="37"/>
      <c r="D6766" s="37"/>
      <c r="E6766" s="37"/>
      <c r="F6766" s="37"/>
      <c r="G6766" s="37"/>
      <c r="H6766" s="37"/>
      <c r="I6766" s="35"/>
      <c r="J6766" s="37"/>
    </row>
    <row r="6767" spans="1:10" ht="15.95" customHeight="1" x14ac:dyDescent="0.2">
      <c r="A6767" s="39"/>
      <c r="B6767" s="36"/>
      <c r="C6767" s="37"/>
      <c r="D6767" s="37"/>
      <c r="E6767" s="37"/>
      <c r="F6767" s="37"/>
      <c r="G6767" s="37"/>
      <c r="H6767" s="37"/>
      <c r="I6767" s="35"/>
      <c r="J6767" s="37"/>
    </row>
    <row r="6768" spans="1:10" ht="15.95" customHeight="1" x14ac:dyDescent="0.2">
      <c r="A6768" s="39"/>
      <c r="B6768" s="36"/>
      <c r="C6768" s="37"/>
      <c r="D6768" s="37"/>
      <c r="E6768" s="37"/>
      <c r="F6768" s="37"/>
      <c r="G6768" s="37"/>
      <c r="H6768" s="37"/>
      <c r="I6768" s="35"/>
      <c r="J6768" s="37"/>
    </row>
    <row r="6769" spans="1:10" ht="15.95" customHeight="1" x14ac:dyDescent="0.2">
      <c r="A6769" s="39"/>
      <c r="B6769" s="36"/>
      <c r="C6769" s="37"/>
      <c r="D6769" s="37"/>
      <c r="E6769" s="37"/>
      <c r="F6769" s="37"/>
      <c r="G6769" s="37"/>
      <c r="H6769" s="37"/>
      <c r="I6769" s="35"/>
      <c r="J6769" s="37"/>
    </row>
    <row r="6770" spans="1:10" ht="15.95" customHeight="1" x14ac:dyDescent="0.2">
      <c r="A6770" s="39"/>
      <c r="B6770" s="36"/>
      <c r="C6770" s="37"/>
      <c r="D6770" s="37"/>
      <c r="E6770" s="37"/>
      <c r="F6770" s="37"/>
      <c r="G6770" s="37"/>
      <c r="H6770" s="37"/>
      <c r="I6770" s="35"/>
      <c r="J6770" s="37"/>
    </row>
    <row r="6771" spans="1:10" ht="15.95" customHeight="1" x14ac:dyDescent="0.2">
      <c r="A6771" s="39"/>
      <c r="B6771" s="36"/>
      <c r="C6771" s="37"/>
      <c r="D6771" s="37"/>
      <c r="E6771" s="37"/>
      <c r="F6771" s="37"/>
      <c r="G6771" s="37"/>
      <c r="H6771" s="37"/>
      <c r="I6771" s="35"/>
      <c r="J6771" s="37"/>
    </row>
    <row r="6772" spans="1:10" ht="15.95" customHeight="1" x14ac:dyDescent="0.2">
      <c r="A6772" s="39"/>
      <c r="B6772" s="36"/>
      <c r="C6772" s="37"/>
      <c r="D6772" s="37"/>
      <c r="E6772" s="37"/>
      <c r="F6772" s="37"/>
      <c r="G6772" s="37"/>
      <c r="H6772" s="37"/>
      <c r="I6772" s="35"/>
      <c r="J6772" s="37"/>
    </row>
    <row r="6773" spans="1:10" ht="15.95" customHeight="1" x14ac:dyDescent="0.2">
      <c r="A6773" s="39"/>
      <c r="B6773" s="36"/>
      <c r="C6773" s="37"/>
      <c r="D6773" s="37"/>
      <c r="E6773" s="37"/>
      <c r="F6773" s="37"/>
      <c r="G6773" s="37"/>
      <c r="H6773" s="37"/>
      <c r="I6773" s="35"/>
      <c r="J6773" s="37"/>
    </row>
    <row r="6774" spans="1:10" ht="15.95" customHeight="1" x14ac:dyDescent="0.2">
      <c r="A6774" s="39"/>
      <c r="B6774" s="36"/>
      <c r="C6774" s="37"/>
      <c r="D6774" s="37"/>
      <c r="E6774" s="37"/>
      <c r="F6774" s="37"/>
      <c r="G6774" s="37"/>
      <c r="H6774" s="37"/>
      <c r="I6774" s="35"/>
      <c r="J6774" s="37"/>
    </row>
    <row r="6775" spans="1:10" ht="15.95" customHeight="1" x14ac:dyDescent="0.2">
      <c r="A6775" s="39"/>
      <c r="B6775" s="36"/>
      <c r="C6775" s="37"/>
      <c r="D6775" s="37"/>
      <c r="E6775" s="37"/>
      <c r="F6775" s="37"/>
      <c r="G6775" s="37"/>
      <c r="H6775" s="37"/>
      <c r="I6775" s="35"/>
      <c r="J6775" s="37"/>
    </row>
    <row r="6776" spans="1:10" ht="15.95" customHeight="1" x14ac:dyDescent="0.2">
      <c r="A6776" s="39"/>
      <c r="B6776" s="36"/>
      <c r="C6776" s="37"/>
      <c r="D6776" s="37"/>
      <c r="E6776" s="37"/>
      <c r="F6776" s="37"/>
      <c r="G6776" s="37"/>
      <c r="H6776" s="37"/>
      <c r="I6776" s="35"/>
      <c r="J6776" s="37"/>
    </row>
    <row r="6777" spans="1:10" ht="15.95" customHeight="1" x14ac:dyDescent="0.2">
      <c r="A6777" s="39"/>
      <c r="B6777" s="36"/>
      <c r="C6777" s="37"/>
      <c r="D6777" s="37"/>
      <c r="E6777" s="37"/>
      <c r="F6777" s="37"/>
      <c r="G6777" s="37"/>
      <c r="H6777" s="37"/>
      <c r="I6777" s="35"/>
      <c r="J6777" s="37"/>
    </row>
    <row r="6778" spans="1:10" ht="15.95" customHeight="1" x14ac:dyDescent="0.2">
      <c r="A6778" s="39"/>
      <c r="B6778" s="36"/>
      <c r="C6778" s="37"/>
      <c r="D6778" s="37"/>
      <c r="E6778" s="37"/>
      <c r="F6778" s="37"/>
      <c r="G6778" s="37"/>
      <c r="H6778" s="37"/>
      <c r="I6778" s="35"/>
      <c r="J6778" s="37"/>
    </row>
    <row r="6779" spans="1:10" ht="15.95" customHeight="1" x14ac:dyDescent="0.2">
      <c r="A6779" s="39"/>
      <c r="B6779" s="36"/>
      <c r="C6779" s="37"/>
      <c r="D6779" s="37"/>
      <c r="E6779" s="37"/>
      <c r="F6779" s="37"/>
      <c r="G6779" s="37"/>
      <c r="H6779" s="37"/>
      <c r="I6779" s="35"/>
      <c r="J6779" s="37"/>
    </row>
    <row r="6780" spans="1:10" ht="15.95" customHeight="1" x14ac:dyDescent="0.2">
      <c r="A6780" s="39"/>
      <c r="B6780" s="36"/>
      <c r="C6780" s="37"/>
      <c r="D6780" s="37"/>
      <c r="E6780" s="37"/>
      <c r="F6780" s="37"/>
      <c r="G6780" s="37"/>
      <c r="H6780" s="37"/>
      <c r="I6780" s="35"/>
      <c r="J6780" s="37"/>
    </row>
    <row r="6781" spans="1:10" ht="15.95" customHeight="1" x14ac:dyDescent="0.2">
      <c r="A6781" s="39"/>
      <c r="B6781" s="36"/>
      <c r="C6781" s="37"/>
      <c r="D6781" s="37"/>
      <c r="E6781" s="37"/>
      <c r="F6781" s="37"/>
      <c r="G6781" s="37"/>
      <c r="H6781" s="37"/>
      <c r="I6781" s="35"/>
      <c r="J6781" s="37"/>
    </row>
    <row r="6782" spans="1:10" ht="15.95" customHeight="1" x14ac:dyDescent="0.2">
      <c r="A6782" s="39"/>
      <c r="B6782" s="36"/>
      <c r="C6782" s="37"/>
      <c r="D6782" s="37"/>
      <c r="E6782" s="37"/>
      <c r="F6782" s="37"/>
      <c r="G6782" s="37"/>
      <c r="H6782" s="37"/>
      <c r="I6782" s="35"/>
      <c r="J6782" s="37"/>
    </row>
    <row r="6783" spans="1:10" ht="15.95" customHeight="1" x14ac:dyDescent="0.2">
      <c r="A6783" s="39"/>
      <c r="B6783" s="36"/>
      <c r="C6783" s="37"/>
      <c r="D6783" s="37"/>
      <c r="E6783" s="37"/>
      <c r="F6783" s="37"/>
      <c r="G6783" s="37"/>
      <c r="H6783" s="37"/>
      <c r="I6783" s="35"/>
      <c r="J6783" s="37"/>
    </row>
    <row r="6784" spans="1:10" ht="15.95" customHeight="1" x14ac:dyDescent="0.2">
      <c r="A6784" s="39"/>
      <c r="B6784" s="36"/>
      <c r="C6784" s="37"/>
      <c r="D6784" s="37"/>
      <c r="E6784" s="37"/>
      <c r="F6784" s="37"/>
      <c r="G6784" s="37"/>
      <c r="H6784" s="37"/>
      <c r="I6784" s="35"/>
      <c r="J6784" s="37"/>
    </row>
    <row r="6785" spans="1:10" ht="15.95" customHeight="1" x14ac:dyDescent="0.2">
      <c r="A6785" s="39"/>
      <c r="B6785" s="36"/>
      <c r="C6785" s="37"/>
      <c r="D6785" s="37"/>
      <c r="E6785" s="37"/>
      <c r="F6785" s="37"/>
      <c r="G6785" s="37"/>
      <c r="H6785" s="37"/>
      <c r="I6785" s="35"/>
      <c r="J6785" s="37"/>
    </row>
    <row r="6786" spans="1:10" ht="15.95" customHeight="1" x14ac:dyDescent="0.2">
      <c r="A6786" s="39"/>
      <c r="B6786" s="36"/>
      <c r="C6786" s="37"/>
      <c r="D6786" s="37"/>
      <c r="E6786" s="37"/>
      <c r="F6786" s="37"/>
      <c r="G6786" s="37"/>
      <c r="H6786" s="37"/>
      <c r="I6786" s="35"/>
      <c r="J6786" s="37"/>
    </row>
    <row r="6787" spans="1:10" ht="15.95" customHeight="1" x14ac:dyDescent="0.2">
      <c r="A6787" s="39"/>
      <c r="B6787" s="36"/>
      <c r="C6787" s="37"/>
      <c r="D6787" s="37"/>
      <c r="E6787" s="37"/>
      <c r="F6787" s="37"/>
      <c r="G6787" s="37"/>
      <c r="H6787" s="37"/>
      <c r="I6787" s="35"/>
      <c r="J6787" s="37"/>
    </row>
    <row r="6788" spans="1:10" ht="15.95" customHeight="1" x14ac:dyDescent="0.2">
      <c r="A6788" s="39"/>
      <c r="B6788" s="36"/>
      <c r="C6788" s="37"/>
      <c r="D6788" s="37"/>
      <c r="E6788" s="37"/>
      <c r="F6788" s="37"/>
      <c r="G6788" s="37"/>
      <c r="H6788" s="37"/>
      <c r="I6788" s="35"/>
      <c r="J6788" s="37"/>
    </row>
    <row r="6789" spans="1:10" ht="15.95" customHeight="1" x14ac:dyDescent="0.2">
      <c r="A6789" s="39"/>
      <c r="B6789" s="36"/>
      <c r="C6789" s="37"/>
      <c r="D6789" s="37"/>
      <c r="E6789" s="37"/>
      <c r="F6789" s="37"/>
      <c r="G6789" s="37"/>
      <c r="H6789" s="37"/>
      <c r="I6789" s="35"/>
      <c r="J6789" s="37"/>
    </row>
    <row r="6790" spans="1:10" ht="15.95" customHeight="1" x14ac:dyDescent="0.2">
      <c r="A6790" s="39"/>
      <c r="B6790" s="36"/>
      <c r="C6790" s="37"/>
      <c r="D6790" s="37"/>
      <c r="E6790" s="37"/>
      <c r="F6790" s="37"/>
      <c r="G6790" s="37"/>
      <c r="H6790" s="37"/>
      <c r="I6790" s="35"/>
      <c r="J6790" s="37"/>
    </row>
    <row r="6791" spans="1:10" ht="15.95" customHeight="1" x14ac:dyDescent="0.2">
      <c r="A6791" s="39"/>
      <c r="B6791" s="36"/>
      <c r="C6791" s="37"/>
      <c r="D6791" s="37"/>
      <c r="E6791" s="37"/>
      <c r="F6791" s="37"/>
      <c r="G6791" s="37"/>
      <c r="H6791" s="37"/>
      <c r="I6791" s="35"/>
      <c r="J6791" s="37"/>
    </row>
    <row r="6792" spans="1:10" ht="15.95" customHeight="1" x14ac:dyDescent="0.2">
      <c r="A6792" s="39"/>
      <c r="B6792" s="36"/>
      <c r="C6792" s="37"/>
      <c r="D6792" s="37"/>
      <c r="E6792" s="37"/>
      <c r="F6792" s="37"/>
      <c r="G6792" s="37"/>
      <c r="H6792" s="37"/>
      <c r="I6792" s="35"/>
      <c r="J6792" s="37"/>
    </row>
    <row r="6793" spans="1:10" ht="15.95" customHeight="1" x14ac:dyDescent="0.2">
      <c r="A6793" s="39"/>
      <c r="B6793" s="36"/>
      <c r="C6793" s="37"/>
      <c r="D6793" s="37"/>
      <c r="E6793" s="37"/>
      <c r="F6793" s="37"/>
      <c r="G6793" s="37"/>
      <c r="H6793" s="37"/>
      <c r="I6793" s="35"/>
      <c r="J6793" s="37"/>
    </row>
    <row r="6794" spans="1:10" ht="15.95" customHeight="1" x14ac:dyDescent="0.2">
      <c r="A6794" s="39"/>
      <c r="B6794" s="36"/>
      <c r="C6794" s="37"/>
      <c r="D6794" s="37"/>
      <c r="E6794" s="37"/>
      <c r="F6794" s="37"/>
      <c r="G6794" s="37"/>
      <c r="H6794" s="37"/>
      <c r="I6794" s="35"/>
      <c r="J6794" s="37"/>
    </row>
    <row r="6795" spans="1:10" ht="15.95" customHeight="1" x14ac:dyDescent="0.2">
      <c r="A6795" s="39"/>
      <c r="B6795" s="36"/>
      <c r="C6795" s="37"/>
      <c r="D6795" s="37"/>
      <c r="E6795" s="37"/>
      <c r="F6795" s="37"/>
      <c r="G6795" s="37"/>
      <c r="H6795" s="37"/>
      <c r="I6795" s="35"/>
      <c r="J6795" s="37"/>
    </row>
    <row r="6796" spans="1:10" ht="15.95" customHeight="1" x14ac:dyDescent="0.2">
      <c r="A6796" s="39"/>
      <c r="B6796" s="36"/>
      <c r="C6796" s="37"/>
      <c r="D6796" s="37"/>
      <c r="E6796" s="37"/>
      <c r="F6796" s="37"/>
      <c r="G6796" s="37"/>
      <c r="H6796" s="37"/>
      <c r="I6796" s="35"/>
      <c r="J6796" s="37"/>
    </row>
    <row r="6797" spans="1:10" ht="15.95" customHeight="1" x14ac:dyDescent="0.2">
      <c r="A6797" s="39"/>
      <c r="B6797" s="36"/>
      <c r="C6797" s="37"/>
      <c r="D6797" s="37"/>
      <c r="E6797" s="37"/>
      <c r="F6797" s="37"/>
      <c r="G6797" s="37"/>
      <c r="H6797" s="37"/>
      <c r="I6797" s="35"/>
      <c r="J6797" s="37"/>
    </row>
    <row r="6798" spans="1:10" ht="15.95" customHeight="1" x14ac:dyDescent="0.2">
      <c r="A6798" s="39"/>
      <c r="B6798" s="36"/>
      <c r="C6798" s="37"/>
      <c r="D6798" s="37"/>
      <c r="E6798" s="37"/>
      <c r="F6798" s="37"/>
      <c r="G6798" s="37"/>
      <c r="H6798" s="37"/>
      <c r="I6798" s="35"/>
      <c r="J6798" s="37"/>
    </row>
    <row r="6799" spans="1:10" ht="15.95" customHeight="1" x14ac:dyDescent="0.2">
      <c r="A6799" s="39"/>
      <c r="B6799" s="36"/>
      <c r="C6799" s="37"/>
      <c r="D6799" s="37"/>
      <c r="E6799" s="37"/>
      <c r="F6799" s="37"/>
      <c r="G6799" s="37"/>
      <c r="H6799" s="37"/>
      <c r="I6799" s="35"/>
      <c r="J6799" s="37"/>
    </row>
    <row r="6800" spans="1:10" ht="15.95" customHeight="1" x14ac:dyDescent="0.2">
      <c r="A6800" s="39"/>
      <c r="B6800" s="36"/>
      <c r="C6800" s="37"/>
      <c r="D6800" s="37"/>
      <c r="E6800" s="37"/>
      <c r="F6800" s="37"/>
      <c r="G6800" s="37"/>
      <c r="H6800" s="37"/>
      <c r="I6800" s="35"/>
      <c r="J6800" s="37"/>
    </row>
    <row r="6801" spans="1:10" ht="15.95" customHeight="1" x14ac:dyDescent="0.2">
      <c r="A6801" s="39"/>
      <c r="B6801" s="36"/>
      <c r="C6801" s="37"/>
      <c r="D6801" s="37"/>
      <c r="E6801" s="37"/>
      <c r="F6801" s="37"/>
      <c r="G6801" s="37"/>
      <c r="H6801" s="37"/>
      <c r="I6801" s="35"/>
      <c r="J6801" s="37"/>
    </row>
    <row r="6802" spans="1:10" ht="15.95" customHeight="1" x14ac:dyDescent="0.2">
      <c r="A6802" s="39"/>
      <c r="B6802" s="36"/>
      <c r="C6802" s="37"/>
      <c r="D6802" s="37"/>
      <c r="E6802" s="37"/>
      <c r="F6802" s="37"/>
      <c r="G6802" s="37"/>
      <c r="H6802" s="37"/>
      <c r="I6802" s="35"/>
      <c r="J6802" s="37"/>
    </row>
    <row r="6803" spans="1:10" ht="15.95" customHeight="1" x14ac:dyDescent="0.2">
      <c r="A6803" s="39"/>
      <c r="B6803" s="36"/>
      <c r="C6803" s="37"/>
      <c r="D6803" s="37"/>
      <c r="E6803" s="37"/>
      <c r="F6803" s="37"/>
      <c r="G6803" s="37"/>
      <c r="H6803" s="37"/>
      <c r="I6803" s="35"/>
      <c r="J6803" s="37"/>
    </row>
    <row r="6804" spans="1:10" ht="15.95" customHeight="1" x14ac:dyDescent="0.2">
      <c r="A6804" s="39"/>
      <c r="B6804" s="36"/>
      <c r="C6804" s="37"/>
      <c r="D6804" s="37"/>
      <c r="E6804" s="37"/>
      <c r="F6804" s="37"/>
      <c r="G6804" s="37"/>
      <c r="H6804" s="37"/>
      <c r="I6804" s="35"/>
      <c r="J6804" s="37"/>
    </row>
    <row r="6805" spans="1:10" ht="15.95" customHeight="1" x14ac:dyDescent="0.2">
      <c r="A6805" s="39"/>
      <c r="B6805" s="36"/>
      <c r="C6805" s="37"/>
      <c r="D6805" s="37"/>
      <c r="E6805" s="37"/>
      <c r="F6805" s="37"/>
      <c r="G6805" s="37"/>
      <c r="H6805" s="37"/>
      <c r="I6805" s="35"/>
      <c r="J6805" s="37"/>
    </row>
    <row r="6806" spans="1:10" ht="15.95" customHeight="1" x14ac:dyDescent="0.2">
      <c r="A6806" s="39"/>
      <c r="B6806" s="36"/>
      <c r="C6806" s="37"/>
      <c r="D6806" s="37"/>
      <c r="E6806" s="37"/>
      <c r="F6806" s="37"/>
      <c r="G6806" s="37"/>
      <c r="H6806" s="37"/>
      <c r="I6806" s="35"/>
      <c r="J6806" s="37"/>
    </row>
    <row r="6807" spans="1:10" ht="15.95" customHeight="1" x14ac:dyDescent="0.2">
      <c r="A6807" s="39"/>
      <c r="B6807" s="36"/>
      <c r="C6807" s="37"/>
      <c r="D6807" s="37"/>
      <c r="E6807" s="37"/>
      <c r="F6807" s="37"/>
      <c r="G6807" s="37"/>
      <c r="H6807" s="37"/>
      <c r="I6807" s="35"/>
      <c r="J6807" s="37"/>
    </row>
    <row r="6808" spans="1:10" ht="15.95" customHeight="1" x14ac:dyDescent="0.2">
      <c r="A6808" s="39"/>
      <c r="B6808" s="36"/>
      <c r="C6808" s="37"/>
      <c r="D6808" s="37"/>
      <c r="E6808" s="37"/>
      <c r="F6808" s="37"/>
      <c r="G6808" s="37"/>
      <c r="H6808" s="37"/>
      <c r="I6808" s="35"/>
      <c r="J6808" s="37"/>
    </row>
    <row r="6809" spans="1:10" ht="15.95" customHeight="1" x14ac:dyDescent="0.2">
      <c r="A6809" s="39"/>
      <c r="B6809" s="36"/>
      <c r="C6809" s="37"/>
      <c r="D6809" s="37"/>
      <c r="E6809" s="37"/>
      <c r="F6809" s="37"/>
      <c r="G6809" s="37"/>
      <c r="H6809" s="37"/>
      <c r="I6809" s="35"/>
      <c r="J6809" s="37"/>
    </row>
    <row r="6810" spans="1:10" ht="15.95" customHeight="1" x14ac:dyDescent="0.2">
      <c r="A6810" s="39"/>
      <c r="B6810" s="36"/>
      <c r="C6810" s="37"/>
      <c r="D6810" s="37"/>
      <c r="E6810" s="37"/>
      <c r="F6810" s="37"/>
      <c r="G6810" s="37"/>
      <c r="H6810" s="37"/>
      <c r="I6810" s="35"/>
      <c r="J6810" s="37"/>
    </row>
    <row r="6811" spans="1:10" ht="15.95" customHeight="1" x14ac:dyDescent="0.2">
      <c r="A6811" s="39"/>
      <c r="B6811" s="36"/>
      <c r="C6811" s="37"/>
      <c r="D6811" s="37"/>
      <c r="E6811" s="37"/>
      <c r="F6811" s="37"/>
      <c r="G6811" s="37"/>
      <c r="H6811" s="37"/>
      <c r="I6811" s="35"/>
      <c r="J6811" s="37"/>
    </row>
    <row r="6812" spans="1:10" ht="15.95" customHeight="1" x14ac:dyDescent="0.2">
      <c r="A6812" s="39"/>
      <c r="B6812" s="36"/>
      <c r="C6812" s="37"/>
      <c r="D6812" s="37"/>
      <c r="E6812" s="37"/>
      <c r="F6812" s="37"/>
      <c r="G6812" s="37"/>
      <c r="H6812" s="37"/>
      <c r="I6812" s="35"/>
      <c r="J6812" s="37"/>
    </row>
    <row r="6813" spans="1:10" ht="15.95" customHeight="1" x14ac:dyDescent="0.2">
      <c r="A6813" s="39"/>
      <c r="B6813" s="36"/>
      <c r="C6813" s="37"/>
      <c r="D6813" s="37"/>
      <c r="E6813" s="37"/>
      <c r="F6813" s="37"/>
      <c r="G6813" s="37"/>
      <c r="H6813" s="37"/>
      <c r="I6813" s="35"/>
      <c r="J6813" s="37"/>
    </row>
    <row r="6814" spans="1:10" ht="15.95" customHeight="1" x14ac:dyDescent="0.2">
      <c r="A6814" s="39"/>
      <c r="B6814" s="36"/>
      <c r="C6814" s="37"/>
      <c r="D6814" s="37"/>
      <c r="E6814" s="37"/>
      <c r="F6814" s="37"/>
      <c r="G6814" s="37"/>
      <c r="H6814" s="37"/>
      <c r="I6814" s="35"/>
      <c r="J6814" s="37"/>
    </row>
    <row r="6815" spans="1:10" ht="15.95" customHeight="1" x14ac:dyDescent="0.2">
      <c r="A6815" s="39"/>
      <c r="B6815" s="36"/>
      <c r="C6815" s="37"/>
      <c r="D6815" s="37"/>
      <c r="E6815" s="37"/>
      <c r="F6815" s="37"/>
      <c r="G6815" s="37"/>
      <c r="H6815" s="37"/>
      <c r="I6815" s="35"/>
      <c r="J6815" s="37"/>
    </row>
    <row r="6816" spans="1:10" ht="15.95" customHeight="1" x14ac:dyDescent="0.2">
      <c r="A6816" s="39"/>
      <c r="B6816" s="36"/>
      <c r="C6816" s="37"/>
      <c r="D6816" s="37"/>
      <c r="E6816" s="37"/>
      <c r="F6816" s="37"/>
      <c r="G6816" s="37"/>
      <c r="H6816" s="37"/>
      <c r="I6816" s="35"/>
      <c r="J6816" s="37"/>
    </row>
    <row r="6817" spans="1:10" ht="15.95" customHeight="1" x14ac:dyDescent="0.2">
      <c r="A6817" s="39"/>
      <c r="B6817" s="36"/>
      <c r="C6817" s="37"/>
      <c r="D6817" s="37"/>
      <c r="E6817" s="37"/>
      <c r="F6817" s="37"/>
      <c r="G6817" s="37"/>
      <c r="H6817" s="37"/>
      <c r="I6817" s="35"/>
      <c r="J6817" s="37"/>
    </row>
    <row r="6818" spans="1:10" ht="15.95" customHeight="1" x14ac:dyDescent="0.2">
      <c r="A6818" s="39"/>
      <c r="B6818" s="36"/>
      <c r="C6818" s="37"/>
      <c r="D6818" s="37"/>
      <c r="E6818" s="37"/>
      <c r="F6818" s="37"/>
      <c r="G6818" s="37"/>
      <c r="H6818" s="37"/>
      <c r="I6818" s="35"/>
      <c r="J6818" s="37"/>
    </row>
    <row r="6819" spans="1:10" ht="15.95" customHeight="1" x14ac:dyDescent="0.2">
      <c r="A6819" s="39"/>
      <c r="B6819" s="36"/>
      <c r="C6819" s="37"/>
      <c r="D6819" s="37"/>
      <c r="E6819" s="37"/>
      <c r="F6819" s="37"/>
      <c r="G6819" s="37"/>
      <c r="H6819" s="37"/>
      <c r="I6819" s="35"/>
      <c r="J6819" s="37"/>
    </row>
    <row r="6820" spans="1:10" ht="15.95" customHeight="1" x14ac:dyDescent="0.2">
      <c r="A6820" s="39"/>
      <c r="B6820" s="36"/>
      <c r="C6820" s="37"/>
      <c r="D6820" s="37"/>
      <c r="E6820" s="37"/>
      <c r="F6820" s="37"/>
      <c r="G6820" s="37"/>
      <c r="H6820" s="37"/>
      <c r="I6820" s="35"/>
      <c r="J6820" s="37"/>
    </row>
    <row r="6821" spans="1:10" ht="15.95" customHeight="1" x14ac:dyDescent="0.2">
      <c r="A6821" s="39"/>
      <c r="B6821" s="36"/>
      <c r="C6821" s="37"/>
      <c r="D6821" s="37"/>
      <c r="E6821" s="37"/>
      <c r="F6821" s="37"/>
      <c r="G6821" s="37"/>
      <c r="H6821" s="37"/>
      <c r="I6821" s="35"/>
      <c r="J6821" s="37"/>
    </row>
    <row r="6822" spans="1:10" ht="15.95" customHeight="1" x14ac:dyDescent="0.2">
      <c r="A6822" s="39"/>
      <c r="B6822" s="36"/>
      <c r="C6822" s="37"/>
      <c r="D6822" s="37"/>
      <c r="E6822" s="37"/>
      <c r="F6822" s="37"/>
      <c r="G6822" s="37"/>
      <c r="H6822" s="37"/>
      <c r="I6822" s="35"/>
      <c r="J6822" s="37"/>
    </row>
    <row r="6823" spans="1:10" ht="15.95" customHeight="1" x14ac:dyDescent="0.2">
      <c r="A6823" s="39"/>
      <c r="B6823" s="36"/>
      <c r="C6823" s="37"/>
      <c r="D6823" s="37"/>
      <c r="E6823" s="37"/>
      <c r="F6823" s="37"/>
      <c r="G6823" s="37"/>
      <c r="H6823" s="37"/>
      <c r="I6823" s="35"/>
      <c r="J6823" s="37"/>
    </row>
    <row r="6824" spans="1:10" ht="15.95" customHeight="1" x14ac:dyDescent="0.2">
      <c r="A6824" s="39"/>
      <c r="B6824" s="36"/>
      <c r="C6824" s="37"/>
      <c r="D6824" s="37"/>
      <c r="E6824" s="37"/>
      <c r="F6824" s="37"/>
      <c r="G6824" s="37"/>
      <c r="H6824" s="37"/>
      <c r="I6824" s="35"/>
      <c r="J6824" s="37"/>
    </row>
    <row r="6825" spans="1:10" ht="15.95" customHeight="1" x14ac:dyDescent="0.2">
      <c r="A6825" s="39"/>
      <c r="B6825" s="36"/>
      <c r="C6825" s="37"/>
      <c r="D6825" s="37"/>
      <c r="E6825" s="37"/>
      <c r="F6825" s="37"/>
      <c r="G6825" s="37"/>
      <c r="H6825" s="37"/>
      <c r="I6825" s="35"/>
      <c r="J6825" s="37"/>
    </row>
    <row r="6826" spans="1:10" ht="15.95" customHeight="1" x14ac:dyDescent="0.2">
      <c r="A6826" s="39"/>
      <c r="B6826" s="36"/>
      <c r="C6826" s="37"/>
      <c r="D6826" s="37"/>
      <c r="E6826" s="37"/>
      <c r="F6826" s="37"/>
      <c r="G6826" s="37"/>
      <c r="H6826" s="37"/>
      <c r="I6826" s="35"/>
      <c r="J6826" s="37"/>
    </row>
    <row r="6827" spans="1:10" ht="15.95" customHeight="1" x14ac:dyDescent="0.2">
      <c r="A6827" s="39"/>
      <c r="B6827" s="36"/>
      <c r="C6827" s="37"/>
      <c r="D6827" s="37"/>
      <c r="E6827" s="37"/>
      <c r="F6827" s="37"/>
      <c r="G6827" s="37"/>
      <c r="H6827" s="37"/>
      <c r="I6827" s="35"/>
      <c r="J6827" s="37"/>
    </row>
    <row r="6828" spans="1:10" ht="15.95" customHeight="1" x14ac:dyDescent="0.2">
      <c r="A6828" s="39"/>
      <c r="B6828" s="36"/>
      <c r="C6828" s="37"/>
      <c r="D6828" s="37"/>
      <c r="E6828" s="37"/>
      <c r="F6828" s="37"/>
      <c r="G6828" s="37"/>
      <c r="H6828" s="37"/>
      <c r="I6828" s="35"/>
      <c r="J6828" s="37"/>
    </row>
    <row r="6829" spans="1:10" ht="15.95" customHeight="1" x14ac:dyDescent="0.2">
      <c r="A6829" s="39"/>
      <c r="B6829" s="36"/>
      <c r="C6829" s="37"/>
      <c r="D6829" s="37"/>
      <c r="E6829" s="37"/>
      <c r="F6829" s="37"/>
      <c r="G6829" s="37"/>
      <c r="H6829" s="37"/>
      <c r="I6829" s="35"/>
      <c r="J6829" s="37"/>
    </row>
    <row r="6830" spans="1:10" ht="15.95" customHeight="1" x14ac:dyDescent="0.2">
      <c r="A6830" s="39"/>
      <c r="B6830" s="36"/>
      <c r="C6830" s="37"/>
      <c r="D6830" s="37"/>
      <c r="E6830" s="37"/>
      <c r="F6830" s="37"/>
      <c r="G6830" s="37"/>
      <c r="H6830" s="37"/>
      <c r="I6830" s="35"/>
      <c r="J6830" s="37"/>
    </row>
    <row r="6831" spans="1:10" ht="15.95" customHeight="1" x14ac:dyDescent="0.2">
      <c r="A6831" s="39"/>
      <c r="B6831" s="36"/>
      <c r="C6831" s="37"/>
      <c r="D6831" s="37"/>
      <c r="E6831" s="37"/>
      <c r="F6831" s="37"/>
      <c r="G6831" s="37"/>
      <c r="H6831" s="37"/>
      <c r="I6831" s="35"/>
      <c r="J6831" s="37"/>
    </row>
    <row r="6832" spans="1:10" ht="15.95" customHeight="1" x14ac:dyDescent="0.2">
      <c r="A6832" s="39"/>
      <c r="B6832" s="36"/>
      <c r="C6832" s="37"/>
      <c r="D6832" s="37"/>
      <c r="E6832" s="37"/>
      <c r="F6832" s="37"/>
      <c r="G6832" s="37"/>
      <c r="H6832" s="37"/>
      <c r="I6832" s="35"/>
      <c r="J6832" s="37"/>
    </row>
    <row r="6833" spans="1:10" ht="15.95" customHeight="1" x14ac:dyDescent="0.2">
      <c r="A6833" s="39"/>
      <c r="B6833" s="36"/>
      <c r="C6833" s="37"/>
      <c r="D6833" s="37"/>
      <c r="E6833" s="37"/>
      <c r="F6833" s="37"/>
      <c r="G6833" s="37"/>
      <c r="H6833" s="37"/>
      <c r="I6833" s="35"/>
      <c r="J6833" s="37"/>
    </row>
    <row r="6834" spans="1:10" ht="15.95" customHeight="1" x14ac:dyDescent="0.2">
      <c r="A6834" s="39"/>
      <c r="B6834" s="36"/>
      <c r="C6834" s="37"/>
      <c r="D6834" s="37"/>
      <c r="E6834" s="37"/>
      <c r="F6834" s="37"/>
      <c r="G6834" s="37"/>
      <c r="H6834" s="37"/>
      <c r="I6834" s="35"/>
      <c r="J6834" s="37"/>
    </row>
    <row r="6835" spans="1:10" ht="15.95" customHeight="1" x14ac:dyDescent="0.2">
      <c r="A6835" s="39"/>
      <c r="B6835" s="36"/>
      <c r="C6835" s="37"/>
      <c r="D6835" s="37"/>
      <c r="E6835" s="37"/>
      <c r="F6835" s="37"/>
      <c r="G6835" s="37"/>
      <c r="H6835" s="37"/>
      <c r="I6835" s="35"/>
      <c r="J6835" s="37"/>
    </row>
    <row r="6836" spans="1:10" ht="15.95" customHeight="1" x14ac:dyDescent="0.2">
      <c r="A6836" s="39"/>
      <c r="B6836" s="36"/>
      <c r="C6836" s="37"/>
      <c r="D6836" s="37"/>
      <c r="E6836" s="37"/>
      <c r="F6836" s="37"/>
      <c r="G6836" s="37"/>
      <c r="H6836" s="37"/>
      <c r="I6836" s="35"/>
      <c r="J6836" s="37"/>
    </row>
    <row r="6837" spans="1:10" ht="15.95" customHeight="1" x14ac:dyDescent="0.2">
      <c r="A6837" s="39"/>
      <c r="B6837" s="36"/>
      <c r="C6837" s="37"/>
      <c r="D6837" s="37"/>
      <c r="E6837" s="37"/>
      <c r="F6837" s="37"/>
      <c r="G6837" s="37"/>
      <c r="H6837" s="37"/>
      <c r="I6837" s="35"/>
      <c r="J6837" s="37"/>
    </row>
    <row r="6838" spans="1:10" ht="15.95" customHeight="1" x14ac:dyDescent="0.2">
      <c r="A6838" s="39"/>
      <c r="B6838" s="36"/>
      <c r="C6838" s="37"/>
      <c r="D6838" s="37"/>
      <c r="E6838" s="37"/>
      <c r="F6838" s="37"/>
      <c r="G6838" s="37"/>
      <c r="H6838" s="37"/>
      <c r="I6838" s="35"/>
      <c r="J6838" s="37"/>
    </row>
    <row r="6839" spans="1:10" ht="15.95" customHeight="1" x14ac:dyDescent="0.2">
      <c r="A6839" s="39"/>
      <c r="B6839" s="36"/>
      <c r="C6839" s="37"/>
      <c r="D6839" s="37"/>
      <c r="E6839" s="37"/>
      <c r="F6839" s="37"/>
      <c r="G6839" s="37"/>
      <c r="H6839" s="37"/>
      <c r="I6839" s="35"/>
      <c r="J6839" s="37"/>
    </row>
    <row r="6840" spans="1:10" ht="15.95" customHeight="1" x14ac:dyDescent="0.2">
      <c r="A6840" s="39"/>
      <c r="B6840" s="36"/>
      <c r="C6840" s="37"/>
      <c r="D6840" s="37"/>
      <c r="E6840" s="37"/>
      <c r="F6840" s="37"/>
      <c r="G6840" s="37"/>
      <c r="H6840" s="37"/>
      <c r="I6840" s="35"/>
      <c r="J6840" s="37"/>
    </row>
    <row r="6841" spans="1:10" ht="15.95" customHeight="1" x14ac:dyDescent="0.2">
      <c r="A6841" s="39"/>
      <c r="B6841" s="36"/>
      <c r="C6841" s="37"/>
      <c r="D6841" s="37"/>
      <c r="E6841" s="37"/>
      <c r="F6841" s="37"/>
      <c r="G6841" s="37"/>
      <c r="H6841" s="37"/>
      <c r="I6841" s="35"/>
      <c r="J6841" s="37"/>
    </row>
    <row r="6842" spans="1:10" ht="15.95" customHeight="1" x14ac:dyDescent="0.2">
      <c r="A6842" s="39"/>
      <c r="B6842" s="36"/>
      <c r="C6842" s="37"/>
      <c r="D6842" s="37"/>
      <c r="E6842" s="37"/>
      <c r="F6842" s="37"/>
      <c r="G6842" s="37"/>
      <c r="H6842" s="37"/>
      <c r="I6842" s="35"/>
      <c r="J6842" s="37"/>
    </row>
    <row r="6843" spans="1:10" ht="15.95" customHeight="1" x14ac:dyDescent="0.2">
      <c r="A6843" s="39"/>
      <c r="B6843" s="36"/>
      <c r="C6843" s="37"/>
      <c r="D6843" s="37"/>
      <c r="E6843" s="37"/>
      <c r="F6843" s="37"/>
      <c r="G6843" s="37"/>
      <c r="H6843" s="37"/>
      <c r="I6843" s="35"/>
      <c r="J6843" s="37"/>
    </row>
    <row r="6844" spans="1:10" ht="15.95" customHeight="1" x14ac:dyDescent="0.2">
      <c r="A6844" s="39"/>
      <c r="B6844" s="36"/>
      <c r="C6844" s="37"/>
      <c r="D6844" s="37"/>
      <c r="E6844" s="37"/>
      <c r="F6844" s="37"/>
      <c r="G6844" s="37"/>
      <c r="H6844" s="37"/>
      <c r="I6844" s="35"/>
      <c r="J6844" s="37"/>
    </row>
    <row r="6845" spans="1:10" ht="15.95" customHeight="1" x14ac:dyDescent="0.2">
      <c r="A6845" s="39"/>
      <c r="B6845" s="36"/>
      <c r="C6845" s="37"/>
      <c r="D6845" s="37"/>
      <c r="E6845" s="37"/>
      <c r="F6845" s="37"/>
      <c r="G6845" s="37"/>
      <c r="H6845" s="37"/>
      <c r="I6845" s="35"/>
      <c r="J6845" s="37"/>
    </row>
    <row r="6846" spans="1:10" ht="15.95" customHeight="1" x14ac:dyDescent="0.2">
      <c r="A6846" s="39"/>
      <c r="B6846" s="36"/>
      <c r="C6846" s="37"/>
      <c r="D6846" s="37"/>
      <c r="E6846" s="37"/>
      <c r="F6846" s="37"/>
      <c r="G6846" s="37"/>
      <c r="H6846" s="37"/>
      <c r="I6846" s="35"/>
      <c r="J6846" s="37"/>
    </row>
    <row r="6847" spans="1:10" ht="15.95" customHeight="1" x14ac:dyDescent="0.2">
      <c r="A6847" s="39"/>
      <c r="B6847" s="36"/>
      <c r="C6847" s="37"/>
      <c r="D6847" s="37"/>
      <c r="E6847" s="37"/>
      <c r="F6847" s="37"/>
      <c r="G6847" s="37"/>
      <c r="H6847" s="37"/>
      <c r="I6847" s="35"/>
      <c r="J6847" s="37"/>
    </row>
    <row r="6848" spans="1:10" ht="15.95" customHeight="1" x14ac:dyDescent="0.2">
      <c r="A6848" s="39"/>
      <c r="B6848" s="36"/>
      <c r="C6848" s="37"/>
      <c r="D6848" s="37"/>
      <c r="E6848" s="37"/>
      <c r="F6848" s="37"/>
      <c r="G6848" s="37"/>
      <c r="H6848" s="37"/>
      <c r="I6848" s="35"/>
      <c r="J6848" s="37"/>
    </row>
    <row r="6849" spans="1:10" ht="15.95" customHeight="1" x14ac:dyDescent="0.2">
      <c r="A6849" s="39"/>
      <c r="B6849" s="36"/>
      <c r="C6849" s="37"/>
      <c r="D6849" s="37"/>
      <c r="E6849" s="37"/>
      <c r="F6849" s="37"/>
      <c r="G6849" s="37"/>
      <c r="H6849" s="37"/>
      <c r="I6849" s="35"/>
      <c r="J6849" s="37"/>
    </row>
    <row r="6850" spans="1:10" ht="15.95" customHeight="1" x14ac:dyDescent="0.2">
      <c r="A6850" s="39"/>
      <c r="B6850" s="36"/>
      <c r="C6850" s="37"/>
      <c r="D6850" s="37"/>
      <c r="E6850" s="37"/>
      <c r="F6850" s="37"/>
      <c r="G6850" s="37"/>
      <c r="H6850" s="37"/>
      <c r="I6850" s="35"/>
      <c r="J6850" s="37"/>
    </row>
    <row r="6851" spans="1:10" ht="15.95" customHeight="1" x14ac:dyDescent="0.2">
      <c r="A6851" s="39"/>
      <c r="B6851" s="36"/>
      <c r="C6851" s="37"/>
      <c r="D6851" s="37"/>
      <c r="E6851" s="37"/>
      <c r="F6851" s="37"/>
      <c r="G6851" s="37"/>
      <c r="H6851" s="37"/>
      <c r="I6851" s="35"/>
      <c r="J6851" s="37"/>
    </row>
    <row r="6852" spans="1:10" ht="15.95" customHeight="1" x14ac:dyDescent="0.2">
      <c r="A6852" s="39"/>
      <c r="B6852" s="36"/>
      <c r="C6852" s="37"/>
      <c r="D6852" s="37"/>
      <c r="E6852" s="37"/>
      <c r="F6852" s="37"/>
      <c r="G6852" s="37"/>
      <c r="H6852" s="37"/>
      <c r="I6852" s="35"/>
      <c r="J6852" s="37"/>
    </row>
    <row r="6853" spans="1:10" ht="15.95" customHeight="1" x14ac:dyDescent="0.2">
      <c r="A6853" s="39"/>
      <c r="B6853" s="36"/>
      <c r="C6853" s="37"/>
      <c r="D6853" s="37"/>
      <c r="E6853" s="37"/>
      <c r="F6853" s="37"/>
      <c r="G6853" s="37"/>
      <c r="H6853" s="37"/>
      <c r="I6853" s="35"/>
      <c r="J6853" s="37"/>
    </row>
    <row r="6854" spans="1:10" ht="15.95" customHeight="1" x14ac:dyDescent="0.2">
      <c r="A6854" s="39"/>
      <c r="B6854" s="36"/>
      <c r="C6854" s="37"/>
      <c r="D6854" s="37"/>
      <c r="E6854" s="37"/>
      <c r="F6854" s="37"/>
      <c r="G6854" s="37"/>
      <c r="H6854" s="37"/>
      <c r="I6854" s="35"/>
      <c r="J6854" s="37"/>
    </row>
    <row r="6855" spans="1:10" ht="15.95" customHeight="1" x14ac:dyDescent="0.2">
      <c r="A6855" s="39"/>
      <c r="B6855" s="36"/>
      <c r="C6855" s="37"/>
      <c r="D6855" s="37"/>
      <c r="E6855" s="37"/>
      <c r="F6855" s="37"/>
      <c r="G6855" s="37"/>
      <c r="H6855" s="37"/>
      <c r="I6855" s="35"/>
      <c r="J6855" s="37"/>
    </row>
    <row r="6856" spans="1:10" ht="15.95" customHeight="1" x14ac:dyDescent="0.2">
      <c r="A6856" s="39"/>
      <c r="B6856" s="36"/>
      <c r="C6856" s="37"/>
      <c r="D6856" s="37"/>
      <c r="E6856" s="37"/>
      <c r="F6856" s="37"/>
      <c r="G6856" s="37"/>
      <c r="H6856" s="37"/>
      <c r="I6856" s="35"/>
      <c r="J6856" s="37"/>
    </row>
    <row r="6857" spans="1:10" ht="15.95" customHeight="1" x14ac:dyDescent="0.2">
      <c r="A6857" s="39"/>
      <c r="B6857" s="36"/>
      <c r="C6857" s="37"/>
      <c r="D6857" s="37"/>
      <c r="E6857" s="37"/>
      <c r="F6857" s="37"/>
      <c r="G6857" s="37"/>
      <c r="H6857" s="37"/>
      <c r="I6857" s="35"/>
      <c r="J6857" s="37"/>
    </row>
    <row r="6858" spans="1:10" ht="15.95" customHeight="1" x14ac:dyDescent="0.2">
      <c r="A6858" s="39"/>
      <c r="B6858" s="36"/>
      <c r="C6858" s="37"/>
      <c r="D6858" s="37"/>
      <c r="E6858" s="37"/>
      <c r="F6858" s="37"/>
      <c r="G6858" s="37"/>
      <c r="H6858" s="37"/>
      <c r="I6858" s="35"/>
      <c r="J6858" s="37"/>
    </row>
    <row r="6859" spans="1:10" ht="15.95" customHeight="1" x14ac:dyDescent="0.2">
      <c r="A6859" s="39"/>
      <c r="B6859" s="36"/>
      <c r="C6859" s="37"/>
      <c r="D6859" s="37"/>
      <c r="E6859" s="37"/>
      <c r="F6859" s="37"/>
      <c r="G6859" s="37"/>
      <c r="H6859" s="37"/>
      <c r="I6859" s="35"/>
      <c r="J6859" s="37"/>
    </row>
    <row r="6860" spans="1:10" ht="15.95" customHeight="1" x14ac:dyDescent="0.2">
      <c r="A6860" s="39"/>
      <c r="B6860" s="36"/>
      <c r="C6860" s="37"/>
      <c r="D6860" s="37"/>
      <c r="E6860" s="37"/>
      <c r="F6860" s="37"/>
      <c r="G6860" s="37"/>
      <c r="H6860" s="37"/>
      <c r="I6860" s="35"/>
      <c r="J6860" s="37"/>
    </row>
    <row r="6861" spans="1:10" ht="15.95" customHeight="1" x14ac:dyDescent="0.2">
      <c r="A6861" s="39"/>
      <c r="B6861" s="36"/>
      <c r="C6861" s="37"/>
      <c r="D6861" s="37"/>
      <c r="E6861" s="37"/>
      <c r="F6861" s="37"/>
      <c r="G6861" s="37"/>
      <c r="H6861" s="37"/>
      <c r="I6861" s="35"/>
      <c r="J6861" s="37"/>
    </row>
    <row r="6862" spans="1:10" ht="15.95" customHeight="1" x14ac:dyDescent="0.2">
      <c r="A6862" s="39"/>
      <c r="B6862" s="36"/>
      <c r="C6862" s="37"/>
      <c r="D6862" s="37"/>
      <c r="E6862" s="37"/>
      <c r="F6862" s="37"/>
      <c r="G6862" s="37"/>
      <c r="H6862" s="37"/>
      <c r="I6862" s="35"/>
      <c r="J6862" s="37"/>
    </row>
    <row r="6863" spans="1:10" ht="15.95" customHeight="1" x14ac:dyDescent="0.2">
      <c r="A6863" s="39"/>
      <c r="B6863" s="36"/>
      <c r="C6863" s="37"/>
      <c r="D6863" s="37"/>
      <c r="E6863" s="37"/>
      <c r="F6863" s="37"/>
      <c r="G6863" s="37"/>
      <c r="H6863" s="37"/>
      <c r="I6863" s="35"/>
      <c r="J6863" s="37"/>
    </row>
    <row r="6864" spans="1:10" ht="15.95" customHeight="1" x14ac:dyDescent="0.2">
      <c r="A6864" s="39"/>
      <c r="B6864" s="36"/>
      <c r="C6864" s="37"/>
      <c r="D6864" s="37"/>
      <c r="E6864" s="37"/>
      <c r="F6864" s="37"/>
      <c r="G6864" s="37"/>
      <c r="H6864" s="37"/>
      <c r="I6864" s="35"/>
      <c r="J6864" s="37"/>
    </row>
    <row r="6865" spans="1:10" ht="15.95" customHeight="1" x14ac:dyDescent="0.2">
      <c r="A6865" s="39"/>
      <c r="B6865" s="36"/>
      <c r="C6865" s="37"/>
      <c r="D6865" s="37"/>
      <c r="E6865" s="37"/>
      <c r="F6865" s="37"/>
      <c r="G6865" s="37"/>
      <c r="H6865" s="37"/>
      <c r="I6865" s="35"/>
      <c r="J6865" s="37"/>
    </row>
    <row r="6866" spans="1:10" ht="15.95" customHeight="1" x14ac:dyDescent="0.2">
      <c r="A6866" s="39"/>
      <c r="B6866" s="36"/>
      <c r="C6866" s="37"/>
      <c r="D6866" s="37"/>
      <c r="E6866" s="37"/>
      <c r="F6866" s="37"/>
      <c r="G6866" s="37"/>
      <c r="H6866" s="37"/>
      <c r="I6866" s="35"/>
      <c r="J6866" s="37"/>
    </row>
    <row r="6867" spans="1:10" ht="15.95" customHeight="1" x14ac:dyDescent="0.2">
      <c r="A6867" s="39"/>
      <c r="B6867" s="36"/>
      <c r="C6867" s="37"/>
      <c r="D6867" s="37"/>
      <c r="E6867" s="37"/>
      <c r="F6867" s="37"/>
      <c r="G6867" s="37"/>
      <c r="H6867" s="37"/>
      <c r="I6867" s="35"/>
      <c r="J6867" s="37"/>
    </row>
    <row r="6868" spans="1:10" ht="15.95" customHeight="1" x14ac:dyDescent="0.2">
      <c r="A6868" s="39"/>
      <c r="B6868" s="36"/>
      <c r="C6868" s="37"/>
      <c r="D6868" s="37"/>
      <c r="E6868" s="37"/>
      <c r="F6868" s="37"/>
      <c r="G6868" s="37"/>
      <c r="H6868" s="37"/>
      <c r="I6868" s="35"/>
      <c r="J6868" s="37"/>
    </row>
    <row r="6869" spans="1:10" ht="15.95" customHeight="1" x14ac:dyDescent="0.2">
      <c r="A6869" s="39"/>
      <c r="B6869" s="36"/>
      <c r="C6869" s="37"/>
      <c r="D6869" s="37"/>
      <c r="E6869" s="37"/>
      <c r="F6869" s="37"/>
      <c r="G6869" s="37"/>
      <c r="H6869" s="37"/>
      <c r="I6869" s="35"/>
      <c r="J6869" s="37"/>
    </row>
    <row r="6870" spans="1:10" ht="15.95" customHeight="1" x14ac:dyDescent="0.2">
      <c r="A6870" s="39"/>
      <c r="B6870" s="36"/>
      <c r="C6870" s="37"/>
      <c r="D6870" s="37"/>
      <c r="E6870" s="37"/>
      <c r="F6870" s="37"/>
      <c r="G6870" s="37"/>
      <c r="H6870" s="37"/>
      <c r="I6870" s="35"/>
      <c r="J6870" s="37"/>
    </row>
    <row r="6871" spans="1:10" ht="15.95" customHeight="1" x14ac:dyDescent="0.2">
      <c r="A6871" s="39"/>
      <c r="B6871" s="36"/>
      <c r="C6871" s="37"/>
      <c r="D6871" s="37"/>
      <c r="E6871" s="37"/>
      <c r="F6871" s="37"/>
      <c r="G6871" s="37"/>
      <c r="H6871" s="37"/>
      <c r="I6871" s="35"/>
      <c r="J6871" s="37"/>
    </row>
    <row r="6872" spans="1:10" ht="15.95" customHeight="1" x14ac:dyDescent="0.2">
      <c r="A6872" s="39"/>
      <c r="B6872" s="36"/>
      <c r="C6872" s="37"/>
      <c r="D6872" s="37"/>
      <c r="E6872" s="37"/>
      <c r="F6872" s="37"/>
      <c r="G6872" s="37"/>
      <c r="H6872" s="37"/>
      <c r="I6872" s="35"/>
      <c r="J6872" s="37"/>
    </row>
    <row r="6873" spans="1:10" ht="15.95" customHeight="1" x14ac:dyDescent="0.2">
      <c r="A6873" s="39"/>
      <c r="B6873" s="36"/>
      <c r="C6873" s="37"/>
      <c r="D6873" s="37"/>
      <c r="E6873" s="37"/>
      <c r="F6873" s="37"/>
      <c r="G6873" s="37"/>
      <c r="H6873" s="37"/>
      <c r="I6873" s="35"/>
      <c r="J6873" s="37"/>
    </row>
    <row r="6874" spans="1:10" ht="15.95" customHeight="1" x14ac:dyDescent="0.2">
      <c r="A6874" s="39"/>
      <c r="B6874" s="36"/>
      <c r="C6874" s="37"/>
      <c r="D6874" s="37"/>
      <c r="E6874" s="37"/>
      <c r="F6874" s="37"/>
      <c r="G6874" s="37"/>
      <c r="H6874" s="37"/>
      <c r="I6874" s="35"/>
      <c r="J6874" s="37"/>
    </row>
    <row r="6875" spans="1:10" ht="15.95" customHeight="1" x14ac:dyDescent="0.2">
      <c r="A6875" s="39"/>
      <c r="B6875" s="36"/>
      <c r="C6875" s="37"/>
      <c r="D6875" s="37"/>
      <c r="E6875" s="37"/>
      <c r="F6875" s="37"/>
      <c r="G6875" s="37"/>
      <c r="H6875" s="37"/>
      <c r="I6875" s="35"/>
      <c r="J6875" s="37"/>
    </row>
    <row r="6876" spans="1:10" ht="15.95" customHeight="1" x14ac:dyDescent="0.2">
      <c r="A6876" s="39"/>
      <c r="B6876" s="36"/>
      <c r="C6876" s="37"/>
      <c r="D6876" s="37"/>
      <c r="E6876" s="37"/>
      <c r="F6876" s="37"/>
      <c r="G6876" s="37"/>
      <c r="H6876" s="37"/>
      <c r="I6876" s="35"/>
      <c r="J6876" s="37"/>
    </row>
    <row r="6877" spans="1:10" ht="15.95" customHeight="1" x14ac:dyDescent="0.2">
      <c r="A6877" s="39"/>
      <c r="B6877" s="36"/>
      <c r="C6877" s="37"/>
      <c r="D6877" s="37"/>
      <c r="E6877" s="37"/>
      <c r="F6877" s="37"/>
      <c r="G6877" s="37"/>
      <c r="H6877" s="37"/>
      <c r="I6877" s="35"/>
      <c r="J6877" s="37"/>
    </row>
    <row r="6878" spans="1:10" ht="15.95" customHeight="1" x14ac:dyDescent="0.2">
      <c r="A6878" s="39"/>
      <c r="B6878" s="36"/>
      <c r="C6878" s="37"/>
      <c r="D6878" s="37"/>
      <c r="E6878" s="37"/>
      <c r="F6878" s="37"/>
      <c r="G6878" s="37"/>
      <c r="H6878" s="37"/>
      <c r="I6878" s="35"/>
      <c r="J6878" s="37"/>
    </row>
    <row r="6879" spans="1:10" ht="15.95" customHeight="1" x14ac:dyDescent="0.2">
      <c r="A6879" s="39"/>
      <c r="B6879" s="36"/>
      <c r="C6879" s="37"/>
      <c r="D6879" s="37"/>
      <c r="E6879" s="37"/>
      <c r="F6879" s="37"/>
      <c r="G6879" s="37"/>
      <c r="H6879" s="37"/>
      <c r="I6879" s="35"/>
      <c r="J6879" s="37"/>
    </row>
    <row r="6880" spans="1:10" ht="15.95" customHeight="1" x14ac:dyDescent="0.2">
      <c r="A6880" s="39"/>
      <c r="B6880" s="36"/>
      <c r="C6880" s="37"/>
      <c r="D6880" s="37"/>
      <c r="E6880" s="37"/>
      <c r="F6880" s="37"/>
      <c r="G6880" s="37"/>
      <c r="H6880" s="37"/>
      <c r="I6880" s="35"/>
      <c r="J6880" s="37"/>
    </row>
    <row r="6881" spans="1:10" ht="15.95" customHeight="1" x14ac:dyDescent="0.2">
      <c r="A6881" s="39"/>
      <c r="B6881" s="36"/>
      <c r="C6881" s="37"/>
      <c r="D6881" s="37"/>
      <c r="E6881" s="37"/>
      <c r="F6881" s="37"/>
      <c r="G6881" s="37"/>
      <c r="H6881" s="37"/>
      <c r="I6881" s="35"/>
      <c r="J6881" s="37"/>
    </row>
    <row r="6882" spans="1:10" ht="15.95" customHeight="1" x14ac:dyDescent="0.2">
      <c r="A6882" s="39"/>
      <c r="B6882" s="36"/>
      <c r="C6882" s="37"/>
      <c r="D6882" s="37"/>
      <c r="E6882" s="37"/>
      <c r="F6882" s="37"/>
      <c r="G6882" s="37"/>
      <c r="H6882" s="37"/>
      <c r="I6882" s="35"/>
      <c r="J6882" s="37"/>
    </row>
    <row r="6883" spans="1:10" ht="15.95" customHeight="1" x14ac:dyDescent="0.2">
      <c r="A6883" s="39"/>
      <c r="B6883" s="36"/>
      <c r="C6883" s="37"/>
      <c r="D6883" s="37"/>
      <c r="E6883" s="37"/>
      <c r="F6883" s="37"/>
      <c r="G6883" s="37"/>
      <c r="H6883" s="37"/>
      <c r="I6883" s="35"/>
      <c r="J6883" s="37"/>
    </row>
    <row r="6884" spans="1:10" ht="15.95" customHeight="1" x14ac:dyDescent="0.2">
      <c r="A6884" s="39"/>
      <c r="B6884" s="36"/>
      <c r="C6884" s="37"/>
      <c r="D6884" s="37"/>
      <c r="E6884" s="37"/>
      <c r="F6884" s="37"/>
      <c r="G6884" s="37"/>
      <c r="H6884" s="37"/>
      <c r="I6884" s="35"/>
      <c r="J6884" s="37"/>
    </row>
    <row r="6885" spans="1:10" ht="15.95" customHeight="1" x14ac:dyDescent="0.2">
      <c r="A6885" s="39"/>
      <c r="B6885" s="36"/>
      <c r="C6885" s="37"/>
      <c r="D6885" s="37"/>
      <c r="E6885" s="37"/>
      <c r="F6885" s="37"/>
      <c r="G6885" s="37"/>
      <c r="H6885" s="37"/>
      <c r="I6885" s="35"/>
      <c r="J6885" s="37"/>
    </row>
    <row r="6886" spans="1:10" ht="15.95" customHeight="1" x14ac:dyDescent="0.2">
      <c r="A6886" s="39"/>
      <c r="B6886" s="36"/>
      <c r="C6886" s="37"/>
      <c r="D6886" s="37"/>
      <c r="E6886" s="37"/>
      <c r="F6886" s="37"/>
      <c r="G6886" s="37"/>
      <c r="H6886" s="37"/>
      <c r="I6886" s="35"/>
      <c r="J6886" s="37"/>
    </row>
    <row r="6887" spans="1:10" ht="15.95" customHeight="1" x14ac:dyDescent="0.2">
      <c r="A6887" s="39"/>
      <c r="B6887" s="36"/>
      <c r="C6887" s="37"/>
      <c r="D6887" s="37"/>
      <c r="E6887" s="37"/>
      <c r="F6887" s="37"/>
      <c r="G6887" s="37"/>
      <c r="H6887" s="37"/>
      <c r="I6887" s="35"/>
      <c r="J6887" s="37"/>
    </row>
    <row r="6888" spans="1:10" ht="15.95" customHeight="1" x14ac:dyDescent="0.2">
      <c r="A6888" s="39"/>
      <c r="B6888" s="36"/>
      <c r="C6888" s="37"/>
      <c r="D6888" s="37"/>
      <c r="E6888" s="37"/>
      <c r="F6888" s="37"/>
      <c r="G6888" s="37"/>
      <c r="H6888" s="37"/>
      <c r="I6888" s="35"/>
      <c r="J6888" s="37"/>
    </row>
    <row r="6889" spans="1:10" ht="15.95" customHeight="1" x14ac:dyDescent="0.2">
      <c r="A6889" s="39"/>
      <c r="B6889" s="36"/>
      <c r="C6889" s="37"/>
      <c r="D6889" s="37"/>
      <c r="E6889" s="37"/>
      <c r="F6889" s="37"/>
      <c r="G6889" s="37"/>
      <c r="H6889" s="37"/>
      <c r="I6889" s="35"/>
      <c r="J6889" s="37"/>
    </row>
    <row r="6890" spans="1:10" ht="15.95" customHeight="1" x14ac:dyDescent="0.2">
      <c r="A6890" s="39"/>
      <c r="B6890" s="36"/>
      <c r="C6890" s="37"/>
      <c r="D6890" s="37"/>
      <c r="E6890" s="37"/>
      <c r="F6890" s="37"/>
      <c r="G6890" s="37"/>
      <c r="H6890" s="37"/>
      <c r="I6890" s="35"/>
      <c r="J6890" s="37"/>
    </row>
    <row r="6891" spans="1:10" ht="15.95" customHeight="1" x14ac:dyDescent="0.2">
      <c r="A6891" s="39"/>
      <c r="B6891" s="36"/>
      <c r="C6891" s="37"/>
      <c r="D6891" s="37"/>
      <c r="E6891" s="37"/>
      <c r="F6891" s="37"/>
      <c r="G6891" s="37"/>
      <c r="H6891" s="37"/>
      <c r="I6891" s="35"/>
      <c r="J6891" s="37"/>
    </row>
    <row r="6892" spans="1:10" ht="15.95" customHeight="1" x14ac:dyDescent="0.2">
      <c r="A6892" s="39"/>
      <c r="B6892" s="36"/>
      <c r="C6892" s="37"/>
      <c r="D6892" s="37"/>
      <c r="E6892" s="37"/>
      <c r="F6892" s="37"/>
      <c r="G6892" s="37"/>
      <c r="H6892" s="37"/>
      <c r="I6892" s="35"/>
      <c r="J6892" s="37"/>
    </row>
    <row r="6893" spans="1:10" ht="15.95" customHeight="1" x14ac:dyDescent="0.2">
      <c r="A6893" s="39"/>
      <c r="B6893" s="36"/>
      <c r="C6893" s="37"/>
      <c r="D6893" s="37"/>
      <c r="E6893" s="37"/>
      <c r="F6893" s="37"/>
      <c r="G6893" s="37"/>
      <c r="H6893" s="37"/>
      <c r="I6893" s="35"/>
      <c r="J6893" s="37"/>
    </row>
    <row r="6894" spans="1:10" ht="15.95" customHeight="1" x14ac:dyDescent="0.2">
      <c r="A6894" s="39"/>
      <c r="B6894" s="36"/>
      <c r="C6894" s="37"/>
      <c r="D6894" s="37"/>
      <c r="E6894" s="37"/>
      <c r="F6894" s="37"/>
      <c r="G6894" s="37"/>
      <c r="H6894" s="37"/>
      <c r="I6894" s="35"/>
      <c r="J6894" s="37"/>
    </row>
    <row r="6895" spans="1:10" ht="15.95" customHeight="1" x14ac:dyDescent="0.2">
      <c r="A6895" s="39"/>
      <c r="B6895" s="36"/>
      <c r="C6895" s="37"/>
      <c r="D6895" s="37"/>
      <c r="E6895" s="37"/>
      <c r="F6895" s="37"/>
      <c r="G6895" s="37"/>
      <c r="H6895" s="37"/>
      <c r="I6895" s="35"/>
      <c r="J6895" s="37"/>
    </row>
    <row r="6896" spans="1:10" ht="15.95" customHeight="1" x14ac:dyDescent="0.2">
      <c r="A6896" s="39"/>
      <c r="B6896" s="36"/>
      <c r="C6896" s="37"/>
      <c r="D6896" s="37"/>
      <c r="E6896" s="37"/>
      <c r="F6896" s="37"/>
      <c r="G6896" s="37"/>
      <c r="H6896" s="37"/>
      <c r="I6896" s="35"/>
      <c r="J6896" s="37"/>
    </row>
    <row r="6897" spans="1:10" ht="15.95" customHeight="1" x14ac:dyDescent="0.2">
      <c r="A6897" s="39"/>
      <c r="B6897" s="36"/>
      <c r="C6897" s="37"/>
      <c r="D6897" s="37"/>
      <c r="E6897" s="37"/>
      <c r="F6897" s="37"/>
      <c r="G6897" s="37"/>
      <c r="H6897" s="37"/>
      <c r="I6897" s="35"/>
      <c r="J6897" s="37"/>
    </row>
    <row r="6898" spans="1:10" ht="15.95" customHeight="1" x14ac:dyDescent="0.2">
      <c r="A6898" s="39"/>
      <c r="B6898" s="36"/>
      <c r="C6898" s="37"/>
      <c r="D6898" s="37"/>
      <c r="E6898" s="37"/>
      <c r="F6898" s="37"/>
      <c r="G6898" s="37"/>
      <c r="H6898" s="37"/>
      <c r="I6898" s="35"/>
      <c r="J6898" s="37"/>
    </row>
    <row r="6899" spans="1:10" ht="15.95" customHeight="1" x14ac:dyDescent="0.2">
      <c r="A6899" s="39"/>
      <c r="B6899" s="36"/>
      <c r="C6899" s="37"/>
      <c r="D6899" s="37"/>
      <c r="E6899" s="37"/>
      <c r="F6899" s="37"/>
      <c r="G6899" s="37"/>
      <c r="H6899" s="37"/>
      <c r="I6899" s="35"/>
      <c r="J6899" s="37"/>
    </row>
    <row r="6900" spans="1:10" ht="15.95" customHeight="1" x14ac:dyDescent="0.2">
      <c r="A6900" s="39"/>
      <c r="B6900" s="36"/>
      <c r="C6900" s="37"/>
      <c r="D6900" s="37"/>
      <c r="E6900" s="37"/>
      <c r="F6900" s="37"/>
      <c r="G6900" s="37"/>
      <c r="H6900" s="37"/>
      <c r="I6900" s="35"/>
      <c r="J6900" s="37"/>
    </row>
    <row r="6901" spans="1:10" ht="15.95" customHeight="1" x14ac:dyDescent="0.2">
      <c r="A6901" s="39"/>
      <c r="B6901" s="36"/>
      <c r="C6901" s="37"/>
      <c r="D6901" s="37"/>
      <c r="E6901" s="37"/>
      <c r="F6901" s="37"/>
      <c r="G6901" s="37"/>
      <c r="H6901" s="37"/>
      <c r="I6901" s="35"/>
      <c r="J6901" s="37"/>
    </row>
    <row r="6902" spans="1:10" ht="15.95" customHeight="1" x14ac:dyDescent="0.2">
      <c r="A6902" s="39"/>
      <c r="B6902" s="36"/>
      <c r="C6902" s="37"/>
      <c r="D6902" s="37"/>
      <c r="E6902" s="37"/>
      <c r="F6902" s="37"/>
      <c r="G6902" s="37"/>
      <c r="H6902" s="37"/>
      <c r="I6902" s="35"/>
      <c r="J6902" s="37"/>
    </row>
    <row r="6903" spans="1:10" ht="15.95" customHeight="1" x14ac:dyDescent="0.2">
      <c r="A6903" s="39"/>
      <c r="B6903" s="36"/>
      <c r="C6903" s="37"/>
      <c r="D6903" s="37"/>
      <c r="E6903" s="37"/>
      <c r="F6903" s="37"/>
      <c r="G6903" s="37"/>
      <c r="H6903" s="37"/>
      <c r="I6903" s="35"/>
      <c r="J6903" s="37"/>
    </row>
    <row r="6904" spans="1:10" ht="15.95" customHeight="1" x14ac:dyDescent="0.2">
      <c r="A6904" s="39"/>
      <c r="B6904" s="36"/>
      <c r="C6904" s="37"/>
      <c r="D6904" s="37"/>
      <c r="E6904" s="37"/>
      <c r="F6904" s="37"/>
      <c r="G6904" s="37"/>
      <c r="H6904" s="37"/>
      <c r="I6904" s="35"/>
      <c r="J6904" s="37"/>
    </row>
    <row r="6905" spans="1:10" ht="15.95" customHeight="1" x14ac:dyDescent="0.2">
      <c r="A6905" s="39"/>
      <c r="B6905" s="36"/>
      <c r="C6905" s="37"/>
      <c r="D6905" s="37"/>
      <c r="E6905" s="37"/>
      <c r="F6905" s="37"/>
      <c r="G6905" s="37"/>
      <c r="H6905" s="37"/>
      <c r="I6905" s="35"/>
      <c r="J6905" s="37"/>
    </row>
    <row r="6906" spans="1:10" ht="15.95" customHeight="1" x14ac:dyDescent="0.2">
      <c r="A6906" s="39"/>
      <c r="B6906" s="36"/>
      <c r="C6906" s="37"/>
      <c r="D6906" s="37"/>
      <c r="E6906" s="37"/>
      <c r="F6906" s="37"/>
      <c r="G6906" s="37"/>
      <c r="H6906" s="37"/>
      <c r="I6906" s="35"/>
      <c r="J6906" s="37"/>
    </row>
    <row r="6907" spans="1:10" ht="15.95" customHeight="1" x14ac:dyDescent="0.2">
      <c r="A6907" s="39"/>
      <c r="B6907" s="36"/>
      <c r="C6907" s="37"/>
      <c r="D6907" s="37"/>
      <c r="E6907" s="37"/>
      <c r="F6907" s="37"/>
      <c r="G6907" s="37"/>
      <c r="H6907" s="37"/>
      <c r="I6907" s="35"/>
      <c r="J6907" s="37"/>
    </row>
    <row r="6908" spans="1:10" ht="15.95" customHeight="1" x14ac:dyDescent="0.2">
      <c r="A6908" s="39"/>
      <c r="B6908" s="36"/>
      <c r="C6908" s="37"/>
      <c r="D6908" s="37"/>
      <c r="E6908" s="37"/>
      <c r="F6908" s="37"/>
      <c r="G6908" s="37"/>
      <c r="H6908" s="37"/>
      <c r="I6908" s="35"/>
      <c r="J6908" s="37"/>
    </row>
    <row r="6909" spans="1:10" ht="15.95" customHeight="1" x14ac:dyDescent="0.2">
      <c r="A6909" s="39"/>
      <c r="B6909" s="36"/>
      <c r="C6909" s="37"/>
      <c r="D6909" s="37"/>
      <c r="E6909" s="37"/>
      <c r="F6909" s="37"/>
      <c r="G6909" s="37"/>
      <c r="H6909" s="37"/>
      <c r="I6909" s="35"/>
      <c r="J6909" s="37"/>
    </row>
    <row r="6910" spans="1:10" ht="15.95" customHeight="1" x14ac:dyDescent="0.2">
      <c r="A6910" s="39"/>
      <c r="B6910" s="36"/>
      <c r="C6910" s="37"/>
      <c r="D6910" s="37"/>
      <c r="E6910" s="37"/>
      <c r="F6910" s="37"/>
      <c r="G6910" s="37"/>
      <c r="H6910" s="37"/>
      <c r="I6910" s="35"/>
      <c r="J6910" s="37"/>
    </row>
    <row r="6911" spans="1:10" ht="15.95" customHeight="1" x14ac:dyDescent="0.2">
      <c r="A6911" s="39"/>
      <c r="B6911" s="36"/>
      <c r="C6911" s="37"/>
      <c r="D6911" s="37"/>
      <c r="E6911" s="37"/>
      <c r="F6911" s="37"/>
      <c r="G6911" s="37"/>
      <c r="H6911" s="37"/>
      <c r="I6911" s="35"/>
      <c r="J6911" s="37"/>
    </row>
    <row r="6912" spans="1:10" ht="15.95" customHeight="1" x14ac:dyDescent="0.2">
      <c r="A6912" s="39"/>
      <c r="B6912" s="36"/>
      <c r="C6912" s="37"/>
      <c r="D6912" s="37"/>
      <c r="E6912" s="37"/>
      <c r="F6912" s="37"/>
      <c r="G6912" s="37"/>
      <c r="H6912" s="37"/>
      <c r="I6912" s="35"/>
      <c r="J6912" s="37"/>
    </row>
    <row r="6913" spans="1:10" ht="15.95" customHeight="1" x14ac:dyDescent="0.2">
      <c r="A6913" s="39"/>
      <c r="B6913" s="36"/>
      <c r="C6913" s="37"/>
      <c r="D6913" s="37"/>
      <c r="E6913" s="37"/>
      <c r="F6913" s="37"/>
      <c r="G6913" s="37"/>
      <c r="H6913" s="37"/>
      <c r="I6913" s="35"/>
      <c r="J6913" s="37"/>
    </row>
    <row r="6914" spans="1:10" ht="15.95" customHeight="1" x14ac:dyDescent="0.2">
      <c r="A6914" s="39"/>
      <c r="B6914" s="36"/>
      <c r="C6914" s="37"/>
      <c r="D6914" s="37"/>
      <c r="E6914" s="37"/>
      <c r="F6914" s="37"/>
      <c r="G6914" s="37"/>
      <c r="H6914" s="37"/>
      <c r="I6914" s="35"/>
      <c r="J6914" s="37"/>
    </row>
    <row r="6915" spans="1:10" ht="15.95" customHeight="1" x14ac:dyDescent="0.2">
      <c r="A6915" s="39"/>
      <c r="B6915" s="36"/>
      <c r="C6915" s="37"/>
      <c r="D6915" s="37"/>
      <c r="E6915" s="37"/>
      <c r="F6915" s="37"/>
      <c r="G6915" s="37"/>
      <c r="H6915" s="37"/>
      <c r="I6915" s="35"/>
      <c r="J6915" s="37"/>
    </row>
    <row r="6916" spans="1:10" ht="15.95" customHeight="1" x14ac:dyDescent="0.2">
      <c r="A6916" s="39"/>
      <c r="B6916" s="36"/>
      <c r="C6916" s="37"/>
      <c r="D6916" s="37"/>
      <c r="E6916" s="37"/>
      <c r="F6916" s="37"/>
      <c r="G6916" s="37"/>
      <c r="H6916" s="37"/>
      <c r="I6916" s="35"/>
      <c r="J6916" s="37"/>
    </row>
    <row r="6917" spans="1:10" ht="15.95" customHeight="1" x14ac:dyDescent="0.2">
      <c r="A6917" s="39"/>
      <c r="B6917" s="36"/>
      <c r="C6917" s="37"/>
      <c r="D6917" s="37"/>
      <c r="E6917" s="37"/>
      <c r="F6917" s="37"/>
      <c r="G6917" s="37"/>
      <c r="H6917" s="37"/>
      <c r="I6917" s="35"/>
      <c r="J6917" s="37"/>
    </row>
    <row r="6918" spans="1:10" ht="15.95" customHeight="1" x14ac:dyDescent="0.2">
      <c r="A6918" s="39"/>
      <c r="B6918" s="36"/>
      <c r="C6918" s="37"/>
      <c r="D6918" s="37"/>
      <c r="E6918" s="37"/>
      <c r="F6918" s="37"/>
      <c r="G6918" s="37"/>
      <c r="H6918" s="37"/>
      <c r="I6918" s="35"/>
      <c r="J6918" s="37"/>
    </row>
    <row r="6919" spans="1:10" ht="15.95" customHeight="1" x14ac:dyDescent="0.2">
      <c r="A6919" s="39"/>
      <c r="B6919" s="36"/>
      <c r="C6919" s="37"/>
      <c r="D6919" s="37"/>
      <c r="E6919" s="37"/>
      <c r="F6919" s="37"/>
      <c r="G6919" s="37"/>
      <c r="H6919" s="37"/>
      <c r="I6919" s="35"/>
      <c r="J6919" s="37"/>
    </row>
    <row r="6920" spans="1:10" ht="15.95" customHeight="1" x14ac:dyDescent="0.2">
      <c r="A6920" s="39"/>
      <c r="B6920" s="36"/>
      <c r="C6920" s="37"/>
      <c r="D6920" s="37"/>
      <c r="E6920" s="37"/>
      <c r="F6920" s="37"/>
      <c r="G6920" s="37"/>
      <c r="H6920" s="37"/>
      <c r="I6920" s="35"/>
      <c r="J6920" s="37"/>
    </row>
    <row r="6921" spans="1:10" ht="15.95" customHeight="1" x14ac:dyDescent="0.2">
      <c r="A6921" s="39"/>
      <c r="B6921" s="36"/>
      <c r="C6921" s="37"/>
      <c r="D6921" s="37"/>
      <c r="E6921" s="37"/>
      <c r="F6921" s="37"/>
      <c r="G6921" s="37"/>
      <c r="H6921" s="37"/>
      <c r="I6921" s="35"/>
      <c r="J6921" s="37"/>
    </row>
    <row r="6922" spans="1:10" ht="15.95" customHeight="1" x14ac:dyDescent="0.2">
      <c r="A6922" s="39"/>
      <c r="B6922" s="36"/>
      <c r="C6922" s="37"/>
      <c r="D6922" s="37"/>
      <c r="E6922" s="37"/>
      <c r="F6922" s="37"/>
      <c r="G6922" s="37"/>
      <c r="H6922" s="37"/>
      <c r="I6922" s="35"/>
      <c r="J6922" s="37"/>
    </row>
    <row r="6923" spans="1:10" ht="15.95" customHeight="1" x14ac:dyDescent="0.2">
      <c r="A6923" s="39"/>
      <c r="B6923" s="36"/>
      <c r="C6923" s="37"/>
      <c r="D6923" s="37"/>
      <c r="E6923" s="37"/>
      <c r="F6923" s="37"/>
      <c r="G6923" s="37"/>
      <c r="H6923" s="37"/>
      <c r="I6923" s="35"/>
      <c r="J6923" s="37"/>
    </row>
    <row r="6924" spans="1:10" ht="15.95" customHeight="1" x14ac:dyDescent="0.2">
      <c r="A6924" s="39"/>
      <c r="B6924" s="36"/>
      <c r="C6924" s="37"/>
      <c r="D6924" s="37"/>
      <c r="E6924" s="37"/>
      <c r="F6924" s="37"/>
      <c r="G6924" s="37"/>
      <c r="H6924" s="37"/>
      <c r="I6924" s="35"/>
      <c r="J6924" s="37"/>
    </row>
    <row r="6925" spans="1:10" ht="15.95" customHeight="1" x14ac:dyDescent="0.2">
      <c r="A6925" s="39"/>
      <c r="B6925" s="36"/>
      <c r="C6925" s="37"/>
      <c r="D6925" s="37"/>
      <c r="E6925" s="37"/>
      <c r="F6925" s="37"/>
      <c r="G6925" s="37"/>
      <c r="H6925" s="37"/>
      <c r="I6925" s="35"/>
      <c r="J6925" s="37"/>
    </row>
    <row r="6926" spans="1:10" ht="15.95" customHeight="1" x14ac:dyDescent="0.2">
      <c r="A6926" s="39"/>
      <c r="B6926" s="36"/>
      <c r="C6926" s="37"/>
      <c r="D6926" s="37"/>
      <c r="E6926" s="37"/>
      <c r="F6926" s="37"/>
      <c r="G6926" s="37"/>
      <c r="H6926" s="37"/>
      <c r="I6926" s="35"/>
      <c r="J6926" s="37"/>
    </row>
    <row r="6927" spans="1:10" ht="15.95" customHeight="1" x14ac:dyDescent="0.2">
      <c r="A6927" s="39"/>
      <c r="B6927" s="36"/>
      <c r="C6927" s="37"/>
      <c r="D6927" s="37"/>
      <c r="E6927" s="37"/>
      <c r="F6927" s="37"/>
      <c r="G6927" s="37"/>
      <c r="H6927" s="37"/>
      <c r="I6927" s="35"/>
      <c r="J6927" s="37"/>
    </row>
    <row r="6928" spans="1:10" ht="15.95" customHeight="1" x14ac:dyDescent="0.2">
      <c r="A6928" s="39"/>
      <c r="B6928" s="36"/>
      <c r="C6928" s="37"/>
      <c r="D6928" s="37"/>
      <c r="E6928" s="37"/>
      <c r="F6928" s="37"/>
      <c r="G6928" s="37"/>
      <c r="H6928" s="37"/>
      <c r="I6928" s="35"/>
      <c r="J6928" s="37"/>
    </row>
    <row r="6929" spans="1:10" ht="15.95" customHeight="1" x14ac:dyDescent="0.2">
      <c r="A6929" s="39"/>
      <c r="B6929" s="36"/>
      <c r="C6929" s="37"/>
      <c r="D6929" s="37"/>
      <c r="E6929" s="37"/>
      <c r="F6929" s="37"/>
      <c r="G6929" s="37"/>
      <c r="H6929" s="37"/>
      <c r="I6929" s="35"/>
      <c r="J6929" s="37"/>
    </row>
    <row r="6930" spans="1:10" ht="15.95" customHeight="1" x14ac:dyDescent="0.2">
      <c r="A6930" s="39"/>
      <c r="B6930" s="36"/>
      <c r="C6930" s="37"/>
      <c r="D6930" s="37"/>
      <c r="E6930" s="37"/>
      <c r="F6930" s="37"/>
      <c r="G6930" s="37"/>
      <c r="H6930" s="37"/>
      <c r="I6930" s="35"/>
      <c r="J6930" s="37"/>
    </row>
    <row r="6931" spans="1:10" ht="15.95" customHeight="1" x14ac:dyDescent="0.2">
      <c r="A6931" s="39"/>
      <c r="B6931" s="36"/>
      <c r="C6931" s="37"/>
      <c r="D6931" s="37"/>
      <c r="E6931" s="37"/>
      <c r="F6931" s="37"/>
      <c r="G6931" s="37"/>
      <c r="H6931" s="37"/>
      <c r="I6931" s="35"/>
      <c r="J6931" s="37"/>
    </row>
    <row r="6932" spans="1:10" ht="15.95" customHeight="1" x14ac:dyDescent="0.2">
      <c r="A6932" s="39"/>
      <c r="B6932" s="36"/>
      <c r="C6932" s="37"/>
      <c r="D6932" s="37"/>
      <c r="E6932" s="37"/>
      <c r="F6932" s="37"/>
      <c r="G6932" s="37"/>
      <c r="H6932" s="37"/>
      <c r="I6932" s="35"/>
      <c r="J6932" s="37"/>
    </row>
    <row r="6933" spans="1:10" ht="15.95" customHeight="1" x14ac:dyDescent="0.2">
      <c r="A6933" s="39"/>
      <c r="B6933" s="36"/>
      <c r="C6933" s="37"/>
      <c r="D6933" s="37"/>
      <c r="E6933" s="37"/>
      <c r="F6933" s="37"/>
      <c r="G6933" s="37"/>
      <c r="H6933" s="37"/>
      <c r="I6933" s="35"/>
      <c r="J6933" s="37"/>
    </row>
    <row r="6934" spans="1:10" ht="15.95" customHeight="1" x14ac:dyDescent="0.2">
      <c r="A6934" s="39"/>
      <c r="B6934" s="36"/>
      <c r="C6934" s="37"/>
      <c r="D6934" s="37"/>
      <c r="E6934" s="37"/>
      <c r="F6934" s="37"/>
      <c r="G6934" s="37"/>
      <c r="H6934" s="37"/>
      <c r="I6934" s="35"/>
      <c r="J6934" s="37"/>
    </row>
    <row r="6935" spans="1:10" ht="15.95" customHeight="1" x14ac:dyDescent="0.2">
      <c r="A6935" s="39"/>
      <c r="B6935" s="36"/>
      <c r="C6935" s="37"/>
      <c r="D6935" s="37"/>
      <c r="E6935" s="37"/>
      <c r="F6935" s="37"/>
      <c r="G6935" s="37"/>
      <c r="H6935" s="37"/>
      <c r="I6935" s="35"/>
      <c r="J6935" s="37"/>
    </row>
    <row r="6936" spans="1:10" ht="15.95" customHeight="1" x14ac:dyDescent="0.2">
      <c r="A6936" s="39"/>
      <c r="B6936" s="36"/>
      <c r="C6936" s="37"/>
      <c r="D6936" s="37"/>
      <c r="E6936" s="37"/>
      <c r="F6936" s="37"/>
      <c r="G6936" s="37"/>
      <c r="H6936" s="37"/>
      <c r="I6936" s="35"/>
      <c r="J6936" s="37"/>
    </row>
    <row r="6937" spans="1:10" ht="15.95" customHeight="1" x14ac:dyDescent="0.2">
      <c r="A6937" s="39"/>
      <c r="B6937" s="36"/>
      <c r="C6937" s="37"/>
      <c r="D6937" s="37"/>
      <c r="E6937" s="37"/>
      <c r="F6937" s="37"/>
      <c r="G6937" s="37"/>
      <c r="H6937" s="37"/>
      <c r="I6937" s="35"/>
      <c r="J6937" s="37"/>
    </row>
    <row r="6938" spans="1:10" ht="15.95" customHeight="1" x14ac:dyDescent="0.2">
      <c r="A6938" s="39"/>
      <c r="B6938" s="36"/>
      <c r="C6938" s="37"/>
      <c r="D6938" s="37"/>
      <c r="E6938" s="37"/>
      <c r="F6938" s="37"/>
      <c r="G6938" s="37"/>
      <c r="H6938" s="37"/>
      <c r="I6938" s="35"/>
      <c r="J6938" s="37"/>
    </row>
    <row r="6939" spans="1:10" ht="15.95" customHeight="1" x14ac:dyDescent="0.2">
      <c r="A6939" s="39"/>
      <c r="B6939" s="36"/>
      <c r="C6939" s="37"/>
      <c r="D6939" s="37"/>
      <c r="E6939" s="37"/>
      <c r="F6939" s="37"/>
      <c r="G6939" s="37"/>
      <c r="H6939" s="37"/>
      <c r="I6939" s="35"/>
      <c r="J6939" s="37"/>
    </row>
    <row r="6940" spans="1:10" ht="15.95" customHeight="1" x14ac:dyDescent="0.2">
      <c r="A6940" s="39"/>
      <c r="B6940" s="36"/>
      <c r="C6940" s="37"/>
      <c r="D6940" s="37"/>
      <c r="E6940" s="37"/>
      <c r="F6940" s="37"/>
      <c r="G6940" s="37"/>
      <c r="H6940" s="37"/>
      <c r="I6940" s="35"/>
      <c r="J6940" s="37"/>
    </row>
    <row r="6941" spans="1:10" ht="15.95" customHeight="1" x14ac:dyDescent="0.2">
      <c r="A6941" s="39"/>
      <c r="B6941" s="36"/>
      <c r="C6941" s="37"/>
      <c r="D6941" s="37"/>
      <c r="E6941" s="37"/>
      <c r="F6941" s="37"/>
      <c r="G6941" s="37"/>
      <c r="H6941" s="37"/>
      <c r="I6941" s="35"/>
      <c r="J6941" s="37"/>
    </row>
    <row r="6942" spans="1:10" ht="15.95" customHeight="1" x14ac:dyDescent="0.2">
      <c r="A6942" s="39"/>
      <c r="B6942" s="36"/>
      <c r="C6942" s="37"/>
      <c r="D6942" s="37"/>
      <c r="E6942" s="37"/>
      <c r="F6942" s="37"/>
      <c r="G6942" s="37"/>
      <c r="H6942" s="37"/>
      <c r="I6942" s="35"/>
      <c r="J6942" s="37"/>
    </row>
    <row r="6943" spans="1:10" ht="15.95" customHeight="1" x14ac:dyDescent="0.2">
      <c r="A6943" s="39"/>
      <c r="B6943" s="36"/>
      <c r="C6943" s="37"/>
      <c r="D6943" s="37"/>
      <c r="E6943" s="37"/>
      <c r="F6943" s="37"/>
      <c r="G6943" s="37"/>
      <c r="H6943" s="37"/>
      <c r="I6943" s="35"/>
      <c r="J6943" s="37"/>
    </row>
    <row r="6944" spans="1:10" ht="15.95" customHeight="1" x14ac:dyDescent="0.2">
      <c r="A6944" s="39"/>
      <c r="B6944" s="36"/>
      <c r="C6944" s="37"/>
      <c r="D6944" s="37"/>
      <c r="E6944" s="37"/>
      <c r="F6944" s="37"/>
      <c r="G6944" s="37"/>
      <c r="H6944" s="37"/>
      <c r="I6944" s="35"/>
      <c r="J6944" s="37"/>
    </row>
    <row r="6945" spans="1:10" ht="15.95" customHeight="1" x14ac:dyDescent="0.2">
      <c r="A6945" s="39"/>
      <c r="B6945" s="36"/>
      <c r="C6945" s="37"/>
      <c r="D6945" s="37"/>
      <c r="E6945" s="37"/>
      <c r="F6945" s="37"/>
      <c r="G6945" s="37"/>
      <c r="H6945" s="37"/>
      <c r="I6945" s="35"/>
      <c r="J6945" s="37"/>
    </row>
    <row r="6946" spans="1:10" ht="15.95" customHeight="1" x14ac:dyDescent="0.2">
      <c r="A6946" s="39"/>
      <c r="B6946" s="36"/>
      <c r="C6946" s="37"/>
      <c r="D6946" s="37"/>
      <c r="E6946" s="37"/>
      <c r="F6946" s="37"/>
      <c r="G6946" s="37"/>
      <c r="H6946" s="37"/>
      <c r="I6946" s="35"/>
      <c r="J6946" s="37"/>
    </row>
    <row r="6947" spans="1:10" ht="15.95" customHeight="1" x14ac:dyDescent="0.2">
      <c r="A6947" s="39"/>
      <c r="B6947" s="36"/>
      <c r="C6947" s="37"/>
      <c r="D6947" s="37"/>
      <c r="E6947" s="37"/>
      <c r="F6947" s="37"/>
      <c r="G6947" s="37"/>
      <c r="H6947" s="37"/>
      <c r="I6947" s="35"/>
      <c r="J6947" s="37"/>
    </row>
    <row r="6948" spans="1:10" ht="15.95" customHeight="1" x14ac:dyDescent="0.2">
      <c r="A6948" s="39"/>
      <c r="B6948" s="36"/>
      <c r="C6948" s="37"/>
      <c r="D6948" s="37"/>
      <c r="E6948" s="37"/>
      <c r="F6948" s="37"/>
      <c r="G6948" s="37"/>
      <c r="H6948" s="37"/>
      <c r="I6948" s="35"/>
      <c r="J6948" s="37"/>
    </row>
    <row r="6949" spans="1:10" ht="15.95" customHeight="1" x14ac:dyDescent="0.2">
      <c r="A6949" s="39"/>
      <c r="B6949" s="36"/>
      <c r="C6949" s="37"/>
      <c r="D6949" s="37"/>
      <c r="E6949" s="37"/>
      <c r="F6949" s="37"/>
      <c r="G6949" s="37"/>
      <c r="H6949" s="37"/>
      <c r="I6949" s="35"/>
      <c r="J6949" s="37"/>
    </row>
    <row r="6950" spans="1:10" ht="15.95" customHeight="1" x14ac:dyDescent="0.2">
      <c r="A6950" s="39"/>
      <c r="B6950" s="36"/>
      <c r="C6950" s="37"/>
      <c r="D6950" s="37"/>
      <c r="E6950" s="37"/>
      <c r="F6950" s="37"/>
      <c r="G6950" s="37"/>
      <c r="H6950" s="37"/>
      <c r="I6950" s="35"/>
      <c r="J6950" s="37"/>
    </row>
    <row r="6951" spans="1:10" ht="15.95" customHeight="1" x14ac:dyDescent="0.2">
      <c r="A6951" s="39"/>
      <c r="B6951" s="36"/>
      <c r="C6951" s="37"/>
      <c r="D6951" s="37"/>
      <c r="E6951" s="37"/>
      <c r="F6951" s="37"/>
      <c r="G6951" s="37"/>
      <c r="H6951" s="37"/>
      <c r="I6951" s="35"/>
      <c r="J6951" s="37"/>
    </row>
    <row r="6952" spans="1:10" ht="15.95" customHeight="1" x14ac:dyDescent="0.2">
      <c r="A6952" s="39"/>
      <c r="B6952" s="36"/>
      <c r="C6952" s="37"/>
      <c r="D6952" s="37"/>
      <c r="E6952" s="37"/>
      <c r="F6952" s="37"/>
      <c r="G6952" s="37"/>
      <c r="H6952" s="37"/>
      <c r="I6952" s="35"/>
      <c r="J6952" s="37"/>
    </row>
    <row r="6953" spans="1:10" ht="15.95" customHeight="1" x14ac:dyDescent="0.2">
      <c r="A6953" s="39"/>
      <c r="B6953" s="36"/>
      <c r="C6953" s="37"/>
      <c r="D6953" s="37"/>
      <c r="E6953" s="37"/>
      <c r="F6953" s="37"/>
      <c r="G6953" s="37"/>
      <c r="H6953" s="37"/>
      <c r="I6953" s="35"/>
      <c r="J6953" s="37"/>
    </row>
    <row r="6954" spans="1:10" ht="15.95" customHeight="1" x14ac:dyDescent="0.2">
      <c r="A6954" s="39"/>
      <c r="B6954" s="36"/>
      <c r="C6954" s="37"/>
      <c r="D6954" s="37"/>
      <c r="E6954" s="37"/>
      <c r="F6954" s="37"/>
      <c r="G6954" s="37"/>
      <c r="H6954" s="37"/>
      <c r="I6954" s="35"/>
      <c r="J6954" s="37"/>
    </row>
    <row r="6955" spans="1:10" ht="15.95" customHeight="1" x14ac:dyDescent="0.2">
      <c r="A6955" s="39"/>
      <c r="B6955" s="36"/>
      <c r="C6955" s="37"/>
      <c r="D6955" s="37"/>
      <c r="E6955" s="37"/>
      <c r="F6955" s="37"/>
      <c r="G6955" s="37"/>
      <c r="H6955" s="37"/>
      <c r="I6955" s="35"/>
      <c r="J6955" s="37"/>
    </row>
    <row r="6956" spans="1:10" ht="15.95" customHeight="1" x14ac:dyDescent="0.2">
      <c r="A6956" s="39"/>
      <c r="B6956" s="36"/>
      <c r="C6956" s="37"/>
      <c r="D6956" s="37"/>
      <c r="E6956" s="37"/>
      <c r="F6956" s="37"/>
      <c r="G6956" s="37"/>
      <c r="H6956" s="37"/>
      <c r="I6956" s="35"/>
      <c r="J6956" s="37"/>
    </row>
    <row r="6957" spans="1:10" ht="15.95" customHeight="1" x14ac:dyDescent="0.2">
      <c r="A6957" s="39"/>
      <c r="B6957" s="36"/>
      <c r="C6957" s="37"/>
      <c r="D6957" s="37"/>
      <c r="E6957" s="37"/>
      <c r="F6957" s="37"/>
      <c r="G6957" s="37"/>
      <c r="H6957" s="37"/>
      <c r="I6957" s="35"/>
      <c r="J6957" s="37"/>
    </row>
    <row r="6958" spans="1:10" ht="15.95" customHeight="1" x14ac:dyDescent="0.2">
      <c r="A6958" s="39"/>
      <c r="B6958" s="36"/>
      <c r="C6958" s="37"/>
      <c r="D6958" s="37"/>
      <c r="E6958" s="37"/>
      <c r="F6958" s="37"/>
      <c r="G6958" s="37"/>
      <c r="H6958" s="37"/>
      <c r="I6958" s="35"/>
      <c r="J6958" s="37"/>
    </row>
    <row r="6959" spans="1:10" ht="15.95" customHeight="1" x14ac:dyDescent="0.2">
      <c r="A6959" s="39"/>
      <c r="B6959" s="36"/>
      <c r="C6959" s="37"/>
      <c r="D6959" s="37"/>
      <c r="E6959" s="37"/>
      <c r="F6959" s="37"/>
      <c r="G6959" s="37"/>
      <c r="H6959" s="37"/>
      <c r="I6959" s="35"/>
      <c r="J6959" s="37"/>
    </row>
    <row r="6960" spans="1:10" ht="15.95" customHeight="1" x14ac:dyDescent="0.2">
      <c r="A6960" s="39"/>
      <c r="B6960" s="36"/>
      <c r="C6960" s="37"/>
      <c r="D6960" s="37"/>
      <c r="E6960" s="37"/>
      <c r="F6960" s="37"/>
      <c r="G6960" s="37"/>
      <c r="H6960" s="37"/>
      <c r="I6960" s="35"/>
      <c r="J6960" s="37"/>
    </row>
    <row r="6961" spans="1:10" ht="15.95" customHeight="1" x14ac:dyDescent="0.2">
      <c r="A6961" s="39"/>
      <c r="B6961" s="36"/>
      <c r="C6961" s="37"/>
      <c r="D6961" s="37"/>
      <c r="E6961" s="37"/>
      <c r="F6961" s="37"/>
      <c r="G6961" s="37"/>
      <c r="H6961" s="37"/>
      <c r="I6961" s="35"/>
      <c r="J6961" s="37"/>
    </row>
    <row r="6962" spans="1:10" ht="15.95" customHeight="1" x14ac:dyDescent="0.2">
      <c r="A6962" s="39"/>
      <c r="B6962" s="36"/>
      <c r="C6962" s="37"/>
      <c r="D6962" s="37"/>
      <c r="E6962" s="37"/>
      <c r="F6962" s="37"/>
      <c r="G6962" s="37"/>
      <c r="H6962" s="37"/>
      <c r="I6962" s="35"/>
      <c r="J6962" s="37"/>
    </row>
    <row r="6963" spans="1:10" ht="15.95" customHeight="1" x14ac:dyDescent="0.2">
      <c r="A6963" s="39"/>
      <c r="B6963" s="36"/>
      <c r="C6963" s="37"/>
      <c r="D6963" s="37"/>
      <c r="E6963" s="37"/>
      <c r="F6963" s="37"/>
      <c r="G6963" s="37"/>
      <c r="H6963" s="37"/>
      <c r="I6963" s="35"/>
      <c r="J6963" s="37"/>
    </row>
    <row r="6964" spans="1:10" ht="15.95" customHeight="1" x14ac:dyDescent="0.2">
      <c r="A6964" s="39"/>
      <c r="B6964" s="36"/>
      <c r="C6964" s="37"/>
      <c r="D6964" s="37"/>
      <c r="E6964" s="37"/>
      <c r="F6964" s="37"/>
      <c r="G6964" s="37"/>
      <c r="H6964" s="37"/>
      <c r="I6964" s="35"/>
      <c r="J6964" s="37"/>
    </row>
    <row r="6965" spans="1:10" ht="15.95" customHeight="1" x14ac:dyDescent="0.2">
      <c r="A6965" s="39"/>
      <c r="B6965" s="36"/>
      <c r="C6965" s="37"/>
      <c r="D6965" s="37"/>
      <c r="E6965" s="37"/>
      <c r="F6965" s="37"/>
      <c r="G6965" s="37"/>
      <c r="H6965" s="37"/>
      <c r="I6965" s="35"/>
      <c r="J6965" s="37"/>
    </row>
    <row r="6966" spans="1:10" ht="15.95" customHeight="1" x14ac:dyDescent="0.2">
      <c r="A6966" s="39"/>
      <c r="B6966" s="36"/>
      <c r="C6966" s="37"/>
      <c r="D6966" s="37"/>
      <c r="E6966" s="37"/>
      <c r="F6966" s="37"/>
      <c r="G6966" s="37"/>
      <c r="H6966" s="37"/>
      <c r="I6966" s="35"/>
      <c r="J6966" s="37"/>
    </row>
    <row r="6967" spans="1:10" ht="15.95" customHeight="1" x14ac:dyDescent="0.2">
      <c r="A6967" s="39"/>
      <c r="B6967" s="36"/>
      <c r="C6967" s="37"/>
      <c r="D6967" s="37"/>
      <c r="E6967" s="37"/>
      <c r="F6967" s="37"/>
      <c r="G6967" s="37"/>
      <c r="H6967" s="37"/>
      <c r="I6967" s="35"/>
      <c r="J6967" s="37"/>
    </row>
    <row r="6968" spans="1:10" ht="15.95" customHeight="1" x14ac:dyDescent="0.2">
      <c r="A6968" s="39"/>
      <c r="B6968" s="36"/>
      <c r="C6968" s="37"/>
      <c r="D6968" s="37"/>
      <c r="E6968" s="37"/>
      <c r="F6968" s="37"/>
      <c r="G6968" s="37"/>
      <c r="H6968" s="37"/>
      <c r="I6968" s="35"/>
      <c r="J6968" s="37"/>
    </row>
    <row r="6969" spans="1:10" ht="15.95" customHeight="1" x14ac:dyDescent="0.2">
      <c r="A6969" s="39"/>
      <c r="B6969" s="36"/>
      <c r="C6969" s="37"/>
      <c r="D6969" s="37"/>
      <c r="E6969" s="37"/>
      <c r="F6969" s="37"/>
      <c r="G6969" s="37"/>
      <c r="H6969" s="37"/>
      <c r="I6969" s="35"/>
      <c r="J6969" s="37"/>
    </row>
    <row r="6970" spans="1:10" ht="15.95" customHeight="1" x14ac:dyDescent="0.2">
      <c r="A6970" s="39"/>
      <c r="B6970" s="36"/>
      <c r="C6970" s="37"/>
      <c r="D6970" s="37"/>
      <c r="E6970" s="37"/>
      <c r="F6970" s="37"/>
      <c r="G6970" s="37"/>
      <c r="H6970" s="37"/>
      <c r="I6970" s="35"/>
      <c r="J6970" s="37"/>
    </row>
    <row r="6971" spans="1:10" ht="15.95" customHeight="1" x14ac:dyDescent="0.2">
      <c r="A6971" s="39"/>
      <c r="B6971" s="36"/>
      <c r="C6971" s="37"/>
      <c r="D6971" s="37"/>
      <c r="E6971" s="37"/>
      <c r="F6971" s="37"/>
      <c r="G6971" s="37"/>
      <c r="H6971" s="37"/>
      <c r="I6971" s="35"/>
      <c r="J6971" s="37"/>
    </row>
    <row r="6972" spans="1:10" ht="15.95" customHeight="1" x14ac:dyDescent="0.2">
      <c r="A6972" s="39"/>
      <c r="B6972" s="36"/>
      <c r="C6972" s="37"/>
      <c r="D6972" s="37"/>
      <c r="E6972" s="37"/>
      <c r="F6972" s="37"/>
      <c r="G6972" s="37"/>
      <c r="H6972" s="37"/>
      <c r="I6972" s="35"/>
      <c r="J6972" s="37"/>
    </row>
    <row r="6973" spans="1:10" ht="15.95" customHeight="1" x14ac:dyDescent="0.2">
      <c r="A6973" s="39"/>
      <c r="B6973" s="36"/>
      <c r="C6973" s="37"/>
      <c r="D6973" s="37"/>
      <c r="E6973" s="37"/>
      <c r="F6973" s="37"/>
      <c r="G6973" s="37"/>
      <c r="H6973" s="37"/>
      <c r="I6973" s="35"/>
      <c r="J6973" s="37"/>
    </row>
    <row r="6974" spans="1:10" ht="15.95" customHeight="1" x14ac:dyDescent="0.2">
      <c r="A6974" s="39"/>
      <c r="B6974" s="36"/>
      <c r="C6974" s="37"/>
      <c r="D6974" s="37"/>
      <c r="E6974" s="37"/>
      <c r="F6974" s="37"/>
      <c r="G6974" s="37"/>
      <c r="H6974" s="37"/>
      <c r="I6974" s="35"/>
      <c r="J6974" s="37"/>
    </row>
    <row r="6975" spans="1:10" ht="15.95" customHeight="1" x14ac:dyDescent="0.2">
      <c r="A6975" s="39"/>
      <c r="B6975" s="36"/>
      <c r="C6975" s="37"/>
      <c r="D6975" s="37"/>
      <c r="E6975" s="37"/>
      <c r="F6975" s="37"/>
      <c r="G6975" s="37"/>
      <c r="H6975" s="37"/>
      <c r="I6975" s="35"/>
      <c r="J6975" s="37"/>
    </row>
    <row r="6976" spans="1:10" ht="15.95" customHeight="1" x14ac:dyDescent="0.2">
      <c r="A6976" s="39"/>
      <c r="B6976" s="36"/>
      <c r="C6976" s="37"/>
      <c r="D6976" s="37"/>
      <c r="E6976" s="37"/>
      <c r="F6976" s="37"/>
      <c r="G6976" s="37"/>
      <c r="H6976" s="37"/>
      <c r="I6976" s="35"/>
      <c r="J6976" s="37"/>
    </row>
    <row r="6977" spans="1:10" ht="15.95" customHeight="1" x14ac:dyDescent="0.2">
      <c r="A6977" s="39"/>
      <c r="B6977" s="36"/>
      <c r="C6977" s="37"/>
      <c r="D6977" s="37"/>
      <c r="E6977" s="37"/>
      <c r="F6977" s="37"/>
      <c r="G6977" s="37"/>
      <c r="H6977" s="37"/>
      <c r="I6977" s="35"/>
      <c r="J6977" s="37"/>
    </row>
    <row r="6978" spans="1:10" ht="15.95" customHeight="1" x14ac:dyDescent="0.2">
      <c r="A6978" s="39"/>
      <c r="B6978" s="36"/>
      <c r="C6978" s="37"/>
      <c r="D6978" s="37"/>
      <c r="E6978" s="37"/>
      <c r="F6978" s="37"/>
      <c r="G6978" s="37"/>
      <c r="H6978" s="37"/>
      <c r="I6978" s="35"/>
      <c r="J6978" s="37"/>
    </row>
    <row r="6979" spans="1:10" ht="15.95" customHeight="1" x14ac:dyDescent="0.2">
      <c r="A6979" s="39"/>
      <c r="B6979" s="36"/>
      <c r="C6979" s="37"/>
      <c r="D6979" s="37"/>
      <c r="E6979" s="37"/>
      <c r="F6979" s="37"/>
      <c r="G6979" s="37"/>
      <c r="H6979" s="37"/>
      <c r="I6979" s="35"/>
      <c r="J6979" s="37"/>
    </row>
    <row r="6980" spans="1:10" ht="15.95" customHeight="1" x14ac:dyDescent="0.2">
      <c r="A6980" s="39"/>
      <c r="B6980" s="36"/>
      <c r="C6980" s="37"/>
      <c r="D6980" s="37"/>
      <c r="E6980" s="37"/>
      <c r="F6980" s="37"/>
      <c r="G6980" s="37"/>
      <c r="H6980" s="37"/>
      <c r="I6980" s="35"/>
      <c r="J6980" s="37"/>
    </row>
    <row r="6981" spans="1:10" ht="15.95" customHeight="1" x14ac:dyDescent="0.2">
      <c r="A6981" s="39"/>
      <c r="B6981" s="36"/>
      <c r="C6981" s="37"/>
      <c r="D6981" s="37"/>
      <c r="E6981" s="37"/>
      <c r="F6981" s="37"/>
      <c r="G6981" s="37"/>
      <c r="H6981" s="37"/>
      <c r="I6981" s="35"/>
      <c r="J6981" s="37"/>
    </row>
    <row r="6982" spans="1:10" ht="15.95" customHeight="1" x14ac:dyDescent="0.2">
      <c r="A6982" s="39"/>
      <c r="B6982" s="36"/>
      <c r="C6982" s="37"/>
      <c r="D6982" s="37"/>
      <c r="E6982" s="37"/>
      <c r="F6982" s="37"/>
      <c r="G6982" s="37"/>
      <c r="H6982" s="37"/>
      <c r="I6982" s="35"/>
      <c r="J6982" s="37"/>
    </row>
    <row r="6983" spans="1:10" ht="15.95" customHeight="1" x14ac:dyDescent="0.2">
      <c r="A6983" s="39"/>
      <c r="B6983" s="36"/>
      <c r="C6983" s="37"/>
      <c r="D6983" s="37"/>
      <c r="E6983" s="37"/>
      <c r="F6983" s="37"/>
      <c r="G6983" s="37"/>
      <c r="H6983" s="37"/>
      <c r="I6983" s="35"/>
      <c r="J6983" s="37"/>
    </row>
    <row r="6984" spans="1:10" ht="15.95" customHeight="1" x14ac:dyDescent="0.2">
      <c r="A6984" s="39"/>
      <c r="B6984" s="36"/>
      <c r="C6984" s="37"/>
      <c r="D6984" s="37"/>
      <c r="E6984" s="37"/>
      <c r="F6984" s="37"/>
      <c r="G6984" s="37"/>
      <c r="H6984" s="37"/>
      <c r="I6984" s="35"/>
      <c r="J6984" s="37"/>
    </row>
    <row r="6985" spans="1:10" ht="15.95" customHeight="1" x14ac:dyDescent="0.2">
      <c r="A6985" s="39"/>
      <c r="B6985" s="36"/>
      <c r="C6985" s="37"/>
      <c r="D6985" s="37"/>
      <c r="E6985" s="37"/>
      <c r="F6985" s="37"/>
      <c r="G6985" s="37"/>
      <c r="H6985" s="37"/>
      <c r="I6985" s="35"/>
      <c r="J6985" s="37"/>
    </row>
    <row r="6986" spans="1:10" ht="15.95" customHeight="1" x14ac:dyDescent="0.2">
      <c r="A6986" s="39"/>
      <c r="B6986" s="36"/>
      <c r="C6986" s="37"/>
      <c r="D6986" s="37"/>
      <c r="E6986" s="37"/>
      <c r="F6986" s="37"/>
      <c r="G6986" s="37"/>
      <c r="H6986" s="37"/>
      <c r="I6986" s="35"/>
      <c r="J6986" s="37"/>
    </row>
    <row r="6987" spans="1:10" ht="15.95" customHeight="1" x14ac:dyDescent="0.2">
      <c r="A6987" s="39"/>
      <c r="B6987" s="36"/>
      <c r="C6987" s="37"/>
      <c r="D6987" s="37"/>
      <c r="E6987" s="37"/>
      <c r="F6987" s="37"/>
      <c r="G6987" s="37"/>
      <c r="H6987" s="37"/>
      <c r="I6987" s="35"/>
      <c r="J6987" s="37"/>
    </row>
    <row r="6988" spans="1:10" ht="15.95" customHeight="1" x14ac:dyDescent="0.2">
      <c r="A6988" s="39"/>
      <c r="B6988" s="36"/>
      <c r="C6988" s="37"/>
      <c r="D6988" s="37"/>
      <c r="E6988" s="37"/>
      <c r="F6988" s="37"/>
      <c r="G6988" s="37"/>
      <c r="H6988" s="37"/>
      <c r="I6988" s="35"/>
      <c r="J6988" s="37"/>
    </row>
    <row r="6989" spans="1:10" ht="15.95" customHeight="1" x14ac:dyDescent="0.2">
      <c r="A6989" s="39"/>
      <c r="B6989" s="36"/>
      <c r="C6989" s="37"/>
      <c r="D6989" s="37"/>
      <c r="E6989" s="37"/>
      <c r="F6989" s="37"/>
      <c r="G6989" s="37"/>
      <c r="H6989" s="37"/>
      <c r="I6989" s="35"/>
      <c r="J6989" s="37"/>
    </row>
    <row r="6990" spans="1:10" ht="15.95" customHeight="1" x14ac:dyDescent="0.2">
      <c r="A6990" s="39"/>
      <c r="B6990" s="36"/>
      <c r="C6990" s="37"/>
      <c r="D6990" s="37"/>
      <c r="E6990" s="37"/>
      <c r="F6990" s="37"/>
      <c r="G6990" s="37"/>
      <c r="H6990" s="37"/>
      <c r="I6990" s="35"/>
      <c r="J6990" s="37"/>
    </row>
    <row r="6991" spans="1:10" ht="15.95" customHeight="1" x14ac:dyDescent="0.2">
      <c r="A6991" s="39"/>
      <c r="B6991" s="36"/>
      <c r="C6991" s="37"/>
      <c r="D6991" s="37"/>
      <c r="E6991" s="37"/>
      <c r="F6991" s="37"/>
      <c r="G6991" s="37"/>
      <c r="H6991" s="37"/>
      <c r="I6991" s="35"/>
      <c r="J6991" s="37"/>
    </row>
    <row r="6992" spans="1:10" ht="15.95" customHeight="1" x14ac:dyDescent="0.2">
      <c r="A6992" s="39"/>
      <c r="B6992" s="36"/>
      <c r="C6992" s="37"/>
      <c r="D6992" s="37"/>
      <c r="E6992" s="37"/>
      <c r="F6992" s="37"/>
      <c r="G6992" s="37"/>
      <c r="H6992" s="37"/>
      <c r="I6992" s="35"/>
      <c r="J6992" s="37"/>
    </row>
    <row r="6993" spans="1:10" ht="15.95" customHeight="1" x14ac:dyDescent="0.2">
      <c r="A6993" s="39"/>
      <c r="B6993" s="36"/>
      <c r="C6993" s="37"/>
      <c r="D6993" s="37"/>
      <c r="E6993" s="37"/>
      <c r="F6993" s="37"/>
      <c r="G6993" s="37"/>
      <c r="H6993" s="37"/>
      <c r="I6993" s="35"/>
      <c r="J6993" s="37"/>
    </row>
    <row r="6994" spans="1:10" ht="15.95" customHeight="1" x14ac:dyDescent="0.2">
      <c r="A6994" s="39"/>
      <c r="B6994" s="36"/>
      <c r="C6994" s="37"/>
      <c r="D6994" s="37"/>
      <c r="E6994" s="37"/>
      <c r="F6994" s="37"/>
      <c r="G6994" s="37"/>
      <c r="H6994" s="37"/>
      <c r="I6994" s="35"/>
      <c r="J6994" s="37"/>
    </row>
    <row r="6995" spans="1:10" ht="15.95" customHeight="1" x14ac:dyDescent="0.2">
      <c r="A6995" s="39"/>
      <c r="B6995" s="36"/>
      <c r="C6995" s="37"/>
      <c r="D6995" s="37"/>
      <c r="E6995" s="37"/>
      <c r="F6995" s="37"/>
      <c r="G6995" s="37"/>
      <c r="H6995" s="37"/>
      <c r="I6995" s="35"/>
      <c r="J6995" s="37"/>
    </row>
    <row r="6996" spans="1:10" ht="15.95" customHeight="1" x14ac:dyDescent="0.2">
      <c r="A6996" s="39"/>
      <c r="B6996" s="36"/>
      <c r="C6996" s="37"/>
      <c r="D6996" s="37"/>
      <c r="E6996" s="37"/>
      <c r="F6996" s="37"/>
      <c r="G6996" s="37"/>
      <c r="H6996" s="37"/>
      <c r="I6996" s="35"/>
      <c r="J6996" s="37"/>
    </row>
    <row r="6997" spans="1:10" ht="15.95" customHeight="1" x14ac:dyDescent="0.2">
      <c r="A6997" s="39"/>
      <c r="B6997" s="36"/>
      <c r="C6997" s="37"/>
      <c r="D6997" s="37"/>
      <c r="E6997" s="37"/>
      <c r="F6997" s="37"/>
      <c r="G6997" s="37"/>
      <c r="H6997" s="37"/>
      <c r="I6997" s="35"/>
      <c r="J6997" s="37"/>
    </row>
    <row r="6998" spans="1:10" ht="15.95" customHeight="1" x14ac:dyDescent="0.2">
      <c r="A6998" s="39"/>
      <c r="B6998" s="36"/>
      <c r="C6998" s="37"/>
      <c r="D6998" s="37"/>
      <c r="E6998" s="37"/>
      <c r="F6998" s="37"/>
      <c r="G6998" s="37"/>
      <c r="H6998" s="37"/>
      <c r="I6998" s="35"/>
      <c r="J6998" s="37"/>
    </row>
    <row r="6999" spans="1:10" ht="15.95" customHeight="1" x14ac:dyDescent="0.2">
      <c r="A6999" s="39"/>
      <c r="B6999" s="36"/>
      <c r="C6999" s="37"/>
      <c r="D6999" s="37"/>
      <c r="E6999" s="37"/>
      <c r="F6999" s="37"/>
      <c r="G6999" s="37"/>
      <c r="H6999" s="37"/>
      <c r="I6999" s="35"/>
      <c r="J6999" s="37"/>
    </row>
    <row r="7000" spans="1:10" ht="15.95" customHeight="1" x14ac:dyDescent="0.2">
      <c r="A7000" s="39"/>
      <c r="B7000" s="36"/>
      <c r="C7000" s="37"/>
      <c r="D7000" s="37"/>
      <c r="E7000" s="37"/>
      <c r="F7000" s="37"/>
      <c r="G7000" s="37"/>
      <c r="H7000" s="37"/>
      <c r="I7000" s="35"/>
      <c r="J7000" s="37"/>
    </row>
    <row r="7001" spans="1:10" ht="15.95" customHeight="1" x14ac:dyDescent="0.2">
      <c r="A7001" s="39"/>
      <c r="B7001" s="36"/>
      <c r="C7001" s="37"/>
      <c r="D7001" s="37"/>
      <c r="E7001" s="37"/>
      <c r="F7001" s="37"/>
      <c r="G7001" s="37"/>
      <c r="H7001" s="37"/>
      <c r="I7001" s="35"/>
      <c r="J7001" s="37"/>
    </row>
    <row r="7002" spans="1:10" ht="15.95" customHeight="1" x14ac:dyDescent="0.2">
      <c r="A7002" s="39"/>
      <c r="B7002" s="36"/>
      <c r="C7002" s="37"/>
      <c r="D7002" s="37"/>
      <c r="E7002" s="37"/>
      <c r="F7002" s="37"/>
      <c r="G7002" s="37"/>
      <c r="H7002" s="37"/>
      <c r="I7002" s="35"/>
      <c r="J7002" s="37"/>
    </row>
    <row r="7003" spans="1:10" ht="15.95" customHeight="1" x14ac:dyDescent="0.2">
      <c r="A7003" s="39"/>
      <c r="B7003" s="36"/>
      <c r="C7003" s="37"/>
      <c r="D7003" s="37"/>
      <c r="E7003" s="37"/>
      <c r="F7003" s="37"/>
      <c r="G7003" s="37"/>
      <c r="H7003" s="37"/>
      <c r="I7003" s="35"/>
      <c r="J7003" s="37"/>
    </row>
    <row r="7004" spans="1:10" ht="15.95" customHeight="1" x14ac:dyDescent="0.2">
      <c r="A7004" s="39"/>
      <c r="B7004" s="36"/>
      <c r="C7004" s="37"/>
      <c r="D7004" s="37"/>
      <c r="E7004" s="37"/>
      <c r="F7004" s="37"/>
      <c r="G7004" s="37"/>
      <c r="H7004" s="37"/>
      <c r="I7004" s="35"/>
      <c r="J7004" s="37"/>
    </row>
    <row r="7005" spans="1:10" ht="15.95" customHeight="1" x14ac:dyDescent="0.2">
      <c r="A7005" s="39"/>
      <c r="B7005" s="36"/>
      <c r="C7005" s="37"/>
      <c r="D7005" s="37"/>
      <c r="E7005" s="37"/>
      <c r="F7005" s="37"/>
      <c r="G7005" s="37"/>
      <c r="H7005" s="37"/>
      <c r="I7005" s="35"/>
      <c r="J7005" s="37"/>
    </row>
    <row r="7006" spans="1:10" ht="15.95" customHeight="1" x14ac:dyDescent="0.2">
      <c r="A7006" s="39"/>
      <c r="B7006" s="36"/>
      <c r="C7006" s="37"/>
      <c r="D7006" s="37"/>
      <c r="E7006" s="37"/>
      <c r="F7006" s="37"/>
      <c r="G7006" s="37"/>
      <c r="H7006" s="37"/>
      <c r="I7006" s="35"/>
      <c r="J7006" s="37"/>
    </row>
    <row r="7007" spans="1:10" ht="15.95" customHeight="1" x14ac:dyDescent="0.2">
      <c r="A7007" s="39"/>
      <c r="B7007" s="36"/>
      <c r="C7007" s="37"/>
      <c r="D7007" s="37"/>
      <c r="E7007" s="37"/>
      <c r="F7007" s="37"/>
      <c r="G7007" s="37"/>
      <c r="H7007" s="37"/>
      <c r="I7007" s="35"/>
      <c r="J7007" s="37"/>
    </row>
    <row r="7008" spans="1:10" ht="15.95" customHeight="1" x14ac:dyDescent="0.2">
      <c r="A7008" s="39"/>
      <c r="B7008" s="36"/>
      <c r="C7008" s="37"/>
      <c r="D7008" s="37"/>
      <c r="E7008" s="37"/>
      <c r="F7008" s="37"/>
      <c r="G7008" s="37"/>
      <c r="H7008" s="37"/>
      <c r="I7008" s="35"/>
      <c r="J7008" s="37"/>
    </row>
    <row r="7009" spans="1:10" ht="15.95" customHeight="1" x14ac:dyDescent="0.2">
      <c r="A7009" s="39"/>
      <c r="B7009" s="36"/>
      <c r="C7009" s="37"/>
      <c r="D7009" s="37"/>
      <c r="E7009" s="37"/>
      <c r="F7009" s="37"/>
      <c r="G7009" s="37"/>
      <c r="H7009" s="37"/>
      <c r="I7009" s="35"/>
      <c r="J7009" s="37"/>
    </row>
    <row r="7010" spans="1:10" ht="15.95" customHeight="1" x14ac:dyDescent="0.2">
      <c r="A7010" s="39"/>
      <c r="B7010" s="36"/>
      <c r="C7010" s="37"/>
      <c r="D7010" s="37"/>
      <c r="E7010" s="37"/>
      <c r="F7010" s="37"/>
      <c r="G7010" s="37"/>
      <c r="H7010" s="37"/>
      <c r="I7010" s="35"/>
      <c r="J7010" s="37"/>
    </row>
    <row r="7011" spans="1:10" ht="15.95" customHeight="1" x14ac:dyDescent="0.2">
      <c r="A7011" s="39"/>
      <c r="B7011" s="36"/>
      <c r="C7011" s="37"/>
      <c r="D7011" s="37"/>
      <c r="E7011" s="37"/>
      <c r="F7011" s="37"/>
      <c r="G7011" s="37"/>
      <c r="H7011" s="37"/>
      <c r="I7011" s="35"/>
      <c r="J7011" s="37"/>
    </row>
    <row r="7012" spans="1:10" ht="15.95" customHeight="1" x14ac:dyDescent="0.2">
      <c r="A7012" s="39"/>
      <c r="B7012" s="36"/>
      <c r="C7012" s="37"/>
      <c r="D7012" s="37"/>
      <c r="E7012" s="37"/>
      <c r="F7012" s="37"/>
      <c r="G7012" s="37"/>
      <c r="H7012" s="37"/>
      <c r="I7012" s="35"/>
      <c r="J7012" s="37"/>
    </row>
    <row r="7013" spans="1:10" ht="15.95" customHeight="1" x14ac:dyDescent="0.2">
      <c r="A7013" s="39"/>
      <c r="B7013" s="36"/>
      <c r="C7013" s="37"/>
      <c r="D7013" s="37"/>
      <c r="E7013" s="37"/>
      <c r="F7013" s="37"/>
      <c r="G7013" s="37"/>
      <c r="H7013" s="37"/>
      <c r="I7013" s="35"/>
      <c r="J7013" s="37"/>
    </row>
    <row r="7014" spans="1:10" ht="15.95" customHeight="1" x14ac:dyDescent="0.2">
      <c r="A7014" s="39"/>
      <c r="B7014" s="36"/>
      <c r="C7014" s="37"/>
      <c r="D7014" s="37"/>
      <c r="E7014" s="37"/>
      <c r="F7014" s="37"/>
      <c r="G7014" s="37"/>
      <c r="H7014" s="37"/>
      <c r="I7014" s="35"/>
      <c r="J7014" s="37"/>
    </row>
    <row r="7015" spans="1:10" ht="15.95" customHeight="1" x14ac:dyDescent="0.2">
      <c r="A7015" s="39"/>
      <c r="B7015" s="36"/>
      <c r="C7015" s="37"/>
      <c r="D7015" s="37"/>
      <c r="E7015" s="37"/>
      <c r="F7015" s="37"/>
      <c r="G7015" s="37"/>
      <c r="H7015" s="37"/>
      <c r="I7015" s="35"/>
      <c r="J7015" s="37"/>
    </row>
    <row r="7016" spans="1:10" ht="15.95" customHeight="1" x14ac:dyDescent="0.2">
      <c r="A7016" s="39"/>
      <c r="B7016" s="36"/>
      <c r="C7016" s="37"/>
      <c r="D7016" s="37"/>
      <c r="E7016" s="37"/>
      <c r="F7016" s="37"/>
      <c r="G7016" s="37"/>
      <c r="H7016" s="37"/>
      <c r="I7016" s="35"/>
      <c r="J7016" s="37"/>
    </row>
    <row r="7017" spans="1:10" ht="15.95" customHeight="1" x14ac:dyDescent="0.2">
      <c r="A7017" s="39"/>
      <c r="B7017" s="36"/>
      <c r="C7017" s="37"/>
      <c r="D7017" s="37"/>
      <c r="E7017" s="37"/>
      <c r="F7017" s="37"/>
      <c r="G7017" s="37"/>
      <c r="H7017" s="37"/>
      <c r="I7017" s="35"/>
      <c r="J7017" s="37"/>
    </row>
    <row r="7018" spans="1:10" ht="15.95" customHeight="1" x14ac:dyDescent="0.2">
      <c r="A7018" s="39"/>
      <c r="B7018" s="36"/>
      <c r="C7018" s="37"/>
      <c r="D7018" s="37"/>
      <c r="E7018" s="37"/>
      <c r="F7018" s="37"/>
      <c r="G7018" s="37"/>
      <c r="H7018" s="37"/>
      <c r="I7018" s="35"/>
      <c r="J7018" s="37"/>
    </row>
    <row r="7019" spans="1:10" ht="15.95" customHeight="1" x14ac:dyDescent="0.2">
      <c r="A7019" s="39"/>
      <c r="B7019" s="36"/>
      <c r="C7019" s="37"/>
      <c r="D7019" s="37"/>
      <c r="E7019" s="37"/>
      <c r="F7019" s="37"/>
      <c r="G7019" s="37"/>
      <c r="H7019" s="37"/>
      <c r="I7019" s="35"/>
      <c r="J7019" s="37"/>
    </row>
    <row r="7020" spans="1:10" ht="15.95" customHeight="1" x14ac:dyDescent="0.2">
      <c r="A7020" s="39"/>
      <c r="B7020" s="36"/>
      <c r="C7020" s="37"/>
      <c r="D7020" s="37"/>
      <c r="E7020" s="37"/>
      <c r="F7020" s="37"/>
      <c r="G7020" s="37"/>
      <c r="H7020" s="37"/>
      <c r="I7020" s="35"/>
      <c r="J7020" s="37"/>
    </row>
    <row r="7021" spans="1:10" ht="15.95" customHeight="1" x14ac:dyDescent="0.2">
      <c r="A7021" s="39"/>
      <c r="B7021" s="36"/>
      <c r="C7021" s="37"/>
      <c r="D7021" s="37"/>
      <c r="E7021" s="37"/>
      <c r="F7021" s="37"/>
      <c r="G7021" s="37"/>
      <c r="H7021" s="37"/>
      <c r="I7021" s="35"/>
      <c r="J7021" s="37"/>
    </row>
    <row r="7022" spans="1:10" ht="15.95" customHeight="1" x14ac:dyDescent="0.2">
      <c r="A7022" s="39"/>
      <c r="B7022" s="36"/>
      <c r="C7022" s="37"/>
      <c r="D7022" s="37"/>
      <c r="E7022" s="37"/>
      <c r="F7022" s="37"/>
      <c r="G7022" s="37"/>
      <c r="H7022" s="37"/>
      <c r="I7022" s="35"/>
      <c r="J7022" s="37"/>
    </row>
    <row r="7023" spans="1:10" ht="15.95" customHeight="1" x14ac:dyDescent="0.2">
      <c r="A7023" s="39"/>
      <c r="B7023" s="36"/>
      <c r="C7023" s="37"/>
      <c r="D7023" s="37"/>
      <c r="E7023" s="37"/>
      <c r="F7023" s="37"/>
      <c r="G7023" s="37"/>
      <c r="H7023" s="37"/>
      <c r="I7023" s="35"/>
      <c r="J7023" s="37"/>
    </row>
    <row r="7024" spans="1:10" ht="15.95" customHeight="1" x14ac:dyDescent="0.2">
      <c r="A7024" s="39"/>
      <c r="B7024" s="36"/>
      <c r="C7024" s="37"/>
      <c r="D7024" s="37"/>
      <c r="E7024" s="37"/>
      <c r="F7024" s="37"/>
      <c r="G7024" s="37"/>
      <c r="H7024" s="37"/>
      <c r="I7024" s="35"/>
      <c r="J7024" s="37"/>
    </row>
    <row r="7025" spans="1:10" ht="15.95" customHeight="1" x14ac:dyDescent="0.2">
      <c r="A7025" s="39"/>
      <c r="B7025" s="36"/>
      <c r="C7025" s="37"/>
      <c r="D7025" s="37"/>
      <c r="E7025" s="37"/>
      <c r="F7025" s="37"/>
      <c r="G7025" s="37"/>
      <c r="H7025" s="37"/>
      <c r="I7025" s="35"/>
      <c r="J7025" s="37"/>
    </row>
    <row r="7026" spans="1:10" ht="15.95" customHeight="1" x14ac:dyDescent="0.2">
      <c r="A7026" s="39"/>
      <c r="B7026" s="36"/>
      <c r="C7026" s="37"/>
      <c r="D7026" s="37"/>
      <c r="E7026" s="37"/>
      <c r="F7026" s="37"/>
      <c r="G7026" s="37"/>
      <c r="H7026" s="37"/>
      <c r="I7026" s="35"/>
      <c r="J7026" s="37"/>
    </row>
    <row r="7027" spans="1:10" ht="15.95" customHeight="1" x14ac:dyDescent="0.2">
      <c r="A7027" s="39"/>
      <c r="B7027" s="36"/>
      <c r="C7027" s="37"/>
      <c r="D7027" s="37"/>
      <c r="E7027" s="37"/>
      <c r="F7027" s="37"/>
      <c r="G7027" s="37"/>
      <c r="H7027" s="37"/>
      <c r="I7027" s="35"/>
      <c r="J7027" s="37"/>
    </row>
    <row r="7028" spans="1:10" ht="15.95" customHeight="1" x14ac:dyDescent="0.2">
      <c r="A7028" s="39"/>
      <c r="B7028" s="36"/>
      <c r="C7028" s="37"/>
      <c r="D7028" s="37"/>
      <c r="E7028" s="37"/>
      <c r="F7028" s="37"/>
      <c r="G7028" s="37"/>
      <c r="H7028" s="37"/>
      <c r="I7028" s="35"/>
      <c r="J7028" s="37"/>
    </row>
    <row r="7029" spans="1:10" ht="15.95" customHeight="1" x14ac:dyDescent="0.2">
      <c r="A7029" s="39"/>
      <c r="B7029" s="36"/>
      <c r="C7029" s="37"/>
      <c r="D7029" s="37"/>
      <c r="E7029" s="37"/>
      <c r="F7029" s="37"/>
      <c r="G7029" s="37"/>
      <c r="H7029" s="37"/>
      <c r="I7029" s="35"/>
      <c r="J7029" s="37"/>
    </row>
    <row r="7030" spans="1:10" ht="15.95" customHeight="1" x14ac:dyDescent="0.2">
      <c r="A7030" s="39"/>
      <c r="B7030" s="36"/>
      <c r="C7030" s="37"/>
      <c r="D7030" s="37"/>
      <c r="E7030" s="37"/>
      <c r="F7030" s="37"/>
      <c r="G7030" s="37"/>
      <c r="H7030" s="37"/>
      <c r="I7030" s="35"/>
      <c r="J7030" s="37"/>
    </row>
    <row r="7031" spans="1:10" ht="15.95" customHeight="1" x14ac:dyDescent="0.2">
      <c r="A7031" s="39"/>
      <c r="B7031" s="36"/>
      <c r="C7031" s="37"/>
      <c r="D7031" s="37"/>
      <c r="E7031" s="37"/>
      <c r="F7031" s="37"/>
      <c r="G7031" s="37"/>
      <c r="H7031" s="37"/>
      <c r="I7031" s="35"/>
      <c r="J7031" s="37"/>
    </row>
    <row r="7032" spans="1:10" ht="15.95" customHeight="1" x14ac:dyDescent="0.2">
      <c r="A7032" s="39"/>
      <c r="B7032" s="36"/>
      <c r="C7032" s="37"/>
      <c r="D7032" s="37"/>
      <c r="E7032" s="37"/>
      <c r="F7032" s="37"/>
      <c r="G7032" s="37"/>
      <c r="H7032" s="37"/>
      <c r="I7032" s="35"/>
      <c r="J7032" s="37"/>
    </row>
    <row r="7033" spans="1:10" ht="15.95" customHeight="1" x14ac:dyDescent="0.2">
      <c r="A7033" s="39"/>
      <c r="B7033" s="36"/>
      <c r="C7033" s="37"/>
      <c r="D7033" s="37"/>
      <c r="E7033" s="37"/>
      <c r="F7033" s="37"/>
      <c r="G7033" s="37"/>
      <c r="H7033" s="37"/>
      <c r="I7033" s="35"/>
      <c r="J7033" s="37"/>
    </row>
    <row r="7034" spans="1:10" ht="15.95" customHeight="1" x14ac:dyDescent="0.2">
      <c r="A7034" s="39"/>
      <c r="B7034" s="36"/>
      <c r="C7034" s="37"/>
      <c r="D7034" s="37"/>
      <c r="E7034" s="37"/>
      <c r="F7034" s="37"/>
      <c r="G7034" s="37"/>
      <c r="H7034" s="37"/>
      <c r="I7034" s="35"/>
      <c r="J7034" s="37"/>
    </row>
    <row r="7035" spans="1:10" ht="15.95" customHeight="1" x14ac:dyDescent="0.2">
      <c r="A7035" s="39"/>
      <c r="B7035" s="36"/>
      <c r="C7035" s="37"/>
      <c r="D7035" s="37"/>
      <c r="E7035" s="37"/>
      <c r="F7035" s="37"/>
      <c r="G7035" s="37"/>
      <c r="H7035" s="37"/>
      <c r="I7035" s="35"/>
      <c r="J7035" s="37"/>
    </row>
    <row r="7036" spans="1:10" ht="15.95" customHeight="1" x14ac:dyDescent="0.2">
      <c r="A7036" s="39"/>
      <c r="B7036" s="36"/>
      <c r="C7036" s="37"/>
      <c r="D7036" s="37"/>
      <c r="E7036" s="37"/>
      <c r="F7036" s="37"/>
      <c r="G7036" s="37"/>
      <c r="H7036" s="37"/>
      <c r="I7036" s="35"/>
      <c r="J7036" s="37"/>
    </row>
    <row r="7037" spans="1:10" ht="15.95" customHeight="1" x14ac:dyDescent="0.2">
      <c r="A7037" s="39"/>
      <c r="B7037" s="36"/>
      <c r="C7037" s="37"/>
      <c r="D7037" s="37"/>
      <c r="E7037" s="37"/>
      <c r="F7037" s="37"/>
      <c r="G7037" s="37"/>
      <c r="H7037" s="37"/>
      <c r="I7037" s="35"/>
      <c r="J7037" s="37"/>
    </row>
    <row r="7038" spans="1:10" ht="15.95" customHeight="1" x14ac:dyDescent="0.2">
      <c r="A7038" s="39"/>
      <c r="B7038" s="36"/>
      <c r="C7038" s="37"/>
      <c r="D7038" s="37"/>
      <c r="E7038" s="37"/>
      <c r="F7038" s="37"/>
      <c r="G7038" s="37"/>
      <c r="H7038" s="37"/>
      <c r="I7038" s="35"/>
      <c r="J7038" s="37"/>
    </row>
    <row r="7039" spans="1:10" ht="15.95" customHeight="1" x14ac:dyDescent="0.2">
      <c r="A7039" s="39"/>
      <c r="B7039" s="36"/>
      <c r="C7039" s="37"/>
      <c r="D7039" s="37"/>
      <c r="E7039" s="37"/>
      <c r="F7039" s="37"/>
      <c r="G7039" s="37"/>
      <c r="H7039" s="37"/>
      <c r="I7039" s="35"/>
      <c r="J7039" s="37"/>
    </row>
    <row r="7040" spans="1:10" ht="15.95" customHeight="1" x14ac:dyDescent="0.2">
      <c r="A7040" s="39"/>
      <c r="B7040" s="36"/>
      <c r="C7040" s="37"/>
      <c r="D7040" s="37"/>
      <c r="E7040" s="37"/>
      <c r="F7040" s="37"/>
      <c r="G7040" s="37"/>
      <c r="H7040" s="37"/>
      <c r="I7040" s="35"/>
      <c r="J7040" s="37"/>
    </row>
    <row r="7041" spans="1:10" ht="15.95" customHeight="1" x14ac:dyDescent="0.2">
      <c r="A7041" s="39"/>
      <c r="B7041" s="36"/>
      <c r="C7041" s="37"/>
      <c r="D7041" s="37"/>
      <c r="E7041" s="37"/>
      <c r="F7041" s="37"/>
      <c r="G7041" s="37"/>
      <c r="H7041" s="37"/>
      <c r="I7041" s="35"/>
      <c r="J7041" s="37"/>
    </row>
    <row r="7042" spans="1:10" ht="15.95" customHeight="1" x14ac:dyDescent="0.2">
      <c r="A7042" s="39"/>
      <c r="B7042" s="36"/>
      <c r="C7042" s="37"/>
      <c r="D7042" s="37"/>
      <c r="E7042" s="37"/>
      <c r="F7042" s="37"/>
      <c r="G7042" s="37"/>
      <c r="H7042" s="37"/>
      <c r="I7042" s="35"/>
      <c r="J7042" s="37"/>
    </row>
    <row r="7043" spans="1:10" ht="15.95" customHeight="1" x14ac:dyDescent="0.2">
      <c r="A7043" s="39"/>
      <c r="B7043" s="36"/>
      <c r="C7043" s="37"/>
      <c r="D7043" s="37"/>
      <c r="E7043" s="37"/>
      <c r="F7043" s="37"/>
      <c r="G7043" s="37"/>
      <c r="H7043" s="37"/>
      <c r="I7043" s="35"/>
      <c r="J7043" s="37"/>
    </row>
    <row r="7044" spans="1:10" ht="15.95" customHeight="1" x14ac:dyDescent="0.2">
      <c r="A7044" s="39"/>
      <c r="B7044" s="36"/>
      <c r="C7044" s="37"/>
      <c r="D7044" s="37"/>
      <c r="E7044" s="37"/>
      <c r="F7044" s="37"/>
      <c r="G7044" s="37"/>
      <c r="H7044" s="37"/>
      <c r="I7044" s="35"/>
      <c r="J7044" s="37"/>
    </row>
    <row r="7045" spans="1:10" ht="15.95" customHeight="1" x14ac:dyDescent="0.2">
      <c r="A7045" s="39"/>
      <c r="B7045" s="36"/>
      <c r="C7045" s="37"/>
      <c r="D7045" s="37"/>
      <c r="E7045" s="37"/>
      <c r="F7045" s="37"/>
      <c r="G7045" s="37"/>
      <c r="H7045" s="37"/>
      <c r="I7045" s="35"/>
      <c r="J7045" s="37"/>
    </row>
    <row r="7046" spans="1:10" ht="15.95" customHeight="1" x14ac:dyDescent="0.2">
      <c r="A7046" s="39"/>
      <c r="B7046" s="36"/>
      <c r="C7046" s="37"/>
      <c r="D7046" s="37"/>
      <c r="E7046" s="37"/>
      <c r="F7046" s="37"/>
      <c r="G7046" s="37"/>
      <c r="H7046" s="37"/>
      <c r="I7046" s="35"/>
      <c r="J7046" s="37"/>
    </row>
    <row r="7047" spans="1:10" ht="15.95" customHeight="1" x14ac:dyDescent="0.2">
      <c r="A7047" s="39"/>
      <c r="B7047" s="36"/>
      <c r="C7047" s="37"/>
      <c r="D7047" s="37"/>
      <c r="E7047" s="37"/>
      <c r="F7047" s="37"/>
      <c r="G7047" s="37"/>
      <c r="H7047" s="37"/>
      <c r="I7047" s="35"/>
      <c r="J7047" s="37"/>
    </row>
    <row r="7048" spans="1:10" ht="15.95" customHeight="1" x14ac:dyDescent="0.2">
      <c r="A7048" s="39"/>
      <c r="B7048" s="36"/>
      <c r="C7048" s="37"/>
      <c r="D7048" s="37"/>
      <c r="E7048" s="37"/>
      <c r="F7048" s="37"/>
      <c r="G7048" s="37"/>
      <c r="H7048" s="37"/>
      <c r="I7048" s="35"/>
      <c r="J7048" s="37"/>
    </row>
    <row r="7049" spans="1:10" ht="15.95" customHeight="1" x14ac:dyDescent="0.2">
      <c r="A7049" s="39"/>
      <c r="B7049" s="36"/>
      <c r="C7049" s="37"/>
      <c r="D7049" s="37"/>
      <c r="E7049" s="37"/>
      <c r="F7049" s="37"/>
      <c r="G7049" s="37"/>
      <c r="H7049" s="37"/>
      <c r="I7049" s="35"/>
      <c r="J7049" s="37"/>
    </row>
    <row r="7050" spans="1:10" ht="15.95" customHeight="1" x14ac:dyDescent="0.2">
      <c r="A7050" s="39"/>
      <c r="B7050" s="36"/>
      <c r="C7050" s="37"/>
      <c r="D7050" s="37"/>
      <c r="E7050" s="37"/>
      <c r="F7050" s="37"/>
      <c r="G7050" s="37"/>
      <c r="H7050" s="37"/>
      <c r="I7050" s="35"/>
      <c r="J7050" s="37"/>
    </row>
    <row r="7051" spans="1:10" ht="15.95" customHeight="1" x14ac:dyDescent="0.2">
      <c r="A7051" s="39"/>
      <c r="B7051" s="36"/>
      <c r="C7051" s="37"/>
      <c r="D7051" s="37"/>
      <c r="E7051" s="37"/>
      <c r="F7051" s="37"/>
      <c r="G7051" s="37"/>
      <c r="H7051" s="37"/>
      <c r="I7051" s="35"/>
      <c r="J7051" s="37"/>
    </row>
    <row r="7052" spans="1:10" ht="15.95" customHeight="1" x14ac:dyDescent="0.2">
      <c r="A7052" s="39"/>
      <c r="B7052" s="36"/>
      <c r="C7052" s="37"/>
      <c r="D7052" s="37"/>
      <c r="E7052" s="37"/>
      <c r="F7052" s="37"/>
      <c r="G7052" s="37"/>
      <c r="H7052" s="37"/>
      <c r="I7052" s="35"/>
      <c r="J7052" s="37"/>
    </row>
    <row r="7053" spans="1:10" ht="15.95" customHeight="1" x14ac:dyDescent="0.2">
      <c r="A7053" s="39"/>
      <c r="B7053" s="36"/>
      <c r="C7053" s="37"/>
      <c r="D7053" s="37"/>
      <c r="E7053" s="37"/>
      <c r="F7053" s="37"/>
      <c r="G7053" s="37"/>
      <c r="H7053" s="37"/>
      <c r="I7053" s="35"/>
      <c r="J7053" s="37"/>
    </row>
    <row r="7054" spans="1:10" ht="15.95" customHeight="1" x14ac:dyDescent="0.2">
      <c r="A7054" s="39"/>
      <c r="B7054" s="36"/>
      <c r="C7054" s="37"/>
      <c r="D7054" s="37"/>
      <c r="E7054" s="37"/>
      <c r="F7054" s="37"/>
      <c r="G7054" s="37"/>
      <c r="H7054" s="37"/>
      <c r="I7054" s="35"/>
      <c r="J7054" s="37"/>
    </row>
    <row r="7055" spans="1:10" ht="15.95" customHeight="1" x14ac:dyDescent="0.2">
      <c r="A7055" s="39"/>
      <c r="B7055" s="36"/>
      <c r="C7055" s="37"/>
      <c r="D7055" s="37"/>
      <c r="E7055" s="37"/>
      <c r="F7055" s="37"/>
      <c r="G7055" s="37"/>
      <c r="H7055" s="37"/>
      <c r="I7055" s="35"/>
      <c r="J7055" s="37"/>
    </row>
    <row r="7056" spans="1:10" ht="15.95" customHeight="1" x14ac:dyDescent="0.2">
      <c r="A7056" s="39"/>
      <c r="B7056" s="36"/>
      <c r="C7056" s="37"/>
      <c r="D7056" s="37"/>
      <c r="E7056" s="37"/>
      <c r="F7056" s="37"/>
      <c r="G7056" s="37"/>
      <c r="H7056" s="37"/>
      <c r="I7056" s="35"/>
      <c r="J7056" s="37"/>
    </row>
    <row r="7057" spans="1:10" ht="15.95" customHeight="1" x14ac:dyDescent="0.2">
      <c r="A7057" s="39"/>
      <c r="B7057" s="36"/>
      <c r="C7057" s="37"/>
      <c r="D7057" s="37"/>
      <c r="E7057" s="37"/>
      <c r="F7057" s="37"/>
      <c r="G7057" s="37"/>
      <c r="H7057" s="37"/>
      <c r="I7057" s="35"/>
      <c r="J7057" s="37"/>
    </row>
    <row r="7058" spans="1:10" ht="15.95" customHeight="1" x14ac:dyDescent="0.2">
      <c r="A7058" s="39"/>
      <c r="B7058" s="36"/>
      <c r="C7058" s="37"/>
      <c r="D7058" s="37"/>
      <c r="E7058" s="37"/>
      <c r="F7058" s="37"/>
      <c r="G7058" s="37"/>
      <c r="H7058" s="37"/>
      <c r="I7058" s="35"/>
      <c r="J7058" s="37"/>
    </row>
    <row r="7059" spans="1:10" ht="15.95" customHeight="1" x14ac:dyDescent="0.2">
      <c r="A7059" s="39"/>
      <c r="B7059" s="36"/>
      <c r="C7059" s="37"/>
      <c r="D7059" s="37"/>
      <c r="E7059" s="37"/>
      <c r="F7059" s="37"/>
      <c r="G7059" s="37"/>
      <c r="H7059" s="37"/>
      <c r="I7059" s="35"/>
      <c r="J7059" s="37"/>
    </row>
    <row r="7060" spans="1:10" ht="15.95" customHeight="1" x14ac:dyDescent="0.2">
      <c r="A7060" s="39"/>
      <c r="B7060" s="36"/>
      <c r="C7060" s="37"/>
      <c r="D7060" s="37"/>
      <c r="E7060" s="37"/>
      <c r="F7060" s="37"/>
      <c r="G7060" s="37"/>
      <c r="H7060" s="37"/>
      <c r="I7060" s="35"/>
      <c r="J7060" s="37"/>
    </row>
    <row r="7061" spans="1:10" ht="15.95" customHeight="1" x14ac:dyDescent="0.2">
      <c r="A7061" s="39"/>
      <c r="B7061" s="36"/>
      <c r="C7061" s="37"/>
      <c r="D7061" s="37"/>
      <c r="E7061" s="37"/>
      <c r="F7061" s="37"/>
      <c r="G7061" s="37"/>
      <c r="H7061" s="37"/>
      <c r="I7061" s="35"/>
      <c r="J7061" s="37"/>
    </row>
    <row r="7062" spans="1:10" ht="15.95" customHeight="1" x14ac:dyDescent="0.2">
      <c r="A7062" s="39"/>
      <c r="B7062" s="36"/>
      <c r="C7062" s="37"/>
      <c r="D7062" s="37"/>
      <c r="E7062" s="37"/>
      <c r="F7062" s="37"/>
      <c r="G7062" s="37"/>
      <c r="H7062" s="37"/>
      <c r="I7062" s="35"/>
      <c r="J7062" s="37"/>
    </row>
    <row r="7063" spans="1:10" ht="15.95" customHeight="1" x14ac:dyDescent="0.2">
      <c r="A7063" s="39"/>
      <c r="B7063" s="36"/>
      <c r="C7063" s="37"/>
      <c r="D7063" s="37"/>
      <c r="E7063" s="37"/>
      <c r="F7063" s="37"/>
      <c r="G7063" s="37"/>
      <c r="H7063" s="37"/>
      <c r="I7063" s="35"/>
      <c r="J7063" s="37"/>
    </row>
    <row r="7064" spans="1:10" ht="15.95" customHeight="1" x14ac:dyDescent="0.2">
      <c r="A7064" s="39"/>
      <c r="B7064" s="36"/>
      <c r="C7064" s="37"/>
      <c r="D7064" s="37"/>
      <c r="E7064" s="37"/>
      <c r="F7064" s="37"/>
      <c r="G7064" s="37"/>
      <c r="H7064" s="37"/>
      <c r="I7064" s="35"/>
      <c r="J7064" s="37"/>
    </row>
    <row r="7065" spans="1:10" ht="15.95" customHeight="1" x14ac:dyDescent="0.2">
      <c r="A7065" s="39"/>
      <c r="B7065" s="36"/>
      <c r="C7065" s="37"/>
      <c r="D7065" s="37"/>
      <c r="E7065" s="37"/>
      <c r="F7065" s="37"/>
      <c r="G7065" s="37"/>
      <c r="H7065" s="37"/>
      <c r="I7065" s="35"/>
      <c r="J7065" s="37"/>
    </row>
    <row r="7066" spans="1:10" ht="15.95" customHeight="1" x14ac:dyDescent="0.2">
      <c r="A7066" s="39"/>
      <c r="B7066" s="36"/>
      <c r="C7066" s="37"/>
      <c r="D7066" s="37"/>
      <c r="E7066" s="37"/>
      <c r="F7066" s="37"/>
      <c r="G7066" s="37"/>
      <c r="H7066" s="37"/>
      <c r="I7066" s="35"/>
      <c r="J7066" s="37"/>
    </row>
    <row r="7067" spans="1:10" ht="15.95" customHeight="1" x14ac:dyDescent="0.2">
      <c r="A7067" s="39"/>
      <c r="B7067" s="36"/>
      <c r="C7067" s="37"/>
      <c r="D7067" s="37"/>
      <c r="E7067" s="37"/>
      <c r="F7067" s="37"/>
      <c r="G7067" s="37"/>
      <c r="H7067" s="37"/>
      <c r="I7067" s="35"/>
      <c r="J7067" s="37"/>
    </row>
    <row r="7068" spans="1:10" ht="15.95" customHeight="1" x14ac:dyDescent="0.2">
      <c r="A7068" s="39"/>
      <c r="B7068" s="36"/>
      <c r="C7068" s="37"/>
      <c r="D7068" s="37"/>
      <c r="E7068" s="37"/>
      <c r="F7068" s="37"/>
      <c r="G7068" s="37"/>
      <c r="H7068" s="37"/>
      <c r="I7068" s="35"/>
      <c r="J7068" s="37"/>
    </row>
    <row r="7069" spans="1:10" ht="15.95" customHeight="1" x14ac:dyDescent="0.2">
      <c r="A7069" s="39"/>
      <c r="B7069" s="36"/>
      <c r="C7069" s="37"/>
      <c r="D7069" s="37"/>
      <c r="E7069" s="37"/>
      <c r="F7069" s="37"/>
      <c r="G7069" s="37"/>
      <c r="H7069" s="37"/>
      <c r="I7069" s="35"/>
      <c r="J7069" s="37"/>
    </row>
    <row r="7070" spans="1:10" ht="15.95" customHeight="1" x14ac:dyDescent="0.2">
      <c r="A7070" s="39"/>
      <c r="B7070" s="36"/>
      <c r="C7070" s="37"/>
      <c r="D7070" s="37"/>
      <c r="E7070" s="37"/>
      <c r="F7070" s="37"/>
      <c r="G7070" s="37"/>
      <c r="H7070" s="37"/>
      <c r="I7070" s="35"/>
      <c r="J7070" s="37"/>
    </row>
    <row r="7071" spans="1:10" ht="15.95" customHeight="1" x14ac:dyDescent="0.2">
      <c r="A7071" s="39"/>
      <c r="B7071" s="36"/>
      <c r="C7071" s="37"/>
      <c r="D7071" s="37"/>
      <c r="E7071" s="37"/>
      <c r="F7071" s="37"/>
      <c r="G7071" s="37"/>
      <c r="H7071" s="37"/>
      <c r="I7071" s="35"/>
      <c r="J7071" s="37"/>
    </row>
    <row r="7072" spans="1:10" ht="15.95" customHeight="1" x14ac:dyDescent="0.2">
      <c r="A7072" s="39"/>
      <c r="B7072" s="36"/>
      <c r="C7072" s="37"/>
      <c r="D7072" s="37"/>
      <c r="E7072" s="37"/>
      <c r="F7072" s="37"/>
      <c r="G7072" s="37"/>
      <c r="H7072" s="37"/>
      <c r="I7072" s="35"/>
      <c r="J7072" s="37"/>
    </row>
    <row r="7073" spans="1:10" ht="15.95" customHeight="1" x14ac:dyDescent="0.2">
      <c r="A7073" s="39"/>
      <c r="B7073" s="36"/>
      <c r="C7073" s="37"/>
      <c r="D7073" s="37"/>
      <c r="E7073" s="37"/>
      <c r="F7073" s="37"/>
      <c r="G7073" s="37"/>
      <c r="H7073" s="37"/>
      <c r="I7073" s="35"/>
      <c r="J7073" s="37"/>
    </row>
    <row r="7074" spans="1:10" ht="15.95" customHeight="1" x14ac:dyDescent="0.2">
      <c r="A7074" s="39"/>
      <c r="B7074" s="36"/>
      <c r="C7074" s="37"/>
      <c r="D7074" s="37"/>
      <c r="E7074" s="37"/>
      <c r="F7074" s="37"/>
      <c r="G7074" s="37"/>
      <c r="H7074" s="37"/>
      <c r="I7074" s="35"/>
      <c r="J7074" s="37"/>
    </row>
    <row r="7075" spans="1:10" ht="15.95" customHeight="1" x14ac:dyDescent="0.2">
      <c r="A7075" s="39"/>
      <c r="B7075" s="36"/>
      <c r="C7075" s="37"/>
      <c r="D7075" s="37"/>
      <c r="E7075" s="37"/>
      <c r="F7075" s="37"/>
      <c r="G7075" s="37"/>
      <c r="H7075" s="37"/>
      <c r="I7075" s="35"/>
      <c r="J7075" s="37"/>
    </row>
    <row r="7076" spans="1:10" ht="15.95" customHeight="1" x14ac:dyDescent="0.2">
      <c r="A7076" s="39"/>
      <c r="B7076" s="36"/>
      <c r="C7076" s="37"/>
      <c r="D7076" s="37"/>
      <c r="E7076" s="37"/>
      <c r="F7076" s="37"/>
      <c r="G7076" s="37"/>
      <c r="H7076" s="37"/>
      <c r="I7076" s="35"/>
      <c r="J7076" s="37"/>
    </row>
    <row r="7077" spans="1:10" ht="15.95" customHeight="1" x14ac:dyDescent="0.2">
      <c r="A7077" s="39"/>
      <c r="B7077" s="36"/>
      <c r="C7077" s="37"/>
      <c r="D7077" s="37"/>
      <c r="E7077" s="37"/>
      <c r="F7077" s="37"/>
      <c r="G7077" s="37"/>
      <c r="H7077" s="37"/>
      <c r="I7077" s="35"/>
      <c r="J7077" s="37"/>
    </row>
    <row r="7078" spans="1:10" ht="15.95" customHeight="1" x14ac:dyDescent="0.2">
      <c r="A7078" s="39"/>
      <c r="B7078" s="36"/>
      <c r="C7078" s="37"/>
      <c r="D7078" s="37"/>
      <c r="E7078" s="37"/>
      <c r="F7078" s="37"/>
      <c r="G7078" s="37"/>
      <c r="H7078" s="37"/>
      <c r="I7078" s="35"/>
      <c r="J7078" s="37"/>
    </row>
    <row r="7079" spans="1:10" ht="15.95" customHeight="1" x14ac:dyDescent="0.2">
      <c r="A7079" s="39"/>
      <c r="B7079" s="36"/>
      <c r="C7079" s="37"/>
      <c r="D7079" s="37"/>
      <c r="E7079" s="37"/>
      <c r="F7079" s="37"/>
      <c r="G7079" s="37"/>
      <c r="H7079" s="37"/>
      <c r="I7079" s="35"/>
      <c r="J7079" s="37"/>
    </row>
    <row r="7080" spans="1:10" ht="15.95" customHeight="1" x14ac:dyDescent="0.2">
      <c r="A7080" s="39"/>
      <c r="B7080" s="36"/>
      <c r="C7080" s="37"/>
      <c r="D7080" s="37"/>
      <c r="E7080" s="37"/>
      <c r="F7080" s="37"/>
      <c r="G7080" s="37"/>
      <c r="H7080" s="37"/>
      <c r="I7080" s="35"/>
      <c r="J7080" s="37"/>
    </row>
    <row r="7081" spans="1:10" ht="15.95" customHeight="1" x14ac:dyDescent="0.2">
      <c r="A7081" s="39"/>
      <c r="B7081" s="36"/>
      <c r="C7081" s="37"/>
      <c r="D7081" s="37"/>
      <c r="E7081" s="37"/>
      <c r="F7081" s="37"/>
      <c r="G7081" s="37"/>
      <c r="H7081" s="37"/>
      <c r="I7081" s="35"/>
      <c r="J7081" s="37"/>
    </row>
    <row r="7082" spans="1:10" ht="15.95" customHeight="1" x14ac:dyDescent="0.2">
      <c r="A7082" s="39"/>
      <c r="B7082" s="36"/>
      <c r="C7082" s="37"/>
      <c r="D7082" s="37"/>
      <c r="E7082" s="37"/>
      <c r="F7082" s="37"/>
      <c r="G7082" s="37"/>
      <c r="H7082" s="37"/>
      <c r="I7082" s="35"/>
      <c r="J7082" s="37"/>
    </row>
    <row r="7083" spans="1:10" ht="15.95" customHeight="1" x14ac:dyDescent="0.2">
      <c r="A7083" s="39"/>
      <c r="B7083" s="36"/>
      <c r="C7083" s="37"/>
      <c r="D7083" s="37"/>
      <c r="E7083" s="37"/>
      <c r="F7083" s="37"/>
      <c r="G7083" s="37"/>
      <c r="H7083" s="37"/>
      <c r="I7083" s="35"/>
      <c r="J7083" s="37"/>
    </row>
    <row r="7084" spans="1:10" ht="15.95" customHeight="1" x14ac:dyDescent="0.2">
      <c r="A7084" s="39"/>
      <c r="B7084" s="36"/>
      <c r="C7084" s="37"/>
      <c r="D7084" s="37"/>
      <c r="E7084" s="37"/>
      <c r="F7084" s="37"/>
      <c r="G7084" s="37"/>
      <c r="H7084" s="37"/>
      <c r="I7084" s="35"/>
      <c r="J7084" s="37"/>
    </row>
    <row r="7085" spans="1:10" ht="15.95" customHeight="1" x14ac:dyDescent="0.2">
      <c r="A7085" s="39"/>
      <c r="B7085" s="36"/>
      <c r="C7085" s="37"/>
      <c r="D7085" s="37"/>
      <c r="E7085" s="37"/>
      <c r="F7085" s="37"/>
      <c r="G7085" s="37"/>
      <c r="H7085" s="37"/>
      <c r="I7085" s="35"/>
      <c r="J7085" s="37"/>
    </row>
    <row r="7086" spans="1:10" ht="15.95" customHeight="1" x14ac:dyDescent="0.2">
      <c r="A7086" s="39"/>
      <c r="B7086" s="36"/>
      <c r="C7086" s="37"/>
      <c r="D7086" s="37"/>
      <c r="E7086" s="37"/>
      <c r="F7086" s="37"/>
      <c r="G7086" s="37"/>
      <c r="H7086" s="37"/>
      <c r="I7086" s="35"/>
      <c r="J7086" s="37"/>
    </row>
    <row r="7087" spans="1:10" ht="15.95" customHeight="1" x14ac:dyDescent="0.2">
      <c r="A7087" s="39"/>
      <c r="B7087" s="36"/>
      <c r="C7087" s="37"/>
      <c r="D7087" s="37"/>
      <c r="E7087" s="37"/>
      <c r="F7087" s="37"/>
      <c r="G7087" s="37"/>
      <c r="H7087" s="37"/>
      <c r="I7087" s="35"/>
      <c r="J7087" s="37"/>
    </row>
    <row r="7088" spans="1:10" ht="15.95" customHeight="1" x14ac:dyDescent="0.2">
      <c r="A7088" s="39"/>
      <c r="B7088" s="36"/>
      <c r="C7088" s="37"/>
      <c r="D7088" s="37"/>
      <c r="E7088" s="37"/>
      <c r="F7088" s="37"/>
      <c r="G7088" s="37"/>
      <c r="H7088" s="37"/>
      <c r="I7088" s="35"/>
      <c r="J7088" s="37"/>
    </row>
    <row r="7089" spans="1:10" ht="15.95" customHeight="1" x14ac:dyDescent="0.2">
      <c r="A7089" s="39"/>
      <c r="B7089" s="36"/>
      <c r="C7089" s="37"/>
      <c r="D7089" s="37"/>
      <c r="E7089" s="37"/>
      <c r="F7089" s="37"/>
      <c r="G7089" s="37"/>
      <c r="H7089" s="37"/>
      <c r="I7089" s="35"/>
      <c r="J7089" s="37"/>
    </row>
    <row r="7090" spans="1:10" ht="15.95" customHeight="1" x14ac:dyDescent="0.2">
      <c r="A7090" s="39"/>
      <c r="B7090" s="36"/>
      <c r="C7090" s="37"/>
      <c r="D7090" s="37"/>
      <c r="E7090" s="37"/>
      <c r="F7090" s="37"/>
      <c r="G7090" s="37"/>
      <c r="H7090" s="37"/>
      <c r="I7090" s="35"/>
      <c r="J7090" s="37"/>
    </row>
    <row r="7091" spans="1:10" ht="15.95" customHeight="1" x14ac:dyDescent="0.2">
      <c r="A7091" s="39"/>
      <c r="B7091" s="36"/>
      <c r="C7091" s="37"/>
      <c r="D7091" s="37"/>
      <c r="E7091" s="37"/>
      <c r="F7091" s="37"/>
      <c r="G7091" s="37"/>
      <c r="H7091" s="37"/>
      <c r="I7091" s="35"/>
      <c r="J7091" s="37"/>
    </row>
    <row r="7092" spans="1:10" ht="15.95" customHeight="1" x14ac:dyDescent="0.2">
      <c r="A7092" s="39"/>
      <c r="B7092" s="36"/>
      <c r="C7092" s="37"/>
      <c r="D7092" s="37"/>
      <c r="E7092" s="37"/>
      <c r="F7092" s="37"/>
      <c r="G7092" s="37"/>
      <c r="H7092" s="37"/>
      <c r="I7092" s="35"/>
      <c r="J7092" s="37"/>
    </row>
    <row r="7093" spans="1:10" ht="15.95" customHeight="1" x14ac:dyDescent="0.2">
      <c r="A7093" s="39"/>
      <c r="B7093" s="36"/>
      <c r="C7093" s="37"/>
      <c r="D7093" s="37"/>
      <c r="E7093" s="37"/>
      <c r="F7093" s="37"/>
      <c r="G7093" s="37"/>
      <c r="H7093" s="37"/>
      <c r="I7093" s="35"/>
      <c r="J7093" s="37"/>
    </row>
    <row r="7094" spans="1:10" ht="15.95" customHeight="1" x14ac:dyDescent="0.2">
      <c r="A7094" s="39"/>
      <c r="B7094" s="36"/>
      <c r="C7094" s="37"/>
      <c r="D7094" s="37"/>
      <c r="E7094" s="37"/>
      <c r="F7094" s="37"/>
      <c r="G7094" s="37"/>
      <c r="H7094" s="37"/>
      <c r="I7094" s="35"/>
      <c r="J7094" s="37"/>
    </row>
    <row r="7095" spans="1:10" ht="15.95" customHeight="1" x14ac:dyDescent="0.2">
      <c r="A7095" s="39"/>
      <c r="B7095" s="36"/>
      <c r="C7095" s="37"/>
      <c r="D7095" s="37"/>
      <c r="E7095" s="37"/>
      <c r="F7095" s="37"/>
      <c r="G7095" s="37"/>
      <c r="H7095" s="37"/>
      <c r="I7095" s="35"/>
      <c r="J7095" s="37"/>
    </row>
    <row r="7096" spans="1:10" ht="15.95" customHeight="1" x14ac:dyDescent="0.2">
      <c r="A7096" s="39"/>
      <c r="B7096" s="36"/>
      <c r="C7096" s="37"/>
      <c r="D7096" s="37"/>
      <c r="E7096" s="37"/>
      <c r="F7096" s="37"/>
      <c r="G7096" s="37"/>
      <c r="H7096" s="37"/>
      <c r="I7096" s="35"/>
      <c r="J7096" s="37"/>
    </row>
    <row r="7097" spans="1:10" ht="15.95" customHeight="1" x14ac:dyDescent="0.2">
      <c r="A7097" s="39"/>
      <c r="B7097" s="36"/>
      <c r="C7097" s="37"/>
      <c r="D7097" s="37"/>
      <c r="E7097" s="37"/>
      <c r="F7097" s="37"/>
      <c r="G7097" s="37"/>
      <c r="H7097" s="37"/>
      <c r="I7097" s="35"/>
      <c r="J7097" s="37"/>
    </row>
    <row r="7098" spans="1:10" ht="15.95" customHeight="1" x14ac:dyDescent="0.2">
      <c r="A7098" s="39"/>
      <c r="B7098" s="36"/>
      <c r="C7098" s="37"/>
      <c r="D7098" s="37"/>
      <c r="E7098" s="37"/>
      <c r="F7098" s="37"/>
      <c r="G7098" s="37"/>
      <c r="H7098" s="37"/>
      <c r="I7098" s="35"/>
      <c r="J7098" s="37"/>
    </row>
    <row r="7099" spans="1:10" ht="15.95" customHeight="1" x14ac:dyDescent="0.2">
      <c r="A7099" s="39"/>
      <c r="B7099" s="36"/>
      <c r="C7099" s="37"/>
      <c r="D7099" s="37"/>
      <c r="E7099" s="37"/>
      <c r="F7099" s="37"/>
      <c r="G7099" s="37"/>
      <c r="H7099" s="37"/>
      <c r="I7099" s="35"/>
      <c r="J7099" s="37"/>
    </row>
    <row r="7100" spans="1:10" ht="15.95" customHeight="1" x14ac:dyDescent="0.2">
      <c r="A7100" s="39"/>
      <c r="B7100" s="36"/>
      <c r="C7100" s="37"/>
      <c r="D7100" s="37"/>
      <c r="E7100" s="37"/>
      <c r="F7100" s="37"/>
      <c r="G7100" s="37"/>
      <c r="H7100" s="37"/>
      <c r="I7100" s="35"/>
      <c r="J7100" s="37"/>
    </row>
    <row r="7101" spans="1:10" ht="15.95" customHeight="1" x14ac:dyDescent="0.2">
      <c r="A7101" s="39"/>
      <c r="B7101" s="36"/>
      <c r="C7101" s="37"/>
      <c r="D7101" s="37"/>
      <c r="E7101" s="37"/>
      <c r="F7101" s="37"/>
      <c r="G7101" s="37"/>
      <c r="H7101" s="37"/>
      <c r="I7101" s="35"/>
      <c r="J7101" s="37"/>
    </row>
    <row r="7102" spans="1:10" ht="15.95" customHeight="1" x14ac:dyDescent="0.2">
      <c r="A7102" s="39"/>
      <c r="B7102" s="36"/>
      <c r="C7102" s="37"/>
      <c r="D7102" s="37"/>
      <c r="E7102" s="37"/>
      <c r="F7102" s="37"/>
      <c r="G7102" s="37"/>
      <c r="H7102" s="37"/>
      <c r="I7102" s="35"/>
      <c r="J7102" s="37"/>
    </row>
    <row r="7103" spans="1:10" ht="15.95" customHeight="1" x14ac:dyDescent="0.2">
      <c r="A7103" s="39"/>
      <c r="B7103" s="36"/>
      <c r="C7103" s="37"/>
      <c r="D7103" s="37"/>
      <c r="E7103" s="37"/>
      <c r="F7103" s="37"/>
      <c r="G7103" s="37"/>
      <c r="H7103" s="37"/>
      <c r="I7103" s="35"/>
      <c r="J7103" s="37"/>
    </row>
    <row r="7104" spans="1:10" ht="15.95" customHeight="1" x14ac:dyDescent="0.2">
      <c r="A7104" s="39"/>
      <c r="B7104" s="36"/>
      <c r="C7104" s="37"/>
      <c r="D7104" s="37"/>
      <c r="E7104" s="37"/>
      <c r="F7104" s="37"/>
      <c r="G7104" s="37"/>
      <c r="H7104" s="37"/>
      <c r="I7104" s="35"/>
      <c r="J7104" s="37"/>
    </row>
    <row r="7105" spans="1:10" ht="15.95" customHeight="1" x14ac:dyDescent="0.2">
      <c r="A7105" s="39"/>
      <c r="B7105" s="36"/>
      <c r="C7105" s="37"/>
      <c r="D7105" s="37"/>
      <c r="E7105" s="37"/>
      <c r="F7105" s="37"/>
      <c r="G7105" s="37"/>
      <c r="H7105" s="37"/>
      <c r="I7105" s="35"/>
      <c r="J7105" s="37"/>
    </row>
    <row r="7106" spans="1:10" ht="15.95" customHeight="1" x14ac:dyDescent="0.2">
      <c r="A7106" s="39"/>
      <c r="B7106" s="36"/>
      <c r="C7106" s="37"/>
      <c r="D7106" s="37"/>
      <c r="E7106" s="37"/>
      <c r="F7106" s="37"/>
      <c r="G7106" s="37"/>
      <c r="H7106" s="37"/>
      <c r="I7106" s="35"/>
      <c r="J7106" s="37"/>
    </row>
    <row r="7107" spans="1:10" ht="15.95" customHeight="1" x14ac:dyDescent="0.2">
      <c r="A7107" s="39"/>
      <c r="B7107" s="36"/>
      <c r="C7107" s="37"/>
      <c r="D7107" s="37"/>
      <c r="E7107" s="37"/>
      <c r="F7107" s="37"/>
      <c r="G7107" s="37"/>
      <c r="H7107" s="37"/>
      <c r="I7107" s="35"/>
      <c r="J7107" s="37"/>
    </row>
    <row r="7108" spans="1:10" ht="15.95" customHeight="1" x14ac:dyDescent="0.2">
      <c r="A7108" s="39"/>
      <c r="B7108" s="36"/>
      <c r="C7108" s="37"/>
      <c r="D7108" s="37"/>
      <c r="E7108" s="37"/>
      <c r="F7108" s="37"/>
      <c r="G7108" s="37"/>
      <c r="H7108" s="37"/>
      <c r="I7108" s="35"/>
      <c r="J7108" s="37"/>
    </row>
    <row r="7109" spans="1:10" ht="15.95" customHeight="1" x14ac:dyDescent="0.2">
      <c r="A7109" s="39"/>
      <c r="B7109" s="36"/>
      <c r="C7109" s="37"/>
      <c r="D7109" s="37"/>
      <c r="E7109" s="37"/>
      <c r="F7109" s="37"/>
      <c r="G7109" s="37"/>
      <c r="H7109" s="37"/>
      <c r="I7109" s="35"/>
      <c r="J7109" s="37"/>
    </row>
    <row r="7110" spans="1:10" ht="15.95" customHeight="1" x14ac:dyDescent="0.2">
      <c r="A7110" s="39"/>
      <c r="B7110" s="36"/>
      <c r="C7110" s="37"/>
      <c r="D7110" s="37"/>
      <c r="E7110" s="37"/>
      <c r="F7110" s="37"/>
      <c r="G7110" s="37"/>
      <c r="H7110" s="37"/>
      <c r="I7110" s="35"/>
      <c r="J7110" s="37"/>
    </row>
    <row r="7111" spans="1:10" ht="15.95" customHeight="1" x14ac:dyDescent="0.2">
      <c r="A7111" s="39"/>
      <c r="B7111" s="36"/>
      <c r="C7111" s="37"/>
      <c r="D7111" s="37"/>
      <c r="E7111" s="37"/>
      <c r="F7111" s="37"/>
      <c r="G7111" s="37"/>
      <c r="H7111" s="37"/>
      <c r="I7111" s="35"/>
      <c r="J7111" s="37"/>
    </row>
    <row r="7112" spans="1:10" ht="15.95" customHeight="1" x14ac:dyDescent="0.2">
      <c r="A7112" s="39"/>
      <c r="B7112" s="36"/>
      <c r="C7112" s="37"/>
      <c r="D7112" s="37"/>
      <c r="E7112" s="37"/>
      <c r="F7112" s="37"/>
      <c r="G7112" s="37"/>
      <c r="H7112" s="37"/>
      <c r="I7112" s="35"/>
      <c r="J7112" s="37"/>
    </row>
    <row r="7113" spans="1:10" ht="15.95" customHeight="1" x14ac:dyDescent="0.2">
      <c r="A7113" s="39"/>
      <c r="B7113" s="36"/>
      <c r="C7113" s="37"/>
      <c r="D7113" s="37"/>
      <c r="E7113" s="37"/>
      <c r="F7113" s="37"/>
      <c r="G7113" s="37"/>
      <c r="H7113" s="37"/>
      <c r="I7113" s="35"/>
      <c r="J7113" s="37"/>
    </row>
    <row r="7114" spans="1:10" ht="15.95" customHeight="1" x14ac:dyDescent="0.2">
      <c r="A7114" s="39"/>
      <c r="B7114" s="36"/>
      <c r="C7114" s="37"/>
      <c r="D7114" s="37"/>
      <c r="E7114" s="37"/>
      <c r="F7114" s="37"/>
      <c r="G7114" s="37"/>
      <c r="H7114" s="37"/>
      <c r="I7114" s="35"/>
      <c r="J7114" s="37"/>
    </row>
    <row r="7115" spans="1:10" ht="15.95" customHeight="1" x14ac:dyDescent="0.2">
      <c r="A7115" s="39"/>
      <c r="B7115" s="36"/>
      <c r="C7115" s="37"/>
      <c r="D7115" s="37"/>
      <c r="E7115" s="37"/>
      <c r="F7115" s="37"/>
      <c r="G7115" s="37"/>
      <c r="H7115" s="37"/>
      <c r="I7115" s="35"/>
      <c r="J7115" s="37"/>
    </row>
    <row r="7116" spans="1:10" ht="15.95" customHeight="1" x14ac:dyDescent="0.2">
      <c r="A7116" s="39"/>
      <c r="B7116" s="36"/>
      <c r="C7116" s="37"/>
      <c r="D7116" s="37"/>
      <c r="E7116" s="37"/>
      <c r="F7116" s="37"/>
      <c r="G7116" s="37"/>
      <c r="H7116" s="37"/>
      <c r="I7116" s="35"/>
      <c r="J7116" s="37"/>
    </row>
    <row r="7117" spans="1:10" ht="15.95" customHeight="1" x14ac:dyDescent="0.2">
      <c r="A7117" s="39"/>
      <c r="B7117" s="36"/>
      <c r="C7117" s="37"/>
      <c r="D7117" s="37"/>
      <c r="E7117" s="37"/>
      <c r="F7117" s="37"/>
      <c r="G7117" s="37"/>
      <c r="H7117" s="37"/>
      <c r="I7117" s="35"/>
      <c r="J7117" s="37"/>
    </row>
    <row r="7118" spans="1:10" ht="15.95" customHeight="1" x14ac:dyDescent="0.2">
      <c r="A7118" s="39"/>
      <c r="B7118" s="36"/>
      <c r="C7118" s="37"/>
      <c r="D7118" s="37"/>
      <c r="E7118" s="37"/>
      <c r="F7118" s="37"/>
      <c r="G7118" s="37"/>
      <c r="H7118" s="37"/>
      <c r="I7118" s="35"/>
      <c r="J7118" s="37"/>
    </row>
    <row r="7119" spans="1:10" ht="15.95" customHeight="1" x14ac:dyDescent="0.2">
      <c r="A7119" s="39"/>
      <c r="B7119" s="36"/>
      <c r="C7119" s="37"/>
      <c r="D7119" s="37"/>
      <c r="E7119" s="37"/>
      <c r="F7119" s="37"/>
      <c r="G7119" s="37"/>
      <c r="H7119" s="37"/>
      <c r="I7119" s="35"/>
      <c r="J7119" s="37"/>
    </row>
    <row r="7120" spans="1:10" ht="15.95" customHeight="1" x14ac:dyDescent="0.2">
      <c r="A7120" s="39"/>
      <c r="B7120" s="36"/>
      <c r="C7120" s="37"/>
      <c r="D7120" s="37"/>
      <c r="E7120" s="37"/>
      <c r="F7120" s="37"/>
      <c r="G7120" s="37"/>
      <c r="H7120" s="37"/>
      <c r="I7120" s="35"/>
      <c r="J7120" s="37"/>
    </row>
    <row r="7121" spans="1:10" ht="15.95" customHeight="1" x14ac:dyDescent="0.2">
      <c r="A7121" s="39"/>
      <c r="B7121" s="36"/>
      <c r="C7121" s="37"/>
      <c r="D7121" s="37"/>
      <c r="E7121" s="37"/>
      <c r="F7121" s="37"/>
      <c r="G7121" s="37"/>
      <c r="H7121" s="37"/>
      <c r="I7121" s="35"/>
      <c r="J7121" s="37"/>
    </row>
    <row r="7122" spans="1:10" ht="15.95" customHeight="1" x14ac:dyDescent="0.2">
      <c r="A7122" s="39"/>
      <c r="B7122" s="36"/>
      <c r="C7122" s="37"/>
      <c r="D7122" s="37"/>
      <c r="E7122" s="37"/>
      <c r="F7122" s="37"/>
      <c r="G7122" s="37"/>
      <c r="H7122" s="37"/>
      <c r="I7122" s="35"/>
      <c r="J7122" s="37"/>
    </row>
    <row r="7123" spans="1:10" ht="15.95" customHeight="1" x14ac:dyDescent="0.2">
      <c r="A7123" s="39"/>
      <c r="B7123" s="36"/>
      <c r="C7123" s="37"/>
      <c r="D7123" s="37"/>
      <c r="E7123" s="37"/>
      <c r="F7123" s="37"/>
      <c r="G7123" s="37"/>
      <c r="H7123" s="37"/>
      <c r="I7123" s="35"/>
      <c r="J7123" s="37"/>
    </row>
    <row r="7124" spans="1:10" ht="15.95" customHeight="1" x14ac:dyDescent="0.2">
      <c r="A7124" s="39"/>
      <c r="B7124" s="36"/>
      <c r="C7124" s="37"/>
      <c r="D7124" s="37"/>
      <c r="E7124" s="37"/>
      <c r="F7124" s="37"/>
      <c r="G7124" s="37"/>
      <c r="H7124" s="37"/>
      <c r="I7124" s="35"/>
      <c r="J7124" s="37"/>
    </row>
    <row r="7125" spans="1:10" ht="15.95" customHeight="1" x14ac:dyDescent="0.2">
      <c r="A7125" s="39"/>
      <c r="B7125" s="36"/>
      <c r="C7125" s="37"/>
      <c r="D7125" s="37"/>
      <c r="E7125" s="37"/>
      <c r="F7125" s="37"/>
      <c r="G7125" s="37"/>
      <c r="H7125" s="37"/>
      <c r="I7125" s="35"/>
      <c r="J7125" s="37"/>
    </row>
    <row r="7126" spans="1:10" ht="15.95" customHeight="1" x14ac:dyDescent="0.2">
      <c r="A7126" s="39"/>
      <c r="B7126" s="36"/>
      <c r="C7126" s="37"/>
      <c r="D7126" s="37"/>
      <c r="E7126" s="37"/>
      <c r="F7126" s="37"/>
      <c r="G7126" s="37"/>
      <c r="H7126" s="37"/>
      <c r="I7126" s="35"/>
      <c r="J7126" s="37"/>
    </row>
    <row r="7127" spans="1:10" ht="15.95" customHeight="1" x14ac:dyDescent="0.2">
      <c r="A7127" s="39"/>
      <c r="B7127" s="36"/>
      <c r="C7127" s="37"/>
      <c r="D7127" s="37"/>
      <c r="E7127" s="37"/>
      <c r="F7127" s="37"/>
      <c r="G7127" s="37"/>
      <c r="H7127" s="37"/>
      <c r="I7127" s="35"/>
      <c r="J7127" s="37"/>
    </row>
    <row r="7128" spans="1:10" ht="15.95" customHeight="1" x14ac:dyDescent="0.2">
      <c r="A7128" s="39"/>
      <c r="B7128" s="36"/>
      <c r="C7128" s="37"/>
      <c r="D7128" s="37"/>
      <c r="E7128" s="37"/>
      <c r="F7128" s="37"/>
      <c r="G7128" s="37"/>
      <c r="H7128" s="37"/>
      <c r="I7128" s="35"/>
      <c r="J7128" s="37"/>
    </row>
    <row r="7129" spans="1:10" ht="15.95" customHeight="1" x14ac:dyDescent="0.2">
      <c r="A7129" s="39"/>
      <c r="B7129" s="36"/>
      <c r="C7129" s="37"/>
      <c r="D7129" s="37"/>
      <c r="E7129" s="37"/>
      <c r="F7129" s="37"/>
      <c r="G7129" s="37"/>
      <c r="H7129" s="37"/>
      <c r="I7129" s="35"/>
      <c r="J7129" s="37"/>
    </row>
    <row r="7130" spans="1:10" ht="15.95" customHeight="1" x14ac:dyDescent="0.2">
      <c r="A7130" s="39"/>
      <c r="B7130" s="36"/>
      <c r="C7130" s="37"/>
      <c r="D7130" s="37"/>
      <c r="E7130" s="37"/>
      <c r="F7130" s="37"/>
      <c r="G7130" s="37"/>
      <c r="H7130" s="37"/>
      <c r="I7130" s="35"/>
      <c r="J7130" s="37"/>
    </row>
    <row r="7131" spans="1:10" ht="15.95" customHeight="1" x14ac:dyDescent="0.2">
      <c r="A7131" s="39"/>
      <c r="B7131" s="36"/>
      <c r="C7131" s="37"/>
      <c r="D7131" s="37"/>
      <c r="E7131" s="37"/>
      <c r="F7131" s="37"/>
      <c r="G7131" s="37"/>
      <c r="H7131" s="37"/>
      <c r="I7131" s="35"/>
      <c r="J7131" s="37"/>
    </row>
    <row r="7132" spans="1:10" ht="15.95" customHeight="1" x14ac:dyDescent="0.2">
      <c r="A7132" s="39"/>
      <c r="B7132" s="36"/>
      <c r="C7132" s="37"/>
      <c r="D7132" s="37"/>
      <c r="E7132" s="37"/>
      <c r="F7132" s="37"/>
      <c r="G7132" s="37"/>
      <c r="H7132" s="37"/>
      <c r="I7132" s="35"/>
      <c r="J7132" s="37"/>
    </row>
    <row r="7133" spans="1:10" ht="15.95" customHeight="1" x14ac:dyDescent="0.2">
      <c r="A7133" s="39"/>
      <c r="B7133" s="36"/>
      <c r="C7133" s="37"/>
      <c r="D7133" s="37"/>
      <c r="E7133" s="37"/>
      <c r="F7133" s="37"/>
      <c r="G7133" s="37"/>
      <c r="H7133" s="37"/>
      <c r="I7133" s="35"/>
      <c r="J7133" s="37"/>
    </row>
    <row r="7134" spans="1:10" ht="15.95" customHeight="1" x14ac:dyDescent="0.2">
      <c r="A7134" s="39"/>
      <c r="B7134" s="36"/>
      <c r="C7134" s="37"/>
      <c r="D7134" s="37"/>
      <c r="E7134" s="37"/>
      <c r="F7134" s="37"/>
      <c r="G7134" s="37"/>
      <c r="H7134" s="37"/>
      <c r="I7134" s="35"/>
      <c r="J7134" s="37"/>
    </row>
    <row r="7135" spans="1:10" ht="15.95" customHeight="1" x14ac:dyDescent="0.2">
      <c r="A7135" s="39"/>
      <c r="B7135" s="36"/>
      <c r="C7135" s="37"/>
      <c r="D7135" s="37"/>
      <c r="E7135" s="37"/>
      <c r="F7135" s="37"/>
      <c r="G7135" s="37"/>
      <c r="H7135" s="37"/>
      <c r="I7135" s="35"/>
      <c r="J7135" s="37"/>
    </row>
    <row r="7136" spans="1:10" ht="15.95" customHeight="1" x14ac:dyDescent="0.2">
      <c r="A7136" s="39"/>
      <c r="B7136" s="36"/>
      <c r="C7136" s="37"/>
      <c r="D7136" s="37"/>
      <c r="E7136" s="37"/>
      <c r="F7136" s="37"/>
      <c r="G7136" s="37"/>
      <c r="H7136" s="37"/>
      <c r="I7136" s="35"/>
      <c r="J7136" s="37"/>
    </row>
    <row r="7137" spans="1:10" ht="15.95" customHeight="1" x14ac:dyDescent="0.2">
      <c r="A7137" s="39"/>
      <c r="B7137" s="36"/>
      <c r="C7137" s="37"/>
      <c r="D7137" s="37"/>
      <c r="E7137" s="37"/>
      <c r="F7137" s="37"/>
      <c r="G7137" s="37"/>
      <c r="H7137" s="37"/>
      <c r="I7137" s="35"/>
      <c r="J7137" s="37"/>
    </row>
    <row r="7138" spans="1:10" ht="15.95" customHeight="1" x14ac:dyDescent="0.2">
      <c r="A7138" s="39"/>
      <c r="B7138" s="36"/>
      <c r="C7138" s="37"/>
      <c r="D7138" s="37"/>
      <c r="E7138" s="37"/>
      <c r="F7138" s="37"/>
      <c r="G7138" s="37"/>
      <c r="H7138" s="37"/>
      <c r="I7138" s="35"/>
      <c r="J7138" s="37"/>
    </row>
    <row r="7139" spans="1:10" ht="15.95" customHeight="1" x14ac:dyDescent="0.2">
      <c r="A7139" s="39"/>
      <c r="B7139" s="36"/>
      <c r="C7139" s="37"/>
      <c r="D7139" s="37"/>
      <c r="E7139" s="37"/>
      <c r="F7139" s="37"/>
      <c r="G7139" s="37"/>
      <c r="H7139" s="37"/>
      <c r="I7139" s="35"/>
      <c r="J7139" s="37"/>
    </row>
    <row r="7140" spans="1:10" ht="15.95" customHeight="1" x14ac:dyDescent="0.2">
      <c r="A7140" s="39"/>
      <c r="B7140" s="36"/>
      <c r="C7140" s="37"/>
      <c r="D7140" s="37"/>
      <c r="E7140" s="37"/>
      <c r="F7140" s="37"/>
      <c r="G7140" s="37"/>
      <c r="H7140" s="37"/>
      <c r="I7140" s="35"/>
      <c r="J7140" s="37"/>
    </row>
    <row r="7141" spans="1:10" ht="15.95" customHeight="1" x14ac:dyDescent="0.2">
      <c r="A7141" s="39"/>
      <c r="B7141" s="36"/>
      <c r="C7141" s="37"/>
      <c r="D7141" s="37"/>
      <c r="E7141" s="37"/>
      <c r="F7141" s="37"/>
      <c r="G7141" s="37"/>
      <c r="H7141" s="37"/>
      <c r="I7141" s="35"/>
      <c r="J7141" s="37"/>
    </row>
    <row r="7142" spans="1:10" ht="15.95" customHeight="1" x14ac:dyDescent="0.2">
      <c r="A7142" s="39"/>
      <c r="B7142" s="36"/>
      <c r="C7142" s="37"/>
      <c r="D7142" s="37"/>
      <c r="E7142" s="37"/>
      <c r="F7142" s="37"/>
      <c r="G7142" s="37"/>
      <c r="H7142" s="37"/>
      <c r="I7142" s="35"/>
      <c r="J7142" s="37"/>
    </row>
    <row r="7143" spans="1:10" ht="15.95" customHeight="1" x14ac:dyDescent="0.2">
      <c r="A7143" s="39"/>
      <c r="B7143" s="36"/>
      <c r="C7143" s="37"/>
      <c r="D7143" s="37"/>
      <c r="E7143" s="37"/>
      <c r="F7143" s="37"/>
      <c r="G7143" s="37"/>
      <c r="H7143" s="37"/>
      <c r="I7143" s="35"/>
      <c r="J7143" s="37"/>
    </row>
    <row r="7144" spans="1:10" ht="15.95" customHeight="1" x14ac:dyDescent="0.2">
      <c r="A7144" s="39"/>
      <c r="B7144" s="36"/>
      <c r="C7144" s="37"/>
      <c r="D7144" s="37"/>
      <c r="E7144" s="37"/>
      <c r="F7144" s="37"/>
      <c r="G7144" s="37"/>
      <c r="H7144" s="37"/>
      <c r="I7144" s="35"/>
      <c r="J7144" s="37"/>
    </row>
    <row r="7145" spans="1:10" ht="15.95" customHeight="1" x14ac:dyDescent="0.2">
      <c r="A7145" s="39"/>
      <c r="B7145" s="36"/>
      <c r="C7145" s="37"/>
      <c r="D7145" s="37"/>
      <c r="E7145" s="37"/>
      <c r="F7145" s="37"/>
      <c r="G7145" s="37"/>
      <c r="H7145" s="37"/>
      <c r="I7145" s="35"/>
      <c r="J7145" s="37"/>
    </row>
    <row r="7146" spans="1:10" ht="15.95" customHeight="1" x14ac:dyDescent="0.2">
      <c r="A7146" s="39"/>
      <c r="B7146" s="36"/>
      <c r="C7146" s="37"/>
      <c r="D7146" s="37"/>
      <c r="E7146" s="37"/>
      <c r="F7146" s="37"/>
      <c r="G7146" s="37"/>
      <c r="H7146" s="37"/>
      <c r="I7146" s="35"/>
      <c r="J7146" s="37"/>
    </row>
    <row r="7147" spans="1:10" ht="15.95" customHeight="1" x14ac:dyDescent="0.2">
      <c r="A7147" s="39"/>
      <c r="B7147" s="36"/>
      <c r="C7147" s="37"/>
      <c r="D7147" s="37"/>
      <c r="E7147" s="37"/>
      <c r="F7147" s="37"/>
      <c r="G7147" s="37"/>
      <c r="H7147" s="37"/>
      <c r="I7147" s="35"/>
      <c r="J7147" s="37"/>
    </row>
    <row r="7148" spans="1:10" ht="15.95" customHeight="1" x14ac:dyDescent="0.2">
      <c r="A7148" s="39"/>
      <c r="B7148" s="36"/>
      <c r="C7148" s="37"/>
      <c r="D7148" s="37"/>
      <c r="E7148" s="37"/>
      <c r="F7148" s="37"/>
      <c r="G7148" s="37"/>
      <c r="H7148" s="37"/>
      <c r="I7148" s="35"/>
      <c r="J7148" s="37"/>
    </row>
    <row r="7149" spans="1:10" ht="15.95" customHeight="1" x14ac:dyDescent="0.2">
      <c r="A7149" s="39"/>
      <c r="B7149" s="36"/>
      <c r="C7149" s="37"/>
      <c r="D7149" s="37"/>
      <c r="E7149" s="37"/>
      <c r="F7149" s="37"/>
      <c r="G7149" s="37"/>
      <c r="H7149" s="37"/>
      <c r="I7149" s="35"/>
      <c r="J7149" s="37"/>
    </row>
    <row r="7150" spans="1:10" ht="15.95" customHeight="1" x14ac:dyDescent="0.2">
      <c r="A7150" s="39"/>
      <c r="B7150" s="36"/>
      <c r="C7150" s="37"/>
      <c r="D7150" s="37"/>
      <c r="E7150" s="37"/>
      <c r="F7150" s="37"/>
      <c r="G7150" s="37"/>
      <c r="H7150" s="37"/>
      <c r="I7150" s="35"/>
      <c r="J7150" s="37"/>
    </row>
    <row r="7151" spans="1:10" ht="15.95" customHeight="1" x14ac:dyDescent="0.2">
      <c r="A7151" s="39"/>
      <c r="B7151" s="36"/>
      <c r="C7151" s="37"/>
      <c r="D7151" s="37"/>
      <c r="E7151" s="37"/>
      <c r="F7151" s="37"/>
      <c r="G7151" s="37"/>
      <c r="H7151" s="37"/>
      <c r="I7151" s="35"/>
      <c r="J7151" s="37"/>
    </row>
    <row r="7152" spans="1:10" ht="15.95" customHeight="1" x14ac:dyDescent="0.2">
      <c r="A7152" s="39"/>
      <c r="B7152" s="36"/>
      <c r="C7152" s="37"/>
      <c r="D7152" s="37"/>
      <c r="E7152" s="37"/>
      <c r="F7152" s="37"/>
      <c r="G7152" s="37"/>
      <c r="H7152" s="37"/>
      <c r="I7152" s="35"/>
      <c r="J7152" s="37"/>
    </row>
    <row r="7153" spans="1:10" ht="15.95" customHeight="1" x14ac:dyDescent="0.2">
      <c r="A7153" s="39"/>
      <c r="B7153" s="36"/>
      <c r="C7153" s="37"/>
      <c r="D7153" s="37"/>
      <c r="E7153" s="37"/>
      <c r="F7153" s="37"/>
      <c r="G7153" s="37"/>
      <c r="H7153" s="37"/>
      <c r="I7153" s="35"/>
      <c r="J7153" s="37"/>
    </row>
    <row r="7154" spans="1:10" ht="15.95" customHeight="1" x14ac:dyDescent="0.2">
      <c r="A7154" s="39"/>
      <c r="B7154" s="36"/>
      <c r="C7154" s="37"/>
      <c r="D7154" s="37"/>
      <c r="E7154" s="37"/>
      <c r="F7154" s="37"/>
      <c r="G7154" s="37"/>
      <c r="H7154" s="37"/>
      <c r="I7154" s="35"/>
      <c r="J7154" s="37"/>
    </row>
    <row r="7155" spans="1:10" ht="15.95" customHeight="1" x14ac:dyDescent="0.2">
      <c r="A7155" s="39"/>
      <c r="B7155" s="36"/>
      <c r="C7155" s="37"/>
      <c r="D7155" s="37"/>
      <c r="E7155" s="37"/>
      <c r="F7155" s="37"/>
      <c r="G7155" s="37"/>
      <c r="H7155" s="37"/>
      <c r="I7155" s="35"/>
      <c r="J7155" s="37"/>
    </row>
    <row r="7156" spans="1:10" ht="15.95" customHeight="1" x14ac:dyDescent="0.2">
      <c r="A7156" s="39"/>
      <c r="B7156" s="36"/>
      <c r="C7156" s="37"/>
      <c r="D7156" s="37"/>
      <c r="E7156" s="37"/>
      <c r="F7156" s="37"/>
      <c r="G7156" s="37"/>
      <c r="H7156" s="37"/>
      <c r="I7156" s="35"/>
      <c r="J7156" s="37"/>
    </row>
    <row r="7157" spans="1:10" ht="15.95" customHeight="1" x14ac:dyDescent="0.2">
      <c r="A7157" s="39"/>
      <c r="B7157" s="36"/>
      <c r="C7157" s="37"/>
      <c r="D7157" s="37"/>
      <c r="E7157" s="37"/>
      <c r="F7157" s="37"/>
      <c r="G7157" s="37"/>
      <c r="H7157" s="37"/>
      <c r="I7157" s="35"/>
      <c r="J7157" s="37"/>
    </row>
    <row r="7158" spans="1:10" ht="15.95" customHeight="1" x14ac:dyDescent="0.2">
      <c r="A7158" s="39"/>
      <c r="B7158" s="36"/>
      <c r="C7158" s="37"/>
      <c r="D7158" s="37"/>
      <c r="E7158" s="37"/>
      <c r="F7158" s="37"/>
      <c r="G7158" s="37"/>
      <c r="H7158" s="37"/>
      <c r="I7158" s="35"/>
      <c r="J7158" s="37"/>
    </row>
    <row r="7159" spans="1:10" ht="15.95" customHeight="1" x14ac:dyDescent="0.2">
      <c r="A7159" s="39"/>
      <c r="B7159" s="36"/>
      <c r="C7159" s="37"/>
      <c r="D7159" s="37"/>
      <c r="E7159" s="37"/>
      <c r="F7159" s="37"/>
      <c r="G7159" s="37"/>
      <c r="H7159" s="37"/>
      <c r="I7159" s="35"/>
      <c r="J7159" s="37"/>
    </row>
    <row r="7160" spans="1:10" ht="15.95" customHeight="1" x14ac:dyDescent="0.2">
      <c r="A7160" s="39"/>
      <c r="B7160" s="36"/>
      <c r="C7160" s="37"/>
      <c r="D7160" s="37"/>
      <c r="E7160" s="37"/>
      <c r="F7160" s="37"/>
      <c r="G7160" s="37"/>
      <c r="H7160" s="37"/>
      <c r="I7160" s="35"/>
      <c r="J7160" s="37"/>
    </row>
    <row r="7161" spans="1:10" ht="15.95" customHeight="1" x14ac:dyDescent="0.2">
      <c r="A7161" s="39"/>
      <c r="B7161" s="36"/>
      <c r="C7161" s="37"/>
      <c r="D7161" s="37"/>
      <c r="E7161" s="37"/>
      <c r="F7161" s="37"/>
      <c r="G7161" s="37"/>
      <c r="H7161" s="37"/>
      <c r="I7161" s="35"/>
      <c r="J7161" s="37"/>
    </row>
    <row r="7162" spans="1:10" ht="15.95" customHeight="1" x14ac:dyDescent="0.2">
      <c r="A7162" s="39"/>
      <c r="B7162" s="36"/>
      <c r="C7162" s="37"/>
      <c r="D7162" s="37"/>
      <c r="E7162" s="37"/>
      <c r="F7162" s="37"/>
      <c r="G7162" s="37"/>
      <c r="H7162" s="37"/>
      <c r="I7162" s="35"/>
      <c r="J7162" s="37"/>
    </row>
    <row r="7163" spans="1:10" ht="15.95" customHeight="1" x14ac:dyDescent="0.2">
      <c r="A7163" s="39"/>
      <c r="B7163" s="36"/>
      <c r="C7163" s="37"/>
      <c r="D7163" s="37"/>
      <c r="E7163" s="37"/>
      <c r="F7163" s="37"/>
      <c r="G7163" s="37"/>
      <c r="H7163" s="37"/>
      <c r="I7163" s="35"/>
      <c r="J7163" s="37"/>
    </row>
    <row r="7164" spans="1:10" ht="15.95" customHeight="1" x14ac:dyDescent="0.2">
      <c r="A7164" s="39"/>
      <c r="B7164" s="36"/>
      <c r="C7164" s="37"/>
      <c r="D7164" s="37"/>
      <c r="E7164" s="37"/>
      <c r="F7164" s="37"/>
      <c r="G7164" s="37"/>
      <c r="H7164" s="37"/>
      <c r="I7164" s="35"/>
      <c r="J7164" s="37"/>
    </row>
    <row r="7165" spans="1:10" ht="15.95" customHeight="1" x14ac:dyDescent="0.2">
      <c r="A7165" s="39"/>
      <c r="B7165" s="36"/>
      <c r="C7165" s="37"/>
      <c r="D7165" s="37"/>
      <c r="E7165" s="37"/>
      <c r="F7165" s="37"/>
      <c r="G7165" s="37"/>
      <c r="H7165" s="37"/>
      <c r="I7165" s="35"/>
      <c r="J7165" s="37"/>
    </row>
    <row r="7166" spans="1:10" ht="15.95" customHeight="1" x14ac:dyDescent="0.2">
      <c r="A7166" s="39"/>
      <c r="B7166" s="36"/>
      <c r="C7166" s="37"/>
      <c r="D7166" s="37"/>
      <c r="E7166" s="37"/>
      <c r="F7166" s="37"/>
      <c r="G7166" s="37"/>
      <c r="H7166" s="37"/>
      <c r="I7166" s="35"/>
      <c r="J7166" s="37"/>
    </row>
    <row r="7167" spans="1:10" ht="15.95" customHeight="1" x14ac:dyDescent="0.2">
      <c r="A7167" s="39"/>
      <c r="B7167" s="36"/>
      <c r="C7167" s="37"/>
      <c r="D7167" s="37"/>
      <c r="E7167" s="37"/>
      <c r="F7167" s="37"/>
      <c r="G7167" s="37"/>
      <c r="H7167" s="37"/>
      <c r="I7167" s="35"/>
      <c r="J7167" s="37"/>
    </row>
    <row r="7168" spans="1:10" ht="15.95" customHeight="1" x14ac:dyDescent="0.2">
      <c r="A7168" s="39"/>
      <c r="B7168" s="36"/>
      <c r="C7168" s="37"/>
      <c r="D7168" s="37"/>
      <c r="E7168" s="37"/>
      <c r="F7168" s="37"/>
      <c r="G7168" s="37"/>
      <c r="H7168" s="37"/>
      <c r="I7168" s="35"/>
      <c r="J7168" s="37"/>
    </row>
    <row r="7169" spans="1:10" ht="15.95" customHeight="1" x14ac:dyDescent="0.2">
      <c r="A7169" s="39"/>
      <c r="B7169" s="36"/>
      <c r="C7169" s="37"/>
      <c r="D7169" s="37"/>
      <c r="E7169" s="37"/>
      <c r="F7169" s="37"/>
      <c r="G7169" s="37"/>
      <c r="H7169" s="37"/>
      <c r="I7169" s="35"/>
      <c r="J7169" s="37"/>
    </row>
    <row r="7170" spans="1:10" ht="15.95" customHeight="1" x14ac:dyDescent="0.2">
      <c r="A7170" s="39"/>
      <c r="B7170" s="36"/>
      <c r="C7170" s="37"/>
      <c r="D7170" s="37"/>
      <c r="E7170" s="37"/>
      <c r="F7170" s="37"/>
      <c r="G7170" s="37"/>
      <c r="H7170" s="37"/>
      <c r="I7170" s="35"/>
      <c r="J7170" s="37"/>
    </row>
    <row r="7171" spans="1:10" ht="15.95" customHeight="1" x14ac:dyDescent="0.2">
      <c r="A7171" s="39"/>
      <c r="B7171" s="36"/>
      <c r="C7171" s="37"/>
      <c r="D7171" s="37"/>
      <c r="E7171" s="37"/>
      <c r="F7171" s="37"/>
      <c r="G7171" s="37"/>
      <c r="H7171" s="37"/>
      <c r="I7171" s="35"/>
      <c r="J7171" s="37"/>
    </row>
    <row r="7172" spans="1:10" ht="15.95" customHeight="1" x14ac:dyDescent="0.2">
      <c r="A7172" s="39"/>
      <c r="B7172" s="36"/>
      <c r="C7172" s="37"/>
      <c r="D7172" s="37"/>
      <c r="E7172" s="37"/>
      <c r="F7172" s="37"/>
      <c r="G7172" s="37"/>
      <c r="H7172" s="37"/>
      <c r="I7172" s="35"/>
      <c r="J7172" s="37"/>
    </row>
    <row r="7173" spans="1:10" ht="15.95" customHeight="1" x14ac:dyDescent="0.2">
      <c r="A7173" s="39"/>
      <c r="B7173" s="36"/>
      <c r="C7173" s="37"/>
      <c r="D7173" s="37"/>
      <c r="E7173" s="37"/>
      <c r="F7173" s="37"/>
      <c r="G7173" s="37"/>
      <c r="H7173" s="37"/>
      <c r="I7173" s="35"/>
      <c r="J7173" s="37"/>
    </row>
    <row r="7174" spans="1:10" ht="15.95" customHeight="1" x14ac:dyDescent="0.2">
      <c r="A7174" s="39"/>
      <c r="B7174" s="36"/>
      <c r="C7174" s="37"/>
      <c r="D7174" s="37"/>
      <c r="E7174" s="37"/>
      <c r="F7174" s="37"/>
      <c r="G7174" s="37"/>
      <c r="H7174" s="37"/>
      <c r="I7174" s="35"/>
      <c r="J7174" s="37"/>
    </row>
    <row r="7175" spans="1:10" ht="15.95" customHeight="1" x14ac:dyDescent="0.2">
      <c r="A7175" s="39"/>
      <c r="B7175" s="36"/>
      <c r="C7175" s="37"/>
      <c r="D7175" s="37"/>
      <c r="E7175" s="37"/>
      <c r="F7175" s="37"/>
      <c r="G7175" s="37"/>
      <c r="H7175" s="37"/>
      <c r="I7175" s="35"/>
      <c r="J7175" s="37"/>
    </row>
    <row r="7176" spans="1:10" ht="15.95" customHeight="1" x14ac:dyDescent="0.2">
      <c r="A7176" s="39"/>
      <c r="B7176" s="36"/>
      <c r="C7176" s="37"/>
      <c r="D7176" s="37"/>
      <c r="E7176" s="37"/>
      <c r="F7176" s="37"/>
      <c r="G7176" s="37"/>
      <c r="H7176" s="37"/>
      <c r="I7176" s="35"/>
      <c r="J7176" s="37"/>
    </row>
    <row r="7177" spans="1:10" ht="15.95" customHeight="1" x14ac:dyDescent="0.2">
      <c r="A7177" s="39"/>
      <c r="B7177" s="36"/>
      <c r="C7177" s="37"/>
      <c r="D7177" s="37"/>
      <c r="E7177" s="37"/>
      <c r="F7177" s="37"/>
      <c r="G7177" s="37"/>
      <c r="H7177" s="37"/>
      <c r="I7177" s="35"/>
      <c r="J7177" s="37"/>
    </row>
    <row r="7178" spans="1:10" ht="15.95" customHeight="1" x14ac:dyDescent="0.2">
      <c r="A7178" s="39"/>
      <c r="B7178" s="36"/>
      <c r="C7178" s="37"/>
      <c r="D7178" s="37"/>
      <c r="E7178" s="37"/>
      <c r="F7178" s="37"/>
      <c r="G7178" s="37"/>
      <c r="H7178" s="37"/>
      <c r="I7178" s="35"/>
      <c r="J7178" s="37"/>
    </row>
    <row r="7179" spans="1:10" ht="15.95" customHeight="1" x14ac:dyDescent="0.2">
      <c r="A7179" s="39"/>
      <c r="B7179" s="36"/>
      <c r="C7179" s="37"/>
      <c r="D7179" s="37"/>
      <c r="E7179" s="37"/>
      <c r="F7179" s="37"/>
      <c r="G7179" s="37"/>
      <c r="H7179" s="37"/>
      <c r="I7179" s="35"/>
      <c r="J7179" s="37"/>
    </row>
    <row r="7180" spans="1:10" ht="15.95" customHeight="1" x14ac:dyDescent="0.2">
      <c r="A7180" s="39"/>
      <c r="B7180" s="36"/>
      <c r="C7180" s="37"/>
      <c r="D7180" s="37"/>
      <c r="E7180" s="37"/>
      <c r="F7180" s="37"/>
      <c r="G7180" s="37"/>
      <c r="H7180" s="37"/>
      <c r="I7180" s="35"/>
      <c r="J7180" s="37"/>
    </row>
    <row r="7181" spans="1:10" ht="15.95" customHeight="1" x14ac:dyDescent="0.2">
      <c r="A7181" s="39"/>
      <c r="B7181" s="36"/>
      <c r="C7181" s="37"/>
      <c r="D7181" s="37"/>
      <c r="E7181" s="37"/>
      <c r="F7181" s="37"/>
      <c r="G7181" s="37"/>
      <c r="H7181" s="37"/>
      <c r="I7181" s="35"/>
      <c r="J7181" s="37"/>
    </row>
    <row r="7182" spans="1:10" ht="15.95" customHeight="1" x14ac:dyDescent="0.2">
      <c r="A7182" s="39"/>
      <c r="B7182" s="36"/>
      <c r="C7182" s="37"/>
      <c r="D7182" s="37"/>
      <c r="E7182" s="37"/>
      <c r="F7182" s="37"/>
      <c r="G7182" s="37"/>
      <c r="H7182" s="37"/>
      <c r="I7182" s="35"/>
      <c r="J7182" s="37"/>
    </row>
    <row r="7183" spans="1:10" ht="15.95" customHeight="1" x14ac:dyDescent="0.2">
      <c r="A7183" s="39"/>
      <c r="B7183" s="36"/>
      <c r="C7183" s="37"/>
      <c r="D7183" s="37"/>
      <c r="E7183" s="37"/>
      <c r="F7183" s="37"/>
      <c r="G7183" s="37"/>
      <c r="H7183" s="37"/>
      <c r="I7183" s="35"/>
      <c r="J7183" s="37"/>
    </row>
    <row r="7184" spans="1:10" ht="15.95" customHeight="1" x14ac:dyDescent="0.2">
      <c r="A7184" s="39"/>
      <c r="B7184" s="36"/>
      <c r="C7184" s="37"/>
      <c r="D7184" s="37"/>
      <c r="E7184" s="37"/>
      <c r="F7184" s="37"/>
      <c r="G7184" s="37"/>
      <c r="H7184" s="37"/>
      <c r="I7184" s="35"/>
      <c r="J7184" s="37"/>
    </row>
    <row r="7185" spans="1:10" ht="15.95" customHeight="1" x14ac:dyDescent="0.2">
      <c r="A7185" s="39"/>
      <c r="B7185" s="36"/>
      <c r="C7185" s="37"/>
      <c r="D7185" s="37"/>
      <c r="E7185" s="37"/>
      <c r="F7185" s="37"/>
      <c r="G7185" s="37"/>
      <c r="H7185" s="37"/>
      <c r="I7185" s="35"/>
      <c r="J7185" s="37"/>
    </row>
    <row r="7186" spans="1:10" ht="15.95" customHeight="1" x14ac:dyDescent="0.2">
      <c r="A7186" s="39"/>
      <c r="B7186" s="36"/>
      <c r="C7186" s="37"/>
      <c r="D7186" s="37"/>
      <c r="E7186" s="37"/>
      <c r="F7186" s="37"/>
      <c r="G7186" s="37"/>
      <c r="H7186" s="37"/>
      <c r="I7186" s="35"/>
      <c r="J7186" s="37"/>
    </row>
    <row r="7187" spans="1:10" ht="15.95" customHeight="1" x14ac:dyDescent="0.2">
      <c r="A7187" s="39"/>
      <c r="B7187" s="36"/>
      <c r="C7187" s="37"/>
      <c r="D7187" s="37"/>
      <c r="E7187" s="37"/>
      <c r="F7187" s="37"/>
      <c r="G7187" s="37"/>
      <c r="H7187" s="37"/>
      <c r="I7187" s="35"/>
      <c r="J7187" s="37"/>
    </row>
    <row r="7188" spans="1:10" ht="15.95" customHeight="1" x14ac:dyDescent="0.2">
      <c r="A7188" s="39"/>
      <c r="B7188" s="36"/>
      <c r="C7188" s="37"/>
      <c r="D7188" s="37"/>
      <c r="E7188" s="37"/>
      <c r="F7188" s="37"/>
      <c r="G7188" s="37"/>
      <c r="H7188" s="37"/>
      <c r="I7188" s="35"/>
      <c r="J7188" s="37"/>
    </row>
    <row r="7189" spans="1:10" ht="15.95" customHeight="1" x14ac:dyDescent="0.2">
      <c r="A7189" s="39"/>
      <c r="B7189" s="36"/>
      <c r="C7189" s="37"/>
      <c r="D7189" s="37"/>
      <c r="E7189" s="37"/>
      <c r="F7189" s="37"/>
      <c r="G7189" s="37"/>
      <c r="H7189" s="37"/>
      <c r="I7189" s="35"/>
      <c r="J7189" s="37"/>
    </row>
    <row r="7190" spans="1:10" ht="15.95" customHeight="1" x14ac:dyDescent="0.2">
      <c r="A7190" s="39"/>
      <c r="B7190" s="36"/>
      <c r="C7190" s="37"/>
      <c r="D7190" s="37"/>
      <c r="E7190" s="37"/>
      <c r="F7190" s="37"/>
      <c r="G7190" s="37"/>
      <c r="H7190" s="37"/>
      <c r="I7190" s="35"/>
      <c r="J7190" s="37"/>
    </row>
    <row r="7191" spans="1:10" ht="15.95" customHeight="1" x14ac:dyDescent="0.2">
      <c r="A7191" s="39"/>
      <c r="B7191" s="36"/>
      <c r="C7191" s="37"/>
      <c r="D7191" s="37"/>
      <c r="E7191" s="37"/>
      <c r="F7191" s="37"/>
      <c r="G7191" s="37"/>
      <c r="H7191" s="37"/>
      <c r="I7191" s="35"/>
      <c r="J7191" s="37"/>
    </row>
    <row r="7192" spans="1:10" ht="15.95" customHeight="1" x14ac:dyDescent="0.2">
      <c r="A7192" s="39"/>
      <c r="B7192" s="36"/>
      <c r="C7192" s="37"/>
      <c r="D7192" s="37"/>
      <c r="E7192" s="37"/>
      <c r="F7192" s="37"/>
      <c r="G7192" s="37"/>
      <c r="H7192" s="37"/>
      <c r="I7192" s="35"/>
      <c r="J7192" s="37"/>
    </row>
    <row r="7193" spans="1:10" ht="15.95" customHeight="1" x14ac:dyDescent="0.2">
      <c r="A7193" s="39"/>
      <c r="B7193" s="36"/>
      <c r="C7193" s="37"/>
      <c r="D7193" s="37"/>
      <c r="E7193" s="37"/>
      <c r="F7193" s="37"/>
      <c r="G7193" s="37"/>
      <c r="H7193" s="37"/>
      <c r="I7193" s="35"/>
      <c r="J7193" s="37"/>
    </row>
    <row r="7194" spans="1:10" ht="15.95" customHeight="1" x14ac:dyDescent="0.2">
      <c r="A7194" s="39"/>
      <c r="B7194" s="36"/>
      <c r="C7194" s="37"/>
      <c r="D7194" s="37"/>
      <c r="E7194" s="37"/>
      <c r="F7194" s="37"/>
      <c r="G7194" s="37"/>
      <c r="H7194" s="37"/>
      <c r="I7194" s="35"/>
      <c r="J7194" s="37"/>
    </row>
    <row r="7195" spans="1:10" ht="15.95" customHeight="1" x14ac:dyDescent="0.2">
      <c r="A7195" s="39"/>
      <c r="B7195" s="36"/>
      <c r="C7195" s="37"/>
      <c r="D7195" s="37"/>
      <c r="E7195" s="37"/>
      <c r="F7195" s="37"/>
      <c r="G7195" s="37"/>
      <c r="H7195" s="37"/>
      <c r="I7195" s="35"/>
      <c r="J7195" s="37"/>
    </row>
    <row r="7196" spans="1:10" ht="15.95" customHeight="1" x14ac:dyDescent="0.2">
      <c r="A7196" s="39"/>
      <c r="B7196" s="36"/>
      <c r="C7196" s="37"/>
      <c r="D7196" s="37"/>
      <c r="E7196" s="37"/>
      <c r="F7196" s="37"/>
      <c r="G7196" s="37"/>
      <c r="H7196" s="37"/>
      <c r="I7196" s="35"/>
      <c r="J7196" s="37"/>
    </row>
    <row r="7197" spans="1:10" ht="15.95" customHeight="1" x14ac:dyDescent="0.2">
      <c r="A7197" s="39"/>
      <c r="B7197" s="36"/>
      <c r="C7197" s="37"/>
      <c r="D7197" s="37"/>
      <c r="E7197" s="37"/>
      <c r="F7197" s="37"/>
      <c r="G7197" s="37"/>
      <c r="H7197" s="37"/>
      <c r="I7197" s="35"/>
      <c r="J7197" s="37"/>
    </row>
    <row r="7198" spans="1:10" ht="15.95" customHeight="1" x14ac:dyDescent="0.2">
      <c r="A7198" s="39"/>
      <c r="B7198" s="36"/>
      <c r="C7198" s="37"/>
      <c r="D7198" s="37"/>
      <c r="E7198" s="37"/>
      <c r="F7198" s="37"/>
      <c r="G7198" s="37"/>
      <c r="H7198" s="37"/>
      <c r="I7198" s="35"/>
      <c r="J7198" s="37"/>
    </row>
    <row r="7199" spans="1:10" ht="15.95" customHeight="1" x14ac:dyDescent="0.2">
      <c r="A7199" s="39"/>
      <c r="B7199" s="36"/>
      <c r="C7199" s="37"/>
      <c r="D7199" s="37"/>
      <c r="E7199" s="37"/>
      <c r="F7199" s="37"/>
      <c r="G7199" s="37"/>
      <c r="H7199" s="37"/>
      <c r="I7199" s="35"/>
      <c r="J7199" s="37"/>
    </row>
    <row r="7200" spans="1:10" ht="15.95" customHeight="1" x14ac:dyDescent="0.2">
      <c r="A7200" s="39"/>
      <c r="B7200" s="36"/>
      <c r="C7200" s="37"/>
      <c r="D7200" s="37"/>
      <c r="E7200" s="37"/>
      <c r="F7200" s="37"/>
      <c r="G7200" s="37"/>
      <c r="H7200" s="37"/>
      <c r="I7200" s="35"/>
      <c r="J7200" s="37"/>
    </row>
    <row r="7201" spans="1:10" ht="15.95" customHeight="1" x14ac:dyDescent="0.2">
      <c r="A7201" s="39"/>
      <c r="B7201" s="36"/>
      <c r="C7201" s="37"/>
      <c r="D7201" s="37"/>
      <c r="E7201" s="37"/>
      <c r="F7201" s="37"/>
      <c r="G7201" s="37"/>
      <c r="H7201" s="37"/>
      <c r="I7201" s="35"/>
      <c r="J7201" s="37"/>
    </row>
    <row r="7202" spans="1:10" ht="15.95" customHeight="1" x14ac:dyDescent="0.2">
      <c r="A7202" s="39"/>
      <c r="B7202" s="36"/>
      <c r="C7202" s="37"/>
      <c r="D7202" s="37"/>
      <c r="E7202" s="37"/>
      <c r="F7202" s="37"/>
      <c r="G7202" s="37"/>
      <c r="H7202" s="37"/>
      <c r="I7202" s="35"/>
      <c r="J7202" s="37"/>
    </row>
    <row r="7203" spans="1:10" ht="15.95" customHeight="1" x14ac:dyDescent="0.2">
      <c r="A7203" s="39"/>
      <c r="B7203" s="36"/>
      <c r="C7203" s="37"/>
      <c r="D7203" s="37"/>
      <c r="E7203" s="37"/>
      <c r="F7203" s="37"/>
      <c r="G7203" s="37"/>
      <c r="H7203" s="37"/>
      <c r="I7203" s="35"/>
      <c r="J7203" s="37"/>
    </row>
    <row r="7204" spans="1:10" ht="15.95" customHeight="1" x14ac:dyDescent="0.2">
      <c r="A7204" s="39"/>
      <c r="B7204" s="36"/>
      <c r="C7204" s="37"/>
      <c r="D7204" s="37"/>
      <c r="E7204" s="37"/>
      <c r="F7204" s="37"/>
      <c r="G7204" s="37"/>
      <c r="H7204" s="37"/>
      <c r="I7204" s="35"/>
      <c r="J7204" s="37"/>
    </row>
    <row r="7205" spans="1:10" ht="15.95" customHeight="1" x14ac:dyDescent="0.2">
      <c r="A7205" s="39"/>
      <c r="B7205" s="36"/>
      <c r="C7205" s="37"/>
      <c r="D7205" s="37"/>
      <c r="E7205" s="37"/>
      <c r="F7205" s="37"/>
      <c r="G7205" s="37"/>
      <c r="H7205" s="37"/>
      <c r="I7205" s="35"/>
      <c r="J7205" s="37"/>
    </row>
    <row r="7206" spans="1:10" ht="15.95" customHeight="1" x14ac:dyDescent="0.2">
      <c r="A7206" s="39"/>
      <c r="B7206" s="36"/>
      <c r="C7206" s="37"/>
      <c r="D7206" s="37"/>
      <c r="E7206" s="37"/>
      <c r="F7206" s="37"/>
      <c r="G7206" s="37"/>
      <c r="H7206" s="37"/>
      <c r="I7206" s="35"/>
      <c r="J7206" s="37"/>
    </row>
    <row r="7207" spans="1:10" ht="15.95" customHeight="1" x14ac:dyDescent="0.2">
      <c r="A7207" s="39"/>
      <c r="B7207" s="36"/>
      <c r="C7207" s="37"/>
      <c r="D7207" s="37"/>
      <c r="E7207" s="37"/>
      <c r="F7207" s="37"/>
      <c r="G7207" s="37"/>
      <c r="H7207" s="37"/>
      <c r="I7207" s="35"/>
      <c r="J7207" s="37"/>
    </row>
    <row r="7208" spans="1:10" ht="15.95" customHeight="1" x14ac:dyDescent="0.2">
      <c r="A7208" s="39"/>
      <c r="B7208" s="36"/>
      <c r="C7208" s="37"/>
      <c r="D7208" s="37"/>
      <c r="E7208" s="37"/>
      <c r="F7208" s="37"/>
      <c r="G7208" s="37"/>
      <c r="H7208" s="37"/>
      <c r="I7208" s="35"/>
      <c r="J7208" s="37"/>
    </row>
    <row r="7209" spans="1:10" ht="15.95" customHeight="1" x14ac:dyDescent="0.2">
      <c r="A7209" s="39"/>
      <c r="B7209" s="36"/>
      <c r="C7209" s="37"/>
      <c r="D7209" s="37"/>
      <c r="E7209" s="37"/>
      <c r="F7209" s="37"/>
      <c r="G7209" s="37"/>
      <c r="H7209" s="37"/>
      <c r="I7209" s="35"/>
      <c r="J7209" s="37"/>
    </row>
    <row r="7210" spans="1:10" ht="15.95" customHeight="1" x14ac:dyDescent="0.2">
      <c r="A7210" s="39"/>
      <c r="B7210" s="36"/>
      <c r="C7210" s="37"/>
      <c r="D7210" s="37"/>
      <c r="E7210" s="37"/>
      <c r="F7210" s="37"/>
      <c r="G7210" s="37"/>
      <c r="H7210" s="37"/>
      <c r="I7210" s="35"/>
      <c r="J7210" s="37"/>
    </row>
    <row r="7211" spans="1:10" ht="15.95" customHeight="1" x14ac:dyDescent="0.2">
      <c r="A7211" s="39"/>
      <c r="B7211" s="36"/>
      <c r="C7211" s="37"/>
      <c r="D7211" s="37"/>
      <c r="E7211" s="37"/>
      <c r="F7211" s="37"/>
      <c r="G7211" s="37"/>
      <c r="H7211" s="37"/>
      <c r="I7211" s="35"/>
      <c r="J7211" s="37"/>
    </row>
    <row r="7212" spans="1:10" ht="15.95" customHeight="1" x14ac:dyDescent="0.2">
      <c r="A7212" s="39"/>
      <c r="B7212" s="36"/>
      <c r="C7212" s="37"/>
      <c r="D7212" s="37"/>
      <c r="E7212" s="37"/>
      <c r="F7212" s="37"/>
      <c r="G7212" s="37"/>
      <c r="H7212" s="37"/>
      <c r="I7212" s="35"/>
      <c r="J7212" s="37"/>
    </row>
    <row r="7213" spans="1:10" ht="15.95" customHeight="1" x14ac:dyDescent="0.2">
      <c r="A7213" s="39"/>
      <c r="B7213" s="36"/>
      <c r="C7213" s="37"/>
      <c r="D7213" s="37"/>
      <c r="E7213" s="37"/>
      <c r="F7213" s="37"/>
      <c r="G7213" s="37"/>
      <c r="H7213" s="37"/>
      <c r="I7213" s="35"/>
      <c r="J7213" s="37"/>
    </row>
    <row r="7214" spans="1:10" ht="15.95" customHeight="1" x14ac:dyDescent="0.2">
      <c r="A7214" s="39"/>
      <c r="B7214" s="36"/>
      <c r="C7214" s="37"/>
      <c r="D7214" s="37"/>
      <c r="E7214" s="37"/>
      <c r="F7214" s="37"/>
      <c r="G7214" s="37"/>
      <c r="H7214" s="37"/>
      <c r="I7214" s="35"/>
      <c r="J7214" s="37"/>
    </row>
    <row r="7215" spans="1:10" ht="15.95" customHeight="1" x14ac:dyDescent="0.2">
      <c r="A7215" s="39"/>
      <c r="B7215" s="36"/>
      <c r="C7215" s="37"/>
      <c r="D7215" s="37"/>
      <c r="E7215" s="37"/>
      <c r="F7215" s="37"/>
      <c r="G7215" s="37"/>
      <c r="H7215" s="37"/>
      <c r="I7215" s="35"/>
      <c r="J7215" s="37"/>
    </row>
    <row r="7216" spans="1:10" ht="15.95" customHeight="1" x14ac:dyDescent="0.2">
      <c r="A7216" s="39"/>
      <c r="B7216" s="36"/>
      <c r="C7216" s="37"/>
      <c r="D7216" s="37"/>
      <c r="E7216" s="37"/>
      <c r="F7216" s="37"/>
      <c r="G7216" s="37"/>
      <c r="H7216" s="37"/>
      <c r="I7216" s="35"/>
      <c r="J7216" s="37"/>
    </row>
    <row r="7217" spans="1:10" ht="15.95" customHeight="1" x14ac:dyDescent="0.2">
      <c r="A7217" s="39"/>
      <c r="B7217" s="36"/>
      <c r="C7217" s="37"/>
      <c r="D7217" s="37"/>
      <c r="E7217" s="37"/>
      <c r="F7217" s="37"/>
      <c r="G7217" s="37"/>
      <c r="H7217" s="37"/>
      <c r="I7217" s="35"/>
      <c r="J7217" s="37"/>
    </row>
    <row r="7218" spans="1:10" ht="15.95" customHeight="1" x14ac:dyDescent="0.2">
      <c r="A7218" s="39"/>
      <c r="B7218" s="36"/>
      <c r="C7218" s="37"/>
      <c r="D7218" s="37"/>
      <c r="E7218" s="37"/>
      <c r="F7218" s="37"/>
      <c r="G7218" s="37"/>
      <c r="H7218" s="37"/>
      <c r="I7218" s="35"/>
      <c r="J7218" s="37"/>
    </row>
    <row r="7219" spans="1:10" ht="15.95" customHeight="1" x14ac:dyDescent="0.2">
      <c r="A7219" s="39"/>
      <c r="B7219" s="36"/>
      <c r="C7219" s="37"/>
      <c r="D7219" s="37"/>
      <c r="E7219" s="37"/>
      <c r="F7219" s="37"/>
      <c r="G7219" s="37"/>
      <c r="H7219" s="37"/>
      <c r="I7219" s="35"/>
      <c r="J7219" s="37"/>
    </row>
    <row r="7220" spans="1:10" ht="15.95" customHeight="1" x14ac:dyDescent="0.2">
      <c r="A7220" s="39"/>
      <c r="B7220" s="36"/>
      <c r="C7220" s="37"/>
      <c r="D7220" s="37"/>
      <c r="E7220" s="37"/>
      <c r="F7220" s="37"/>
      <c r="G7220" s="37"/>
      <c r="H7220" s="37"/>
      <c r="I7220" s="35"/>
      <c r="J7220" s="37"/>
    </row>
    <row r="7221" spans="1:10" ht="15.95" customHeight="1" x14ac:dyDescent="0.2">
      <c r="A7221" s="39"/>
      <c r="B7221" s="36"/>
      <c r="C7221" s="37"/>
      <c r="D7221" s="37"/>
      <c r="E7221" s="37"/>
      <c r="F7221" s="37"/>
      <c r="G7221" s="37"/>
      <c r="H7221" s="37"/>
      <c r="I7221" s="35"/>
      <c r="J7221" s="37"/>
    </row>
    <row r="7222" spans="1:10" ht="15.95" customHeight="1" x14ac:dyDescent="0.2">
      <c r="A7222" s="39"/>
      <c r="B7222" s="36"/>
      <c r="C7222" s="37"/>
      <c r="D7222" s="37"/>
      <c r="E7222" s="37"/>
      <c r="F7222" s="37"/>
      <c r="G7222" s="37"/>
      <c r="H7222" s="37"/>
      <c r="I7222" s="35"/>
      <c r="J7222" s="37"/>
    </row>
    <row r="7223" spans="1:10" ht="15.95" customHeight="1" x14ac:dyDescent="0.2">
      <c r="A7223" s="39"/>
      <c r="B7223" s="36"/>
      <c r="C7223" s="37"/>
      <c r="D7223" s="37"/>
      <c r="E7223" s="37"/>
      <c r="F7223" s="37"/>
      <c r="G7223" s="37"/>
      <c r="H7223" s="37"/>
      <c r="I7223" s="35"/>
      <c r="J7223" s="37"/>
    </row>
    <row r="7224" spans="1:10" ht="15.95" customHeight="1" x14ac:dyDescent="0.2">
      <c r="A7224" s="39"/>
      <c r="B7224" s="36"/>
      <c r="C7224" s="37"/>
      <c r="D7224" s="37"/>
      <c r="E7224" s="37"/>
      <c r="F7224" s="37"/>
      <c r="G7224" s="37"/>
      <c r="H7224" s="37"/>
      <c r="I7224" s="35"/>
      <c r="J7224" s="37"/>
    </row>
    <row r="7225" spans="1:10" ht="15.95" customHeight="1" x14ac:dyDescent="0.2">
      <c r="A7225" s="39"/>
      <c r="B7225" s="36"/>
      <c r="C7225" s="37"/>
      <c r="D7225" s="37"/>
      <c r="E7225" s="37"/>
      <c r="F7225" s="37"/>
      <c r="G7225" s="37"/>
      <c r="H7225" s="37"/>
      <c r="I7225" s="35"/>
      <c r="J7225" s="37"/>
    </row>
    <row r="7226" spans="1:10" ht="15.95" customHeight="1" x14ac:dyDescent="0.2">
      <c r="A7226" s="39"/>
      <c r="B7226" s="36"/>
      <c r="C7226" s="37"/>
      <c r="D7226" s="37"/>
      <c r="E7226" s="37"/>
      <c r="F7226" s="37"/>
      <c r="G7226" s="37"/>
      <c r="H7226" s="37"/>
      <c r="I7226" s="35"/>
      <c r="J7226" s="37"/>
    </row>
    <row r="7227" spans="1:10" ht="15.95" customHeight="1" x14ac:dyDescent="0.2">
      <c r="A7227" s="39"/>
      <c r="B7227" s="36"/>
      <c r="C7227" s="37"/>
      <c r="D7227" s="37"/>
      <c r="E7227" s="37"/>
      <c r="F7227" s="37"/>
      <c r="G7227" s="37"/>
      <c r="H7227" s="37"/>
      <c r="I7227" s="35"/>
      <c r="J7227" s="37"/>
    </row>
    <row r="7228" spans="1:10" ht="15.95" customHeight="1" x14ac:dyDescent="0.2">
      <c r="A7228" s="39"/>
      <c r="B7228" s="36"/>
      <c r="C7228" s="37"/>
      <c r="D7228" s="37"/>
      <c r="E7228" s="37"/>
      <c r="F7228" s="37"/>
      <c r="G7228" s="37"/>
      <c r="H7228" s="37"/>
      <c r="I7228" s="35"/>
      <c r="J7228" s="37"/>
    </row>
    <row r="7229" spans="1:10" ht="15.95" customHeight="1" x14ac:dyDescent="0.2">
      <c r="A7229" s="39"/>
      <c r="B7229" s="36"/>
      <c r="C7229" s="37"/>
      <c r="D7229" s="37"/>
      <c r="E7229" s="37"/>
      <c r="F7229" s="37"/>
      <c r="G7229" s="37"/>
      <c r="H7229" s="37"/>
      <c r="I7229" s="35"/>
      <c r="J7229" s="37"/>
    </row>
    <row r="7230" spans="1:10" ht="15.95" customHeight="1" x14ac:dyDescent="0.2">
      <c r="A7230" s="39"/>
      <c r="B7230" s="36"/>
      <c r="C7230" s="37"/>
      <c r="D7230" s="37"/>
      <c r="E7230" s="37"/>
      <c r="F7230" s="37"/>
      <c r="G7230" s="37"/>
      <c r="H7230" s="37"/>
      <c r="I7230" s="35"/>
      <c r="J7230" s="37"/>
    </row>
    <row r="7231" spans="1:10" ht="15.95" customHeight="1" x14ac:dyDescent="0.2">
      <c r="A7231" s="39"/>
      <c r="B7231" s="36"/>
      <c r="C7231" s="37"/>
      <c r="D7231" s="37"/>
      <c r="E7231" s="37"/>
      <c r="F7231" s="37"/>
      <c r="G7231" s="37"/>
      <c r="H7231" s="37"/>
      <c r="I7231" s="35"/>
      <c r="J7231" s="37"/>
    </row>
    <row r="7232" spans="1:10" ht="15.95" customHeight="1" x14ac:dyDescent="0.2">
      <c r="A7232" s="39"/>
      <c r="B7232" s="36"/>
      <c r="C7232" s="37"/>
      <c r="D7232" s="37"/>
      <c r="E7232" s="37"/>
      <c r="F7232" s="37"/>
      <c r="G7232" s="37"/>
      <c r="H7232" s="37"/>
      <c r="I7232" s="35"/>
      <c r="J7232" s="37"/>
    </row>
    <row r="7233" spans="1:10" ht="15.95" customHeight="1" x14ac:dyDescent="0.2">
      <c r="A7233" s="39"/>
      <c r="B7233" s="36"/>
      <c r="C7233" s="37"/>
      <c r="D7233" s="37"/>
      <c r="E7233" s="37"/>
      <c r="F7233" s="37"/>
      <c r="G7233" s="37"/>
      <c r="H7233" s="37"/>
      <c r="I7233" s="35"/>
      <c r="J7233" s="37"/>
    </row>
    <row r="7234" spans="1:10" ht="15.95" customHeight="1" x14ac:dyDescent="0.2">
      <c r="A7234" s="39"/>
      <c r="B7234" s="36"/>
      <c r="C7234" s="37"/>
      <c r="D7234" s="37"/>
      <c r="E7234" s="37"/>
      <c r="F7234" s="37"/>
      <c r="G7234" s="37"/>
      <c r="H7234" s="37"/>
      <c r="I7234" s="35"/>
      <c r="J7234" s="37"/>
    </row>
    <row r="7235" spans="1:10" ht="15.95" customHeight="1" x14ac:dyDescent="0.2">
      <c r="A7235" s="39"/>
      <c r="B7235" s="36"/>
      <c r="C7235" s="37"/>
      <c r="D7235" s="37"/>
      <c r="E7235" s="37"/>
      <c r="F7235" s="37"/>
      <c r="G7235" s="37"/>
      <c r="H7235" s="37"/>
      <c r="I7235" s="35"/>
      <c r="J7235" s="37"/>
    </row>
    <row r="7236" spans="1:10" ht="15.95" customHeight="1" x14ac:dyDescent="0.2">
      <c r="A7236" s="39"/>
      <c r="B7236" s="36"/>
      <c r="C7236" s="37"/>
      <c r="D7236" s="37"/>
      <c r="E7236" s="37"/>
      <c r="F7236" s="37"/>
      <c r="G7236" s="37"/>
      <c r="H7236" s="37"/>
      <c r="I7236" s="35"/>
      <c r="J7236" s="37"/>
    </row>
    <row r="7237" spans="1:10" ht="15.95" customHeight="1" x14ac:dyDescent="0.2">
      <c r="A7237" s="39"/>
      <c r="B7237" s="36"/>
      <c r="C7237" s="37"/>
      <c r="D7237" s="37"/>
      <c r="E7237" s="37"/>
      <c r="F7237" s="37"/>
      <c r="G7237" s="37"/>
      <c r="H7237" s="37"/>
      <c r="I7237" s="35"/>
      <c r="J7237" s="37"/>
    </row>
    <row r="7238" spans="1:10" ht="15.95" customHeight="1" x14ac:dyDescent="0.2">
      <c r="A7238" s="39"/>
      <c r="B7238" s="36"/>
      <c r="C7238" s="37"/>
      <c r="D7238" s="37"/>
      <c r="E7238" s="37"/>
      <c r="F7238" s="37"/>
      <c r="G7238" s="37"/>
      <c r="H7238" s="37"/>
      <c r="I7238" s="35"/>
      <c r="J7238" s="37"/>
    </row>
    <row r="7239" spans="1:10" ht="15.95" customHeight="1" x14ac:dyDescent="0.2">
      <c r="A7239" s="39"/>
      <c r="B7239" s="36"/>
      <c r="C7239" s="37"/>
      <c r="D7239" s="37"/>
      <c r="E7239" s="37"/>
      <c r="F7239" s="37"/>
      <c r="G7239" s="37"/>
      <c r="H7239" s="37"/>
      <c r="I7239" s="35"/>
      <c r="J7239" s="37"/>
    </row>
    <row r="7240" spans="1:10" ht="15.95" customHeight="1" x14ac:dyDescent="0.2">
      <c r="A7240" s="39"/>
      <c r="B7240" s="36"/>
      <c r="C7240" s="37"/>
      <c r="D7240" s="37"/>
      <c r="E7240" s="37"/>
      <c r="F7240" s="37"/>
      <c r="G7240" s="37"/>
      <c r="H7240" s="37"/>
      <c r="I7240" s="35"/>
      <c r="J7240" s="37"/>
    </row>
    <row r="7241" spans="1:10" ht="15.95" customHeight="1" x14ac:dyDescent="0.2">
      <c r="A7241" s="39"/>
      <c r="B7241" s="36"/>
      <c r="C7241" s="37"/>
      <c r="D7241" s="37"/>
      <c r="E7241" s="37"/>
      <c r="F7241" s="37"/>
      <c r="G7241" s="37"/>
      <c r="H7241" s="37"/>
      <c r="I7241" s="35"/>
      <c r="J7241" s="37"/>
    </row>
    <row r="7242" spans="1:10" ht="15.95" customHeight="1" x14ac:dyDescent="0.2">
      <c r="A7242" s="39"/>
      <c r="B7242" s="36"/>
      <c r="C7242" s="37"/>
      <c r="D7242" s="37"/>
      <c r="E7242" s="37"/>
      <c r="F7242" s="37"/>
      <c r="G7242" s="37"/>
      <c r="H7242" s="37"/>
      <c r="I7242" s="35"/>
      <c r="J7242" s="37"/>
    </row>
    <row r="7243" spans="1:10" ht="15.95" customHeight="1" x14ac:dyDescent="0.2">
      <c r="A7243" s="39"/>
      <c r="B7243" s="36"/>
      <c r="C7243" s="37"/>
      <c r="D7243" s="37"/>
      <c r="E7243" s="37"/>
      <c r="F7243" s="37"/>
      <c r="G7243" s="37"/>
      <c r="H7243" s="37"/>
      <c r="I7243" s="35"/>
      <c r="J7243" s="37"/>
    </row>
    <row r="7244" spans="1:10" ht="15.95" customHeight="1" x14ac:dyDescent="0.2">
      <c r="A7244" s="39"/>
      <c r="B7244" s="36"/>
      <c r="C7244" s="37"/>
      <c r="D7244" s="37"/>
      <c r="E7244" s="37"/>
      <c r="F7244" s="37"/>
      <c r="G7244" s="37"/>
      <c r="H7244" s="37"/>
      <c r="I7244" s="35"/>
      <c r="J7244" s="37"/>
    </row>
    <row r="7245" spans="1:10" ht="15.95" customHeight="1" x14ac:dyDescent="0.2">
      <c r="A7245" s="39"/>
      <c r="B7245" s="36"/>
      <c r="C7245" s="37"/>
      <c r="D7245" s="37"/>
      <c r="E7245" s="37"/>
      <c r="F7245" s="37"/>
      <c r="G7245" s="37"/>
      <c r="H7245" s="37"/>
      <c r="I7245" s="35"/>
      <c r="J7245" s="37"/>
    </row>
    <row r="7246" spans="1:10" ht="15.95" customHeight="1" x14ac:dyDescent="0.2">
      <c r="A7246" s="39"/>
      <c r="B7246" s="36"/>
      <c r="C7246" s="37"/>
      <c r="D7246" s="37"/>
      <c r="E7246" s="37"/>
      <c r="F7246" s="37"/>
      <c r="G7246" s="37"/>
      <c r="H7246" s="37"/>
      <c r="I7246" s="35"/>
      <c r="J7246" s="37"/>
    </row>
    <row r="7247" spans="1:10" ht="15.95" customHeight="1" x14ac:dyDescent="0.2">
      <c r="A7247" s="39"/>
      <c r="B7247" s="36"/>
      <c r="C7247" s="37"/>
      <c r="D7247" s="37"/>
      <c r="E7247" s="37"/>
      <c r="F7247" s="37"/>
      <c r="G7247" s="37"/>
      <c r="H7247" s="37"/>
      <c r="I7247" s="35"/>
      <c r="J7247" s="37"/>
    </row>
    <row r="7248" spans="1:10" ht="15.95" customHeight="1" x14ac:dyDescent="0.2">
      <c r="A7248" s="39"/>
      <c r="B7248" s="36"/>
      <c r="C7248" s="37"/>
      <c r="D7248" s="37"/>
      <c r="E7248" s="37"/>
      <c r="F7248" s="37"/>
      <c r="G7248" s="37"/>
      <c r="H7248" s="37"/>
      <c r="I7248" s="35"/>
      <c r="J7248" s="37"/>
    </row>
    <row r="7249" spans="1:10" ht="15.95" customHeight="1" x14ac:dyDescent="0.2">
      <c r="A7249" s="39"/>
      <c r="B7249" s="36"/>
      <c r="C7249" s="37"/>
      <c r="D7249" s="37"/>
      <c r="E7249" s="37"/>
      <c r="F7249" s="37"/>
      <c r="G7249" s="37"/>
      <c r="H7249" s="37"/>
      <c r="I7249" s="35"/>
      <c r="J7249" s="37"/>
    </row>
    <row r="7250" spans="1:10" ht="15.95" customHeight="1" x14ac:dyDescent="0.2">
      <c r="A7250" s="39"/>
      <c r="B7250" s="36"/>
      <c r="C7250" s="37"/>
      <c r="D7250" s="37"/>
      <c r="E7250" s="37"/>
      <c r="F7250" s="37"/>
      <c r="G7250" s="37"/>
      <c r="H7250" s="37"/>
      <c r="I7250" s="35"/>
      <c r="J7250" s="37"/>
    </row>
    <row r="7251" spans="1:10" ht="15.95" customHeight="1" x14ac:dyDescent="0.2">
      <c r="A7251" s="39"/>
      <c r="B7251" s="36"/>
      <c r="C7251" s="37"/>
      <c r="D7251" s="37"/>
      <c r="E7251" s="37"/>
      <c r="F7251" s="37"/>
      <c r="G7251" s="37"/>
      <c r="H7251" s="37"/>
      <c r="I7251" s="35"/>
      <c r="J7251" s="37"/>
    </row>
    <row r="7252" spans="1:10" ht="15.95" customHeight="1" x14ac:dyDescent="0.2">
      <c r="A7252" s="39"/>
      <c r="B7252" s="36"/>
      <c r="C7252" s="37"/>
      <c r="D7252" s="37"/>
      <c r="E7252" s="37"/>
      <c r="F7252" s="37"/>
      <c r="G7252" s="37"/>
      <c r="H7252" s="37"/>
      <c r="I7252" s="35"/>
      <c r="J7252" s="37"/>
    </row>
    <row r="7253" spans="1:10" ht="15.95" customHeight="1" x14ac:dyDescent="0.2">
      <c r="A7253" s="39"/>
      <c r="B7253" s="36"/>
      <c r="C7253" s="37"/>
      <c r="D7253" s="37"/>
      <c r="E7253" s="37"/>
      <c r="F7253" s="37"/>
      <c r="G7253" s="37"/>
      <c r="H7253" s="37"/>
      <c r="I7253" s="35"/>
      <c r="J7253" s="37"/>
    </row>
    <row r="7254" spans="1:10" ht="15.95" customHeight="1" x14ac:dyDescent="0.2">
      <c r="A7254" s="39"/>
      <c r="B7254" s="36"/>
      <c r="C7254" s="37"/>
      <c r="D7254" s="37"/>
      <c r="E7254" s="37"/>
      <c r="F7254" s="37"/>
      <c r="G7254" s="37"/>
      <c r="H7254" s="37"/>
      <c r="I7254" s="35"/>
      <c r="J7254" s="37"/>
    </row>
    <row r="7255" spans="1:10" ht="15.95" customHeight="1" x14ac:dyDescent="0.2">
      <c r="A7255" s="39"/>
      <c r="B7255" s="36"/>
      <c r="C7255" s="37"/>
      <c r="D7255" s="37"/>
      <c r="E7255" s="37"/>
      <c r="F7255" s="37"/>
      <c r="G7255" s="37"/>
      <c r="H7255" s="37"/>
      <c r="I7255" s="35"/>
      <c r="J7255" s="37"/>
    </row>
    <row r="7256" spans="1:10" ht="15.95" customHeight="1" x14ac:dyDescent="0.2">
      <c r="A7256" s="39"/>
      <c r="B7256" s="36"/>
      <c r="C7256" s="37"/>
      <c r="D7256" s="37"/>
      <c r="E7256" s="37"/>
      <c r="F7256" s="37"/>
      <c r="G7256" s="37"/>
      <c r="H7256" s="37"/>
      <c r="I7256" s="35"/>
      <c r="J7256" s="37"/>
    </row>
    <row r="7257" spans="1:10" ht="15.95" customHeight="1" x14ac:dyDescent="0.2">
      <c r="A7257" s="39"/>
      <c r="B7257" s="36"/>
      <c r="C7257" s="37"/>
      <c r="D7257" s="37"/>
      <c r="E7257" s="37"/>
      <c r="F7257" s="37"/>
      <c r="G7257" s="37"/>
      <c r="H7257" s="37"/>
      <c r="I7257" s="35"/>
      <c r="J7257" s="37"/>
    </row>
    <row r="7258" spans="1:10" ht="15.95" customHeight="1" x14ac:dyDescent="0.2">
      <c r="A7258" s="39"/>
      <c r="B7258" s="36"/>
      <c r="C7258" s="37"/>
      <c r="D7258" s="37"/>
      <c r="E7258" s="37"/>
      <c r="F7258" s="37"/>
      <c r="G7258" s="37"/>
      <c r="H7258" s="37"/>
      <c r="I7258" s="35"/>
      <c r="J7258" s="37"/>
    </row>
    <row r="7259" spans="1:10" ht="15.95" customHeight="1" x14ac:dyDescent="0.2">
      <c r="A7259" s="39"/>
      <c r="B7259" s="36"/>
      <c r="C7259" s="37"/>
      <c r="D7259" s="37"/>
      <c r="E7259" s="37"/>
      <c r="F7259" s="37"/>
      <c r="G7259" s="37"/>
      <c r="H7259" s="37"/>
      <c r="I7259" s="35"/>
      <c r="J7259" s="37"/>
    </row>
    <row r="7260" spans="1:10" ht="15.95" customHeight="1" x14ac:dyDescent="0.2">
      <c r="A7260" s="39"/>
      <c r="B7260" s="36"/>
      <c r="C7260" s="37"/>
      <c r="D7260" s="37"/>
      <c r="E7260" s="37"/>
      <c r="F7260" s="37"/>
      <c r="G7260" s="37"/>
      <c r="H7260" s="37"/>
      <c r="I7260" s="35"/>
      <c r="J7260" s="37"/>
    </row>
    <row r="7261" spans="1:10" ht="15.95" customHeight="1" x14ac:dyDescent="0.2">
      <c r="A7261" s="39"/>
      <c r="B7261" s="36"/>
      <c r="C7261" s="37"/>
      <c r="D7261" s="37"/>
      <c r="E7261" s="37"/>
      <c r="F7261" s="37"/>
      <c r="G7261" s="37"/>
      <c r="H7261" s="37"/>
      <c r="I7261" s="35"/>
      <c r="J7261" s="37"/>
    </row>
    <row r="7262" spans="1:10" ht="15.95" customHeight="1" x14ac:dyDescent="0.2">
      <c r="A7262" s="39"/>
      <c r="B7262" s="36"/>
      <c r="C7262" s="37"/>
      <c r="D7262" s="37"/>
      <c r="E7262" s="37"/>
      <c r="F7262" s="37"/>
      <c r="G7262" s="37"/>
      <c r="H7262" s="37"/>
      <c r="I7262" s="35"/>
      <c r="J7262" s="37"/>
    </row>
    <row r="7263" spans="1:10" ht="15.95" customHeight="1" x14ac:dyDescent="0.2">
      <c r="A7263" s="39"/>
      <c r="B7263" s="36"/>
      <c r="C7263" s="37"/>
      <c r="D7263" s="37"/>
      <c r="E7263" s="37"/>
      <c r="F7263" s="37"/>
      <c r="G7263" s="37"/>
      <c r="H7263" s="37"/>
      <c r="I7263" s="35"/>
      <c r="J7263" s="37"/>
    </row>
    <row r="7264" spans="1:10" ht="15.95" customHeight="1" x14ac:dyDescent="0.2">
      <c r="A7264" s="39"/>
      <c r="B7264" s="36"/>
      <c r="C7264" s="37"/>
      <c r="D7264" s="37"/>
      <c r="E7264" s="37"/>
      <c r="F7264" s="37"/>
      <c r="G7264" s="37"/>
      <c r="H7264" s="37"/>
      <c r="I7264" s="35"/>
      <c r="J7264" s="37"/>
    </row>
    <row r="7265" spans="1:10" ht="15.95" customHeight="1" x14ac:dyDescent="0.2">
      <c r="A7265" s="39"/>
      <c r="B7265" s="36"/>
      <c r="C7265" s="37"/>
      <c r="D7265" s="37"/>
      <c r="E7265" s="37"/>
      <c r="F7265" s="37"/>
      <c r="G7265" s="37"/>
      <c r="H7265" s="37"/>
      <c r="I7265" s="35"/>
      <c r="J7265" s="37"/>
    </row>
    <row r="7266" spans="1:10" ht="15.95" customHeight="1" x14ac:dyDescent="0.2">
      <c r="A7266" s="39"/>
      <c r="B7266" s="36"/>
      <c r="C7266" s="37"/>
      <c r="D7266" s="37"/>
      <c r="E7266" s="37"/>
      <c r="F7266" s="37"/>
      <c r="G7266" s="37"/>
      <c r="H7266" s="37"/>
      <c r="I7266" s="35"/>
      <c r="J7266" s="37"/>
    </row>
    <row r="7267" spans="1:10" ht="15.95" customHeight="1" x14ac:dyDescent="0.2">
      <c r="A7267" s="39"/>
      <c r="B7267" s="36"/>
      <c r="C7267" s="37"/>
      <c r="D7267" s="37"/>
      <c r="E7267" s="37"/>
      <c r="F7267" s="37"/>
      <c r="G7267" s="37"/>
      <c r="H7267" s="37"/>
      <c r="I7267" s="35"/>
      <c r="J7267" s="37"/>
    </row>
    <row r="7268" spans="1:10" ht="15.95" customHeight="1" x14ac:dyDescent="0.2">
      <c r="A7268" s="39"/>
      <c r="B7268" s="36"/>
      <c r="C7268" s="37"/>
      <c r="D7268" s="37"/>
      <c r="E7268" s="37"/>
      <c r="F7268" s="37"/>
      <c r="G7268" s="37"/>
      <c r="H7268" s="37"/>
      <c r="I7268" s="35"/>
      <c r="J7268" s="37"/>
    </row>
    <row r="7269" spans="1:10" ht="15.95" customHeight="1" x14ac:dyDescent="0.2">
      <c r="A7269" s="39"/>
      <c r="B7269" s="36"/>
      <c r="C7269" s="37"/>
      <c r="D7269" s="37"/>
      <c r="E7269" s="37"/>
      <c r="F7269" s="37"/>
      <c r="G7269" s="37"/>
      <c r="H7269" s="37"/>
      <c r="I7269" s="35"/>
      <c r="J7269" s="37"/>
    </row>
    <row r="7270" spans="1:10" ht="15.95" customHeight="1" x14ac:dyDescent="0.2">
      <c r="A7270" s="39"/>
      <c r="B7270" s="36"/>
      <c r="C7270" s="37"/>
      <c r="D7270" s="37"/>
      <c r="E7270" s="37"/>
      <c r="F7270" s="37"/>
      <c r="G7270" s="37"/>
      <c r="H7270" s="37"/>
      <c r="I7270" s="35"/>
      <c r="J7270" s="37"/>
    </row>
    <row r="7271" spans="1:10" ht="15.95" customHeight="1" x14ac:dyDescent="0.2">
      <c r="A7271" s="39"/>
      <c r="B7271" s="36"/>
      <c r="C7271" s="37"/>
      <c r="D7271" s="37"/>
      <c r="E7271" s="37"/>
      <c r="F7271" s="37"/>
      <c r="G7271" s="37"/>
      <c r="H7271" s="37"/>
      <c r="I7271" s="35"/>
      <c r="J7271" s="37"/>
    </row>
    <row r="7272" spans="1:10" ht="15.95" customHeight="1" x14ac:dyDescent="0.2">
      <c r="A7272" s="39"/>
      <c r="B7272" s="36"/>
      <c r="C7272" s="37"/>
      <c r="D7272" s="37"/>
      <c r="E7272" s="37"/>
      <c r="F7272" s="37"/>
      <c r="G7272" s="37"/>
      <c r="H7272" s="37"/>
      <c r="I7272" s="35"/>
      <c r="J7272" s="37"/>
    </row>
    <row r="7273" spans="1:10" ht="15.95" customHeight="1" x14ac:dyDescent="0.2">
      <c r="A7273" s="39"/>
      <c r="B7273" s="36"/>
      <c r="C7273" s="37"/>
      <c r="D7273" s="37"/>
      <c r="E7273" s="37"/>
      <c r="F7273" s="37"/>
      <c r="G7273" s="37"/>
      <c r="H7273" s="37"/>
      <c r="I7273" s="35"/>
      <c r="J7273" s="37"/>
    </row>
    <row r="7274" spans="1:10" ht="15.95" customHeight="1" x14ac:dyDescent="0.2">
      <c r="A7274" s="39"/>
      <c r="B7274" s="36"/>
      <c r="C7274" s="37"/>
      <c r="D7274" s="37"/>
      <c r="E7274" s="37"/>
      <c r="F7274" s="37"/>
      <c r="G7274" s="37"/>
      <c r="H7274" s="37"/>
      <c r="I7274" s="35"/>
      <c r="J7274" s="37"/>
    </row>
    <row r="7275" spans="1:10" ht="15.95" customHeight="1" x14ac:dyDescent="0.2">
      <c r="A7275" s="39"/>
      <c r="B7275" s="36"/>
      <c r="C7275" s="37"/>
      <c r="D7275" s="37"/>
      <c r="E7275" s="37"/>
      <c r="F7275" s="37"/>
      <c r="G7275" s="37"/>
      <c r="H7275" s="37"/>
      <c r="I7275" s="35"/>
      <c r="J7275" s="37"/>
    </row>
    <row r="7276" spans="1:10" ht="15.95" customHeight="1" x14ac:dyDescent="0.2">
      <c r="A7276" s="39"/>
      <c r="B7276" s="36"/>
      <c r="C7276" s="37"/>
      <c r="D7276" s="37"/>
      <c r="E7276" s="37"/>
      <c r="F7276" s="37"/>
      <c r="G7276" s="37"/>
      <c r="H7276" s="37"/>
      <c r="I7276" s="35"/>
      <c r="J7276" s="37"/>
    </row>
    <row r="7277" spans="1:10" ht="15.95" customHeight="1" x14ac:dyDescent="0.2">
      <c r="A7277" s="39"/>
      <c r="B7277" s="36"/>
      <c r="C7277" s="37"/>
      <c r="D7277" s="37"/>
      <c r="E7277" s="37"/>
      <c r="F7277" s="37"/>
      <c r="G7277" s="37"/>
      <c r="H7277" s="37"/>
      <c r="I7277" s="35"/>
      <c r="J7277" s="37"/>
    </row>
    <row r="7278" spans="1:10" ht="15.95" customHeight="1" x14ac:dyDescent="0.2">
      <c r="A7278" s="39"/>
      <c r="B7278" s="36"/>
      <c r="C7278" s="37"/>
      <c r="D7278" s="37"/>
      <c r="E7278" s="37"/>
      <c r="F7278" s="37"/>
      <c r="G7278" s="37"/>
      <c r="H7278" s="37"/>
      <c r="I7278" s="35"/>
      <c r="J7278" s="37"/>
    </row>
    <row r="7279" spans="1:10" ht="15.95" customHeight="1" x14ac:dyDescent="0.2">
      <c r="A7279" s="39"/>
      <c r="B7279" s="36"/>
      <c r="C7279" s="37"/>
      <c r="D7279" s="37"/>
      <c r="E7279" s="37"/>
      <c r="F7279" s="37"/>
      <c r="G7279" s="37"/>
      <c r="H7279" s="37"/>
      <c r="I7279" s="35"/>
      <c r="J7279" s="37"/>
    </row>
    <row r="7280" spans="1:10" ht="15.95" customHeight="1" x14ac:dyDescent="0.2">
      <c r="A7280" s="39"/>
      <c r="B7280" s="36"/>
      <c r="C7280" s="37"/>
      <c r="D7280" s="37"/>
      <c r="E7280" s="37"/>
      <c r="F7280" s="37"/>
      <c r="G7280" s="37"/>
      <c r="H7280" s="37"/>
      <c r="I7280" s="35"/>
      <c r="J7280" s="37"/>
    </row>
    <row r="7281" spans="1:10" ht="15.95" customHeight="1" x14ac:dyDescent="0.2">
      <c r="A7281" s="39"/>
      <c r="B7281" s="36"/>
      <c r="C7281" s="37"/>
      <c r="D7281" s="37"/>
      <c r="E7281" s="37"/>
      <c r="F7281" s="37"/>
      <c r="G7281" s="37"/>
      <c r="H7281" s="37"/>
      <c r="I7281" s="35"/>
      <c r="J7281" s="37"/>
    </row>
    <row r="7282" spans="1:10" ht="15.95" customHeight="1" x14ac:dyDescent="0.2">
      <c r="A7282" s="39"/>
      <c r="B7282" s="36"/>
      <c r="C7282" s="37"/>
      <c r="D7282" s="37"/>
      <c r="E7282" s="37"/>
      <c r="F7282" s="37"/>
      <c r="G7282" s="37"/>
      <c r="H7282" s="37"/>
      <c r="I7282" s="35"/>
      <c r="J7282" s="37"/>
    </row>
    <row r="7283" spans="1:10" ht="15.95" customHeight="1" x14ac:dyDescent="0.2">
      <c r="A7283" s="39"/>
      <c r="B7283" s="36"/>
      <c r="C7283" s="37"/>
      <c r="D7283" s="37"/>
      <c r="E7283" s="37"/>
      <c r="F7283" s="37"/>
      <c r="G7283" s="37"/>
      <c r="H7283" s="37"/>
      <c r="I7283" s="35"/>
      <c r="J7283" s="37"/>
    </row>
    <row r="7284" spans="1:10" ht="15.95" customHeight="1" x14ac:dyDescent="0.2">
      <c r="A7284" s="39"/>
      <c r="B7284" s="36"/>
      <c r="C7284" s="37"/>
      <c r="D7284" s="37"/>
      <c r="E7284" s="37"/>
      <c r="F7284" s="37"/>
      <c r="G7284" s="37"/>
      <c r="H7284" s="37"/>
      <c r="I7284" s="35"/>
      <c r="J7284" s="37"/>
    </row>
    <row r="7285" spans="1:10" ht="15.95" customHeight="1" x14ac:dyDescent="0.2">
      <c r="A7285" s="39"/>
      <c r="B7285" s="36"/>
      <c r="C7285" s="37"/>
      <c r="D7285" s="37"/>
      <c r="E7285" s="37"/>
      <c r="F7285" s="37"/>
      <c r="G7285" s="37"/>
      <c r="H7285" s="37"/>
      <c r="I7285" s="35"/>
      <c r="J7285" s="37"/>
    </row>
    <row r="7286" spans="1:10" ht="15.95" customHeight="1" x14ac:dyDescent="0.2">
      <c r="A7286" s="39"/>
      <c r="B7286" s="36"/>
      <c r="C7286" s="37"/>
      <c r="D7286" s="37"/>
      <c r="E7286" s="37"/>
      <c r="F7286" s="37"/>
      <c r="G7286" s="37"/>
      <c r="H7286" s="37"/>
      <c r="I7286" s="35"/>
      <c r="J7286" s="37"/>
    </row>
    <row r="7287" spans="1:10" ht="15.95" customHeight="1" x14ac:dyDescent="0.2">
      <c r="A7287" s="39"/>
      <c r="B7287" s="36"/>
      <c r="C7287" s="37"/>
      <c r="D7287" s="37"/>
      <c r="E7287" s="37"/>
      <c r="F7287" s="37"/>
      <c r="G7287" s="37"/>
      <c r="H7287" s="37"/>
      <c r="I7287" s="35"/>
      <c r="J7287" s="37"/>
    </row>
    <row r="7288" spans="1:10" ht="15.95" customHeight="1" x14ac:dyDescent="0.2">
      <c r="A7288" s="39"/>
      <c r="B7288" s="36"/>
      <c r="C7288" s="37"/>
      <c r="D7288" s="37"/>
      <c r="E7288" s="37"/>
      <c r="F7288" s="37"/>
      <c r="G7288" s="37"/>
      <c r="H7288" s="37"/>
      <c r="I7288" s="35"/>
      <c r="J7288" s="37"/>
    </row>
    <row r="7289" spans="1:10" ht="15.95" customHeight="1" x14ac:dyDescent="0.2">
      <c r="A7289" s="39"/>
      <c r="B7289" s="36"/>
      <c r="C7289" s="37"/>
      <c r="D7289" s="37"/>
      <c r="E7289" s="37"/>
      <c r="F7289" s="37"/>
      <c r="G7289" s="37"/>
      <c r="H7289" s="37"/>
      <c r="I7289" s="35"/>
      <c r="J7289" s="37"/>
    </row>
    <row r="7290" spans="1:10" ht="15.95" customHeight="1" x14ac:dyDescent="0.2">
      <c r="A7290" s="39"/>
      <c r="B7290" s="36"/>
      <c r="C7290" s="37"/>
      <c r="D7290" s="37"/>
      <c r="E7290" s="37"/>
      <c r="F7290" s="37"/>
      <c r="G7290" s="37"/>
      <c r="H7290" s="37"/>
      <c r="I7290" s="35"/>
      <c r="J7290" s="37"/>
    </row>
    <row r="7291" spans="1:10" ht="15.95" customHeight="1" x14ac:dyDescent="0.2">
      <c r="A7291" s="39"/>
      <c r="B7291" s="36"/>
      <c r="C7291" s="37"/>
      <c r="D7291" s="37"/>
      <c r="E7291" s="37"/>
      <c r="F7291" s="37"/>
      <c r="G7291" s="37"/>
      <c r="H7291" s="37"/>
      <c r="I7291" s="35"/>
      <c r="J7291" s="37"/>
    </row>
    <row r="7292" spans="1:10" ht="15.95" customHeight="1" x14ac:dyDescent="0.2">
      <c r="A7292" s="39"/>
      <c r="B7292" s="36"/>
      <c r="C7292" s="37"/>
      <c r="D7292" s="37"/>
      <c r="E7292" s="37"/>
      <c r="F7292" s="37"/>
      <c r="G7292" s="37"/>
      <c r="H7292" s="37"/>
      <c r="I7292" s="35"/>
      <c r="J7292" s="37"/>
    </row>
    <row r="7293" spans="1:10" ht="15.95" customHeight="1" x14ac:dyDescent="0.2">
      <c r="A7293" s="39"/>
      <c r="B7293" s="36"/>
      <c r="C7293" s="37"/>
      <c r="D7293" s="37"/>
      <c r="E7293" s="37"/>
      <c r="F7293" s="37"/>
      <c r="G7293" s="37"/>
      <c r="H7293" s="37"/>
      <c r="I7293" s="35"/>
      <c r="J7293" s="37"/>
    </row>
    <row r="7294" spans="1:10" ht="15.95" customHeight="1" x14ac:dyDescent="0.2">
      <c r="A7294" s="39"/>
      <c r="B7294" s="36"/>
      <c r="C7294" s="37"/>
      <c r="D7294" s="37"/>
      <c r="E7294" s="37"/>
      <c r="F7294" s="37"/>
      <c r="G7294" s="37"/>
      <c r="H7294" s="37"/>
      <c r="I7294" s="35"/>
      <c r="J7294" s="37"/>
    </row>
    <row r="7295" spans="1:10" ht="15.95" customHeight="1" x14ac:dyDescent="0.2">
      <c r="A7295" s="39"/>
      <c r="B7295" s="36"/>
      <c r="C7295" s="37"/>
      <c r="D7295" s="37"/>
      <c r="E7295" s="37"/>
      <c r="F7295" s="37"/>
      <c r="G7295" s="37"/>
      <c r="H7295" s="37"/>
      <c r="I7295" s="35"/>
      <c r="J7295" s="37"/>
    </row>
    <row r="7296" spans="1:10" ht="15.95" customHeight="1" x14ac:dyDescent="0.2">
      <c r="A7296" s="39"/>
      <c r="B7296" s="36"/>
      <c r="C7296" s="37"/>
      <c r="D7296" s="37"/>
      <c r="E7296" s="37"/>
      <c r="F7296" s="37"/>
      <c r="G7296" s="37"/>
      <c r="H7296" s="37"/>
      <c r="I7296" s="35"/>
      <c r="J7296" s="37"/>
    </row>
    <row r="7297" spans="1:10" ht="15.95" customHeight="1" x14ac:dyDescent="0.2">
      <c r="A7297" s="39"/>
      <c r="B7297" s="36"/>
      <c r="C7297" s="37"/>
      <c r="D7297" s="37"/>
      <c r="E7297" s="37"/>
      <c r="F7297" s="37"/>
      <c r="G7297" s="37"/>
      <c r="H7297" s="37"/>
      <c r="I7297" s="35"/>
      <c r="J7297" s="37"/>
    </row>
    <row r="7298" spans="1:10" ht="15.95" customHeight="1" x14ac:dyDescent="0.2">
      <c r="A7298" s="39"/>
      <c r="B7298" s="36"/>
      <c r="C7298" s="37"/>
      <c r="D7298" s="37"/>
      <c r="E7298" s="37"/>
      <c r="F7298" s="37"/>
      <c r="G7298" s="37"/>
      <c r="H7298" s="37"/>
      <c r="I7298" s="35"/>
      <c r="J7298" s="37"/>
    </row>
    <row r="7299" spans="1:10" ht="15.95" customHeight="1" x14ac:dyDescent="0.2">
      <c r="A7299" s="39"/>
      <c r="B7299" s="36"/>
      <c r="C7299" s="37"/>
      <c r="D7299" s="37"/>
      <c r="E7299" s="37"/>
      <c r="F7299" s="37"/>
      <c r="G7299" s="37"/>
      <c r="H7299" s="37"/>
      <c r="I7299" s="35"/>
      <c r="J7299" s="37"/>
    </row>
    <row r="7300" spans="1:10" ht="15.95" customHeight="1" x14ac:dyDescent="0.2">
      <c r="A7300" s="39"/>
      <c r="B7300" s="36"/>
      <c r="C7300" s="37"/>
      <c r="D7300" s="37"/>
      <c r="E7300" s="37"/>
      <c r="F7300" s="37"/>
      <c r="G7300" s="37"/>
      <c r="H7300" s="37"/>
      <c r="I7300" s="35"/>
      <c r="J7300" s="37"/>
    </row>
    <row r="7301" spans="1:10" ht="15.95" customHeight="1" x14ac:dyDescent="0.2">
      <c r="A7301" s="39"/>
      <c r="B7301" s="36"/>
      <c r="C7301" s="37"/>
      <c r="D7301" s="37"/>
      <c r="E7301" s="37"/>
      <c r="F7301" s="37"/>
      <c r="G7301" s="37"/>
      <c r="H7301" s="37"/>
      <c r="I7301" s="35"/>
      <c r="J7301" s="37"/>
    </row>
    <row r="7302" spans="1:10" ht="15.95" customHeight="1" x14ac:dyDescent="0.2">
      <c r="A7302" s="39"/>
      <c r="B7302" s="36"/>
      <c r="C7302" s="37"/>
      <c r="D7302" s="37"/>
      <c r="E7302" s="37"/>
      <c r="F7302" s="37"/>
      <c r="G7302" s="37"/>
      <c r="H7302" s="37"/>
      <c r="I7302" s="35"/>
      <c r="J7302" s="37"/>
    </row>
    <row r="7303" spans="1:10" ht="15.95" customHeight="1" x14ac:dyDescent="0.2">
      <c r="A7303" s="39"/>
      <c r="B7303" s="36"/>
      <c r="C7303" s="37"/>
      <c r="D7303" s="37"/>
      <c r="E7303" s="37"/>
      <c r="F7303" s="37"/>
      <c r="G7303" s="37"/>
      <c r="H7303" s="37"/>
      <c r="I7303" s="35"/>
      <c r="J7303" s="37"/>
    </row>
    <row r="7304" spans="1:10" ht="15.95" customHeight="1" x14ac:dyDescent="0.2">
      <c r="A7304" s="39"/>
      <c r="B7304" s="36"/>
      <c r="C7304" s="37"/>
      <c r="D7304" s="37"/>
      <c r="E7304" s="37"/>
      <c r="F7304" s="37"/>
      <c r="G7304" s="37"/>
      <c r="H7304" s="37"/>
      <c r="I7304" s="35"/>
      <c r="J7304" s="37"/>
    </row>
    <row r="7305" spans="1:10" ht="15.95" customHeight="1" x14ac:dyDescent="0.2">
      <c r="A7305" s="39"/>
      <c r="B7305" s="36"/>
      <c r="C7305" s="37"/>
      <c r="D7305" s="37"/>
      <c r="E7305" s="37"/>
      <c r="F7305" s="37"/>
      <c r="G7305" s="37"/>
      <c r="H7305" s="37"/>
      <c r="I7305" s="35"/>
      <c r="J7305" s="37"/>
    </row>
    <row r="7306" spans="1:10" ht="15.95" customHeight="1" x14ac:dyDescent="0.2">
      <c r="A7306" s="39"/>
      <c r="B7306" s="36"/>
      <c r="C7306" s="37"/>
      <c r="D7306" s="37"/>
      <c r="E7306" s="37"/>
      <c r="F7306" s="37"/>
      <c r="G7306" s="37"/>
      <c r="H7306" s="37"/>
      <c r="I7306" s="35"/>
      <c r="J7306" s="37"/>
    </row>
    <row r="7307" spans="1:10" ht="15.95" customHeight="1" x14ac:dyDescent="0.2">
      <c r="A7307" s="39"/>
      <c r="B7307" s="36"/>
      <c r="C7307" s="37"/>
      <c r="D7307" s="37"/>
      <c r="E7307" s="37"/>
      <c r="F7307" s="37"/>
      <c r="G7307" s="37"/>
      <c r="H7307" s="37"/>
      <c r="I7307" s="35"/>
      <c r="J7307" s="37"/>
    </row>
    <row r="7308" spans="1:10" ht="15.95" customHeight="1" x14ac:dyDescent="0.2">
      <c r="A7308" s="39"/>
      <c r="B7308" s="36"/>
      <c r="C7308" s="37"/>
      <c r="D7308" s="37"/>
      <c r="E7308" s="37"/>
      <c r="F7308" s="37"/>
      <c r="G7308" s="37"/>
      <c r="H7308" s="37"/>
      <c r="I7308" s="35"/>
      <c r="J7308" s="37"/>
    </row>
    <row r="7309" spans="1:10" ht="15.95" customHeight="1" x14ac:dyDescent="0.2">
      <c r="A7309" s="39"/>
      <c r="B7309" s="36"/>
      <c r="C7309" s="37"/>
      <c r="D7309" s="37"/>
      <c r="E7309" s="37"/>
      <c r="F7309" s="37"/>
      <c r="G7309" s="37"/>
      <c r="H7309" s="37"/>
      <c r="I7309" s="35"/>
      <c r="J7309" s="37"/>
    </row>
    <row r="7310" spans="1:10" ht="15.95" customHeight="1" x14ac:dyDescent="0.2">
      <c r="A7310" s="39"/>
      <c r="B7310" s="36"/>
      <c r="C7310" s="37"/>
      <c r="D7310" s="37"/>
      <c r="E7310" s="37"/>
      <c r="F7310" s="37"/>
      <c r="G7310" s="37"/>
      <c r="H7310" s="37"/>
      <c r="I7310" s="35"/>
      <c r="J7310" s="37"/>
    </row>
    <row r="7311" spans="1:10" ht="15.95" customHeight="1" x14ac:dyDescent="0.2">
      <c r="A7311" s="39"/>
      <c r="B7311" s="36"/>
      <c r="C7311" s="37"/>
      <c r="D7311" s="37"/>
      <c r="E7311" s="37"/>
      <c r="F7311" s="37"/>
      <c r="G7311" s="37"/>
      <c r="H7311" s="37"/>
      <c r="I7311" s="35"/>
      <c r="J7311" s="37"/>
    </row>
    <row r="7312" spans="1:10" ht="15.95" customHeight="1" x14ac:dyDescent="0.2">
      <c r="A7312" s="39"/>
      <c r="B7312" s="36"/>
      <c r="C7312" s="37"/>
      <c r="D7312" s="37"/>
      <c r="E7312" s="37"/>
      <c r="F7312" s="37"/>
      <c r="G7312" s="37"/>
      <c r="H7312" s="37"/>
      <c r="I7312" s="35"/>
      <c r="J7312" s="37"/>
    </row>
    <row r="7313" spans="1:10" ht="15.95" customHeight="1" x14ac:dyDescent="0.2">
      <c r="A7313" s="39"/>
      <c r="B7313" s="36"/>
      <c r="C7313" s="37"/>
      <c r="D7313" s="37"/>
      <c r="E7313" s="37"/>
      <c r="F7313" s="37"/>
      <c r="G7313" s="37"/>
      <c r="H7313" s="37"/>
      <c r="I7313" s="35"/>
      <c r="J7313" s="37"/>
    </row>
    <row r="7314" spans="1:10" ht="15.95" customHeight="1" x14ac:dyDescent="0.2">
      <c r="A7314" s="39"/>
      <c r="B7314" s="36"/>
      <c r="C7314" s="37"/>
      <c r="D7314" s="37"/>
      <c r="E7314" s="37"/>
      <c r="F7314" s="37"/>
      <c r="G7314" s="37"/>
      <c r="H7314" s="37"/>
      <c r="I7314" s="35"/>
      <c r="J7314" s="37"/>
    </row>
    <row r="7315" spans="1:10" ht="15.95" customHeight="1" x14ac:dyDescent="0.2">
      <c r="A7315" s="39"/>
      <c r="B7315" s="36"/>
      <c r="C7315" s="37"/>
      <c r="D7315" s="37"/>
      <c r="E7315" s="37"/>
      <c r="F7315" s="37"/>
      <c r="G7315" s="37"/>
      <c r="H7315" s="37"/>
      <c r="I7315" s="35"/>
      <c r="J7315" s="37"/>
    </row>
    <row r="7316" spans="1:10" ht="15.95" customHeight="1" x14ac:dyDescent="0.2">
      <c r="A7316" s="39"/>
      <c r="B7316" s="36"/>
      <c r="C7316" s="37"/>
      <c r="D7316" s="37"/>
      <c r="E7316" s="37"/>
      <c r="F7316" s="37"/>
      <c r="G7316" s="37"/>
      <c r="H7316" s="37"/>
      <c r="I7316" s="35"/>
      <c r="J7316" s="37"/>
    </row>
    <row r="7317" spans="1:10" ht="15.95" customHeight="1" x14ac:dyDescent="0.2">
      <c r="A7317" s="39"/>
      <c r="B7317" s="36"/>
      <c r="C7317" s="37"/>
      <c r="D7317" s="37"/>
      <c r="E7317" s="37"/>
      <c r="F7317" s="37"/>
      <c r="G7317" s="37"/>
      <c r="H7317" s="37"/>
      <c r="I7317" s="35"/>
      <c r="J7317" s="37"/>
    </row>
    <row r="7318" spans="1:10" ht="15.95" customHeight="1" x14ac:dyDescent="0.2">
      <c r="A7318" s="39"/>
      <c r="B7318" s="36"/>
      <c r="C7318" s="37"/>
      <c r="D7318" s="37"/>
      <c r="E7318" s="37"/>
      <c r="F7318" s="37"/>
      <c r="G7318" s="37"/>
      <c r="H7318" s="37"/>
      <c r="I7318" s="35"/>
      <c r="J7318" s="37"/>
    </row>
    <row r="7319" spans="1:10" ht="15.95" customHeight="1" x14ac:dyDescent="0.2">
      <c r="A7319" s="39"/>
      <c r="B7319" s="36"/>
      <c r="C7319" s="37"/>
      <c r="D7319" s="37"/>
      <c r="E7319" s="37"/>
      <c r="F7319" s="37"/>
      <c r="G7319" s="37"/>
      <c r="H7319" s="37"/>
      <c r="I7319" s="35"/>
      <c r="J7319" s="37"/>
    </row>
    <row r="7320" spans="1:10" ht="15.95" customHeight="1" x14ac:dyDescent="0.2">
      <c r="A7320" s="39"/>
      <c r="B7320" s="36"/>
      <c r="C7320" s="37"/>
      <c r="D7320" s="37"/>
      <c r="E7320" s="37"/>
      <c r="F7320" s="37"/>
      <c r="G7320" s="37"/>
      <c r="H7320" s="37"/>
      <c r="I7320" s="35"/>
      <c r="J7320" s="37"/>
    </row>
    <row r="7321" spans="1:10" ht="15.95" customHeight="1" x14ac:dyDescent="0.2">
      <c r="A7321" s="39"/>
      <c r="B7321" s="36"/>
      <c r="C7321" s="37"/>
      <c r="D7321" s="37"/>
      <c r="E7321" s="37"/>
      <c r="F7321" s="37"/>
      <c r="G7321" s="37"/>
      <c r="H7321" s="37"/>
      <c r="I7321" s="35"/>
      <c r="J7321" s="37"/>
    </row>
    <row r="7322" spans="1:10" ht="15.95" customHeight="1" x14ac:dyDescent="0.2">
      <c r="A7322" s="39"/>
      <c r="B7322" s="36"/>
      <c r="C7322" s="37"/>
      <c r="D7322" s="37"/>
      <c r="E7322" s="37"/>
      <c r="F7322" s="37"/>
      <c r="G7322" s="37"/>
      <c r="H7322" s="37"/>
      <c r="I7322" s="35"/>
      <c r="J7322" s="37"/>
    </row>
    <row r="7323" spans="1:10" ht="15.95" customHeight="1" x14ac:dyDescent="0.2">
      <c r="A7323" s="39"/>
      <c r="B7323" s="36"/>
      <c r="C7323" s="37"/>
      <c r="D7323" s="37"/>
      <c r="E7323" s="37"/>
      <c r="F7323" s="37"/>
      <c r="G7323" s="37"/>
      <c r="H7323" s="37"/>
      <c r="I7323" s="35"/>
      <c r="J7323" s="37"/>
    </row>
    <row r="7324" spans="1:10" ht="15.95" customHeight="1" x14ac:dyDescent="0.2">
      <c r="A7324" s="39"/>
      <c r="B7324" s="36"/>
      <c r="C7324" s="37"/>
      <c r="D7324" s="37"/>
      <c r="E7324" s="37"/>
      <c r="F7324" s="37"/>
      <c r="G7324" s="37"/>
      <c r="H7324" s="37"/>
      <c r="I7324" s="35"/>
      <c r="J7324" s="37"/>
    </row>
    <row r="7325" spans="1:10" ht="15.95" customHeight="1" x14ac:dyDescent="0.2">
      <c r="A7325" s="39"/>
      <c r="B7325" s="36"/>
      <c r="C7325" s="37"/>
      <c r="D7325" s="37"/>
      <c r="E7325" s="37"/>
      <c r="F7325" s="37"/>
      <c r="G7325" s="37"/>
      <c r="H7325" s="37"/>
      <c r="I7325" s="35"/>
      <c r="J7325" s="37"/>
    </row>
    <row r="7326" spans="1:10" ht="15.95" customHeight="1" x14ac:dyDescent="0.2">
      <c r="A7326" s="39"/>
      <c r="B7326" s="36"/>
      <c r="C7326" s="37"/>
      <c r="D7326" s="37"/>
      <c r="E7326" s="37"/>
      <c r="F7326" s="37"/>
      <c r="G7326" s="37"/>
      <c r="H7326" s="37"/>
      <c r="I7326" s="35"/>
      <c r="J7326" s="37"/>
    </row>
    <row r="7327" spans="1:10" ht="15.95" customHeight="1" x14ac:dyDescent="0.2">
      <c r="A7327" s="39"/>
      <c r="B7327" s="36"/>
      <c r="C7327" s="37"/>
      <c r="D7327" s="37"/>
      <c r="E7327" s="37"/>
      <c r="F7327" s="37"/>
      <c r="G7327" s="37"/>
      <c r="H7327" s="37"/>
      <c r="I7327" s="35"/>
      <c r="J7327" s="37"/>
    </row>
    <row r="7328" spans="1:10" ht="15.95" customHeight="1" x14ac:dyDescent="0.2">
      <c r="A7328" s="39"/>
      <c r="B7328" s="36"/>
      <c r="C7328" s="37"/>
      <c r="D7328" s="37"/>
      <c r="E7328" s="37"/>
      <c r="F7328" s="37"/>
      <c r="G7328" s="37"/>
      <c r="H7328" s="37"/>
      <c r="I7328" s="35"/>
      <c r="J7328" s="37"/>
    </row>
    <row r="7329" spans="1:10" ht="15.95" customHeight="1" x14ac:dyDescent="0.2">
      <c r="A7329" s="39"/>
      <c r="B7329" s="36"/>
      <c r="C7329" s="37"/>
      <c r="D7329" s="37"/>
      <c r="E7329" s="37"/>
      <c r="F7329" s="37"/>
      <c r="G7329" s="37"/>
      <c r="H7329" s="37"/>
      <c r="I7329" s="35"/>
      <c r="J7329" s="37"/>
    </row>
    <row r="7330" spans="1:10" ht="15.95" customHeight="1" x14ac:dyDescent="0.2">
      <c r="A7330" s="39"/>
      <c r="B7330" s="36"/>
      <c r="C7330" s="37"/>
      <c r="D7330" s="37"/>
      <c r="E7330" s="37"/>
      <c r="F7330" s="37"/>
      <c r="G7330" s="37"/>
      <c r="H7330" s="37"/>
      <c r="I7330" s="35"/>
      <c r="J7330" s="37"/>
    </row>
    <row r="7331" spans="1:10" ht="15.95" customHeight="1" x14ac:dyDescent="0.2">
      <c r="A7331" s="39"/>
      <c r="B7331" s="36"/>
      <c r="C7331" s="37"/>
      <c r="D7331" s="37"/>
      <c r="E7331" s="37"/>
      <c r="F7331" s="37"/>
      <c r="G7331" s="37"/>
      <c r="H7331" s="37"/>
      <c r="I7331" s="35"/>
      <c r="J7331" s="37"/>
    </row>
    <row r="7332" spans="1:10" ht="15.95" customHeight="1" x14ac:dyDescent="0.2">
      <c r="A7332" s="39"/>
      <c r="B7332" s="36"/>
      <c r="C7332" s="37"/>
      <c r="D7332" s="37"/>
      <c r="E7332" s="37"/>
      <c r="F7332" s="37"/>
      <c r="G7332" s="37"/>
      <c r="H7332" s="37"/>
      <c r="I7332" s="35"/>
      <c r="J7332" s="37"/>
    </row>
    <row r="7333" spans="1:10" ht="15.95" customHeight="1" x14ac:dyDescent="0.2">
      <c r="A7333" s="39"/>
      <c r="B7333" s="36"/>
      <c r="C7333" s="37"/>
      <c r="D7333" s="37"/>
      <c r="E7333" s="37"/>
      <c r="F7333" s="37"/>
      <c r="G7333" s="37"/>
      <c r="H7333" s="37"/>
      <c r="I7333" s="35"/>
      <c r="J7333" s="37"/>
    </row>
    <row r="7334" spans="1:10" ht="15.95" customHeight="1" x14ac:dyDescent="0.2">
      <c r="A7334" s="39"/>
      <c r="B7334" s="36"/>
      <c r="C7334" s="37"/>
      <c r="D7334" s="37"/>
      <c r="E7334" s="37"/>
      <c r="F7334" s="37"/>
      <c r="G7334" s="37"/>
      <c r="H7334" s="37"/>
      <c r="I7334" s="35"/>
      <c r="J7334" s="37"/>
    </row>
    <row r="7335" spans="1:10" ht="15.95" customHeight="1" x14ac:dyDescent="0.2">
      <c r="A7335" s="39"/>
      <c r="B7335" s="36"/>
      <c r="C7335" s="37"/>
      <c r="D7335" s="37"/>
      <c r="E7335" s="37"/>
      <c r="F7335" s="37"/>
      <c r="G7335" s="37"/>
      <c r="H7335" s="37"/>
      <c r="I7335" s="35"/>
      <c r="J7335" s="37"/>
    </row>
    <row r="7336" spans="1:10" ht="15.95" customHeight="1" x14ac:dyDescent="0.2">
      <c r="A7336" s="39"/>
      <c r="B7336" s="36"/>
      <c r="C7336" s="37"/>
      <c r="D7336" s="37"/>
      <c r="E7336" s="37"/>
      <c r="F7336" s="37"/>
      <c r="G7336" s="37"/>
      <c r="H7336" s="37"/>
      <c r="I7336" s="35"/>
      <c r="J7336" s="37"/>
    </row>
    <row r="7337" spans="1:10" ht="15.95" customHeight="1" x14ac:dyDescent="0.2">
      <c r="A7337" s="39"/>
      <c r="B7337" s="36"/>
      <c r="C7337" s="37"/>
      <c r="D7337" s="37"/>
      <c r="E7337" s="37"/>
      <c r="F7337" s="37"/>
      <c r="G7337" s="37"/>
      <c r="H7337" s="37"/>
      <c r="I7337" s="35"/>
      <c r="J7337" s="37"/>
    </row>
    <row r="7338" spans="1:10" ht="15.95" customHeight="1" x14ac:dyDescent="0.2">
      <c r="A7338" s="39"/>
      <c r="B7338" s="36"/>
      <c r="C7338" s="37"/>
      <c r="D7338" s="37"/>
      <c r="E7338" s="37"/>
      <c r="F7338" s="37"/>
      <c r="G7338" s="37"/>
      <c r="H7338" s="37"/>
      <c r="I7338" s="35"/>
      <c r="J7338" s="37"/>
    </row>
    <row r="7339" spans="1:10" ht="15.95" customHeight="1" x14ac:dyDescent="0.2">
      <c r="A7339" s="39"/>
      <c r="B7339" s="36"/>
      <c r="C7339" s="37"/>
      <c r="D7339" s="37"/>
      <c r="E7339" s="37"/>
      <c r="F7339" s="37"/>
      <c r="G7339" s="37"/>
      <c r="H7339" s="37"/>
      <c r="I7339" s="35"/>
      <c r="J7339" s="37"/>
    </row>
    <row r="7340" spans="1:10" ht="15.95" customHeight="1" x14ac:dyDescent="0.2">
      <c r="A7340" s="39"/>
      <c r="B7340" s="36"/>
      <c r="C7340" s="37"/>
      <c r="D7340" s="37"/>
      <c r="E7340" s="37"/>
      <c r="F7340" s="37"/>
      <c r="G7340" s="37"/>
      <c r="H7340" s="37"/>
      <c r="I7340" s="35"/>
      <c r="J7340" s="37"/>
    </row>
    <row r="7341" spans="1:10" ht="15.95" customHeight="1" x14ac:dyDescent="0.2">
      <c r="A7341" s="39"/>
      <c r="B7341" s="36"/>
      <c r="C7341" s="37"/>
      <c r="D7341" s="37"/>
      <c r="E7341" s="37"/>
      <c r="F7341" s="37"/>
      <c r="G7341" s="37"/>
      <c r="H7341" s="37"/>
      <c r="I7341" s="35"/>
      <c r="J7341" s="37"/>
    </row>
    <row r="7342" spans="1:10" ht="15.95" customHeight="1" x14ac:dyDescent="0.2">
      <c r="A7342" s="39"/>
      <c r="B7342" s="36"/>
      <c r="C7342" s="37"/>
      <c r="D7342" s="37"/>
      <c r="E7342" s="37"/>
      <c r="F7342" s="37"/>
      <c r="G7342" s="37"/>
      <c r="H7342" s="37"/>
      <c r="I7342" s="35"/>
      <c r="J7342" s="37"/>
    </row>
    <row r="7343" spans="1:10" ht="15.95" customHeight="1" x14ac:dyDescent="0.2">
      <c r="A7343" s="39"/>
      <c r="B7343" s="36"/>
      <c r="C7343" s="37"/>
      <c r="D7343" s="37"/>
      <c r="E7343" s="37"/>
      <c r="F7343" s="37"/>
      <c r="G7343" s="37"/>
      <c r="H7343" s="37"/>
      <c r="I7343" s="35"/>
      <c r="J7343" s="37"/>
    </row>
    <row r="7344" spans="1:10" ht="15.95" customHeight="1" x14ac:dyDescent="0.2">
      <c r="A7344" s="39"/>
      <c r="B7344" s="36"/>
      <c r="C7344" s="37"/>
      <c r="D7344" s="37"/>
      <c r="E7344" s="37"/>
      <c r="F7344" s="37"/>
      <c r="G7344" s="37"/>
      <c r="H7344" s="37"/>
      <c r="I7344" s="35"/>
      <c r="J7344" s="37"/>
    </row>
    <row r="7345" spans="1:10" ht="15.95" customHeight="1" x14ac:dyDescent="0.2">
      <c r="A7345" s="39"/>
      <c r="B7345" s="36"/>
      <c r="C7345" s="37"/>
      <c r="D7345" s="37"/>
      <c r="E7345" s="37"/>
      <c r="F7345" s="37"/>
      <c r="G7345" s="37"/>
      <c r="H7345" s="37"/>
      <c r="I7345" s="35"/>
      <c r="J7345" s="37"/>
    </row>
    <row r="7346" spans="1:10" ht="15.95" customHeight="1" x14ac:dyDescent="0.2">
      <c r="A7346" s="39"/>
      <c r="B7346" s="36"/>
      <c r="C7346" s="37"/>
      <c r="D7346" s="37"/>
      <c r="E7346" s="37"/>
      <c r="F7346" s="37"/>
      <c r="G7346" s="37"/>
      <c r="H7346" s="37"/>
      <c r="I7346" s="35"/>
      <c r="J7346" s="37"/>
    </row>
    <row r="7347" spans="1:10" ht="15.95" customHeight="1" x14ac:dyDescent="0.2">
      <c r="A7347" s="39"/>
      <c r="B7347" s="36"/>
      <c r="C7347" s="37"/>
      <c r="D7347" s="37"/>
      <c r="E7347" s="37"/>
      <c r="F7347" s="37"/>
      <c r="G7347" s="37"/>
      <c r="H7347" s="37"/>
      <c r="I7347" s="35"/>
      <c r="J7347" s="37"/>
    </row>
    <row r="7348" spans="1:10" ht="15.95" customHeight="1" x14ac:dyDescent="0.2">
      <c r="A7348" s="39"/>
      <c r="B7348" s="36"/>
      <c r="C7348" s="37"/>
      <c r="D7348" s="37"/>
      <c r="E7348" s="37"/>
      <c r="F7348" s="37"/>
      <c r="G7348" s="37"/>
      <c r="H7348" s="37"/>
      <c r="I7348" s="35"/>
      <c r="J7348" s="37"/>
    </row>
    <row r="7349" spans="1:10" ht="15.95" customHeight="1" x14ac:dyDescent="0.2">
      <c r="A7349" s="39"/>
      <c r="B7349" s="36"/>
      <c r="C7349" s="37"/>
      <c r="D7349" s="37"/>
      <c r="E7349" s="37"/>
      <c r="F7349" s="37"/>
      <c r="G7349" s="37"/>
      <c r="H7349" s="37"/>
      <c r="I7349" s="35"/>
      <c r="J7349" s="37"/>
    </row>
    <row r="7350" spans="1:10" ht="15.95" customHeight="1" x14ac:dyDescent="0.2">
      <c r="A7350" s="39"/>
      <c r="B7350" s="36"/>
      <c r="C7350" s="37"/>
      <c r="D7350" s="37"/>
      <c r="E7350" s="37"/>
      <c r="F7350" s="37"/>
      <c r="G7350" s="37"/>
      <c r="H7350" s="37"/>
      <c r="I7350" s="35"/>
      <c r="J7350" s="37"/>
    </row>
    <row r="7351" spans="1:10" ht="15.95" customHeight="1" x14ac:dyDescent="0.2">
      <c r="A7351" s="39"/>
      <c r="B7351" s="36"/>
      <c r="C7351" s="37"/>
      <c r="D7351" s="37"/>
      <c r="E7351" s="37"/>
      <c r="F7351" s="37"/>
      <c r="G7351" s="37"/>
      <c r="H7351" s="37"/>
      <c r="I7351" s="35"/>
      <c r="J7351" s="37"/>
    </row>
    <row r="7352" spans="1:10" ht="15.95" customHeight="1" x14ac:dyDescent="0.2">
      <c r="A7352" s="39"/>
      <c r="B7352" s="36"/>
      <c r="C7352" s="37"/>
      <c r="D7352" s="37"/>
      <c r="E7352" s="37"/>
      <c r="F7352" s="37"/>
      <c r="G7352" s="37"/>
      <c r="H7352" s="37"/>
      <c r="I7352" s="35"/>
      <c r="J7352" s="37"/>
    </row>
    <row r="7353" spans="1:10" ht="15.95" customHeight="1" x14ac:dyDescent="0.2">
      <c r="A7353" s="39"/>
      <c r="B7353" s="36"/>
      <c r="C7353" s="37"/>
      <c r="D7353" s="37"/>
      <c r="E7353" s="37"/>
      <c r="F7353" s="37"/>
      <c r="G7353" s="37"/>
      <c r="H7353" s="37"/>
      <c r="I7353" s="35"/>
      <c r="J7353" s="37"/>
    </row>
    <row r="7354" spans="1:10" ht="15.95" customHeight="1" x14ac:dyDescent="0.2">
      <c r="A7354" s="39"/>
      <c r="B7354" s="36"/>
      <c r="C7354" s="37"/>
      <c r="D7354" s="37"/>
      <c r="E7354" s="37"/>
      <c r="F7354" s="37"/>
      <c r="G7354" s="37"/>
      <c r="H7354" s="37"/>
      <c r="I7354" s="35"/>
      <c r="J7354" s="37"/>
    </row>
    <row r="7355" spans="1:10" ht="15.95" customHeight="1" x14ac:dyDescent="0.2">
      <c r="A7355" s="39"/>
      <c r="B7355" s="36"/>
      <c r="C7355" s="37"/>
      <c r="D7355" s="37"/>
      <c r="E7355" s="37"/>
      <c r="F7355" s="37"/>
      <c r="G7355" s="37"/>
      <c r="H7355" s="37"/>
      <c r="I7355" s="35"/>
      <c r="J7355" s="37"/>
    </row>
    <row r="7356" spans="1:10" ht="15.95" customHeight="1" x14ac:dyDescent="0.2">
      <c r="A7356" s="39"/>
      <c r="B7356" s="36"/>
      <c r="C7356" s="37"/>
      <c r="D7356" s="37"/>
      <c r="E7356" s="37"/>
      <c r="F7356" s="37"/>
      <c r="G7356" s="37"/>
      <c r="H7356" s="37"/>
      <c r="I7356" s="35"/>
      <c r="J7356" s="37"/>
    </row>
    <row r="7357" spans="1:10" ht="15.95" customHeight="1" x14ac:dyDescent="0.2">
      <c r="A7357" s="39"/>
      <c r="B7357" s="36"/>
      <c r="C7357" s="37"/>
      <c r="D7357" s="37"/>
      <c r="E7357" s="37"/>
      <c r="F7357" s="37"/>
      <c r="G7357" s="37"/>
      <c r="H7357" s="37"/>
      <c r="I7357" s="35"/>
      <c r="J7357" s="37"/>
    </row>
    <row r="7358" spans="1:10" ht="15.95" customHeight="1" x14ac:dyDescent="0.2">
      <c r="A7358" s="39"/>
      <c r="B7358" s="36"/>
      <c r="C7358" s="37"/>
      <c r="D7358" s="37"/>
      <c r="E7358" s="37"/>
      <c r="F7358" s="37"/>
      <c r="G7358" s="37"/>
      <c r="H7358" s="37"/>
      <c r="I7358" s="35"/>
      <c r="J7358" s="37"/>
    </row>
    <row r="7359" spans="1:10" ht="15.95" customHeight="1" x14ac:dyDescent="0.2">
      <c r="A7359" s="39"/>
      <c r="B7359" s="36"/>
      <c r="C7359" s="37"/>
      <c r="D7359" s="37"/>
      <c r="E7359" s="37"/>
      <c r="F7359" s="37"/>
      <c r="G7359" s="37"/>
      <c r="H7359" s="37"/>
      <c r="I7359" s="35"/>
      <c r="J7359" s="37"/>
    </row>
    <row r="7360" spans="1:10" ht="15.95" customHeight="1" x14ac:dyDescent="0.2">
      <c r="A7360" s="39"/>
      <c r="B7360" s="36"/>
      <c r="C7360" s="37"/>
      <c r="D7360" s="37"/>
      <c r="E7360" s="37"/>
      <c r="F7360" s="37"/>
      <c r="G7360" s="37"/>
      <c r="H7360" s="37"/>
      <c r="I7360" s="35"/>
      <c r="J7360" s="37"/>
    </row>
    <row r="7361" spans="1:10" ht="15.95" customHeight="1" x14ac:dyDescent="0.2">
      <c r="A7361" s="39"/>
      <c r="B7361" s="36"/>
      <c r="C7361" s="37"/>
      <c r="D7361" s="37"/>
      <c r="E7361" s="37"/>
      <c r="F7361" s="37"/>
      <c r="G7361" s="37"/>
      <c r="H7361" s="37"/>
      <c r="I7361" s="35"/>
      <c r="J7361" s="37"/>
    </row>
    <row r="7362" spans="1:10" ht="15.95" customHeight="1" x14ac:dyDescent="0.2">
      <c r="A7362" s="39"/>
      <c r="B7362" s="36"/>
      <c r="C7362" s="37"/>
      <c r="D7362" s="37"/>
      <c r="E7362" s="37"/>
      <c r="F7362" s="37"/>
      <c r="G7362" s="37"/>
      <c r="H7362" s="37"/>
      <c r="I7362" s="35"/>
      <c r="J7362" s="37"/>
    </row>
    <row r="7363" spans="1:10" ht="15.95" customHeight="1" x14ac:dyDescent="0.2">
      <c r="A7363" s="39"/>
      <c r="B7363" s="36"/>
      <c r="C7363" s="37"/>
      <c r="D7363" s="37"/>
      <c r="E7363" s="37"/>
      <c r="F7363" s="37"/>
      <c r="G7363" s="37"/>
      <c r="H7363" s="37"/>
      <c r="I7363" s="35"/>
      <c r="J7363" s="37"/>
    </row>
    <row r="7364" spans="1:10" ht="15.95" customHeight="1" x14ac:dyDescent="0.2">
      <c r="A7364" s="39"/>
      <c r="B7364" s="36"/>
      <c r="C7364" s="37"/>
      <c r="D7364" s="37"/>
      <c r="E7364" s="37"/>
      <c r="F7364" s="37"/>
      <c r="G7364" s="37"/>
      <c r="H7364" s="37"/>
      <c r="I7364" s="35"/>
      <c r="J7364" s="37"/>
    </row>
    <row r="7365" spans="1:10" ht="15.95" customHeight="1" x14ac:dyDescent="0.2">
      <c r="A7365" s="39"/>
      <c r="B7365" s="36"/>
      <c r="C7365" s="37"/>
      <c r="D7365" s="37"/>
      <c r="E7365" s="37"/>
      <c r="F7365" s="37"/>
      <c r="G7365" s="37"/>
      <c r="H7365" s="37"/>
      <c r="I7365" s="35"/>
      <c r="J7365" s="37"/>
    </row>
    <row r="7366" spans="1:10" ht="15.95" customHeight="1" x14ac:dyDescent="0.2">
      <c r="A7366" s="39"/>
      <c r="B7366" s="36"/>
      <c r="C7366" s="37"/>
      <c r="D7366" s="37"/>
      <c r="E7366" s="37"/>
      <c r="F7366" s="37"/>
      <c r="G7366" s="37"/>
      <c r="H7366" s="37"/>
      <c r="I7366" s="35"/>
      <c r="J7366" s="37"/>
    </row>
    <row r="7367" spans="1:10" ht="15.95" customHeight="1" x14ac:dyDescent="0.2">
      <c r="A7367" s="39"/>
      <c r="B7367" s="36"/>
      <c r="C7367" s="37"/>
      <c r="D7367" s="37"/>
      <c r="E7367" s="37"/>
      <c r="F7367" s="37"/>
      <c r="G7367" s="37"/>
      <c r="H7367" s="37"/>
      <c r="I7367" s="35"/>
      <c r="J7367" s="37"/>
    </row>
    <row r="7368" spans="1:10" ht="15.95" customHeight="1" x14ac:dyDescent="0.2">
      <c r="A7368" s="39"/>
      <c r="B7368" s="36"/>
      <c r="C7368" s="37"/>
      <c r="D7368" s="37"/>
      <c r="E7368" s="37"/>
      <c r="F7368" s="37"/>
      <c r="G7368" s="37"/>
      <c r="H7368" s="37"/>
      <c r="I7368" s="35"/>
      <c r="J7368" s="37"/>
    </row>
    <row r="7369" spans="1:10" ht="15.95" customHeight="1" x14ac:dyDescent="0.2">
      <c r="A7369" s="39"/>
      <c r="B7369" s="36"/>
      <c r="C7369" s="37"/>
      <c r="D7369" s="37"/>
      <c r="E7369" s="37"/>
      <c r="F7369" s="37"/>
      <c r="G7369" s="37"/>
      <c r="H7369" s="37"/>
      <c r="I7369" s="35"/>
      <c r="J7369" s="37"/>
    </row>
    <row r="7370" spans="1:10" ht="15.95" customHeight="1" x14ac:dyDescent="0.2">
      <c r="A7370" s="39"/>
      <c r="B7370" s="36"/>
      <c r="C7370" s="37"/>
      <c r="D7370" s="37"/>
      <c r="E7370" s="37"/>
      <c r="F7370" s="37"/>
      <c r="G7370" s="37"/>
      <c r="H7370" s="37"/>
      <c r="I7370" s="35"/>
      <c r="J7370" s="37"/>
    </row>
    <row r="7371" spans="1:10" ht="15.95" customHeight="1" x14ac:dyDescent="0.2">
      <c r="A7371" s="39"/>
      <c r="B7371" s="36"/>
      <c r="C7371" s="37"/>
      <c r="D7371" s="37"/>
      <c r="E7371" s="37"/>
      <c r="F7371" s="37"/>
      <c r="G7371" s="37"/>
      <c r="H7371" s="37"/>
      <c r="I7371" s="35"/>
      <c r="J7371" s="37"/>
    </row>
    <row r="7372" spans="1:10" ht="15.95" customHeight="1" x14ac:dyDescent="0.2">
      <c r="A7372" s="39"/>
      <c r="B7372" s="36"/>
      <c r="C7372" s="37"/>
      <c r="D7372" s="37"/>
      <c r="E7372" s="37"/>
      <c r="F7372" s="37"/>
      <c r="G7372" s="37"/>
      <c r="H7372" s="37"/>
      <c r="I7372" s="35"/>
      <c r="J7372" s="37"/>
    </row>
    <row r="7373" spans="1:10" ht="15.95" customHeight="1" x14ac:dyDescent="0.2">
      <c r="A7373" s="39"/>
      <c r="B7373" s="36"/>
      <c r="C7373" s="37"/>
      <c r="D7373" s="37"/>
      <c r="E7373" s="37"/>
      <c r="F7373" s="37"/>
      <c r="G7373" s="37"/>
      <c r="H7373" s="37"/>
      <c r="I7373" s="35"/>
      <c r="J7373" s="37"/>
    </row>
    <row r="7374" spans="1:10" ht="15.95" customHeight="1" x14ac:dyDescent="0.2">
      <c r="A7374" s="39"/>
      <c r="B7374" s="36"/>
      <c r="C7374" s="37"/>
      <c r="D7374" s="37"/>
      <c r="E7374" s="37"/>
      <c r="F7374" s="37"/>
      <c r="G7374" s="37"/>
      <c r="H7374" s="37"/>
      <c r="I7374" s="35"/>
      <c r="J7374" s="37"/>
    </row>
    <row r="7375" spans="1:10" ht="15.95" customHeight="1" x14ac:dyDescent="0.2">
      <c r="A7375" s="39"/>
      <c r="B7375" s="36"/>
      <c r="C7375" s="37"/>
      <c r="D7375" s="37"/>
      <c r="E7375" s="37"/>
      <c r="F7375" s="37"/>
      <c r="G7375" s="37"/>
      <c r="H7375" s="37"/>
      <c r="I7375" s="35"/>
      <c r="J7375" s="37"/>
    </row>
    <row r="7376" spans="1:10" ht="15.95" customHeight="1" x14ac:dyDescent="0.2">
      <c r="A7376" s="39"/>
      <c r="B7376" s="36"/>
      <c r="C7376" s="37"/>
      <c r="D7376" s="37"/>
      <c r="E7376" s="37"/>
      <c r="F7376" s="37"/>
      <c r="G7376" s="37"/>
      <c r="H7376" s="37"/>
      <c r="I7376" s="35"/>
      <c r="J7376" s="37"/>
    </row>
    <row r="7377" spans="1:10" ht="15.95" customHeight="1" x14ac:dyDescent="0.2">
      <c r="A7377" s="39"/>
      <c r="B7377" s="36"/>
      <c r="C7377" s="37"/>
      <c r="D7377" s="37"/>
      <c r="E7377" s="37"/>
      <c r="F7377" s="37"/>
      <c r="G7377" s="37"/>
      <c r="H7377" s="37"/>
      <c r="I7377" s="35"/>
      <c r="J7377" s="37"/>
    </row>
    <row r="7378" spans="1:10" ht="15.95" customHeight="1" x14ac:dyDescent="0.2">
      <c r="A7378" s="39"/>
      <c r="B7378" s="36"/>
      <c r="C7378" s="37"/>
      <c r="D7378" s="37"/>
      <c r="E7378" s="37"/>
      <c r="F7378" s="37"/>
      <c r="G7378" s="37"/>
      <c r="H7378" s="37"/>
      <c r="I7378" s="35"/>
      <c r="J7378" s="37"/>
    </row>
    <row r="7379" spans="1:10" ht="15.95" customHeight="1" x14ac:dyDescent="0.2">
      <c r="A7379" s="39"/>
      <c r="B7379" s="36"/>
      <c r="C7379" s="37"/>
      <c r="D7379" s="37"/>
      <c r="E7379" s="37"/>
      <c r="F7379" s="37"/>
      <c r="G7379" s="37"/>
      <c r="H7379" s="37"/>
      <c r="I7379" s="35"/>
      <c r="J7379" s="37"/>
    </row>
    <row r="7380" spans="1:10" ht="15.95" customHeight="1" x14ac:dyDescent="0.2">
      <c r="A7380" s="39"/>
      <c r="B7380" s="36"/>
      <c r="C7380" s="37"/>
      <c r="D7380" s="37"/>
      <c r="E7380" s="37"/>
      <c r="F7380" s="37"/>
      <c r="G7380" s="37"/>
      <c r="H7380" s="37"/>
      <c r="I7380" s="35"/>
      <c r="J7380" s="37"/>
    </row>
    <row r="7381" spans="1:10" ht="15.95" customHeight="1" x14ac:dyDescent="0.2">
      <c r="A7381" s="39"/>
      <c r="B7381" s="36"/>
      <c r="C7381" s="37"/>
      <c r="D7381" s="37"/>
      <c r="E7381" s="37"/>
      <c r="F7381" s="37"/>
      <c r="G7381" s="37"/>
      <c r="H7381" s="37"/>
      <c r="I7381" s="35"/>
      <c r="J7381" s="37"/>
    </row>
    <row r="7382" spans="1:10" ht="15.95" customHeight="1" x14ac:dyDescent="0.2">
      <c r="A7382" s="39"/>
      <c r="B7382" s="36"/>
      <c r="C7382" s="37"/>
      <c r="D7382" s="37"/>
      <c r="E7382" s="37"/>
      <c r="F7382" s="37"/>
      <c r="G7382" s="37"/>
      <c r="H7382" s="37"/>
      <c r="I7382" s="35"/>
      <c r="J7382" s="37"/>
    </row>
    <row r="7383" spans="1:10" ht="15.95" customHeight="1" x14ac:dyDescent="0.2">
      <c r="A7383" s="39"/>
      <c r="B7383" s="36"/>
      <c r="C7383" s="37"/>
      <c r="D7383" s="37"/>
      <c r="E7383" s="37"/>
      <c r="F7383" s="37"/>
      <c r="G7383" s="37"/>
      <c r="H7383" s="37"/>
      <c r="I7383" s="35"/>
      <c r="J7383" s="37"/>
    </row>
    <row r="7384" spans="1:10" ht="15.95" customHeight="1" x14ac:dyDescent="0.2">
      <c r="A7384" s="39"/>
      <c r="B7384" s="36"/>
      <c r="C7384" s="37"/>
      <c r="D7384" s="37"/>
      <c r="E7384" s="37"/>
      <c r="F7384" s="37"/>
      <c r="G7384" s="37"/>
      <c r="H7384" s="37"/>
      <c r="I7384" s="35"/>
      <c r="J7384" s="37"/>
    </row>
    <row r="7385" spans="1:10" ht="15.95" customHeight="1" x14ac:dyDescent="0.2">
      <c r="A7385" s="39"/>
      <c r="B7385" s="36"/>
      <c r="C7385" s="37"/>
      <c r="D7385" s="37"/>
      <c r="E7385" s="37"/>
      <c r="F7385" s="37"/>
      <c r="G7385" s="37"/>
      <c r="H7385" s="37"/>
      <c r="I7385" s="35"/>
      <c r="J7385" s="37"/>
    </row>
    <row r="7386" spans="1:10" ht="15.95" customHeight="1" x14ac:dyDescent="0.2">
      <c r="A7386" s="39"/>
      <c r="B7386" s="36"/>
      <c r="C7386" s="37"/>
      <c r="D7386" s="37"/>
      <c r="E7386" s="37"/>
      <c r="F7386" s="37"/>
      <c r="G7386" s="37"/>
      <c r="H7386" s="37"/>
      <c r="I7386" s="35"/>
      <c r="J7386" s="37"/>
    </row>
    <row r="7387" spans="1:10" ht="15.95" customHeight="1" x14ac:dyDescent="0.2">
      <c r="A7387" s="39"/>
      <c r="B7387" s="36"/>
      <c r="C7387" s="37"/>
      <c r="D7387" s="37"/>
      <c r="E7387" s="37"/>
      <c r="F7387" s="37"/>
      <c r="G7387" s="37"/>
      <c r="H7387" s="37"/>
      <c r="I7387" s="35"/>
      <c r="J7387" s="37"/>
    </row>
    <row r="7388" spans="1:10" ht="15.95" customHeight="1" x14ac:dyDescent="0.2">
      <c r="A7388" s="39"/>
      <c r="B7388" s="36"/>
      <c r="C7388" s="37"/>
      <c r="D7388" s="37"/>
      <c r="E7388" s="37"/>
      <c r="F7388" s="37"/>
      <c r="G7388" s="37"/>
      <c r="H7388" s="37"/>
      <c r="I7388" s="35"/>
      <c r="J7388" s="37"/>
    </row>
    <row r="7389" spans="1:10" ht="15.95" customHeight="1" x14ac:dyDescent="0.2">
      <c r="A7389" s="39"/>
      <c r="B7389" s="36"/>
      <c r="C7389" s="37"/>
      <c r="D7389" s="37"/>
      <c r="E7389" s="37"/>
      <c r="F7389" s="37"/>
      <c r="G7389" s="37"/>
      <c r="H7389" s="37"/>
      <c r="I7389" s="35"/>
      <c r="J7389" s="37"/>
    </row>
    <row r="7390" spans="1:10" ht="15.95" customHeight="1" x14ac:dyDescent="0.2">
      <c r="A7390" s="39"/>
      <c r="B7390" s="36"/>
      <c r="C7390" s="37"/>
      <c r="D7390" s="37"/>
      <c r="E7390" s="37"/>
      <c r="F7390" s="37"/>
      <c r="G7390" s="37"/>
      <c r="H7390" s="37"/>
      <c r="I7390" s="35"/>
      <c r="J7390" s="37"/>
    </row>
    <row r="7391" spans="1:10" ht="15.95" customHeight="1" x14ac:dyDescent="0.2">
      <c r="A7391" s="39"/>
      <c r="B7391" s="36"/>
      <c r="C7391" s="37"/>
      <c r="D7391" s="37"/>
      <c r="E7391" s="37"/>
      <c r="F7391" s="37"/>
      <c r="G7391" s="37"/>
      <c r="H7391" s="37"/>
      <c r="I7391" s="35"/>
      <c r="J7391" s="37"/>
    </row>
    <row r="7392" spans="1:10" ht="15.95" customHeight="1" x14ac:dyDescent="0.2">
      <c r="A7392" s="39"/>
      <c r="B7392" s="36"/>
      <c r="C7392" s="37"/>
      <c r="D7392" s="37"/>
      <c r="E7392" s="37"/>
      <c r="F7392" s="37"/>
      <c r="G7392" s="37"/>
      <c r="H7392" s="37"/>
      <c r="I7392" s="35"/>
      <c r="J7392" s="37"/>
    </row>
    <row r="7393" spans="1:10" ht="15.95" customHeight="1" x14ac:dyDescent="0.2">
      <c r="A7393" s="39"/>
      <c r="B7393" s="36"/>
      <c r="C7393" s="37"/>
      <c r="D7393" s="37"/>
      <c r="E7393" s="37"/>
      <c r="F7393" s="37"/>
      <c r="G7393" s="37"/>
      <c r="H7393" s="37"/>
      <c r="I7393" s="35"/>
      <c r="J7393" s="37"/>
    </row>
    <row r="7394" spans="1:10" ht="15.95" customHeight="1" x14ac:dyDescent="0.2">
      <c r="A7394" s="39"/>
      <c r="B7394" s="36"/>
      <c r="C7394" s="37"/>
      <c r="D7394" s="37"/>
      <c r="E7394" s="37"/>
      <c r="F7394" s="37"/>
      <c r="G7394" s="37"/>
      <c r="H7394" s="37"/>
      <c r="I7394" s="35"/>
      <c r="J7394" s="37"/>
    </row>
    <row r="7395" spans="1:10" ht="15.95" customHeight="1" x14ac:dyDescent="0.2">
      <c r="A7395" s="39"/>
      <c r="B7395" s="36"/>
      <c r="C7395" s="37"/>
      <c r="D7395" s="37"/>
      <c r="E7395" s="37"/>
      <c r="F7395" s="37"/>
      <c r="G7395" s="37"/>
      <c r="H7395" s="37"/>
      <c r="I7395" s="35"/>
      <c r="J7395" s="37"/>
    </row>
    <row r="7396" spans="1:10" ht="15.95" customHeight="1" x14ac:dyDescent="0.2">
      <c r="A7396" s="39"/>
      <c r="B7396" s="36"/>
      <c r="C7396" s="37"/>
      <c r="D7396" s="37"/>
      <c r="E7396" s="37"/>
      <c r="F7396" s="37"/>
      <c r="G7396" s="37"/>
      <c r="H7396" s="37"/>
      <c r="I7396" s="35"/>
      <c r="J7396" s="37"/>
    </row>
    <row r="7397" spans="1:10" ht="15.95" customHeight="1" x14ac:dyDescent="0.2">
      <c r="A7397" s="39"/>
      <c r="B7397" s="36"/>
      <c r="C7397" s="37"/>
      <c r="D7397" s="37"/>
      <c r="E7397" s="37"/>
      <c r="F7397" s="37"/>
      <c r="G7397" s="37"/>
      <c r="H7397" s="37"/>
      <c r="I7397" s="35"/>
      <c r="J7397" s="37"/>
    </row>
    <row r="7398" spans="1:10" ht="15.95" customHeight="1" x14ac:dyDescent="0.2">
      <c r="A7398" s="39"/>
      <c r="B7398" s="36"/>
      <c r="C7398" s="37"/>
      <c r="D7398" s="37"/>
      <c r="E7398" s="37"/>
      <c r="F7398" s="37"/>
      <c r="G7398" s="37"/>
      <c r="H7398" s="37"/>
      <c r="I7398" s="35"/>
      <c r="J7398" s="37"/>
    </row>
    <row r="7399" spans="1:10" ht="15.95" customHeight="1" x14ac:dyDescent="0.2">
      <c r="A7399" s="39"/>
      <c r="B7399" s="36"/>
      <c r="C7399" s="37"/>
      <c r="D7399" s="37"/>
      <c r="E7399" s="37"/>
      <c r="F7399" s="37"/>
      <c r="G7399" s="37"/>
      <c r="H7399" s="37"/>
      <c r="I7399" s="35"/>
      <c r="J7399" s="37"/>
    </row>
    <row r="7400" spans="1:10" ht="15.95" customHeight="1" x14ac:dyDescent="0.2">
      <c r="A7400" s="39"/>
      <c r="B7400" s="36"/>
      <c r="C7400" s="37"/>
      <c r="D7400" s="37"/>
      <c r="E7400" s="37"/>
      <c r="F7400" s="37"/>
      <c r="G7400" s="37"/>
      <c r="H7400" s="37"/>
      <c r="I7400" s="35"/>
      <c r="J7400" s="37"/>
    </row>
    <row r="7401" spans="1:10" ht="15.95" customHeight="1" x14ac:dyDescent="0.2">
      <c r="A7401" s="39"/>
      <c r="B7401" s="36"/>
      <c r="C7401" s="37"/>
      <c r="D7401" s="37"/>
      <c r="E7401" s="37"/>
      <c r="F7401" s="37"/>
      <c r="G7401" s="37"/>
      <c r="H7401" s="37"/>
      <c r="I7401" s="35"/>
      <c r="J7401" s="37"/>
    </row>
    <row r="7402" spans="1:10" ht="15.95" customHeight="1" x14ac:dyDescent="0.2">
      <c r="A7402" s="39"/>
      <c r="B7402" s="36"/>
      <c r="C7402" s="37"/>
      <c r="D7402" s="37"/>
      <c r="E7402" s="37"/>
      <c r="F7402" s="37"/>
      <c r="G7402" s="37"/>
      <c r="H7402" s="37"/>
      <c r="I7402" s="35"/>
      <c r="J7402" s="37"/>
    </row>
    <row r="7403" spans="1:10" ht="15.95" customHeight="1" x14ac:dyDescent="0.2">
      <c r="A7403" s="39"/>
      <c r="B7403" s="36"/>
      <c r="C7403" s="37"/>
      <c r="D7403" s="37"/>
      <c r="E7403" s="37"/>
      <c r="F7403" s="37"/>
      <c r="G7403" s="37"/>
      <c r="H7403" s="37"/>
      <c r="I7403" s="35"/>
      <c r="J7403" s="37"/>
    </row>
    <row r="7404" spans="1:10" ht="15.95" customHeight="1" x14ac:dyDescent="0.2">
      <c r="A7404" s="39"/>
      <c r="B7404" s="36"/>
      <c r="C7404" s="37"/>
      <c r="D7404" s="37"/>
      <c r="E7404" s="37"/>
      <c r="F7404" s="37"/>
      <c r="G7404" s="37"/>
      <c r="H7404" s="37"/>
      <c r="I7404" s="35"/>
      <c r="J7404" s="37"/>
    </row>
    <row r="7405" spans="1:10" ht="15.95" customHeight="1" x14ac:dyDescent="0.2">
      <c r="A7405" s="39"/>
      <c r="B7405" s="36"/>
      <c r="C7405" s="37"/>
      <c r="D7405" s="37"/>
      <c r="E7405" s="37"/>
      <c r="F7405" s="37"/>
      <c r="G7405" s="37"/>
      <c r="H7405" s="37"/>
      <c r="I7405" s="35"/>
      <c r="J7405" s="37"/>
    </row>
    <row r="7406" spans="1:10" ht="15.95" customHeight="1" x14ac:dyDescent="0.2">
      <c r="A7406" s="39"/>
      <c r="B7406" s="36"/>
      <c r="C7406" s="37"/>
      <c r="D7406" s="37"/>
      <c r="E7406" s="37"/>
      <c r="F7406" s="37"/>
      <c r="G7406" s="37"/>
      <c r="H7406" s="37"/>
      <c r="I7406" s="35"/>
      <c r="J7406" s="37"/>
    </row>
    <row r="7407" spans="1:10" ht="15.95" customHeight="1" x14ac:dyDescent="0.2">
      <c r="A7407" s="39"/>
      <c r="B7407" s="36"/>
      <c r="C7407" s="37"/>
      <c r="D7407" s="37"/>
      <c r="E7407" s="37"/>
      <c r="F7407" s="37"/>
      <c r="G7407" s="37"/>
      <c r="H7407" s="37"/>
      <c r="I7407" s="35"/>
      <c r="J7407" s="37"/>
    </row>
    <row r="7408" spans="1:10" ht="15.95" customHeight="1" x14ac:dyDescent="0.2">
      <c r="A7408" s="39"/>
      <c r="B7408" s="36"/>
      <c r="C7408" s="37"/>
      <c r="D7408" s="37"/>
      <c r="E7408" s="37"/>
      <c r="F7408" s="37"/>
      <c r="G7408" s="37"/>
      <c r="H7408" s="37"/>
      <c r="I7408" s="35"/>
      <c r="J7408" s="37"/>
    </row>
    <row r="7409" spans="1:10" ht="15.95" customHeight="1" x14ac:dyDescent="0.2">
      <c r="A7409" s="39"/>
      <c r="B7409" s="36"/>
      <c r="C7409" s="37"/>
      <c r="D7409" s="37"/>
      <c r="E7409" s="37"/>
      <c r="F7409" s="37"/>
      <c r="G7409" s="37"/>
      <c r="H7409" s="37"/>
      <c r="I7409" s="35"/>
      <c r="J7409" s="37"/>
    </row>
    <row r="7410" spans="1:10" ht="15.95" customHeight="1" x14ac:dyDescent="0.2">
      <c r="A7410" s="39"/>
      <c r="B7410" s="36"/>
      <c r="C7410" s="37"/>
      <c r="D7410" s="37"/>
      <c r="E7410" s="37"/>
      <c r="F7410" s="37"/>
      <c r="G7410" s="37"/>
      <c r="H7410" s="37"/>
      <c r="I7410" s="35"/>
      <c r="J7410" s="37"/>
    </row>
    <row r="7411" spans="1:10" ht="15.95" customHeight="1" x14ac:dyDescent="0.2">
      <c r="A7411" s="39"/>
      <c r="B7411" s="36"/>
      <c r="C7411" s="37"/>
      <c r="D7411" s="37"/>
      <c r="E7411" s="37"/>
      <c r="F7411" s="37"/>
      <c r="G7411" s="37"/>
      <c r="H7411" s="37"/>
      <c r="I7411" s="35"/>
      <c r="J7411" s="37"/>
    </row>
    <row r="7412" spans="1:10" ht="15.95" customHeight="1" x14ac:dyDescent="0.2">
      <c r="A7412" s="39"/>
      <c r="B7412" s="36"/>
      <c r="C7412" s="37"/>
      <c r="D7412" s="37"/>
      <c r="E7412" s="37"/>
      <c r="F7412" s="37"/>
      <c r="G7412" s="37"/>
      <c r="H7412" s="37"/>
      <c r="I7412" s="35"/>
      <c r="J7412" s="37"/>
    </row>
    <row r="7413" spans="1:10" ht="15.95" customHeight="1" x14ac:dyDescent="0.2">
      <c r="A7413" s="39"/>
      <c r="B7413" s="36"/>
      <c r="C7413" s="37"/>
      <c r="D7413" s="37"/>
      <c r="E7413" s="37"/>
      <c r="F7413" s="37"/>
      <c r="G7413" s="37"/>
      <c r="H7413" s="37"/>
      <c r="I7413" s="35"/>
      <c r="J7413" s="37"/>
    </row>
    <row r="7414" spans="1:10" ht="15.95" customHeight="1" x14ac:dyDescent="0.2">
      <c r="A7414" s="39"/>
      <c r="B7414" s="36"/>
      <c r="C7414" s="37"/>
      <c r="D7414" s="37"/>
      <c r="E7414" s="37"/>
      <c r="F7414" s="37"/>
      <c r="G7414" s="37"/>
      <c r="H7414" s="37"/>
      <c r="I7414" s="35"/>
      <c r="J7414" s="37"/>
    </row>
    <row r="7415" spans="1:10" ht="15.95" customHeight="1" x14ac:dyDescent="0.2">
      <c r="A7415" s="39"/>
      <c r="B7415" s="36"/>
      <c r="C7415" s="37"/>
      <c r="D7415" s="37"/>
      <c r="E7415" s="37"/>
      <c r="F7415" s="37"/>
      <c r="G7415" s="37"/>
      <c r="H7415" s="37"/>
      <c r="I7415" s="35"/>
      <c r="J7415" s="37"/>
    </row>
    <row r="7416" spans="1:10" ht="15.95" customHeight="1" x14ac:dyDescent="0.2">
      <c r="A7416" s="39"/>
      <c r="B7416" s="36"/>
      <c r="C7416" s="37"/>
      <c r="D7416" s="37"/>
      <c r="E7416" s="37"/>
      <c r="F7416" s="37"/>
      <c r="G7416" s="37"/>
      <c r="H7416" s="37"/>
      <c r="I7416" s="35"/>
      <c r="J7416" s="37"/>
    </row>
    <row r="7417" spans="1:10" ht="15.95" customHeight="1" x14ac:dyDescent="0.2">
      <c r="A7417" s="39"/>
      <c r="B7417" s="36"/>
      <c r="C7417" s="37"/>
      <c r="D7417" s="37"/>
      <c r="E7417" s="37"/>
      <c r="F7417" s="37"/>
      <c r="G7417" s="37"/>
      <c r="H7417" s="37"/>
      <c r="I7417" s="35"/>
      <c r="J7417" s="37"/>
    </row>
    <row r="7418" spans="1:10" ht="15.95" customHeight="1" x14ac:dyDescent="0.2">
      <c r="A7418" s="39"/>
      <c r="B7418" s="36"/>
      <c r="C7418" s="37"/>
      <c r="D7418" s="37"/>
      <c r="E7418" s="37"/>
      <c r="F7418" s="37"/>
      <c r="G7418" s="37"/>
      <c r="H7418" s="37"/>
      <c r="I7418" s="35"/>
      <c r="J7418" s="37"/>
    </row>
    <row r="7419" spans="1:10" ht="15.95" customHeight="1" x14ac:dyDescent="0.2">
      <c r="A7419" s="39"/>
      <c r="B7419" s="36"/>
      <c r="C7419" s="37"/>
      <c r="D7419" s="37"/>
      <c r="E7419" s="37"/>
      <c r="F7419" s="37"/>
      <c r="G7419" s="37"/>
      <c r="H7419" s="37"/>
      <c r="I7419" s="35"/>
      <c r="J7419" s="37"/>
    </row>
    <row r="7420" spans="1:10" ht="15.95" customHeight="1" x14ac:dyDescent="0.2">
      <c r="A7420" s="39"/>
      <c r="B7420" s="36"/>
      <c r="C7420" s="37"/>
      <c r="D7420" s="37"/>
      <c r="E7420" s="37"/>
      <c r="F7420" s="37"/>
      <c r="G7420" s="37"/>
      <c r="H7420" s="37"/>
      <c r="I7420" s="35"/>
      <c r="J7420" s="37"/>
    </row>
    <row r="7421" spans="1:10" ht="15.95" customHeight="1" x14ac:dyDescent="0.2">
      <c r="A7421" s="39"/>
      <c r="B7421" s="36"/>
      <c r="C7421" s="37"/>
      <c r="D7421" s="37"/>
      <c r="E7421" s="37"/>
      <c r="F7421" s="37"/>
      <c r="G7421" s="37"/>
      <c r="H7421" s="37"/>
      <c r="I7421" s="35"/>
      <c r="J7421" s="37"/>
    </row>
    <row r="7422" spans="1:10" ht="15.95" customHeight="1" x14ac:dyDescent="0.2">
      <c r="A7422" s="39"/>
      <c r="B7422" s="36"/>
      <c r="C7422" s="37"/>
      <c r="D7422" s="37"/>
      <c r="E7422" s="37"/>
      <c r="F7422" s="37"/>
      <c r="G7422" s="37"/>
      <c r="H7422" s="37"/>
      <c r="I7422" s="35"/>
      <c r="J7422" s="37"/>
    </row>
    <row r="7423" spans="1:10" ht="15.95" customHeight="1" x14ac:dyDescent="0.2">
      <c r="A7423" s="39"/>
      <c r="B7423" s="36"/>
      <c r="C7423" s="37"/>
      <c r="D7423" s="37"/>
      <c r="E7423" s="37"/>
      <c r="F7423" s="37"/>
      <c r="G7423" s="37"/>
      <c r="H7423" s="37"/>
      <c r="I7423" s="35"/>
      <c r="J7423" s="37"/>
    </row>
    <row r="7424" spans="1:10" ht="15.95" customHeight="1" x14ac:dyDescent="0.2">
      <c r="A7424" s="39"/>
      <c r="B7424" s="36"/>
      <c r="C7424" s="37"/>
      <c r="D7424" s="37"/>
      <c r="E7424" s="37"/>
      <c r="F7424" s="37"/>
      <c r="G7424" s="37"/>
      <c r="H7424" s="37"/>
      <c r="I7424" s="35"/>
      <c r="J7424" s="37"/>
    </row>
    <row r="7425" spans="1:10" ht="15.95" customHeight="1" x14ac:dyDescent="0.2">
      <c r="A7425" s="39"/>
      <c r="B7425" s="36"/>
      <c r="C7425" s="37"/>
      <c r="D7425" s="37"/>
      <c r="E7425" s="37"/>
      <c r="F7425" s="37"/>
      <c r="G7425" s="37"/>
      <c r="H7425" s="37"/>
      <c r="I7425" s="35"/>
      <c r="J7425" s="37"/>
    </row>
    <row r="7426" spans="1:10" ht="15.95" customHeight="1" x14ac:dyDescent="0.2">
      <c r="A7426" s="39"/>
      <c r="B7426" s="36"/>
      <c r="C7426" s="37"/>
      <c r="D7426" s="37"/>
      <c r="E7426" s="37"/>
      <c r="F7426" s="37"/>
      <c r="G7426" s="37"/>
      <c r="H7426" s="37"/>
      <c r="I7426" s="35"/>
      <c r="J7426" s="37"/>
    </row>
    <row r="7427" spans="1:10" ht="15.95" customHeight="1" x14ac:dyDescent="0.2">
      <c r="A7427" s="39"/>
      <c r="B7427" s="36"/>
      <c r="C7427" s="37"/>
      <c r="D7427" s="37"/>
      <c r="E7427" s="37"/>
      <c r="F7427" s="37"/>
      <c r="G7427" s="37"/>
      <c r="H7427" s="37"/>
      <c r="I7427" s="35"/>
      <c r="J7427" s="37"/>
    </row>
    <row r="7428" spans="1:10" ht="15.95" customHeight="1" x14ac:dyDescent="0.2">
      <c r="A7428" s="39"/>
      <c r="B7428" s="36"/>
      <c r="C7428" s="37"/>
      <c r="D7428" s="37"/>
      <c r="E7428" s="37"/>
      <c r="F7428" s="37"/>
      <c r="G7428" s="37"/>
      <c r="H7428" s="37"/>
      <c r="I7428" s="35"/>
      <c r="J7428" s="37"/>
    </row>
    <row r="7429" spans="1:10" ht="15.95" customHeight="1" x14ac:dyDescent="0.2">
      <c r="A7429" s="39"/>
      <c r="B7429" s="36"/>
      <c r="C7429" s="37"/>
      <c r="D7429" s="37"/>
      <c r="E7429" s="37"/>
      <c r="F7429" s="37"/>
      <c r="G7429" s="37"/>
      <c r="H7429" s="37"/>
      <c r="I7429" s="35"/>
      <c r="J7429" s="37"/>
    </row>
    <row r="7430" spans="1:10" ht="15.95" customHeight="1" x14ac:dyDescent="0.2">
      <c r="A7430" s="39"/>
      <c r="B7430" s="36"/>
      <c r="C7430" s="37"/>
      <c r="D7430" s="37"/>
      <c r="E7430" s="37"/>
      <c r="F7430" s="37"/>
      <c r="G7430" s="37"/>
      <c r="H7430" s="37"/>
      <c r="I7430" s="35"/>
      <c r="J7430" s="37"/>
    </row>
    <row r="7431" spans="1:10" ht="15.95" customHeight="1" x14ac:dyDescent="0.2">
      <c r="A7431" s="39"/>
      <c r="B7431" s="36"/>
      <c r="C7431" s="37"/>
      <c r="D7431" s="37"/>
      <c r="E7431" s="37"/>
      <c r="F7431" s="37"/>
      <c r="G7431" s="37"/>
      <c r="H7431" s="37"/>
      <c r="I7431" s="35"/>
      <c r="J7431" s="37"/>
    </row>
    <row r="7432" spans="1:10" ht="15.95" customHeight="1" x14ac:dyDescent="0.2">
      <c r="A7432" s="39"/>
      <c r="B7432" s="36"/>
      <c r="C7432" s="37"/>
      <c r="D7432" s="37"/>
      <c r="E7432" s="37"/>
      <c r="F7432" s="37"/>
      <c r="G7432" s="37"/>
      <c r="H7432" s="37"/>
      <c r="I7432" s="35"/>
      <c r="J7432" s="37"/>
    </row>
    <row r="7433" spans="1:10" ht="15.95" customHeight="1" x14ac:dyDescent="0.2">
      <c r="A7433" s="39"/>
      <c r="B7433" s="36"/>
      <c r="C7433" s="37"/>
      <c r="D7433" s="37"/>
      <c r="E7433" s="37"/>
      <c r="F7433" s="37"/>
      <c r="G7433" s="37"/>
      <c r="H7433" s="37"/>
      <c r="I7433" s="35"/>
      <c r="J7433" s="37"/>
    </row>
    <row r="7434" spans="1:10" ht="15.95" customHeight="1" x14ac:dyDescent="0.2">
      <c r="A7434" s="39"/>
      <c r="B7434" s="36"/>
      <c r="C7434" s="37"/>
      <c r="D7434" s="37"/>
      <c r="E7434" s="37"/>
      <c r="F7434" s="37"/>
      <c r="G7434" s="37"/>
      <c r="H7434" s="37"/>
      <c r="I7434" s="35"/>
      <c r="J7434" s="37"/>
    </row>
    <row r="7435" spans="1:10" ht="15.95" customHeight="1" x14ac:dyDescent="0.2">
      <c r="A7435" s="39"/>
      <c r="B7435" s="36"/>
      <c r="C7435" s="37"/>
      <c r="D7435" s="37"/>
      <c r="E7435" s="37"/>
      <c r="F7435" s="37"/>
      <c r="G7435" s="37"/>
      <c r="H7435" s="37"/>
      <c r="I7435" s="35"/>
      <c r="J7435" s="37"/>
    </row>
    <row r="7436" spans="1:10" ht="15.95" customHeight="1" x14ac:dyDescent="0.2">
      <c r="A7436" s="39"/>
      <c r="B7436" s="36"/>
      <c r="C7436" s="37"/>
      <c r="D7436" s="37"/>
      <c r="E7436" s="37"/>
      <c r="F7436" s="37"/>
      <c r="G7436" s="37"/>
      <c r="H7436" s="37"/>
      <c r="I7436" s="35"/>
      <c r="J7436" s="37"/>
    </row>
    <row r="7437" spans="1:10" ht="15.95" customHeight="1" x14ac:dyDescent="0.2">
      <c r="A7437" s="39"/>
      <c r="B7437" s="36"/>
      <c r="C7437" s="37"/>
      <c r="D7437" s="37"/>
      <c r="E7437" s="37"/>
      <c r="F7437" s="37"/>
      <c r="G7437" s="37"/>
      <c r="H7437" s="37"/>
      <c r="I7437" s="35"/>
      <c r="J7437" s="37"/>
    </row>
    <row r="7438" spans="1:10" ht="15.95" customHeight="1" x14ac:dyDescent="0.2">
      <c r="A7438" s="39"/>
      <c r="B7438" s="36"/>
      <c r="C7438" s="37"/>
      <c r="D7438" s="37"/>
      <c r="E7438" s="37"/>
      <c r="F7438" s="37"/>
      <c r="G7438" s="37"/>
      <c r="H7438" s="37"/>
      <c r="I7438" s="35"/>
      <c r="J7438" s="37"/>
    </row>
    <row r="7439" spans="1:10" ht="15.95" customHeight="1" x14ac:dyDescent="0.2">
      <c r="A7439" s="39"/>
      <c r="B7439" s="36"/>
      <c r="C7439" s="37"/>
      <c r="D7439" s="37"/>
      <c r="E7439" s="37"/>
      <c r="F7439" s="37"/>
      <c r="G7439" s="37"/>
      <c r="H7439" s="37"/>
      <c r="I7439" s="35"/>
      <c r="J7439" s="37"/>
    </row>
    <row r="7440" spans="1:10" ht="15.95" customHeight="1" x14ac:dyDescent="0.2">
      <c r="A7440" s="39"/>
      <c r="B7440" s="36"/>
      <c r="C7440" s="37"/>
      <c r="D7440" s="37"/>
      <c r="E7440" s="37"/>
      <c r="F7440" s="37"/>
      <c r="G7440" s="37"/>
      <c r="H7440" s="37"/>
      <c r="I7440" s="35"/>
      <c r="J7440" s="37"/>
    </row>
    <row r="7441" spans="1:10" ht="15.95" customHeight="1" x14ac:dyDescent="0.2">
      <c r="A7441" s="39"/>
      <c r="B7441" s="36"/>
      <c r="C7441" s="37"/>
      <c r="D7441" s="37"/>
      <c r="E7441" s="37"/>
      <c r="F7441" s="37"/>
      <c r="G7441" s="37"/>
      <c r="H7441" s="37"/>
      <c r="I7441" s="35"/>
      <c r="J7441" s="37"/>
    </row>
    <row r="7442" spans="1:10" ht="15.95" customHeight="1" x14ac:dyDescent="0.2">
      <c r="A7442" s="39"/>
      <c r="B7442" s="36"/>
      <c r="C7442" s="37"/>
      <c r="D7442" s="37"/>
      <c r="E7442" s="37"/>
      <c r="F7442" s="37"/>
      <c r="G7442" s="37"/>
      <c r="H7442" s="37"/>
      <c r="I7442" s="35"/>
      <c r="J7442" s="37"/>
    </row>
    <row r="7443" spans="1:10" ht="15.95" customHeight="1" x14ac:dyDescent="0.2">
      <c r="A7443" s="39"/>
      <c r="B7443" s="36"/>
      <c r="C7443" s="37"/>
      <c r="D7443" s="37"/>
      <c r="E7443" s="37"/>
      <c r="F7443" s="37"/>
      <c r="G7443" s="37"/>
      <c r="H7443" s="37"/>
      <c r="I7443" s="35"/>
      <c r="J7443" s="37"/>
    </row>
    <row r="7444" spans="1:10" ht="15.95" customHeight="1" x14ac:dyDescent="0.2">
      <c r="A7444" s="39"/>
      <c r="B7444" s="36"/>
      <c r="C7444" s="37"/>
      <c r="D7444" s="37"/>
      <c r="E7444" s="37"/>
      <c r="F7444" s="37"/>
      <c r="G7444" s="37"/>
      <c r="H7444" s="37"/>
      <c r="I7444" s="35"/>
      <c r="J7444" s="37"/>
    </row>
    <row r="7445" spans="1:10" ht="15.95" customHeight="1" x14ac:dyDescent="0.2">
      <c r="A7445" s="39"/>
      <c r="B7445" s="36"/>
      <c r="C7445" s="37"/>
      <c r="D7445" s="37"/>
      <c r="E7445" s="37"/>
      <c r="F7445" s="37"/>
      <c r="G7445" s="37"/>
      <c r="H7445" s="37"/>
      <c r="I7445" s="35"/>
      <c r="J7445" s="37"/>
    </row>
    <row r="7446" spans="1:10" ht="15.95" customHeight="1" x14ac:dyDescent="0.2">
      <c r="A7446" s="39"/>
      <c r="B7446" s="36"/>
      <c r="C7446" s="37"/>
      <c r="D7446" s="37"/>
      <c r="E7446" s="37"/>
      <c r="F7446" s="37"/>
      <c r="G7446" s="37"/>
      <c r="H7446" s="37"/>
      <c r="I7446" s="35"/>
      <c r="J7446" s="37"/>
    </row>
    <row r="7447" spans="1:10" ht="15.95" customHeight="1" x14ac:dyDescent="0.2">
      <c r="A7447" s="39"/>
      <c r="B7447" s="36"/>
      <c r="C7447" s="37"/>
      <c r="D7447" s="37"/>
      <c r="E7447" s="37"/>
      <c r="F7447" s="37"/>
      <c r="G7447" s="37"/>
      <c r="H7447" s="37"/>
      <c r="I7447" s="35"/>
      <c r="J7447" s="37"/>
    </row>
    <row r="7448" spans="1:10" ht="15.95" customHeight="1" x14ac:dyDescent="0.2">
      <c r="A7448" s="39"/>
      <c r="B7448" s="36"/>
      <c r="C7448" s="37"/>
      <c r="D7448" s="37"/>
      <c r="E7448" s="37"/>
      <c r="F7448" s="37"/>
      <c r="G7448" s="37"/>
      <c r="H7448" s="37"/>
      <c r="I7448" s="35"/>
      <c r="J7448" s="37"/>
    </row>
    <row r="7449" spans="1:10" ht="15.95" customHeight="1" x14ac:dyDescent="0.2">
      <c r="A7449" s="39"/>
      <c r="B7449" s="36"/>
      <c r="C7449" s="37"/>
      <c r="D7449" s="37"/>
      <c r="E7449" s="37"/>
      <c r="F7449" s="37"/>
      <c r="G7449" s="37"/>
      <c r="H7449" s="37"/>
      <c r="I7449" s="35"/>
      <c r="J7449" s="37"/>
    </row>
    <row r="7450" spans="1:10" ht="15.95" customHeight="1" x14ac:dyDescent="0.2">
      <c r="A7450" s="39"/>
      <c r="B7450" s="36"/>
      <c r="C7450" s="37"/>
      <c r="D7450" s="37"/>
      <c r="E7450" s="37"/>
      <c r="F7450" s="37"/>
      <c r="G7450" s="37"/>
      <c r="H7450" s="37"/>
      <c r="I7450" s="35"/>
      <c r="J7450" s="37"/>
    </row>
    <row r="7451" spans="1:10" ht="15.95" customHeight="1" x14ac:dyDescent="0.2">
      <c r="A7451" s="39"/>
      <c r="B7451" s="36"/>
      <c r="C7451" s="37"/>
      <c r="D7451" s="37"/>
      <c r="E7451" s="37"/>
      <c r="F7451" s="37"/>
      <c r="G7451" s="37"/>
      <c r="H7451" s="37"/>
      <c r="I7451" s="35"/>
      <c r="J7451" s="37"/>
    </row>
    <row r="7452" spans="1:10" ht="15.95" customHeight="1" x14ac:dyDescent="0.2">
      <c r="A7452" s="39"/>
      <c r="B7452" s="36"/>
      <c r="C7452" s="37"/>
      <c r="D7452" s="37"/>
      <c r="E7452" s="37"/>
      <c r="F7452" s="37"/>
      <c r="G7452" s="37"/>
      <c r="H7452" s="37"/>
      <c r="I7452" s="35"/>
      <c r="J7452" s="37"/>
    </row>
    <row r="7453" spans="1:10" ht="15.95" customHeight="1" x14ac:dyDescent="0.2">
      <c r="A7453" s="39"/>
      <c r="B7453" s="36"/>
      <c r="C7453" s="37"/>
      <c r="D7453" s="37"/>
      <c r="E7453" s="37"/>
      <c r="F7453" s="37"/>
      <c r="G7453" s="37"/>
      <c r="H7453" s="37"/>
      <c r="I7453" s="35"/>
      <c r="J7453" s="37"/>
    </row>
    <row r="7454" spans="1:10" ht="15.95" customHeight="1" x14ac:dyDescent="0.2">
      <c r="A7454" s="39"/>
      <c r="B7454" s="36"/>
      <c r="C7454" s="37"/>
      <c r="D7454" s="37"/>
      <c r="E7454" s="37"/>
      <c r="F7454" s="37"/>
      <c r="G7454" s="37"/>
      <c r="H7454" s="37"/>
      <c r="I7454" s="35"/>
      <c r="J7454" s="37"/>
    </row>
    <row r="7455" spans="1:10" ht="15.95" customHeight="1" x14ac:dyDescent="0.2">
      <c r="A7455" s="39"/>
      <c r="B7455" s="36"/>
      <c r="C7455" s="37"/>
      <c r="D7455" s="37"/>
      <c r="E7455" s="37"/>
      <c r="F7455" s="37"/>
      <c r="G7455" s="37"/>
      <c r="H7455" s="37"/>
      <c r="I7455" s="35"/>
      <c r="J7455" s="37"/>
    </row>
    <row r="7456" spans="1:10" ht="15.95" customHeight="1" x14ac:dyDescent="0.2">
      <c r="A7456" s="39"/>
      <c r="B7456" s="36"/>
      <c r="C7456" s="37"/>
      <c r="D7456" s="37"/>
      <c r="E7456" s="37"/>
      <c r="F7456" s="37"/>
      <c r="G7456" s="37"/>
      <c r="H7456" s="37"/>
      <c r="I7456" s="35"/>
      <c r="J7456" s="37"/>
    </row>
    <row r="7457" spans="1:10" ht="15.95" customHeight="1" x14ac:dyDescent="0.2">
      <c r="A7457" s="39"/>
      <c r="B7457" s="36"/>
      <c r="C7457" s="37"/>
      <c r="D7457" s="37"/>
      <c r="E7457" s="37"/>
      <c r="F7457" s="37"/>
      <c r="G7457" s="37"/>
      <c r="H7457" s="37"/>
      <c r="I7457" s="35"/>
      <c r="J7457" s="37"/>
    </row>
    <row r="7458" spans="1:10" ht="15.95" customHeight="1" x14ac:dyDescent="0.2">
      <c r="A7458" s="39"/>
      <c r="B7458" s="36"/>
      <c r="C7458" s="37"/>
      <c r="D7458" s="37"/>
      <c r="E7458" s="37"/>
      <c r="F7458" s="37"/>
      <c r="G7458" s="37"/>
      <c r="H7458" s="37"/>
      <c r="I7458" s="35"/>
      <c r="J7458" s="37"/>
    </row>
    <row r="7459" spans="1:10" ht="15.95" customHeight="1" x14ac:dyDescent="0.2">
      <c r="A7459" s="39"/>
      <c r="B7459" s="36"/>
      <c r="C7459" s="37"/>
      <c r="D7459" s="37"/>
      <c r="E7459" s="37"/>
      <c r="F7459" s="37"/>
      <c r="G7459" s="37"/>
      <c r="H7459" s="37"/>
      <c r="I7459" s="35"/>
      <c r="J7459" s="37"/>
    </row>
    <row r="7460" spans="1:10" ht="15.95" customHeight="1" x14ac:dyDescent="0.2">
      <c r="A7460" s="39"/>
      <c r="B7460" s="36"/>
      <c r="C7460" s="37"/>
      <c r="D7460" s="37"/>
      <c r="E7460" s="37"/>
      <c r="F7460" s="37"/>
      <c r="G7460" s="37"/>
      <c r="H7460" s="37"/>
      <c r="I7460" s="35"/>
      <c r="J7460" s="37"/>
    </row>
    <row r="7461" spans="1:10" ht="15.95" customHeight="1" x14ac:dyDescent="0.2">
      <c r="A7461" s="39"/>
      <c r="B7461" s="36"/>
      <c r="C7461" s="37"/>
      <c r="D7461" s="37"/>
      <c r="E7461" s="37"/>
      <c r="F7461" s="37"/>
      <c r="G7461" s="37"/>
      <c r="H7461" s="37"/>
      <c r="I7461" s="35"/>
      <c r="J7461" s="37"/>
    </row>
    <row r="7462" spans="1:10" ht="15.95" customHeight="1" x14ac:dyDescent="0.2">
      <c r="A7462" s="39"/>
      <c r="B7462" s="36"/>
      <c r="C7462" s="37"/>
      <c r="D7462" s="37"/>
      <c r="E7462" s="37"/>
      <c r="F7462" s="37"/>
      <c r="G7462" s="37"/>
      <c r="H7462" s="37"/>
      <c r="I7462" s="35"/>
      <c r="J7462" s="37"/>
    </row>
    <row r="7463" spans="1:10" ht="15.95" customHeight="1" x14ac:dyDescent="0.2">
      <c r="A7463" s="39"/>
      <c r="B7463" s="36"/>
      <c r="C7463" s="37"/>
      <c r="D7463" s="37"/>
      <c r="E7463" s="37"/>
      <c r="F7463" s="37"/>
      <c r="G7463" s="37"/>
      <c r="H7463" s="37"/>
      <c r="I7463" s="35"/>
      <c r="J7463" s="37"/>
    </row>
    <row r="7464" spans="1:10" ht="15.95" customHeight="1" x14ac:dyDescent="0.2">
      <c r="A7464" s="39"/>
      <c r="B7464" s="36"/>
      <c r="C7464" s="37"/>
      <c r="D7464" s="37"/>
      <c r="E7464" s="37"/>
      <c r="F7464" s="37"/>
      <c r="G7464" s="37"/>
      <c r="H7464" s="37"/>
      <c r="I7464" s="35"/>
      <c r="J7464" s="37"/>
    </row>
    <row r="7465" spans="1:10" ht="15.95" customHeight="1" x14ac:dyDescent="0.2">
      <c r="A7465" s="39"/>
      <c r="B7465" s="36"/>
      <c r="C7465" s="37"/>
      <c r="D7465" s="37"/>
      <c r="E7465" s="37"/>
      <c r="F7465" s="37"/>
      <c r="G7465" s="37"/>
      <c r="H7465" s="37"/>
      <c r="I7465" s="35"/>
      <c r="J7465" s="37"/>
    </row>
    <row r="7466" spans="1:10" ht="15.95" customHeight="1" x14ac:dyDescent="0.2">
      <c r="A7466" s="39"/>
      <c r="B7466" s="36"/>
      <c r="C7466" s="37"/>
      <c r="D7466" s="37"/>
      <c r="E7466" s="37"/>
      <c r="F7466" s="37"/>
      <c r="G7466" s="37"/>
      <c r="H7466" s="37"/>
      <c r="I7466" s="35"/>
      <c r="J7466" s="37"/>
    </row>
    <row r="7467" spans="1:10" ht="15.95" customHeight="1" x14ac:dyDescent="0.2">
      <c r="A7467" s="39"/>
      <c r="B7467" s="36"/>
      <c r="C7467" s="37"/>
      <c r="D7467" s="37"/>
      <c r="E7467" s="37"/>
      <c r="F7467" s="37"/>
      <c r="G7467" s="37"/>
      <c r="H7467" s="37"/>
      <c r="I7467" s="35"/>
      <c r="J7467" s="37"/>
    </row>
    <row r="7468" spans="1:10" ht="15.95" customHeight="1" x14ac:dyDescent="0.2">
      <c r="A7468" s="39"/>
      <c r="B7468" s="36"/>
      <c r="C7468" s="37"/>
      <c r="D7468" s="37"/>
      <c r="E7468" s="37"/>
      <c r="F7468" s="37"/>
      <c r="G7468" s="37"/>
      <c r="H7468" s="37"/>
      <c r="I7468" s="35"/>
      <c r="J7468" s="37"/>
    </row>
    <row r="7469" spans="1:10" ht="15.95" customHeight="1" x14ac:dyDescent="0.2">
      <c r="A7469" s="39"/>
      <c r="B7469" s="36"/>
      <c r="C7469" s="37"/>
      <c r="D7469" s="37"/>
      <c r="E7469" s="37"/>
      <c r="F7469" s="37"/>
      <c r="G7469" s="37"/>
      <c r="H7469" s="37"/>
      <c r="I7469" s="35"/>
      <c r="J7469" s="37"/>
    </row>
    <row r="7470" spans="1:10" ht="15.95" customHeight="1" x14ac:dyDescent="0.2">
      <c r="A7470" s="39"/>
      <c r="B7470" s="36"/>
      <c r="C7470" s="37"/>
      <c r="D7470" s="37"/>
      <c r="E7470" s="37"/>
      <c r="F7470" s="37"/>
      <c r="G7470" s="37"/>
      <c r="H7470" s="37"/>
      <c r="I7470" s="35"/>
      <c r="J7470" s="37"/>
    </row>
    <row r="7471" spans="1:10" ht="15.95" customHeight="1" x14ac:dyDescent="0.2">
      <c r="A7471" s="39"/>
      <c r="B7471" s="36"/>
      <c r="C7471" s="37"/>
      <c r="D7471" s="37"/>
      <c r="E7471" s="37"/>
      <c r="F7471" s="37"/>
      <c r="G7471" s="37"/>
      <c r="H7471" s="37"/>
      <c r="I7471" s="35"/>
      <c r="J7471" s="37"/>
    </row>
    <row r="7472" spans="1:10" ht="15.95" customHeight="1" x14ac:dyDescent="0.2">
      <c r="A7472" s="39"/>
      <c r="B7472" s="36"/>
      <c r="C7472" s="37"/>
      <c r="D7472" s="37"/>
      <c r="E7472" s="37"/>
      <c r="F7472" s="37"/>
      <c r="G7472" s="37"/>
      <c r="H7472" s="37"/>
      <c r="I7472" s="35"/>
      <c r="J7472" s="37"/>
    </row>
    <row r="7473" spans="1:10" ht="15.95" customHeight="1" x14ac:dyDescent="0.2">
      <c r="A7473" s="39"/>
      <c r="B7473" s="36"/>
      <c r="C7473" s="37"/>
      <c r="D7473" s="37"/>
      <c r="E7473" s="37"/>
      <c r="F7473" s="37"/>
      <c r="G7473" s="37"/>
      <c r="H7473" s="37"/>
      <c r="I7473" s="35"/>
      <c r="J7473" s="37"/>
    </row>
    <row r="7474" spans="1:10" ht="15.95" customHeight="1" x14ac:dyDescent="0.2">
      <c r="A7474" s="39"/>
      <c r="B7474" s="36"/>
      <c r="C7474" s="37"/>
      <c r="D7474" s="37"/>
      <c r="E7474" s="37"/>
      <c r="F7474" s="37"/>
      <c r="G7474" s="37"/>
      <c r="H7474" s="37"/>
      <c r="I7474" s="35"/>
      <c r="J7474" s="37"/>
    </row>
    <row r="7475" spans="1:10" ht="15.95" customHeight="1" x14ac:dyDescent="0.2">
      <c r="A7475" s="39"/>
      <c r="B7475" s="36"/>
      <c r="C7475" s="37"/>
      <c r="D7475" s="37"/>
      <c r="E7475" s="37"/>
      <c r="F7475" s="37"/>
      <c r="G7475" s="37"/>
      <c r="H7475" s="37"/>
      <c r="I7475" s="35"/>
      <c r="J7475" s="37"/>
    </row>
    <row r="7476" spans="1:10" ht="15.95" customHeight="1" x14ac:dyDescent="0.2">
      <c r="A7476" s="39"/>
      <c r="B7476" s="36"/>
      <c r="C7476" s="37"/>
      <c r="D7476" s="37"/>
      <c r="E7476" s="37"/>
      <c r="F7476" s="37"/>
      <c r="G7476" s="37"/>
      <c r="H7476" s="37"/>
      <c r="I7476" s="35"/>
      <c r="J7476" s="37"/>
    </row>
    <row r="7477" spans="1:10" ht="15.95" customHeight="1" x14ac:dyDescent="0.2">
      <c r="A7477" s="39"/>
      <c r="B7477" s="36"/>
      <c r="C7477" s="37"/>
      <c r="D7477" s="37"/>
      <c r="E7477" s="37"/>
      <c r="F7477" s="37"/>
      <c r="G7477" s="37"/>
      <c r="H7477" s="37"/>
      <c r="I7477" s="35"/>
      <c r="J7477" s="37"/>
    </row>
    <row r="7478" spans="1:10" ht="15.95" customHeight="1" x14ac:dyDescent="0.2">
      <c r="A7478" s="39"/>
      <c r="B7478" s="36"/>
      <c r="C7478" s="37"/>
      <c r="D7478" s="37"/>
      <c r="E7478" s="37"/>
      <c r="F7478" s="37"/>
      <c r="G7478" s="37"/>
      <c r="H7478" s="37"/>
      <c r="I7478" s="35"/>
      <c r="J7478" s="37"/>
    </row>
    <row r="7479" spans="1:10" ht="15.95" customHeight="1" x14ac:dyDescent="0.2">
      <c r="A7479" s="39"/>
      <c r="B7479" s="36"/>
      <c r="C7479" s="37"/>
      <c r="D7479" s="37"/>
      <c r="E7479" s="37"/>
      <c r="F7479" s="37"/>
      <c r="G7479" s="37"/>
      <c r="H7479" s="37"/>
      <c r="I7479" s="35"/>
      <c r="J7479" s="37"/>
    </row>
    <row r="7480" spans="1:10" ht="15.95" customHeight="1" x14ac:dyDescent="0.2">
      <c r="A7480" s="39"/>
      <c r="B7480" s="36"/>
      <c r="C7480" s="37"/>
      <c r="D7480" s="37"/>
      <c r="E7480" s="37"/>
      <c r="F7480" s="37"/>
      <c r="G7480" s="37"/>
      <c r="H7480" s="37"/>
      <c r="I7480" s="35"/>
      <c r="J7480" s="37"/>
    </row>
    <row r="7481" spans="1:10" ht="15.95" customHeight="1" x14ac:dyDescent="0.2">
      <c r="A7481" s="39"/>
      <c r="B7481" s="36"/>
      <c r="C7481" s="37"/>
      <c r="D7481" s="37"/>
      <c r="E7481" s="37"/>
      <c r="F7481" s="37"/>
      <c r="G7481" s="37"/>
      <c r="H7481" s="37"/>
      <c r="I7481" s="35"/>
      <c r="J7481" s="37"/>
    </row>
    <row r="7482" spans="1:10" ht="15.95" customHeight="1" x14ac:dyDescent="0.2">
      <c r="A7482" s="39"/>
      <c r="B7482" s="36"/>
      <c r="C7482" s="37"/>
      <c r="D7482" s="37"/>
      <c r="E7482" s="37"/>
      <c r="F7482" s="37"/>
      <c r="G7482" s="37"/>
      <c r="H7482" s="37"/>
      <c r="I7482" s="35"/>
      <c r="J7482" s="37"/>
    </row>
    <row r="7483" spans="1:10" ht="15.95" customHeight="1" x14ac:dyDescent="0.2">
      <c r="A7483" s="39"/>
      <c r="B7483" s="36"/>
      <c r="C7483" s="37"/>
      <c r="D7483" s="37"/>
      <c r="E7483" s="37"/>
      <c r="F7483" s="37"/>
      <c r="G7483" s="37"/>
      <c r="H7483" s="37"/>
      <c r="I7483" s="35"/>
      <c r="J7483" s="37"/>
    </row>
    <row r="7484" spans="1:10" ht="15.95" customHeight="1" x14ac:dyDescent="0.2">
      <c r="A7484" s="39"/>
      <c r="B7484" s="36"/>
      <c r="C7484" s="37"/>
      <c r="D7484" s="37"/>
      <c r="E7484" s="37"/>
      <c r="F7484" s="37"/>
      <c r="G7484" s="37"/>
      <c r="H7484" s="37"/>
      <c r="I7484" s="35"/>
      <c r="J7484" s="37"/>
    </row>
    <row r="7485" spans="1:10" ht="15.95" customHeight="1" x14ac:dyDescent="0.2">
      <c r="A7485" s="39"/>
      <c r="B7485" s="36"/>
      <c r="C7485" s="37"/>
      <c r="D7485" s="37"/>
      <c r="E7485" s="37"/>
      <c r="F7485" s="37"/>
      <c r="G7485" s="37"/>
      <c r="H7485" s="37"/>
      <c r="I7485" s="35"/>
      <c r="J7485" s="37"/>
    </row>
    <row r="7486" spans="1:10" ht="15.95" customHeight="1" x14ac:dyDescent="0.2">
      <c r="A7486" s="39"/>
      <c r="B7486" s="36"/>
      <c r="C7486" s="37"/>
      <c r="D7486" s="37"/>
      <c r="E7486" s="37"/>
      <c r="F7486" s="37"/>
      <c r="G7486" s="37"/>
      <c r="H7486" s="37"/>
      <c r="I7486" s="35"/>
      <c r="J7486" s="37"/>
    </row>
    <row r="7487" spans="1:10" ht="15.95" customHeight="1" x14ac:dyDescent="0.2">
      <c r="A7487" s="39"/>
      <c r="B7487" s="36"/>
      <c r="C7487" s="37"/>
      <c r="D7487" s="37"/>
      <c r="E7487" s="37"/>
      <c r="F7487" s="37"/>
      <c r="G7487" s="37"/>
      <c r="H7487" s="37"/>
      <c r="I7487" s="35"/>
      <c r="J7487" s="37"/>
    </row>
    <row r="7488" spans="1:10" ht="15.95" customHeight="1" x14ac:dyDescent="0.2">
      <c r="A7488" s="39"/>
      <c r="B7488" s="36"/>
      <c r="C7488" s="37"/>
      <c r="D7488" s="37"/>
      <c r="E7488" s="37"/>
      <c r="F7488" s="37"/>
      <c r="G7488" s="37"/>
      <c r="H7488" s="37"/>
      <c r="I7488" s="35"/>
      <c r="J7488" s="37"/>
    </row>
    <row r="7489" spans="1:10" ht="15.95" customHeight="1" x14ac:dyDescent="0.2">
      <c r="A7489" s="39"/>
      <c r="B7489" s="36"/>
      <c r="C7489" s="37"/>
      <c r="D7489" s="37"/>
      <c r="E7489" s="37"/>
      <c r="F7489" s="37"/>
      <c r="G7489" s="37"/>
      <c r="H7489" s="37"/>
      <c r="I7489" s="35"/>
      <c r="J7489" s="37"/>
    </row>
    <row r="7490" spans="1:10" ht="15.95" customHeight="1" x14ac:dyDescent="0.2">
      <c r="A7490" s="39"/>
      <c r="B7490" s="36"/>
      <c r="C7490" s="37"/>
      <c r="D7490" s="37"/>
      <c r="E7490" s="37"/>
      <c r="F7490" s="37"/>
      <c r="G7490" s="37"/>
      <c r="H7490" s="37"/>
      <c r="I7490" s="35"/>
      <c r="J7490" s="37"/>
    </row>
    <row r="7491" spans="1:10" ht="15.95" customHeight="1" x14ac:dyDescent="0.2">
      <c r="A7491" s="39"/>
      <c r="B7491" s="36"/>
      <c r="C7491" s="37"/>
      <c r="D7491" s="37"/>
      <c r="E7491" s="37"/>
      <c r="F7491" s="37"/>
      <c r="G7491" s="37"/>
      <c r="H7491" s="37"/>
      <c r="I7491" s="35"/>
      <c r="J7491" s="37"/>
    </row>
    <row r="7492" spans="1:10" ht="15.95" customHeight="1" x14ac:dyDescent="0.2">
      <c r="A7492" s="39"/>
      <c r="B7492" s="36"/>
      <c r="C7492" s="37"/>
      <c r="D7492" s="37"/>
      <c r="E7492" s="37"/>
      <c r="F7492" s="37"/>
      <c r="G7492" s="37"/>
      <c r="H7492" s="37"/>
      <c r="I7492" s="35"/>
      <c r="J7492" s="37"/>
    </row>
    <row r="7493" spans="1:10" ht="15.95" customHeight="1" x14ac:dyDescent="0.2">
      <c r="A7493" s="39"/>
      <c r="B7493" s="36"/>
      <c r="C7493" s="37"/>
      <c r="D7493" s="37"/>
      <c r="E7493" s="37"/>
      <c r="F7493" s="37"/>
      <c r="G7493" s="37"/>
      <c r="H7493" s="37"/>
      <c r="I7493" s="35"/>
      <c r="J7493" s="37"/>
    </row>
    <row r="7494" spans="1:10" ht="15.95" customHeight="1" x14ac:dyDescent="0.2">
      <c r="A7494" s="39"/>
      <c r="B7494" s="36"/>
      <c r="C7494" s="37"/>
      <c r="D7494" s="37"/>
      <c r="E7494" s="37"/>
      <c r="F7494" s="37"/>
      <c r="G7494" s="37"/>
      <c r="H7494" s="37"/>
      <c r="I7494" s="35"/>
      <c r="J7494" s="37"/>
    </row>
    <row r="7495" spans="1:10" ht="15.95" customHeight="1" x14ac:dyDescent="0.2">
      <c r="A7495" s="39"/>
      <c r="B7495" s="36"/>
      <c r="C7495" s="37"/>
      <c r="D7495" s="37"/>
      <c r="E7495" s="37"/>
      <c r="F7495" s="37"/>
      <c r="G7495" s="37"/>
      <c r="H7495" s="37"/>
      <c r="I7495" s="35"/>
      <c r="J7495" s="37"/>
    </row>
    <row r="7496" spans="1:10" ht="15.95" customHeight="1" x14ac:dyDescent="0.2">
      <c r="A7496" s="39"/>
      <c r="B7496" s="36"/>
      <c r="C7496" s="37"/>
      <c r="D7496" s="37"/>
      <c r="E7496" s="37"/>
      <c r="F7496" s="37"/>
      <c r="G7496" s="37"/>
      <c r="H7496" s="37"/>
      <c r="I7496" s="35"/>
      <c r="J7496" s="37"/>
    </row>
    <row r="7497" spans="1:10" ht="15.95" customHeight="1" x14ac:dyDescent="0.2">
      <c r="A7497" s="39"/>
      <c r="B7497" s="36"/>
      <c r="C7497" s="37"/>
      <c r="D7497" s="37"/>
      <c r="E7497" s="37"/>
      <c r="F7497" s="37"/>
      <c r="G7497" s="37"/>
      <c r="H7497" s="37"/>
      <c r="I7497" s="35"/>
      <c r="J7497" s="37"/>
    </row>
    <row r="7498" spans="1:10" ht="15.95" customHeight="1" x14ac:dyDescent="0.2">
      <c r="A7498" s="39"/>
      <c r="B7498" s="36"/>
      <c r="C7498" s="37"/>
      <c r="D7498" s="37"/>
      <c r="E7498" s="37"/>
      <c r="F7498" s="37"/>
      <c r="G7498" s="37"/>
      <c r="H7498" s="37"/>
      <c r="I7498" s="35"/>
      <c r="J7498" s="37"/>
    </row>
    <row r="7499" spans="1:10" ht="15.95" customHeight="1" x14ac:dyDescent="0.2">
      <c r="A7499" s="39"/>
      <c r="B7499" s="36"/>
      <c r="C7499" s="37"/>
      <c r="D7499" s="37"/>
      <c r="E7499" s="37"/>
      <c r="F7499" s="37"/>
      <c r="G7499" s="37"/>
      <c r="H7499" s="37"/>
      <c r="I7499" s="35"/>
      <c r="J7499" s="37"/>
    </row>
    <row r="7500" spans="1:10" ht="15.95" customHeight="1" x14ac:dyDescent="0.2">
      <c r="A7500" s="39"/>
      <c r="B7500" s="36"/>
      <c r="C7500" s="37"/>
      <c r="D7500" s="37"/>
      <c r="E7500" s="37"/>
      <c r="F7500" s="37"/>
      <c r="G7500" s="37"/>
      <c r="H7500" s="37"/>
      <c r="I7500" s="35"/>
      <c r="J7500" s="37"/>
    </row>
    <row r="7501" spans="1:10" ht="15.95" customHeight="1" x14ac:dyDescent="0.2">
      <c r="A7501" s="39"/>
      <c r="B7501" s="36"/>
      <c r="C7501" s="37"/>
      <c r="D7501" s="37"/>
      <c r="E7501" s="37"/>
      <c r="F7501" s="37"/>
      <c r="G7501" s="37"/>
      <c r="H7501" s="37"/>
      <c r="I7501" s="35"/>
      <c r="J7501" s="37"/>
    </row>
    <row r="7502" spans="1:10" ht="15.95" customHeight="1" x14ac:dyDescent="0.2">
      <c r="A7502" s="39"/>
      <c r="B7502" s="36"/>
      <c r="C7502" s="37"/>
      <c r="D7502" s="37"/>
      <c r="E7502" s="37"/>
      <c r="F7502" s="37"/>
      <c r="G7502" s="37"/>
      <c r="H7502" s="37"/>
      <c r="I7502" s="35"/>
      <c r="J7502" s="37"/>
    </row>
    <row r="7503" spans="1:10" ht="15.95" customHeight="1" x14ac:dyDescent="0.2">
      <c r="A7503" s="39"/>
      <c r="B7503" s="36"/>
      <c r="C7503" s="37"/>
      <c r="D7503" s="37"/>
      <c r="E7503" s="37"/>
      <c r="F7503" s="37"/>
      <c r="G7503" s="37"/>
      <c r="H7503" s="37"/>
      <c r="I7503" s="35"/>
      <c r="J7503" s="37"/>
    </row>
    <row r="7504" spans="1:10" ht="15.95" customHeight="1" x14ac:dyDescent="0.2">
      <c r="A7504" s="39"/>
      <c r="B7504" s="36"/>
      <c r="C7504" s="37"/>
      <c r="D7504" s="37"/>
      <c r="E7504" s="37"/>
      <c r="F7504" s="37"/>
      <c r="G7504" s="37"/>
      <c r="H7504" s="37"/>
      <c r="I7504" s="35"/>
      <c r="J7504" s="37"/>
    </row>
    <row r="7505" spans="1:10" ht="15.95" customHeight="1" x14ac:dyDescent="0.2">
      <c r="A7505" s="39"/>
      <c r="B7505" s="36"/>
      <c r="C7505" s="37"/>
      <c r="D7505" s="37"/>
      <c r="E7505" s="37"/>
      <c r="F7505" s="37"/>
      <c r="G7505" s="37"/>
      <c r="H7505" s="37"/>
      <c r="I7505" s="35"/>
      <c r="J7505" s="37"/>
    </row>
    <row r="7506" spans="1:10" ht="15.95" customHeight="1" x14ac:dyDescent="0.2">
      <c r="A7506" s="39"/>
      <c r="B7506" s="36"/>
      <c r="C7506" s="37"/>
      <c r="D7506" s="37"/>
      <c r="E7506" s="37"/>
      <c r="F7506" s="37"/>
      <c r="G7506" s="37"/>
      <c r="H7506" s="37"/>
      <c r="I7506" s="35"/>
      <c r="J7506" s="37"/>
    </row>
    <row r="7507" spans="1:10" ht="15.95" customHeight="1" x14ac:dyDescent="0.2">
      <c r="A7507" s="39"/>
      <c r="B7507" s="36"/>
      <c r="C7507" s="37"/>
      <c r="D7507" s="37"/>
      <c r="E7507" s="37"/>
      <c r="F7507" s="37"/>
      <c r="G7507" s="37"/>
      <c r="H7507" s="37"/>
      <c r="I7507" s="35"/>
      <c r="J7507" s="37"/>
    </row>
    <row r="7508" spans="1:10" ht="15.95" customHeight="1" x14ac:dyDescent="0.2">
      <c r="A7508" s="39"/>
      <c r="B7508" s="36"/>
      <c r="C7508" s="37"/>
      <c r="D7508" s="37"/>
      <c r="E7508" s="37"/>
      <c r="F7508" s="37"/>
      <c r="G7508" s="37"/>
      <c r="H7508" s="37"/>
      <c r="I7508" s="35"/>
      <c r="J7508" s="37"/>
    </row>
    <row r="7509" spans="1:10" ht="15.95" customHeight="1" x14ac:dyDescent="0.2">
      <c r="A7509" s="39"/>
      <c r="B7509" s="36"/>
      <c r="C7509" s="37"/>
      <c r="D7509" s="37"/>
      <c r="E7509" s="37"/>
      <c r="F7509" s="37"/>
      <c r="G7509" s="37"/>
      <c r="H7509" s="37"/>
      <c r="I7509" s="35"/>
      <c r="J7509" s="37"/>
    </row>
    <row r="7510" spans="1:10" ht="15.95" customHeight="1" x14ac:dyDescent="0.2">
      <c r="A7510" s="39"/>
      <c r="B7510" s="36"/>
      <c r="C7510" s="37"/>
      <c r="D7510" s="37"/>
      <c r="E7510" s="37"/>
      <c r="F7510" s="37"/>
      <c r="G7510" s="37"/>
      <c r="H7510" s="37"/>
      <c r="I7510" s="35"/>
      <c r="J7510" s="37"/>
    </row>
    <row r="7511" spans="1:10" ht="15.95" customHeight="1" x14ac:dyDescent="0.2">
      <c r="A7511" s="39"/>
      <c r="B7511" s="36"/>
      <c r="C7511" s="37"/>
      <c r="D7511" s="37"/>
      <c r="E7511" s="37"/>
      <c r="F7511" s="37"/>
      <c r="G7511" s="37"/>
      <c r="H7511" s="37"/>
      <c r="I7511" s="35"/>
      <c r="J7511" s="37"/>
    </row>
    <row r="7512" spans="1:10" ht="15.95" customHeight="1" x14ac:dyDescent="0.2">
      <c r="A7512" s="39"/>
      <c r="B7512" s="36"/>
      <c r="C7512" s="37"/>
      <c r="D7512" s="37"/>
      <c r="E7512" s="37"/>
      <c r="F7512" s="37"/>
      <c r="G7512" s="37"/>
      <c r="H7512" s="37"/>
      <c r="I7512" s="35"/>
      <c r="J7512" s="37"/>
    </row>
    <row r="7513" spans="1:10" ht="15.95" customHeight="1" x14ac:dyDescent="0.2">
      <c r="A7513" s="39"/>
      <c r="B7513" s="36"/>
      <c r="C7513" s="37"/>
      <c r="D7513" s="37"/>
      <c r="E7513" s="37"/>
      <c r="F7513" s="37"/>
      <c r="G7513" s="37"/>
      <c r="H7513" s="37"/>
      <c r="I7513" s="35"/>
      <c r="J7513" s="37"/>
    </row>
    <row r="7514" spans="1:10" ht="15.95" customHeight="1" x14ac:dyDescent="0.2">
      <c r="A7514" s="39"/>
      <c r="B7514" s="36"/>
      <c r="C7514" s="37"/>
      <c r="D7514" s="37"/>
      <c r="E7514" s="37"/>
      <c r="F7514" s="37"/>
      <c r="G7514" s="37"/>
      <c r="H7514" s="37"/>
      <c r="I7514" s="35"/>
      <c r="J7514" s="37"/>
    </row>
    <row r="7515" spans="1:10" ht="15.95" customHeight="1" x14ac:dyDescent="0.2">
      <c r="A7515" s="39"/>
      <c r="B7515" s="36"/>
      <c r="C7515" s="37"/>
      <c r="D7515" s="37"/>
      <c r="E7515" s="37"/>
      <c r="F7515" s="37"/>
      <c r="G7515" s="37"/>
      <c r="H7515" s="37"/>
      <c r="I7515" s="35"/>
      <c r="J7515" s="37"/>
    </row>
    <row r="7516" spans="1:10" ht="15.95" customHeight="1" x14ac:dyDescent="0.2">
      <c r="A7516" s="39"/>
      <c r="B7516" s="36"/>
      <c r="C7516" s="37"/>
      <c r="D7516" s="37"/>
      <c r="E7516" s="37"/>
      <c r="F7516" s="37"/>
      <c r="G7516" s="37"/>
      <c r="H7516" s="37"/>
      <c r="I7516" s="35"/>
      <c r="J7516" s="37"/>
    </row>
    <row r="7517" spans="1:10" ht="15.95" customHeight="1" x14ac:dyDescent="0.2">
      <c r="A7517" s="39"/>
      <c r="B7517" s="36"/>
      <c r="C7517" s="37"/>
      <c r="D7517" s="37"/>
      <c r="E7517" s="37"/>
      <c r="F7517" s="37"/>
      <c r="G7517" s="37"/>
      <c r="H7517" s="37"/>
      <c r="I7517" s="35"/>
      <c r="J7517" s="37"/>
    </row>
    <row r="7518" spans="1:10" ht="15.95" customHeight="1" x14ac:dyDescent="0.2">
      <c r="A7518" s="39"/>
      <c r="B7518" s="36"/>
      <c r="C7518" s="37"/>
      <c r="D7518" s="37"/>
      <c r="E7518" s="37"/>
      <c r="F7518" s="37"/>
      <c r="G7518" s="37"/>
      <c r="H7518" s="37"/>
      <c r="I7518" s="35"/>
      <c r="J7518" s="37"/>
    </row>
    <row r="7519" spans="1:10" ht="15.95" customHeight="1" x14ac:dyDescent="0.2">
      <c r="A7519" s="39"/>
      <c r="B7519" s="36"/>
      <c r="C7519" s="37"/>
      <c r="D7519" s="37"/>
      <c r="E7519" s="37"/>
      <c r="F7519" s="37"/>
      <c r="G7519" s="37"/>
      <c r="H7519" s="37"/>
      <c r="I7519" s="35"/>
      <c r="J7519" s="37"/>
    </row>
    <row r="7520" spans="1:10" ht="15.95" customHeight="1" x14ac:dyDescent="0.2">
      <c r="A7520" s="39"/>
      <c r="B7520" s="36"/>
      <c r="C7520" s="37"/>
      <c r="D7520" s="37"/>
      <c r="E7520" s="37"/>
      <c r="F7520" s="37"/>
      <c r="G7520" s="37"/>
      <c r="H7520" s="37"/>
      <c r="I7520" s="35"/>
      <c r="J7520" s="37"/>
    </row>
    <row r="7521" spans="1:10" ht="15.95" customHeight="1" x14ac:dyDescent="0.2">
      <c r="A7521" s="39"/>
      <c r="B7521" s="36"/>
      <c r="C7521" s="37"/>
      <c r="D7521" s="37"/>
      <c r="E7521" s="37"/>
      <c r="F7521" s="37"/>
      <c r="G7521" s="37"/>
      <c r="H7521" s="37"/>
      <c r="I7521" s="35"/>
      <c r="J7521" s="37"/>
    </row>
    <row r="7522" spans="1:10" ht="15.95" customHeight="1" x14ac:dyDescent="0.2">
      <c r="A7522" s="39"/>
      <c r="B7522" s="36"/>
      <c r="C7522" s="37"/>
      <c r="D7522" s="37"/>
      <c r="E7522" s="37"/>
      <c r="F7522" s="37"/>
      <c r="G7522" s="37"/>
      <c r="H7522" s="37"/>
      <c r="I7522" s="35"/>
      <c r="J7522" s="37"/>
    </row>
    <row r="7523" spans="1:10" ht="15.95" customHeight="1" x14ac:dyDescent="0.2">
      <c r="A7523" s="39"/>
      <c r="B7523" s="36"/>
      <c r="C7523" s="37"/>
      <c r="D7523" s="37"/>
      <c r="E7523" s="37"/>
      <c r="F7523" s="37"/>
      <c r="G7523" s="37"/>
      <c r="H7523" s="37"/>
      <c r="I7523" s="35"/>
      <c r="J7523" s="37"/>
    </row>
    <row r="7524" spans="1:10" ht="15.95" customHeight="1" x14ac:dyDescent="0.2">
      <c r="A7524" s="39"/>
      <c r="B7524" s="36"/>
      <c r="C7524" s="37"/>
      <c r="D7524" s="37"/>
      <c r="E7524" s="37"/>
      <c r="F7524" s="37"/>
      <c r="G7524" s="37"/>
      <c r="H7524" s="37"/>
      <c r="I7524" s="35"/>
      <c r="J7524" s="37"/>
    </row>
    <row r="7525" spans="1:10" ht="15.95" customHeight="1" x14ac:dyDescent="0.2">
      <c r="A7525" s="39"/>
      <c r="B7525" s="36"/>
      <c r="C7525" s="37"/>
      <c r="D7525" s="37"/>
      <c r="E7525" s="37"/>
      <c r="F7525" s="37"/>
      <c r="G7525" s="37"/>
      <c r="H7525" s="37"/>
      <c r="I7525" s="35"/>
      <c r="J7525" s="37"/>
    </row>
    <row r="7526" spans="1:10" ht="15.95" customHeight="1" x14ac:dyDescent="0.2">
      <c r="A7526" s="39"/>
      <c r="B7526" s="36"/>
      <c r="C7526" s="37"/>
      <c r="D7526" s="37"/>
      <c r="E7526" s="37"/>
      <c r="F7526" s="37"/>
      <c r="G7526" s="37"/>
      <c r="H7526" s="37"/>
      <c r="I7526" s="35"/>
      <c r="J7526" s="37"/>
    </row>
    <row r="7527" spans="1:10" ht="15.95" customHeight="1" x14ac:dyDescent="0.2">
      <c r="A7527" s="39"/>
      <c r="B7527" s="36"/>
      <c r="C7527" s="37"/>
      <c r="D7527" s="37"/>
      <c r="E7527" s="37"/>
      <c r="F7527" s="37"/>
      <c r="G7527" s="37"/>
      <c r="H7527" s="37"/>
      <c r="I7527" s="35"/>
      <c r="J7527" s="37"/>
    </row>
    <row r="7528" spans="1:10" ht="15.95" customHeight="1" x14ac:dyDescent="0.2">
      <c r="A7528" s="39"/>
      <c r="B7528" s="36"/>
      <c r="C7528" s="37"/>
      <c r="D7528" s="37"/>
      <c r="E7528" s="37"/>
      <c r="F7528" s="37"/>
      <c r="G7528" s="37"/>
      <c r="H7528" s="37"/>
      <c r="I7528" s="35"/>
      <c r="J7528" s="37"/>
    </row>
    <row r="7529" spans="1:10" ht="15.95" customHeight="1" x14ac:dyDescent="0.2">
      <c r="A7529" s="39"/>
      <c r="B7529" s="36"/>
      <c r="C7529" s="37"/>
      <c r="D7529" s="37"/>
      <c r="E7529" s="37"/>
      <c r="F7529" s="37"/>
      <c r="G7529" s="37"/>
      <c r="H7529" s="37"/>
      <c r="I7529" s="35"/>
      <c r="J7529" s="37"/>
    </row>
    <row r="7530" spans="1:10" ht="15.95" customHeight="1" x14ac:dyDescent="0.2">
      <c r="A7530" s="39"/>
      <c r="B7530" s="36"/>
      <c r="C7530" s="37"/>
      <c r="D7530" s="37"/>
      <c r="E7530" s="37"/>
      <c r="F7530" s="37"/>
      <c r="G7530" s="37"/>
      <c r="H7530" s="37"/>
      <c r="I7530" s="35"/>
      <c r="J7530" s="37"/>
    </row>
    <row r="7531" spans="1:10" ht="15.95" customHeight="1" x14ac:dyDescent="0.2">
      <c r="A7531" s="39"/>
      <c r="B7531" s="36"/>
      <c r="C7531" s="37"/>
      <c r="D7531" s="37"/>
      <c r="E7531" s="37"/>
      <c r="F7531" s="37"/>
      <c r="G7531" s="37"/>
      <c r="H7531" s="37"/>
      <c r="I7531" s="35"/>
      <c r="J7531" s="37"/>
    </row>
    <row r="7532" spans="1:10" ht="15.95" customHeight="1" x14ac:dyDescent="0.2">
      <c r="A7532" s="39"/>
      <c r="B7532" s="36"/>
      <c r="C7532" s="37"/>
      <c r="D7532" s="37"/>
      <c r="E7532" s="37"/>
      <c r="F7532" s="37"/>
      <c r="G7532" s="37"/>
      <c r="H7532" s="37"/>
      <c r="I7532" s="35"/>
      <c r="J7532" s="37"/>
    </row>
    <row r="7533" spans="1:10" ht="15.95" customHeight="1" x14ac:dyDescent="0.2">
      <c r="A7533" s="39"/>
      <c r="B7533" s="36"/>
      <c r="C7533" s="37"/>
      <c r="D7533" s="37"/>
      <c r="E7533" s="37"/>
      <c r="F7533" s="37"/>
      <c r="G7533" s="37"/>
      <c r="H7533" s="37"/>
      <c r="I7533" s="35"/>
      <c r="J7533" s="37"/>
    </row>
    <row r="7534" spans="1:10" ht="15.95" customHeight="1" x14ac:dyDescent="0.2">
      <c r="A7534" s="39"/>
      <c r="B7534" s="36"/>
      <c r="C7534" s="37"/>
      <c r="D7534" s="37"/>
      <c r="E7534" s="37"/>
      <c r="F7534" s="37"/>
      <c r="G7534" s="37"/>
      <c r="H7534" s="37"/>
      <c r="I7534" s="35"/>
      <c r="J7534" s="37"/>
    </row>
    <row r="7535" spans="1:10" ht="15.95" customHeight="1" x14ac:dyDescent="0.2">
      <c r="A7535" s="39"/>
      <c r="B7535" s="36"/>
      <c r="C7535" s="37"/>
      <c r="D7535" s="37"/>
      <c r="E7535" s="37"/>
      <c r="F7535" s="37"/>
      <c r="G7535" s="37"/>
      <c r="H7535" s="37"/>
      <c r="I7535" s="35"/>
      <c r="J7535" s="37"/>
    </row>
    <row r="7536" spans="1:10" ht="15.95" customHeight="1" x14ac:dyDescent="0.2">
      <c r="A7536" s="39"/>
      <c r="B7536" s="36"/>
      <c r="C7536" s="37"/>
      <c r="D7536" s="37"/>
      <c r="E7536" s="37"/>
      <c r="F7536" s="37"/>
      <c r="G7536" s="37"/>
      <c r="H7536" s="37"/>
      <c r="I7536" s="35"/>
      <c r="J7536" s="37"/>
    </row>
    <row r="7537" spans="1:10" ht="15.95" customHeight="1" x14ac:dyDescent="0.2">
      <c r="A7537" s="39"/>
      <c r="B7537" s="36"/>
      <c r="C7537" s="37"/>
      <c r="D7537" s="37"/>
      <c r="E7537" s="37"/>
      <c r="F7537" s="37"/>
      <c r="G7537" s="37"/>
      <c r="H7537" s="37"/>
      <c r="I7537" s="35"/>
      <c r="J7537" s="37"/>
    </row>
    <row r="7538" spans="1:10" ht="15.95" customHeight="1" x14ac:dyDescent="0.2">
      <c r="A7538" s="39"/>
      <c r="B7538" s="36"/>
      <c r="C7538" s="37"/>
      <c r="D7538" s="37"/>
      <c r="E7538" s="37"/>
      <c r="F7538" s="37"/>
      <c r="G7538" s="37"/>
      <c r="H7538" s="37"/>
      <c r="I7538" s="35"/>
      <c r="J7538" s="37"/>
    </row>
    <row r="7539" spans="1:10" ht="15.95" customHeight="1" x14ac:dyDescent="0.2">
      <c r="A7539" s="39"/>
      <c r="B7539" s="36"/>
      <c r="C7539" s="37"/>
      <c r="D7539" s="37"/>
      <c r="E7539" s="37"/>
      <c r="F7539" s="37"/>
      <c r="G7539" s="37"/>
      <c r="H7539" s="37"/>
      <c r="I7539" s="35"/>
      <c r="J7539" s="37"/>
    </row>
    <row r="7540" spans="1:10" ht="15.95" customHeight="1" x14ac:dyDescent="0.2">
      <c r="A7540" s="39"/>
      <c r="B7540" s="36"/>
      <c r="C7540" s="37"/>
      <c r="D7540" s="37"/>
      <c r="E7540" s="37"/>
      <c r="F7540" s="37"/>
      <c r="G7540" s="37"/>
      <c r="H7540" s="37"/>
      <c r="I7540" s="35"/>
      <c r="J7540" s="37"/>
    </row>
    <row r="7541" spans="1:10" ht="15.95" customHeight="1" x14ac:dyDescent="0.2">
      <c r="A7541" s="39"/>
      <c r="B7541" s="36"/>
      <c r="C7541" s="37"/>
      <c r="D7541" s="37"/>
      <c r="E7541" s="37"/>
      <c r="F7541" s="37"/>
      <c r="G7541" s="37"/>
      <c r="H7541" s="37"/>
      <c r="I7541" s="35"/>
      <c r="J7541" s="37"/>
    </row>
    <row r="7542" spans="1:10" ht="15.95" customHeight="1" x14ac:dyDescent="0.2">
      <c r="A7542" s="39"/>
      <c r="B7542" s="36"/>
      <c r="C7542" s="37"/>
      <c r="D7542" s="37"/>
      <c r="E7542" s="37"/>
      <c r="F7542" s="37"/>
      <c r="G7542" s="37"/>
      <c r="H7542" s="37"/>
      <c r="I7542" s="35"/>
      <c r="J7542" s="37"/>
    </row>
    <row r="7543" spans="1:10" ht="15.95" customHeight="1" x14ac:dyDescent="0.2">
      <c r="A7543" s="39"/>
      <c r="B7543" s="36"/>
      <c r="C7543" s="37"/>
      <c r="D7543" s="37"/>
      <c r="E7543" s="37"/>
      <c r="F7543" s="37"/>
      <c r="G7543" s="37"/>
      <c r="H7543" s="37"/>
      <c r="I7543" s="35"/>
      <c r="J7543" s="37"/>
    </row>
    <row r="7544" spans="1:10" ht="15.95" customHeight="1" x14ac:dyDescent="0.2">
      <c r="A7544" s="39"/>
      <c r="B7544" s="36"/>
      <c r="C7544" s="37"/>
      <c r="D7544" s="37"/>
      <c r="E7544" s="37"/>
      <c r="F7544" s="37"/>
      <c r="G7544" s="37"/>
      <c r="H7544" s="37"/>
      <c r="I7544" s="35"/>
      <c r="J7544" s="37"/>
    </row>
    <row r="7545" spans="1:10" ht="15.95" customHeight="1" x14ac:dyDescent="0.2">
      <c r="A7545" s="39"/>
      <c r="B7545" s="36"/>
      <c r="C7545" s="37"/>
      <c r="D7545" s="37"/>
      <c r="E7545" s="37"/>
      <c r="F7545" s="37"/>
      <c r="G7545" s="37"/>
      <c r="H7545" s="37"/>
      <c r="I7545" s="35"/>
      <c r="J7545" s="37"/>
    </row>
    <row r="7546" spans="1:10" ht="15.95" customHeight="1" x14ac:dyDescent="0.2">
      <c r="A7546" s="39"/>
      <c r="B7546" s="36"/>
      <c r="C7546" s="37"/>
      <c r="D7546" s="37"/>
      <c r="E7546" s="37"/>
      <c r="F7546" s="37"/>
      <c r="G7546" s="37"/>
      <c r="H7546" s="37"/>
      <c r="I7546" s="35"/>
      <c r="J7546" s="37"/>
    </row>
    <row r="7547" spans="1:10" ht="15.95" customHeight="1" x14ac:dyDescent="0.2">
      <c r="A7547" s="39"/>
      <c r="B7547" s="36"/>
      <c r="C7547" s="37"/>
      <c r="D7547" s="37"/>
      <c r="E7547" s="37"/>
      <c r="F7547" s="37"/>
      <c r="G7547" s="37"/>
      <c r="H7547" s="37"/>
      <c r="I7547" s="35"/>
      <c r="J7547" s="37"/>
    </row>
    <row r="7548" spans="1:10" ht="15.95" customHeight="1" x14ac:dyDescent="0.2">
      <c r="A7548" s="39"/>
      <c r="B7548" s="36"/>
      <c r="C7548" s="37"/>
      <c r="D7548" s="37"/>
      <c r="E7548" s="37"/>
      <c r="F7548" s="37"/>
      <c r="G7548" s="37"/>
      <c r="H7548" s="37"/>
      <c r="I7548" s="35"/>
      <c r="J7548" s="37"/>
    </row>
    <row r="7549" spans="1:10" ht="15.95" customHeight="1" x14ac:dyDescent="0.2">
      <c r="A7549" s="39"/>
      <c r="B7549" s="36"/>
      <c r="C7549" s="37"/>
      <c r="D7549" s="37"/>
      <c r="E7549" s="37"/>
      <c r="F7549" s="37"/>
      <c r="G7549" s="37"/>
      <c r="H7549" s="37"/>
      <c r="I7549" s="35"/>
      <c r="J7549" s="37"/>
    </row>
    <row r="7550" spans="1:10" ht="15.95" customHeight="1" x14ac:dyDescent="0.2">
      <c r="A7550" s="39"/>
      <c r="B7550" s="36"/>
      <c r="C7550" s="37"/>
      <c r="D7550" s="37"/>
      <c r="E7550" s="37"/>
      <c r="F7550" s="37"/>
      <c r="G7550" s="37"/>
      <c r="H7550" s="37"/>
      <c r="I7550" s="35"/>
      <c r="J7550" s="37"/>
    </row>
    <row r="7551" spans="1:10" ht="15.95" customHeight="1" x14ac:dyDescent="0.2">
      <c r="A7551" s="39"/>
      <c r="B7551" s="36"/>
      <c r="C7551" s="37"/>
      <c r="D7551" s="37"/>
      <c r="E7551" s="37"/>
      <c r="F7551" s="37"/>
      <c r="G7551" s="37"/>
      <c r="H7551" s="37"/>
      <c r="I7551" s="35"/>
      <c r="J7551" s="37"/>
    </row>
    <row r="7552" spans="1:10" ht="15.95" customHeight="1" x14ac:dyDescent="0.2">
      <c r="A7552" s="39"/>
      <c r="B7552" s="36"/>
      <c r="C7552" s="37"/>
      <c r="D7552" s="37"/>
      <c r="E7552" s="37"/>
      <c r="F7552" s="37"/>
      <c r="G7552" s="37"/>
      <c r="H7552" s="37"/>
      <c r="I7552" s="35"/>
      <c r="J7552" s="37"/>
    </row>
    <row r="7553" spans="1:10" ht="15.95" customHeight="1" x14ac:dyDescent="0.2">
      <c r="A7553" s="39"/>
      <c r="B7553" s="36"/>
      <c r="C7553" s="37"/>
      <c r="D7553" s="37"/>
      <c r="E7553" s="37"/>
      <c r="F7553" s="37"/>
      <c r="G7553" s="37"/>
      <c r="H7553" s="37"/>
      <c r="I7553" s="35"/>
      <c r="J7553" s="37"/>
    </row>
    <row r="7554" spans="1:10" ht="15.95" customHeight="1" x14ac:dyDescent="0.2">
      <c r="A7554" s="39"/>
      <c r="B7554" s="36"/>
      <c r="C7554" s="37"/>
      <c r="D7554" s="37"/>
      <c r="E7554" s="37"/>
      <c r="F7554" s="37"/>
      <c r="G7554" s="37"/>
      <c r="H7554" s="37"/>
      <c r="I7554" s="35"/>
      <c r="J7554" s="37"/>
    </row>
    <row r="7555" spans="1:10" ht="15.95" customHeight="1" x14ac:dyDescent="0.2">
      <c r="A7555" s="39"/>
      <c r="B7555" s="36"/>
      <c r="C7555" s="37"/>
      <c r="D7555" s="37"/>
      <c r="E7555" s="37"/>
      <c r="F7555" s="37"/>
      <c r="G7555" s="37"/>
      <c r="H7555" s="37"/>
      <c r="I7555" s="35"/>
      <c r="J7555" s="37"/>
    </row>
    <row r="7556" spans="1:10" ht="15.95" customHeight="1" x14ac:dyDescent="0.2">
      <c r="A7556" s="39"/>
      <c r="B7556" s="36"/>
      <c r="C7556" s="37"/>
      <c r="D7556" s="37"/>
      <c r="E7556" s="37"/>
      <c r="F7556" s="37"/>
      <c r="G7556" s="37"/>
      <c r="H7556" s="37"/>
      <c r="I7556" s="35"/>
      <c r="J7556" s="37"/>
    </row>
    <row r="7557" spans="1:10" ht="15.95" customHeight="1" x14ac:dyDescent="0.2">
      <c r="A7557" s="39"/>
      <c r="B7557" s="36"/>
      <c r="C7557" s="37"/>
      <c r="D7557" s="37"/>
      <c r="E7557" s="37"/>
      <c r="F7557" s="37"/>
      <c r="G7557" s="37"/>
      <c r="H7557" s="37"/>
      <c r="I7557" s="35"/>
      <c r="J7557" s="37"/>
    </row>
    <row r="7558" spans="1:10" ht="15.95" customHeight="1" x14ac:dyDescent="0.2">
      <c r="A7558" s="39"/>
      <c r="B7558" s="36"/>
      <c r="C7558" s="37"/>
      <c r="D7558" s="37"/>
      <c r="E7558" s="37"/>
      <c r="F7558" s="37"/>
      <c r="G7558" s="37"/>
      <c r="H7558" s="37"/>
      <c r="I7558" s="35"/>
      <c r="J7558" s="37"/>
    </row>
    <row r="7559" spans="1:10" ht="15.95" customHeight="1" x14ac:dyDescent="0.2">
      <c r="A7559" s="39"/>
      <c r="B7559" s="36"/>
      <c r="C7559" s="37"/>
      <c r="D7559" s="37"/>
      <c r="E7559" s="37"/>
      <c r="F7559" s="37"/>
      <c r="G7559" s="37"/>
      <c r="H7559" s="37"/>
      <c r="I7559" s="35"/>
      <c r="J7559" s="37"/>
    </row>
    <row r="7560" spans="1:10" ht="15.95" customHeight="1" x14ac:dyDescent="0.2">
      <c r="A7560" s="39"/>
      <c r="B7560" s="36"/>
      <c r="C7560" s="37"/>
      <c r="D7560" s="37"/>
      <c r="E7560" s="37"/>
      <c r="F7560" s="37"/>
      <c r="G7560" s="37"/>
      <c r="H7560" s="37"/>
      <c r="I7560" s="35"/>
      <c r="J7560" s="37"/>
    </row>
    <row r="7561" spans="1:10" ht="15.95" customHeight="1" x14ac:dyDescent="0.2">
      <c r="A7561" s="39"/>
      <c r="B7561" s="36"/>
      <c r="C7561" s="37"/>
      <c r="D7561" s="37"/>
      <c r="E7561" s="37"/>
      <c r="F7561" s="37"/>
      <c r="G7561" s="37"/>
      <c r="H7561" s="37"/>
      <c r="I7561" s="35"/>
      <c r="J7561" s="37"/>
    </row>
    <row r="7562" spans="1:10" ht="15.95" customHeight="1" x14ac:dyDescent="0.2">
      <c r="A7562" s="39"/>
      <c r="B7562" s="36"/>
      <c r="C7562" s="37"/>
      <c r="D7562" s="37"/>
      <c r="E7562" s="37"/>
      <c r="F7562" s="37"/>
      <c r="G7562" s="37"/>
      <c r="H7562" s="37"/>
      <c r="I7562" s="35"/>
      <c r="J7562" s="37"/>
    </row>
    <row r="7563" spans="1:10" ht="15.95" customHeight="1" x14ac:dyDescent="0.2">
      <c r="A7563" s="39"/>
      <c r="B7563" s="36"/>
      <c r="C7563" s="37"/>
      <c r="D7563" s="37"/>
      <c r="E7563" s="37"/>
      <c r="F7563" s="37"/>
      <c r="G7563" s="37"/>
      <c r="H7563" s="37"/>
      <c r="I7563" s="35"/>
      <c r="J7563" s="37"/>
    </row>
    <row r="7564" spans="1:10" ht="15.95" customHeight="1" x14ac:dyDescent="0.2">
      <c r="A7564" s="39"/>
      <c r="B7564" s="36"/>
      <c r="C7564" s="37"/>
      <c r="D7564" s="37"/>
      <c r="E7564" s="37"/>
      <c r="F7564" s="37"/>
      <c r="G7564" s="37"/>
      <c r="H7564" s="37"/>
      <c r="I7564" s="35"/>
      <c r="J7564" s="37"/>
    </row>
    <row r="7565" spans="1:10" ht="15.95" customHeight="1" x14ac:dyDescent="0.2">
      <c r="A7565" s="39"/>
      <c r="B7565" s="36"/>
      <c r="C7565" s="37"/>
      <c r="D7565" s="37"/>
      <c r="E7565" s="37"/>
      <c r="F7565" s="37"/>
      <c r="G7565" s="37"/>
      <c r="H7565" s="37"/>
      <c r="I7565" s="35"/>
      <c r="J7565" s="37"/>
    </row>
    <row r="7566" spans="1:10" ht="15.95" customHeight="1" x14ac:dyDescent="0.2">
      <c r="A7566" s="39"/>
      <c r="B7566" s="36"/>
      <c r="C7566" s="37"/>
      <c r="D7566" s="37"/>
      <c r="E7566" s="37"/>
      <c r="F7566" s="37"/>
      <c r="G7566" s="37"/>
      <c r="H7566" s="37"/>
      <c r="I7566" s="35"/>
      <c r="J7566" s="37"/>
    </row>
    <row r="7567" spans="1:10" ht="15.95" customHeight="1" x14ac:dyDescent="0.2">
      <c r="A7567" s="39"/>
      <c r="B7567" s="36"/>
      <c r="C7567" s="37"/>
      <c r="D7567" s="37"/>
      <c r="E7567" s="37"/>
      <c r="F7567" s="37"/>
      <c r="G7567" s="37"/>
      <c r="H7567" s="37"/>
      <c r="I7567" s="35"/>
      <c r="J7567" s="37"/>
    </row>
    <row r="7568" spans="1:10" ht="15.95" customHeight="1" x14ac:dyDescent="0.2">
      <c r="A7568" s="39"/>
      <c r="B7568" s="36"/>
      <c r="C7568" s="37"/>
      <c r="D7568" s="37"/>
      <c r="E7568" s="37"/>
      <c r="F7568" s="37"/>
      <c r="G7568" s="37"/>
      <c r="H7568" s="37"/>
      <c r="I7568" s="35"/>
      <c r="J7568" s="37"/>
    </row>
    <row r="7569" spans="1:10" ht="15.95" customHeight="1" x14ac:dyDescent="0.2">
      <c r="A7569" s="39"/>
      <c r="B7569" s="36"/>
      <c r="C7569" s="37"/>
      <c r="D7569" s="37"/>
      <c r="E7569" s="37"/>
      <c r="F7569" s="37"/>
      <c r="G7569" s="37"/>
      <c r="H7569" s="37"/>
      <c r="I7569" s="35"/>
      <c r="J7569" s="37"/>
    </row>
    <row r="7570" spans="1:10" ht="15.95" customHeight="1" x14ac:dyDescent="0.2">
      <c r="A7570" s="39"/>
      <c r="B7570" s="36"/>
      <c r="C7570" s="37"/>
      <c r="D7570" s="37"/>
      <c r="E7570" s="37"/>
      <c r="F7570" s="37"/>
      <c r="G7570" s="37"/>
      <c r="H7570" s="37"/>
      <c r="I7570" s="35"/>
      <c r="J7570" s="37"/>
    </row>
    <row r="7571" spans="1:10" ht="15.95" customHeight="1" x14ac:dyDescent="0.2">
      <c r="A7571" s="39"/>
      <c r="B7571" s="36"/>
      <c r="C7571" s="37"/>
      <c r="D7571" s="37"/>
      <c r="E7571" s="37"/>
      <c r="F7571" s="37"/>
      <c r="G7571" s="37"/>
      <c r="H7571" s="37"/>
      <c r="I7571" s="35"/>
      <c r="J7571" s="37"/>
    </row>
    <row r="7572" spans="1:10" ht="15.95" customHeight="1" x14ac:dyDescent="0.2">
      <c r="A7572" s="39"/>
      <c r="B7572" s="36"/>
      <c r="C7572" s="37"/>
      <c r="D7572" s="37"/>
      <c r="E7572" s="37"/>
      <c r="F7572" s="37"/>
      <c r="G7572" s="37"/>
      <c r="H7572" s="37"/>
      <c r="I7572" s="35"/>
      <c r="J7572" s="37"/>
    </row>
    <row r="7573" spans="1:10" ht="15.95" customHeight="1" x14ac:dyDescent="0.2">
      <c r="A7573" s="39"/>
      <c r="B7573" s="36"/>
      <c r="C7573" s="37"/>
      <c r="D7573" s="37"/>
      <c r="E7573" s="37"/>
      <c r="F7573" s="37"/>
      <c r="G7573" s="37"/>
      <c r="H7573" s="37"/>
      <c r="I7573" s="35"/>
      <c r="J7573" s="37"/>
    </row>
    <row r="7574" spans="1:10" ht="15.95" customHeight="1" x14ac:dyDescent="0.2">
      <c r="A7574" s="39"/>
      <c r="B7574" s="36"/>
      <c r="C7574" s="37"/>
      <c r="D7574" s="37"/>
      <c r="E7574" s="37"/>
      <c r="F7574" s="37"/>
      <c r="G7574" s="37"/>
      <c r="H7574" s="37"/>
      <c r="I7574" s="35"/>
      <c r="J7574" s="37"/>
    </row>
    <row r="7575" spans="1:10" ht="15.95" customHeight="1" x14ac:dyDescent="0.2">
      <c r="A7575" s="39"/>
      <c r="B7575" s="36"/>
      <c r="C7575" s="37"/>
      <c r="D7575" s="37"/>
      <c r="E7575" s="37"/>
      <c r="F7575" s="37"/>
      <c r="G7575" s="37"/>
      <c r="H7575" s="37"/>
      <c r="I7575" s="35"/>
      <c r="J7575" s="37"/>
    </row>
    <row r="7576" spans="1:10" ht="15.95" customHeight="1" x14ac:dyDescent="0.2">
      <c r="A7576" s="39"/>
      <c r="B7576" s="36"/>
      <c r="C7576" s="37"/>
      <c r="D7576" s="37"/>
      <c r="E7576" s="37"/>
      <c r="F7576" s="37"/>
      <c r="G7576" s="37"/>
      <c r="H7576" s="37"/>
      <c r="I7576" s="35"/>
      <c r="J7576" s="37"/>
    </row>
    <row r="7577" spans="1:10" ht="15.95" customHeight="1" x14ac:dyDescent="0.2">
      <c r="A7577" s="39"/>
      <c r="B7577" s="36"/>
      <c r="C7577" s="37"/>
      <c r="D7577" s="37"/>
      <c r="E7577" s="37"/>
      <c r="F7577" s="37"/>
      <c r="G7577" s="37"/>
      <c r="H7577" s="37"/>
      <c r="I7577" s="35"/>
      <c r="J7577" s="37"/>
    </row>
    <row r="7578" spans="1:10" ht="15.95" customHeight="1" x14ac:dyDescent="0.2">
      <c r="A7578" s="39"/>
      <c r="B7578" s="36"/>
      <c r="C7578" s="37"/>
      <c r="D7578" s="37"/>
      <c r="E7578" s="37"/>
      <c r="F7578" s="37"/>
      <c r="G7578" s="37"/>
      <c r="H7578" s="37"/>
      <c r="I7578" s="35"/>
      <c r="J7578" s="37"/>
    </row>
    <row r="7579" spans="1:10" ht="15.95" customHeight="1" x14ac:dyDescent="0.2">
      <c r="A7579" s="39"/>
      <c r="B7579" s="36"/>
      <c r="C7579" s="37"/>
      <c r="D7579" s="37"/>
      <c r="E7579" s="37"/>
      <c r="F7579" s="37"/>
      <c r="G7579" s="37"/>
      <c r="H7579" s="37"/>
      <c r="I7579" s="35"/>
      <c r="J7579" s="37"/>
    </row>
    <row r="7580" spans="1:10" ht="15.95" customHeight="1" x14ac:dyDescent="0.2">
      <c r="A7580" s="39"/>
      <c r="B7580" s="36"/>
      <c r="C7580" s="37"/>
      <c r="D7580" s="37"/>
      <c r="E7580" s="37"/>
      <c r="F7580" s="37"/>
      <c r="G7580" s="37"/>
      <c r="H7580" s="37"/>
      <c r="I7580" s="35"/>
      <c r="J7580" s="37"/>
    </row>
    <row r="7581" spans="1:10" ht="15.95" customHeight="1" x14ac:dyDescent="0.2">
      <c r="A7581" s="39"/>
      <c r="B7581" s="36"/>
      <c r="C7581" s="37"/>
      <c r="D7581" s="37"/>
      <c r="E7581" s="37"/>
      <c r="F7581" s="37"/>
      <c r="G7581" s="37"/>
      <c r="H7581" s="37"/>
      <c r="I7581" s="35"/>
      <c r="J7581" s="37"/>
    </row>
    <row r="7582" spans="1:10" ht="15.95" customHeight="1" x14ac:dyDescent="0.2">
      <c r="A7582" s="39"/>
      <c r="B7582" s="36"/>
      <c r="C7582" s="37"/>
      <c r="D7582" s="37"/>
      <c r="E7582" s="37"/>
      <c r="F7582" s="37"/>
      <c r="G7582" s="37"/>
      <c r="H7582" s="37"/>
      <c r="I7582" s="35"/>
      <c r="J7582" s="37"/>
    </row>
    <row r="7583" spans="1:10" ht="15.95" customHeight="1" x14ac:dyDescent="0.2">
      <c r="A7583" s="39"/>
      <c r="B7583" s="36"/>
      <c r="C7583" s="37"/>
      <c r="D7583" s="37"/>
      <c r="E7583" s="37"/>
      <c r="F7583" s="37"/>
      <c r="G7583" s="37"/>
      <c r="H7583" s="37"/>
      <c r="I7583" s="35"/>
      <c r="J7583" s="37"/>
    </row>
    <row r="7584" spans="1:10" ht="15.95" customHeight="1" x14ac:dyDescent="0.2">
      <c r="A7584" s="39"/>
      <c r="B7584" s="36"/>
      <c r="C7584" s="37"/>
      <c r="D7584" s="37"/>
      <c r="E7584" s="37"/>
      <c r="F7584" s="37"/>
      <c r="G7584" s="37"/>
      <c r="H7584" s="37"/>
      <c r="I7584" s="35"/>
      <c r="J7584" s="37"/>
    </row>
    <row r="7585" spans="1:10" ht="15.95" customHeight="1" x14ac:dyDescent="0.2">
      <c r="A7585" s="39"/>
      <c r="B7585" s="36"/>
      <c r="C7585" s="37"/>
      <c r="D7585" s="37"/>
      <c r="E7585" s="37"/>
      <c r="F7585" s="37"/>
      <c r="G7585" s="37"/>
      <c r="H7585" s="37"/>
      <c r="I7585" s="35"/>
      <c r="J7585" s="37"/>
    </row>
    <row r="7586" spans="1:10" ht="15.95" customHeight="1" x14ac:dyDescent="0.2">
      <c r="A7586" s="39"/>
      <c r="B7586" s="36"/>
      <c r="C7586" s="37"/>
      <c r="D7586" s="37"/>
      <c r="E7586" s="37"/>
      <c r="F7586" s="37"/>
      <c r="G7586" s="37"/>
      <c r="H7586" s="37"/>
      <c r="I7586" s="35"/>
      <c r="J7586" s="37"/>
    </row>
    <row r="7587" spans="1:10" ht="15.95" customHeight="1" x14ac:dyDescent="0.2">
      <c r="A7587" s="39"/>
      <c r="B7587" s="36"/>
      <c r="C7587" s="37"/>
      <c r="D7587" s="37"/>
      <c r="E7587" s="37"/>
      <c r="F7587" s="37"/>
      <c r="G7587" s="37"/>
      <c r="H7587" s="37"/>
      <c r="I7587" s="35"/>
      <c r="J7587" s="37"/>
    </row>
    <row r="7588" spans="1:10" ht="15.95" customHeight="1" x14ac:dyDescent="0.2">
      <c r="A7588" s="39"/>
      <c r="B7588" s="36"/>
      <c r="C7588" s="37"/>
      <c r="D7588" s="37"/>
      <c r="E7588" s="37"/>
      <c r="F7588" s="37"/>
      <c r="G7588" s="37"/>
      <c r="H7588" s="37"/>
      <c r="I7588" s="35"/>
      <c r="J7588" s="37"/>
    </row>
    <row r="7589" spans="1:10" ht="15.95" customHeight="1" x14ac:dyDescent="0.2">
      <c r="A7589" s="39"/>
      <c r="B7589" s="36"/>
      <c r="C7589" s="37"/>
      <c r="D7589" s="37"/>
      <c r="E7589" s="37"/>
      <c r="F7589" s="37"/>
      <c r="G7589" s="37"/>
      <c r="H7589" s="37"/>
      <c r="I7589" s="35"/>
      <c r="J7589" s="37"/>
    </row>
    <row r="7590" spans="1:10" ht="15.95" customHeight="1" x14ac:dyDescent="0.2">
      <c r="A7590" s="39"/>
      <c r="B7590" s="36"/>
      <c r="C7590" s="37"/>
      <c r="D7590" s="37"/>
      <c r="E7590" s="37"/>
      <c r="F7590" s="37"/>
      <c r="G7590" s="37"/>
      <c r="H7590" s="37"/>
      <c r="I7590" s="35"/>
      <c r="J7590" s="37"/>
    </row>
    <row r="7591" spans="1:10" ht="15.95" customHeight="1" x14ac:dyDescent="0.2">
      <c r="A7591" s="39"/>
      <c r="B7591" s="36"/>
      <c r="C7591" s="37"/>
      <c r="D7591" s="37"/>
      <c r="E7591" s="37"/>
      <c r="F7591" s="37"/>
      <c r="G7591" s="37"/>
      <c r="H7591" s="37"/>
      <c r="I7591" s="35"/>
      <c r="J7591" s="37"/>
    </row>
    <row r="7592" spans="1:10" ht="15.95" customHeight="1" x14ac:dyDescent="0.2">
      <c r="A7592" s="39"/>
      <c r="B7592" s="36"/>
      <c r="C7592" s="37"/>
      <c r="D7592" s="37"/>
      <c r="E7592" s="37"/>
      <c r="F7592" s="37"/>
      <c r="G7592" s="37"/>
      <c r="H7592" s="37"/>
      <c r="I7592" s="35"/>
      <c r="J7592" s="37"/>
    </row>
    <row r="7593" spans="1:10" ht="15.95" customHeight="1" x14ac:dyDescent="0.2">
      <c r="A7593" s="39"/>
      <c r="B7593" s="36"/>
      <c r="C7593" s="37"/>
      <c r="D7593" s="37"/>
      <c r="E7593" s="37"/>
      <c r="F7593" s="37"/>
      <c r="G7593" s="37"/>
      <c r="H7593" s="37"/>
      <c r="I7593" s="35"/>
      <c r="J7593" s="37"/>
    </row>
    <row r="7594" spans="1:10" ht="15.95" customHeight="1" x14ac:dyDescent="0.2">
      <c r="A7594" s="39"/>
      <c r="B7594" s="36"/>
      <c r="C7594" s="37"/>
      <c r="D7594" s="37"/>
      <c r="E7594" s="37"/>
      <c r="F7594" s="37"/>
      <c r="G7594" s="37"/>
      <c r="H7594" s="37"/>
      <c r="I7594" s="35"/>
      <c r="J7594" s="37"/>
    </row>
    <row r="7595" spans="1:10" ht="15.95" customHeight="1" x14ac:dyDescent="0.2">
      <c r="A7595" s="39"/>
      <c r="B7595" s="36"/>
      <c r="C7595" s="37"/>
      <c r="D7595" s="37"/>
      <c r="E7595" s="37"/>
      <c r="F7595" s="37"/>
      <c r="G7595" s="37"/>
      <c r="H7595" s="37"/>
      <c r="I7595" s="35"/>
      <c r="J7595" s="37"/>
    </row>
    <row r="7596" spans="1:10" ht="15.95" customHeight="1" x14ac:dyDescent="0.2">
      <c r="A7596" s="39"/>
      <c r="B7596" s="36"/>
      <c r="C7596" s="37"/>
      <c r="D7596" s="37"/>
      <c r="E7596" s="37"/>
      <c r="F7596" s="37"/>
      <c r="G7596" s="37"/>
      <c r="H7596" s="37"/>
      <c r="I7596" s="35"/>
      <c r="J7596" s="37"/>
    </row>
    <row r="7597" spans="1:10" ht="15.95" customHeight="1" x14ac:dyDescent="0.2">
      <c r="A7597" s="39"/>
      <c r="B7597" s="36"/>
      <c r="C7597" s="37"/>
      <c r="D7597" s="37"/>
      <c r="E7597" s="37"/>
      <c r="F7597" s="37"/>
      <c r="G7597" s="37"/>
      <c r="H7597" s="37"/>
      <c r="I7597" s="35"/>
      <c r="J7597" s="37"/>
    </row>
    <row r="7598" spans="1:10" ht="15.95" customHeight="1" x14ac:dyDescent="0.2">
      <c r="A7598" s="39"/>
      <c r="B7598" s="36"/>
      <c r="C7598" s="37"/>
      <c r="D7598" s="37"/>
      <c r="E7598" s="37"/>
      <c r="F7598" s="37"/>
      <c r="G7598" s="37"/>
      <c r="H7598" s="37"/>
      <c r="I7598" s="35"/>
      <c r="J7598" s="37"/>
    </row>
    <row r="7599" spans="1:10" ht="15.95" customHeight="1" x14ac:dyDescent="0.2">
      <c r="A7599" s="39"/>
      <c r="B7599" s="36"/>
      <c r="C7599" s="37"/>
      <c r="D7599" s="37"/>
      <c r="E7599" s="37"/>
      <c r="F7599" s="37"/>
      <c r="G7599" s="37"/>
      <c r="H7599" s="37"/>
      <c r="I7599" s="35"/>
      <c r="J7599" s="37"/>
    </row>
    <row r="7600" spans="1:10" ht="15.95" customHeight="1" x14ac:dyDescent="0.2">
      <c r="A7600" s="39"/>
      <c r="B7600" s="36"/>
      <c r="C7600" s="37"/>
      <c r="D7600" s="37"/>
      <c r="E7600" s="37"/>
      <c r="F7600" s="37"/>
      <c r="G7600" s="37"/>
      <c r="H7600" s="37"/>
      <c r="I7600" s="35"/>
      <c r="J7600" s="37"/>
    </row>
    <row r="7601" spans="1:10" ht="15.95" customHeight="1" x14ac:dyDescent="0.2">
      <c r="A7601" s="39"/>
      <c r="B7601" s="36"/>
      <c r="C7601" s="37"/>
      <c r="D7601" s="37"/>
      <c r="E7601" s="37"/>
      <c r="F7601" s="37"/>
      <c r="G7601" s="37"/>
      <c r="H7601" s="37"/>
      <c r="I7601" s="35"/>
      <c r="J7601" s="37"/>
    </row>
    <row r="7602" spans="1:10" ht="15.95" customHeight="1" x14ac:dyDescent="0.2">
      <c r="A7602" s="39"/>
      <c r="B7602" s="36"/>
      <c r="C7602" s="37"/>
      <c r="D7602" s="37"/>
      <c r="E7602" s="37"/>
      <c r="F7602" s="37"/>
      <c r="G7602" s="37"/>
      <c r="H7602" s="37"/>
      <c r="I7602" s="35"/>
      <c r="J7602" s="37"/>
    </row>
    <row r="7603" spans="1:10" ht="15.95" customHeight="1" x14ac:dyDescent="0.2">
      <c r="A7603" s="39"/>
      <c r="B7603" s="36"/>
      <c r="C7603" s="37"/>
      <c r="D7603" s="37"/>
      <c r="E7603" s="37"/>
      <c r="F7603" s="37"/>
      <c r="G7603" s="37"/>
      <c r="H7603" s="37"/>
      <c r="I7603" s="35"/>
      <c r="J7603" s="37"/>
    </row>
    <row r="7604" spans="1:10" ht="15.95" customHeight="1" x14ac:dyDescent="0.2">
      <c r="A7604" s="39"/>
      <c r="B7604" s="36"/>
      <c r="C7604" s="37"/>
      <c r="D7604" s="37"/>
      <c r="E7604" s="37"/>
      <c r="F7604" s="37"/>
      <c r="G7604" s="37"/>
      <c r="H7604" s="37"/>
      <c r="I7604" s="35"/>
      <c r="J7604" s="37"/>
    </row>
    <row r="7605" spans="1:10" ht="15.95" customHeight="1" x14ac:dyDescent="0.2">
      <c r="A7605" s="39"/>
      <c r="B7605" s="36"/>
      <c r="C7605" s="37"/>
      <c r="D7605" s="37"/>
      <c r="E7605" s="37"/>
      <c r="F7605" s="37"/>
      <c r="G7605" s="37"/>
      <c r="H7605" s="37"/>
      <c r="I7605" s="35"/>
      <c r="J7605" s="37"/>
    </row>
    <row r="7606" spans="1:10" ht="15.95" customHeight="1" x14ac:dyDescent="0.2">
      <c r="A7606" s="39"/>
      <c r="B7606" s="36"/>
      <c r="C7606" s="37"/>
      <c r="D7606" s="37"/>
      <c r="E7606" s="37"/>
      <c r="F7606" s="37"/>
      <c r="G7606" s="37"/>
      <c r="H7606" s="37"/>
      <c r="I7606" s="35"/>
      <c r="J7606" s="37"/>
    </row>
    <row r="7607" spans="1:10" ht="15.95" customHeight="1" x14ac:dyDescent="0.2">
      <c r="A7607" s="39"/>
      <c r="B7607" s="36"/>
      <c r="C7607" s="37"/>
      <c r="D7607" s="37"/>
      <c r="E7607" s="37"/>
      <c r="F7607" s="37"/>
      <c r="G7607" s="37"/>
      <c r="H7607" s="37"/>
      <c r="I7607" s="35"/>
      <c r="J7607" s="37"/>
    </row>
    <row r="7608" spans="1:10" ht="15.95" customHeight="1" x14ac:dyDescent="0.2">
      <c r="A7608" s="39"/>
      <c r="B7608" s="36"/>
      <c r="C7608" s="37"/>
      <c r="D7608" s="37"/>
      <c r="E7608" s="37"/>
      <c r="F7608" s="37"/>
      <c r="G7608" s="37"/>
      <c r="H7608" s="37"/>
      <c r="I7608" s="35"/>
      <c r="J7608" s="37"/>
    </row>
    <row r="7609" spans="1:10" ht="15.95" customHeight="1" x14ac:dyDescent="0.2">
      <c r="A7609" s="39"/>
      <c r="B7609" s="36"/>
      <c r="C7609" s="37"/>
      <c r="D7609" s="37"/>
      <c r="E7609" s="37"/>
      <c r="F7609" s="37"/>
      <c r="G7609" s="37"/>
      <c r="H7609" s="37"/>
      <c r="I7609" s="35"/>
      <c r="J7609" s="37"/>
    </row>
    <row r="7610" spans="1:10" ht="15.95" customHeight="1" x14ac:dyDescent="0.2">
      <c r="A7610" s="39"/>
      <c r="B7610" s="36"/>
      <c r="C7610" s="37"/>
      <c r="D7610" s="37"/>
      <c r="E7610" s="37"/>
      <c r="F7610" s="37"/>
      <c r="G7610" s="37"/>
      <c r="H7610" s="37"/>
      <c r="I7610" s="35"/>
      <c r="J7610" s="37"/>
    </row>
    <row r="7611" spans="1:10" ht="15.95" customHeight="1" x14ac:dyDescent="0.2">
      <c r="A7611" s="39"/>
      <c r="B7611" s="36"/>
      <c r="C7611" s="37"/>
      <c r="D7611" s="37"/>
      <c r="E7611" s="37"/>
      <c r="F7611" s="37"/>
      <c r="G7611" s="37"/>
      <c r="H7611" s="37"/>
      <c r="I7611" s="35"/>
      <c r="J7611" s="37"/>
    </row>
    <row r="7612" spans="1:10" ht="15.95" customHeight="1" x14ac:dyDescent="0.2">
      <c r="A7612" s="39"/>
      <c r="B7612" s="36"/>
      <c r="C7612" s="37"/>
      <c r="D7612" s="37"/>
      <c r="E7612" s="37"/>
      <c r="F7612" s="37"/>
      <c r="G7612" s="37"/>
      <c r="H7612" s="37"/>
      <c r="I7612" s="35"/>
      <c r="J7612" s="37"/>
    </row>
    <row r="7613" spans="1:10" ht="15.95" customHeight="1" x14ac:dyDescent="0.2">
      <c r="A7613" s="39"/>
      <c r="B7613" s="36"/>
      <c r="C7613" s="37"/>
      <c r="D7613" s="37"/>
      <c r="E7613" s="37"/>
      <c r="F7613" s="37"/>
      <c r="G7613" s="37"/>
      <c r="H7613" s="37"/>
      <c r="I7613" s="35"/>
      <c r="J7613" s="37"/>
    </row>
    <row r="7614" spans="1:10" ht="15.95" customHeight="1" x14ac:dyDescent="0.2">
      <c r="A7614" s="39"/>
      <c r="B7614" s="36"/>
      <c r="C7614" s="37"/>
      <c r="D7614" s="37"/>
      <c r="E7614" s="37"/>
      <c r="F7614" s="37"/>
      <c r="G7614" s="37"/>
      <c r="H7614" s="37"/>
      <c r="I7614" s="35"/>
      <c r="J7614" s="37"/>
    </row>
    <row r="7615" spans="1:10" ht="15.95" customHeight="1" x14ac:dyDescent="0.2">
      <c r="A7615" s="39"/>
      <c r="B7615" s="36"/>
      <c r="C7615" s="37"/>
      <c r="D7615" s="37"/>
      <c r="E7615" s="37"/>
      <c r="F7615" s="37"/>
      <c r="G7615" s="37"/>
      <c r="H7615" s="37"/>
      <c r="I7615" s="35"/>
      <c r="J7615" s="37"/>
    </row>
    <row r="7616" spans="1:10" ht="15.95" customHeight="1" x14ac:dyDescent="0.2">
      <c r="A7616" s="39"/>
      <c r="B7616" s="36"/>
      <c r="C7616" s="37"/>
      <c r="D7616" s="37"/>
      <c r="E7616" s="37"/>
      <c r="F7616" s="37"/>
      <c r="G7616" s="37"/>
      <c r="H7616" s="37"/>
      <c r="I7616" s="35"/>
      <c r="J7616" s="37"/>
    </row>
    <row r="7617" spans="1:10" ht="15.95" customHeight="1" x14ac:dyDescent="0.2">
      <c r="A7617" s="39"/>
      <c r="B7617" s="36"/>
      <c r="C7617" s="37"/>
      <c r="D7617" s="37"/>
      <c r="E7617" s="37"/>
      <c r="F7617" s="37"/>
      <c r="G7617" s="37"/>
      <c r="H7617" s="37"/>
      <c r="I7617" s="35"/>
      <c r="J7617" s="37"/>
    </row>
    <row r="7618" spans="1:10" ht="15.95" customHeight="1" x14ac:dyDescent="0.2">
      <c r="A7618" s="39"/>
      <c r="B7618" s="36"/>
      <c r="C7618" s="37"/>
      <c r="D7618" s="37"/>
      <c r="E7618" s="37"/>
      <c r="F7618" s="37"/>
      <c r="G7618" s="37"/>
      <c r="H7618" s="37"/>
      <c r="I7618" s="35"/>
      <c r="J7618" s="37"/>
    </row>
    <row r="7619" spans="1:10" ht="15.95" customHeight="1" x14ac:dyDescent="0.2">
      <c r="A7619" s="39"/>
      <c r="B7619" s="36"/>
      <c r="C7619" s="37"/>
      <c r="D7619" s="37"/>
      <c r="E7619" s="37"/>
      <c r="F7619" s="37"/>
      <c r="G7619" s="37"/>
      <c r="H7619" s="37"/>
      <c r="I7619" s="35"/>
      <c r="J7619" s="37"/>
    </row>
    <row r="7620" spans="1:10" ht="15.95" customHeight="1" x14ac:dyDescent="0.2">
      <c r="A7620" s="39"/>
      <c r="B7620" s="36"/>
      <c r="C7620" s="37"/>
      <c r="D7620" s="37"/>
      <c r="E7620" s="37"/>
      <c r="F7620" s="37"/>
      <c r="G7620" s="37"/>
      <c r="H7620" s="37"/>
      <c r="I7620" s="35"/>
      <c r="J7620" s="37"/>
    </row>
    <row r="7621" spans="1:10" ht="15.95" customHeight="1" x14ac:dyDescent="0.2">
      <c r="A7621" s="39"/>
      <c r="B7621" s="36"/>
      <c r="C7621" s="37"/>
      <c r="D7621" s="37"/>
      <c r="E7621" s="37"/>
      <c r="F7621" s="37"/>
      <c r="G7621" s="37"/>
      <c r="H7621" s="37"/>
      <c r="I7621" s="35"/>
      <c r="J7621" s="37"/>
    </row>
    <row r="7622" spans="1:10" ht="15.95" customHeight="1" x14ac:dyDescent="0.2">
      <c r="A7622" s="39"/>
      <c r="B7622" s="36"/>
      <c r="C7622" s="37"/>
      <c r="D7622" s="37"/>
      <c r="E7622" s="37"/>
      <c r="F7622" s="37"/>
      <c r="G7622" s="37"/>
      <c r="H7622" s="37"/>
      <c r="I7622" s="35"/>
      <c r="J7622" s="37"/>
    </row>
    <row r="7623" spans="1:10" ht="15.95" customHeight="1" x14ac:dyDescent="0.2">
      <c r="A7623" s="39"/>
      <c r="B7623" s="36"/>
      <c r="C7623" s="37"/>
      <c r="D7623" s="37"/>
      <c r="E7623" s="37"/>
      <c r="F7623" s="37"/>
      <c r="G7623" s="37"/>
      <c r="H7623" s="37"/>
      <c r="I7623" s="35"/>
      <c r="J7623" s="37"/>
    </row>
    <row r="7624" spans="1:10" ht="15.95" customHeight="1" x14ac:dyDescent="0.2">
      <c r="A7624" s="39"/>
      <c r="B7624" s="36"/>
      <c r="C7624" s="37"/>
      <c r="D7624" s="37"/>
      <c r="E7624" s="37"/>
      <c r="F7624" s="37"/>
      <c r="G7624" s="37"/>
      <c r="H7624" s="37"/>
      <c r="I7624" s="35"/>
      <c r="J7624" s="37"/>
    </row>
    <row r="7625" spans="1:10" ht="15.95" customHeight="1" x14ac:dyDescent="0.2">
      <c r="A7625" s="39"/>
      <c r="B7625" s="36"/>
      <c r="C7625" s="37"/>
      <c r="D7625" s="37"/>
      <c r="E7625" s="37"/>
      <c r="F7625" s="37"/>
      <c r="G7625" s="37"/>
      <c r="H7625" s="37"/>
      <c r="I7625" s="35"/>
      <c r="J7625" s="37"/>
    </row>
    <row r="7626" spans="1:10" ht="15.95" customHeight="1" x14ac:dyDescent="0.2">
      <c r="A7626" s="39"/>
      <c r="B7626" s="36"/>
      <c r="C7626" s="37"/>
      <c r="D7626" s="37"/>
      <c r="E7626" s="37"/>
      <c r="F7626" s="37"/>
      <c r="G7626" s="37"/>
      <c r="H7626" s="37"/>
      <c r="I7626" s="35"/>
      <c r="J7626" s="37"/>
    </row>
    <row r="7627" spans="1:10" ht="15.95" customHeight="1" x14ac:dyDescent="0.2">
      <c r="A7627" s="39"/>
      <c r="B7627" s="36"/>
      <c r="C7627" s="37"/>
      <c r="D7627" s="37"/>
      <c r="E7627" s="37"/>
      <c r="F7627" s="37"/>
      <c r="G7627" s="37"/>
      <c r="H7627" s="37"/>
      <c r="I7627" s="35"/>
      <c r="J7627" s="37"/>
    </row>
    <row r="7628" spans="1:10" ht="15.95" customHeight="1" x14ac:dyDescent="0.2">
      <c r="A7628" s="39"/>
      <c r="B7628" s="36"/>
      <c r="C7628" s="37"/>
      <c r="D7628" s="37"/>
      <c r="E7628" s="37"/>
      <c r="F7628" s="37"/>
      <c r="G7628" s="37"/>
      <c r="H7628" s="37"/>
      <c r="I7628" s="35"/>
      <c r="J7628" s="37"/>
    </row>
    <row r="7629" spans="1:10" ht="15.95" customHeight="1" x14ac:dyDescent="0.2">
      <c r="A7629" s="39"/>
      <c r="B7629" s="36"/>
      <c r="C7629" s="37"/>
      <c r="D7629" s="37"/>
      <c r="E7629" s="37"/>
      <c r="F7629" s="37"/>
      <c r="G7629" s="37"/>
      <c r="H7629" s="37"/>
      <c r="I7629" s="35"/>
      <c r="J7629" s="37"/>
    </row>
    <row r="7630" spans="1:10" ht="15.95" customHeight="1" x14ac:dyDescent="0.2">
      <c r="A7630" s="39"/>
      <c r="B7630" s="36"/>
      <c r="C7630" s="37"/>
      <c r="D7630" s="37"/>
      <c r="E7630" s="37"/>
      <c r="F7630" s="37"/>
      <c r="G7630" s="37"/>
      <c r="H7630" s="37"/>
      <c r="I7630" s="35"/>
      <c r="J7630" s="37"/>
    </row>
    <row r="7631" spans="1:10" ht="15.95" customHeight="1" x14ac:dyDescent="0.2">
      <c r="A7631" s="39"/>
      <c r="B7631" s="36"/>
      <c r="C7631" s="37"/>
      <c r="D7631" s="37"/>
      <c r="E7631" s="37"/>
      <c r="F7631" s="37"/>
      <c r="G7631" s="37"/>
      <c r="H7631" s="37"/>
      <c r="I7631" s="35"/>
      <c r="J7631" s="37"/>
    </row>
    <row r="7632" spans="1:10" ht="15.95" customHeight="1" x14ac:dyDescent="0.2">
      <c r="A7632" s="39"/>
      <c r="B7632" s="36"/>
      <c r="C7632" s="37"/>
      <c r="D7632" s="37"/>
      <c r="E7632" s="37"/>
      <c r="F7632" s="37"/>
      <c r="G7632" s="37"/>
      <c r="H7632" s="37"/>
      <c r="I7632" s="35"/>
      <c r="J7632" s="37"/>
    </row>
    <row r="7633" spans="1:10" ht="15.95" customHeight="1" x14ac:dyDescent="0.2">
      <c r="A7633" s="39"/>
      <c r="B7633" s="36"/>
      <c r="C7633" s="37"/>
      <c r="D7633" s="37"/>
      <c r="E7633" s="37"/>
      <c r="F7633" s="37"/>
      <c r="G7633" s="37"/>
      <c r="H7633" s="37"/>
      <c r="I7633" s="35"/>
      <c r="J7633" s="37"/>
    </row>
    <row r="7634" spans="1:10" ht="15.95" customHeight="1" x14ac:dyDescent="0.2">
      <c r="A7634" s="39"/>
      <c r="B7634" s="36"/>
      <c r="C7634" s="37"/>
      <c r="D7634" s="37"/>
      <c r="E7634" s="37"/>
      <c r="F7634" s="37"/>
      <c r="G7634" s="37"/>
      <c r="H7634" s="37"/>
      <c r="I7634" s="35"/>
      <c r="J7634" s="37"/>
    </row>
    <row r="7635" spans="1:10" ht="15.95" customHeight="1" x14ac:dyDescent="0.2">
      <c r="A7635" s="39"/>
      <c r="B7635" s="36"/>
      <c r="C7635" s="37"/>
      <c r="D7635" s="37"/>
      <c r="E7635" s="37"/>
      <c r="F7635" s="37"/>
      <c r="G7635" s="37"/>
      <c r="H7635" s="37"/>
      <c r="I7635" s="35"/>
      <c r="J7635" s="37"/>
    </row>
    <row r="7636" spans="1:10" ht="15.95" customHeight="1" x14ac:dyDescent="0.2">
      <c r="A7636" s="39"/>
      <c r="B7636" s="36"/>
      <c r="C7636" s="37"/>
      <c r="D7636" s="37"/>
      <c r="E7636" s="37"/>
      <c r="F7636" s="37"/>
      <c r="G7636" s="37"/>
      <c r="H7636" s="37"/>
      <c r="I7636" s="35"/>
      <c r="J7636" s="37"/>
    </row>
    <row r="7637" spans="1:10" ht="15.95" customHeight="1" x14ac:dyDescent="0.2">
      <c r="A7637" s="39"/>
      <c r="B7637" s="36"/>
      <c r="C7637" s="37"/>
      <c r="D7637" s="37"/>
      <c r="E7637" s="37"/>
      <c r="F7637" s="37"/>
      <c r="G7637" s="37"/>
      <c r="H7637" s="37"/>
      <c r="I7637" s="35"/>
      <c r="J7637" s="37"/>
    </row>
    <row r="7638" spans="1:10" ht="15.95" customHeight="1" x14ac:dyDescent="0.2">
      <c r="A7638" s="39"/>
      <c r="B7638" s="36"/>
      <c r="C7638" s="37"/>
      <c r="D7638" s="37"/>
      <c r="E7638" s="37"/>
      <c r="F7638" s="37"/>
      <c r="G7638" s="37"/>
      <c r="H7638" s="37"/>
      <c r="I7638" s="35"/>
      <c r="J7638" s="37"/>
    </row>
    <row r="7639" spans="1:10" ht="15.95" customHeight="1" x14ac:dyDescent="0.2">
      <c r="A7639" s="39"/>
      <c r="B7639" s="36"/>
      <c r="C7639" s="37"/>
      <c r="D7639" s="37"/>
      <c r="E7639" s="37"/>
      <c r="F7639" s="37"/>
      <c r="G7639" s="37"/>
      <c r="H7639" s="37"/>
      <c r="I7639" s="35"/>
      <c r="J7639" s="37"/>
    </row>
    <row r="7640" spans="1:10" ht="15.95" customHeight="1" x14ac:dyDescent="0.2">
      <c r="A7640" s="39"/>
      <c r="B7640" s="36"/>
      <c r="C7640" s="37"/>
      <c r="D7640" s="37"/>
      <c r="E7640" s="37"/>
      <c r="F7640" s="37"/>
      <c r="G7640" s="37"/>
      <c r="H7640" s="37"/>
      <c r="I7640" s="35"/>
      <c r="J7640" s="37"/>
    </row>
    <row r="7641" spans="1:10" ht="15.95" customHeight="1" x14ac:dyDescent="0.2">
      <c r="A7641" s="39"/>
      <c r="B7641" s="36"/>
      <c r="C7641" s="37"/>
      <c r="D7641" s="37"/>
      <c r="E7641" s="37"/>
      <c r="F7641" s="37"/>
      <c r="G7641" s="37"/>
      <c r="H7641" s="37"/>
      <c r="I7641" s="35"/>
      <c r="J7641" s="37"/>
    </row>
    <row r="7642" spans="1:10" ht="15.95" customHeight="1" x14ac:dyDescent="0.2">
      <c r="A7642" s="39"/>
      <c r="B7642" s="36"/>
      <c r="C7642" s="37"/>
      <c r="D7642" s="37"/>
      <c r="E7642" s="37"/>
      <c r="F7642" s="37"/>
      <c r="G7642" s="37"/>
      <c r="H7642" s="37"/>
      <c r="I7642" s="35"/>
      <c r="J7642" s="37"/>
    </row>
    <row r="7643" spans="1:10" ht="15.95" customHeight="1" x14ac:dyDescent="0.2">
      <c r="A7643" s="39"/>
      <c r="B7643" s="36"/>
      <c r="C7643" s="37"/>
      <c r="D7643" s="37"/>
      <c r="E7643" s="37"/>
      <c r="F7643" s="37"/>
      <c r="G7643" s="37"/>
      <c r="H7643" s="37"/>
      <c r="I7643" s="35"/>
      <c r="J7643" s="37"/>
    </row>
    <row r="7644" spans="1:10" ht="15.95" customHeight="1" x14ac:dyDescent="0.2">
      <c r="A7644" s="39"/>
      <c r="B7644" s="36"/>
      <c r="C7644" s="37"/>
      <c r="D7644" s="37"/>
      <c r="E7644" s="37"/>
      <c r="F7644" s="37"/>
      <c r="G7644" s="37"/>
      <c r="H7644" s="37"/>
      <c r="I7644" s="35"/>
      <c r="J7644" s="37"/>
    </row>
    <row r="7645" spans="1:10" ht="15.95" customHeight="1" x14ac:dyDescent="0.2">
      <c r="A7645" s="39"/>
      <c r="B7645" s="36"/>
      <c r="C7645" s="37"/>
      <c r="D7645" s="37"/>
      <c r="E7645" s="37"/>
      <c r="F7645" s="37"/>
      <c r="G7645" s="37"/>
      <c r="H7645" s="37"/>
      <c r="I7645" s="35"/>
      <c r="J7645" s="37"/>
    </row>
    <row r="7646" spans="1:10" ht="15.95" customHeight="1" x14ac:dyDescent="0.2">
      <c r="A7646" s="39"/>
      <c r="B7646" s="36"/>
      <c r="C7646" s="37"/>
      <c r="D7646" s="37"/>
      <c r="E7646" s="37"/>
      <c r="F7646" s="37"/>
      <c r="G7646" s="37"/>
      <c r="H7646" s="37"/>
      <c r="I7646" s="35"/>
      <c r="J7646" s="37"/>
    </row>
    <row r="7647" spans="1:10" ht="15.95" customHeight="1" x14ac:dyDescent="0.2">
      <c r="A7647" s="39"/>
      <c r="B7647" s="36"/>
      <c r="C7647" s="37"/>
      <c r="D7647" s="37"/>
      <c r="E7647" s="37"/>
      <c r="F7647" s="37"/>
      <c r="G7647" s="37"/>
      <c r="H7647" s="37"/>
      <c r="I7647" s="35"/>
      <c r="J7647" s="37"/>
    </row>
    <row r="7648" spans="1:10" ht="15.95" customHeight="1" x14ac:dyDescent="0.2">
      <c r="A7648" s="39"/>
      <c r="B7648" s="36"/>
      <c r="C7648" s="37"/>
      <c r="D7648" s="37"/>
      <c r="E7648" s="37"/>
      <c r="F7648" s="37"/>
      <c r="G7648" s="37"/>
      <c r="H7648" s="37"/>
      <c r="I7648" s="35"/>
      <c r="J7648" s="37"/>
    </row>
    <row r="7649" spans="1:10" ht="15.95" customHeight="1" x14ac:dyDescent="0.2">
      <c r="A7649" s="39"/>
      <c r="B7649" s="36"/>
      <c r="C7649" s="37"/>
      <c r="D7649" s="37"/>
      <c r="E7649" s="37"/>
      <c r="F7649" s="37"/>
      <c r="G7649" s="37"/>
      <c r="H7649" s="37"/>
      <c r="I7649" s="35"/>
      <c r="J7649" s="37"/>
    </row>
    <row r="7650" spans="1:10" ht="15.95" customHeight="1" x14ac:dyDescent="0.2">
      <c r="A7650" s="39"/>
      <c r="B7650" s="36"/>
      <c r="C7650" s="37"/>
      <c r="D7650" s="37"/>
      <c r="E7650" s="37"/>
      <c r="F7650" s="37"/>
      <c r="G7650" s="37"/>
      <c r="H7650" s="37"/>
      <c r="I7650" s="35"/>
      <c r="J7650" s="37"/>
    </row>
    <row r="7651" spans="1:10" ht="15.95" customHeight="1" x14ac:dyDescent="0.2">
      <c r="A7651" s="39"/>
      <c r="B7651" s="36"/>
      <c r="C7651" s="37"/>
      <c r="D7651" s="37"/>
      <c r="E7651" s="37"/>
      <c r="F7651" s="37"/>
      <c r="G7651" s="37"/>
      <c r="H7651" s="37"/>
      <c r="I7651" s="35"/>
      <c r="J7651" s="37"/>
    </row>
    <row r="7652" spans="1:10" ht="15.95" customHeight="1" x14ac:dyDescent="0.2">
      <c r="A7652" s="39"/>
      <c r="B7652" s="36"/>
      <c r="C7652" s="37"/>
      <c r="D7652" s="37"/>
      <c r="E7652" s="37"/>
      <c r="F7652" s="37"/>
      <c r="G7652" s="37"/>
      <c r="H7652" s="37"/>
      <c r="I7652" s="35"/>
      <c r="J7652" s="37"/>
    </row>
    <row r="7653" spans="1:10" ht="15.95" customHeight="1" x14ac:dyDescent="0.2">
      <c r="A7653" s="39"/>
      <c r="B7653" s="36"/>
      <c r="C7653" s="37"/>
      <c r="D7653" s="37"/>
      <c r="E7653" s="37"/>
      <c r="F7653" s="37"/>
      <c r="G7653" s="37"/>
      <c r="H7653" s="37"/>
      <c r="I7653" s="35"/>
      <c r="J7653" s="37"/>
    </row>
    <row r="7654" spans="1:10" ht="15.95" customHeight="1" x14ac:dyDescent="0.2">
      <c r="A7654" s="39"/>
      <c r="B7654" s="36"/>
      <c r="C7654" s="37"/>
      <c r="D7654" s="37"/>
      <c r="E7654" s="37"/>
      <c r="F7654" s="37"/>
      <c r="G7654" s="37"/>
      <c r="H7654" s="37"/>
      <c r="I7654" s="35"/>
      <c r="J7654" s="37"/>
    </row>
    <row r="7655" spans="1:10" ht="15.95" customHeight="1" x14ac:dyDescent="0.2">
      <c r="A7655" s="39"/>
      <c r="B7655" s="36"/>
      <c r="C7655" s="37"/>
      <c r="D7655" s="37"/>
      <c r="E7655" s="37"/>
      <c r="F7655" s="37"/>
      <c r="G7655" s="37"/>
      <c r="H7655" s="37"/>
      <c r="I7655" s="35"/>
      <c r="J7655" s="37"/>
    </row>
    <row r="7656" spans="1:10" ht="15.95" customHeight="1" x14ac:dyDescent="0.2">
      <c r="A7656" s="39"/>
      <c r="B7656" s="36"/>
      <c r="C7656" s="37"/>
      <c r="D7656" s="37"/>
      <c r="E7656" s="37"/>
      <c r="F7656" s="37"/>
      <c r="G7656" s="37"/>
      <c r="H7656" s="37"/>
      <c r="I7656" s="35"/>
      <c r="J7656" s="37"/>
    </row>
    <row r="7657" spans="1:10" ht="15.95" customHeight="1" x14ac:dyDescent="0.2">
      <c r="A7657" s="39"/>
      <c r="B7657" s="36"/>
      <c r="C7657" s="37"/>
      <c r="D7657" s="37"/>
      <c r="E7657" s="37"/>
      <c r="F7657" s="37"/>
      <c r="G7657" s="37"/>
      <c r="H7657" s="37"/>
      <c r="I7657" s="35"/>
      <c r="J7657" s="37"/>
    </row>
    <row r="7658" spans="1:10" ht="15.95" customHeight="1" x14ac:dyDescent="0.2">
      <c r="A7658" s="39"/>
      <c r="B7658" s="36"/>
      <c r="C7658" s="37"/>
      <c r="D7658" s="37"/>
      <c r="E7658" s="37"/>
      <c r="F7658" s="37"/>
      <c r="G7658" s="37"/>
      <c r="H7658" s="37"/>
      <c r="I7658" s="35"/>
      <c r="J7658" s="37"/>
    </row>
    <row r="7659" spans="1:10" ht="15.95" customHeight="1" x14ac:dyDescent="0.2">
      <c r="A7659" s="39"/>
      <c r="B7659" s="36"/>
      <c r="C7659" s="37"/>
      <c r="D7659" s="37"/>
      <c r="E7659" s="37"/>
      <c r="F7659" s="37"/>
      <c r="G7659" s="37"/>
      <c r="H7659" s="37"/>
      <c r="I7659" s="35"/>
      <c r="J7659" s="37"/>
    </row>
    <row r="7660" spans="1:10" ht="15.95" customHeight="1" x14ac:dyDescent="0.2">
      <c r="A7660" s="39"/>
      <c r="B7660" s="36"/>
      <c r="C7660" s="37"/>
      <c r="D7660" s="37"/>
      <c r="E7660" s="37"/>
      <c r="F7660" s="37"/>
      <c r="G7660" s="37"/>
      <c r="H7660" s="37"/>
      <c r="I7660" s="35"/>
      <c r="J7660" s="37"/>
    </row>
    <row r="7661" spans="1:10" ht="15.95" customHeight="1" x14ac:dyDescent="0.2">
      <c r="A7661" s="39"/>
      <c r="B7661" s="36"/>
      <c r="C7661" s="37"/>
      <c r="D7661" s="37"/>
      <c r="E7661" s="37"/>
      <c r="F7661" s="37"/>
      <c r="G7661" s="37"/>
      <c r="H7661" s="37"/>
      <c r="I7661" s="35"/>
      <c r="J7661" s="37"/>
    </row>
    <row r="7662" spans="1:10" ht="15.95" customHeight="1" x14ac:dyDescent="0.2">
      <c r="A7662" s="39"/>
      <c r="B7662" s="36"/>
      <c r="C7662" s="37"/>
      <c r="D7662" s="37"/>
      <c r="E7662" s="37"/>
      <c r="F7662" s="37"/>
      <c r="G7662" s="37"/>
      <c r="H7662" s="37"/>
      <c r="I7662" s="35"/>
      <c r="J7662" s="37"/>
    </row>
    <row r="7663" spans="1:10" ht="15.95" customHeight="1" x14ac:dyDescent="0.2">
      <c r="A7663" s="39"/>
      <c r="B7663" s="36"/>
      <c r="C7663" s="37"/>
      <c r="D7663" s="37"/>
      <c r="E7663" s="37"/>
      <c r="F7663" s="37"/>
      <c r="G7663" s="37"/>
      <c r="H7663" s="37"/>
      <c r="I7663" s="35"/>
      <c r="J7663" s="37"/>
    </row>
    <row r="7664" spans="1:10" ht="15.95" customHeight="1" x14ac:dyDescent="0.2">
      <c r="A7664" s="39"/>
      <c r="B7664" s="36"/>
      <c r="C7664" s="37"/>
      <c r="D7664" s="37"/>
      <c r="E7664" s="37"/>
      <c r="F7664" s="37"/>
      <c r="G7664" s="37"/>
      <c r="H7664" s="37"/>
      <c r="I7664" s="35"/>
      <c r="J7664" s="37"/>
    </row>
    <row r="7665" spans="1:10" ht="15.95" customHeight="1" x14ac:dyDescent="0.2">
      <c r="A7665" s="39"/>
      <c r="B7665" s="36"/>
      <c r="C7665" s="37"/>
      <c r="D7665" s="37"/>
      <c r="E7665" s="37"/>
      <c r="F7665" s="37"/>
      <c r="G7665" s="37"/>
      <c r="H7665" s="37"/>
      <c r="I7665" s="35"/>
      <c r="J7665" s="37"/>
    </row>
    <row r="7666" spans="1:10" ht="15.95" customHeight="1" x14ac:dyDescent="0.2">
      <c r="A7666" s="39"/>
      <c r="B7666" s="36"/>
      <c r="C7666" s="37"/>
      <c r="D7666" s="37"/>
      <c r="E7666" s="37"/>
      <c r="F7666" s="37"/>
      <c r="G7666" s="37"/>
      <c r="H7666" s="37"/>
      <c r="I7666" s="35"/>
      <c r="J7666" s="37"/>
    </row>
    <row r="7667" spans="1:10" ht="15.95" customHeight="1" x14ac:dyDescent="0.2">
      <c r="A7667" s="39"/>
      <c r="B7667" s="36"/>
      <c r="C7667" s="37"/>
      <c r="D7667" s="37"/>
      <c r="E7667" s="37"/>
      <c r="F7667" s="37"/>
      <c r="G7667" s="37"/>
      <c r="H7667" s="37"/>
      <c r="I7667" s="35"/>
      <c r="J7667" s="37"/>
    </row>
    <row r="7668" spans="1:10" ht="15.95" customHeight="1" x14ac:dyDescent="0.2">
      <c r="A7668" s="39"/>
      <c r="B7668" s="36"/>
      <c r="C7668" s="37"/>
      <c r="D7668" s="37"/>
      <c r="E7668" s="37"/>
      <c r="F7668" s="37"/>
      <c r="G7668" s="37"/>
      <c r="H7668" s="37"/>
      <c r="I7668" s="35"/>
      <c r="J7668" s="37"/>
    </row>
    <row r="7669" spans="1:10" ht="15.95" customHeight="1" x14ac:dyDescent="0.2">
      <c r="A7669" s="39"/>
      <c r="B7669" s="36"/>
      <c r="C7669" s="37"/>
      <c r="D7669" s="37"/>
      <c r="E7669" s="37"/>
      <c r="F7669" s="37"/>
      <c r="G7669" s="37"/>
      <c r="H7669" s="37"/>
      <c r="I7669" s="35"/>
      <c r="J7669" s="37"/>
    </row>
    <row r="7670" spans="1:10" ht="15.95" customHeight="1" x14ac:dyDescent="0.2">
      <c r="A7670" s="39"/>
      <c r="B7670" s="36"/>
      <c r="C7670" s="37"/>
      <c r="D7670" s="37"/>
      <c r="E7670" s="37"/>
      <c r="F7670" s="37"/>
      <c r="G7670" s="37"/>
      <c r="H7670" s="37"/>
      <c r="I7670" s="35"/>
      <c r="J7670" s="37"/>
    </row>
    <row r="7671" spans="1:10" ht="15.95" customHeight="1" x14ac:dyDescent="0.2">
      <c r="A7671" s="39"/>
      <c r="B7671" s="36"/>
      <c r="C7671" s="37"/>
      <c r="D7671" s="37"/>
      <c r="E7671" s="37"/>
      <c r="F7671" s="37"/>
      <c r="G7671" s="37"/>
      <c r="H7671" s="37"/>
      <c r="I7671" s="35"/>
      <c r="J7671" s="37"/>
    </row>
    <row r="7672" spans="1:10" ht="15.95" customHeight="1" x14ac:dyDescent="0.2">
      <c r="A7672" s="39"/>
      <c r="B7672" s="36"/>
      <c r="C7672" s="37"/>
      <c r="D7672" s="37"/>
      <c r="E7672" s="37"/>
      <c r="F7672" s="37"/>
      <c r="G7672" s="37"/>
      <c r="H7672" s="37"/>
      <c r="I7672" s="35"/>
      <c r="J7672" s="37"/>
    </row>
    <row r="7673" spans="1:10" ht="15.95" customHeight="1" x14ac:dyDescent="0.2">
      <c r="A7673" s="39"/>
      <c r="B7673" s="36"/>
      <c r="C7673" s="37"/>
      <c r="D7673" s="37"/>
      <c r="E7673" s="37"/>
      <c r="F7673" s="37"/>
      <c r="G7673" s="37"/>
      <c r="H7673" s="37"/>
      <c r="I7673" s="35"/>
      <c r="J7673" s="37"/>
    </row>
    <row r="7674" spans="1:10" ht="15.95" customHeight="1" x14ac:dyDescent="0.2">
      <c r="A7674" s="39"/>
      <c r="B7674" s="36"/>
      <c r="C7674" s="37"/>
      <c r="D7674" s="37"/>
      <c r="E7674" s="37"/>
      <c r="F7674" s="37"/>
      <c r="G7674" s="37"/>
      <c r="H7674" s="37"/>
      <c r="I7674" s="35"/>
      <c r="J7674" s="37"/>
    </row>
    <row r="7675" spans="1:10" ht="15.95" customHeight="1" x14ac:dyDescent="0.2">
      <c r="A7675" s="39"/>
      <c r="B7675" s="36"/>
      <c r="C7675" s="37"/>
      <c r="D7675" s="37"/>
      <c r="E7675" s="37"/>
      <c r="F7675" s="37"/>
      <c r="G7675" s="37"/>
      <c r="H7675" s="37"/>
      <c r="I7675" s="35"/>
      <c r="J7675" s="37"/>
    </row>
    <row r="7676" spans="1:10" ht="15.95" customHeight="1" x14ac:dyDescent="0.2">
      <c r="A7676" s="39"/>
      <c r="B7676" s="36"/>
      <c r="C7676" s="37"/>
      <c r="D7676" s="37"/>
      <c r="E7676" s="37"/>
      <c r="F7676" s="37"/>
      <c r="G7676" s="37"/>
      <c r="H7676" s="37"/>
      <c r="I7676" s="35"/>
      <c r="J7676" s="37"/>
    </row>
    <row r="7677" spans="1:10" ht="15.95" customHeight="1" x14ac:dyDescent="0.2">
      <c r="A7677" s="39"/>
      <c r="B7677" s="36"/>
      <c r="C7677" s="37"/>
      <c r="D7677" s="37"/>
      <c r="E7677" s="37"/>
      <c r="F7677" s="37"/>
      <c r="G7677" s="37"/>
      <c r="H7677" s="37"/>
      <c r="I7677" s="35"/>
      <c r="J7677" s="37"/>
    </row>
    <row r="7678" spans="1:10" ht="15.95" customHeight="1" x14ac:dyDescent="0.2">
      <c r="A7678" s="39"/>
      <c r="B7678" s="36"/>
      <c r="C7678" s="37"/>
      <c r="D7678" s="37"/>
      <c r="E7678" s="37"/>
      <c r="F7678" s="37"/>
      <c r="G7678" s="37"/>
      <c r="H7678" s="37"/>
      <c r="I7678" s="35"/>
      <c r="J7678" s="37"/>
    </row>
    <row r="7679" spans="1:10" ht="15.95" customHeight="1" x14ac:dyDescent="0.2">
      <c r="A7679" s="39"/>
      <c r="B7679" s="36"/>
      <c r="C7679" s="37"/>
      <c r="D7679" s="37"/>
      <c r="E7679" s="37"/>
      <c r="F7679" s="37"/>
      <c r="G7679" s="37"/>
      <c r="H7679" s="37"/>
      <c r="I7679" s="35"/>
      <c r="J7679" s="37"/>
    </row>
    <row r="7680" spans="1:10" ht="15.95" customHeight="1" x14ac:dyDescent="0.2">
      <c r="A7680" s="39"/>
      <c r="B7680" s="36"/>
      <c r="C7680" s="37"/>
      <c r="D7680" s="37"/>
      <c r="E7680" s="37"/>
      <c r="F7680" s="37"/>
      <c r="G7680" s="37"/>
      <c r="H7680" s="37"/>
      <c r="I7680" s="35"/>
      <c r="J7680" s="37"/>
    </row>
    <row r="7681" spans="1:10" ht="15.95" customHeight="1" x14ac:dyDescent="0.2">
      <c r="A7681" s="39"/>
      <c r="B7681" s="36"/>
      <c r="C7681" s="37"/>
      <c r="D7681" s="37"/>
      <c r="E7681" s="37"/>
      <c r="F7681" s="37"/>
      <c r="G7681" s="37"/>
      <c r="H7681" s="37"/>
      <c r="I7681" s="35"/>
      <c r="J7681" s="37"/>
    </row>
    <row r="7682" spans="1:10" ht="15.95" customHeight="1" x14ac:dyDescent="0.2">
      <c r="A7682" s="39"/>
      <c r="B7682" s="36"/>
      <c r="C7682" s="37"/>
      <c r="D7682" s="37"/>
      <c r="E7682" s="37"/>
      <c r="F7682" s="37"/>
      <c r="G7682" s="37"/>
      <c r="H7682" s="37"/>
      <c r="I7682" s="35"/>
      <c r="J7682" s="37"/>
    </row>
    <row r="7683" spans="1:10" ht="15.95" customHeight="1" x14ac:dyDescent="0.2">
      <c r="A7683" s="39"/>
      <c r="B7683" s="36"/>
      <c r="C7683" s="37"/>
      <c r="D7683" s="37"/>
      <c r="E7683" s="37"/>
      <c r="F7683" s="37"/>
      <c r="G7683" s="37"/>
      <c r="H7683" s="37"/>
      <c r="I7683" s="35"/>
      <c r="J7683" s="37"/>
    </row>
    <row r="7684" spans="1:10" ht="15.95" customHeight="1" x14ac:dyDescent="0.2">
      <c r="A7684" s="39"/>
      <c r="B7684" s="36"/>
      <c r="C7684" s="37"/>
      <c r="D7684" s="37"/>
      <c r="E7684" s="37"/>
      <c r="F7684" s="37"/>
      <c r="G7684" s="37"/>
      <c r="H7684" s="37"/>
      <c r="I7684" s="35"/>
      <c r="J7684" s="37"/>
    </row>
    <row r="7685" spans="1:10" ht="15.95" customHeight="1" x14ac:dyDescent="0.2">
      <c r="A7685" s="39"/>
      <c r="B7685" s="36"/>
      <c r="C7685" s="37"/>
      <c r="D7685" s="37"/>
      <c r="E7685" s="37"/>
      <c r="F7685" s="37"/>
      <c r="G7685" s="37"/>
      <c r="H7685" s="37"/>
      <c r="I7685" s="35"/>
      <c r="J7685" s="37"/>
    </row>
    <row r="7686" spans="1:10" ht="15.95" customHeight="1" x14ac:dyDescent="0.2">
      <c r="A7686" s="39"/>
      <c r="B7686" s="36"/>
      <c r="C7686" s="37"/>
      <c r="D7686" s="37"/>
      <c r="E7686" s="37"/>
      <c r="F7686" s="37"/>
      <c r="G7686" s="37"/>
      <c r="H7686" s="37"/>
      <c r="I7686" s="35"/>
      <c r="J7686" s="37"/>
    </row>
    <row r="7687" spans="1:10" ht="15.95" customHeight="1" x14ac:dyDescent="0.2">
      <c r="A7687" s="39"/>
      <c r="B7687" s="36"/>
      <c r="C7687" s="37"/>
      <c r="D7687" s="37"/>
      <c r="E7687" s="37"/>
      <c r="F7687" s="37"/>
      <c r="G7687" s="37"/>
      <c r="H7687" s="37"/>
      <c r="I7687" s="35"/>
      <c r="J7687" s="37"/>
    </row>
    <row r="7688" spans="1:10" ht="15.95" customHeight="1" x14ac:dyDescent="0.2">
      <c r="A7688" s="39"/>
      <c r="B7688" s="36"/>
      <c r="C7688" s="37"/>
      <c r="D7688" s="37"/>
      <c r="E7688" s="37"/>
      <c r="F7688" s="37"/>
      <c r="G7688" s="37"/>
      <c r="H7688" s="37"/>
      <c r="I7688" s="35"/>
      <c r="J7688" s="37"/>
    </row>
    <row r="7689" spans="1:10" ht="15.95" customHeight="1" x14ac:dyDescent="0.2">
      <c r="A7689" s="39"/>
      <c r="B7689" s="36"/>
      <c r="C7689" s="37"/>
      <c r="D7689" s="37"/>
      <c r="E7689" s="37"/>
      <c r="F7689" s="37"/>
      <c r="G7689" s="37"/>
      <c r="H7689" s="37"/>
      <c r="I7689" s="35"/>
      <c r="J7689" s="37"/>
    </row>
    <row r="7690" spans="1:10" ht="15.95" customHeight="1" x14ac:dyDescent="0.2">
      <c r="A7690" s="39"/>
      <c r="B7690" s="36"/>
      <c r="C7690" s="37"/>
      <c r="D7690" s="37"/>
      <c r="E7690" s="37"/>
      <c r="F7690" s="37"/>
      <c r="G7690" s="37"/>
      <c r="H7690" s="37"/>
      <c r="I7690" s="35"/>
      <c r="J7690" s="37"/>
    </row>
    <row r="7691" spans="1:10" ht="15.95" customHeight="1" x14ac:dyDescent="0.2">
      <c r="A7691" s="39"/>
      <c r="B7691" s="36"/>
      <c r="C7691" s="37"/>
      <c r="D7691" s="37"/>
      <c r="E7691" s="37"/>
      <c r="F7691" s="37"/>
      <c r="G7691" s="37"/>
      <c r="H7691" s="37"/>
      <c r="I7691" s="35"/>
      <c r="J7691" s="37"/>
    </row>
    <row r="7692" spans="1:10" ht="15.95" customHeight="1" x14ac:dyDescent="0.2">
      <c r="A7692" s="39"/>
      <c r="B7692" s="36"/>
      <c r="C7692" s="37"/>
      <c r="D7692" s="37"/>
      <c r="E7692" s="37"/>
      <c r="F7692" s="37"/>
      <c r="G7692" s="37"/>
      <c r="H7692" s="37"/>
      <c r="I7692" s="35"/>
      <c r="J7692" s="37"/>
    </row>
    <row r="7693" spans="1:10" ht="15.95" customHeight="1" x14ac:dyDescent="0.2">
      <c r="A7693" s="39"/>
      <c r="B7693" s="36"/>
      <c r="C7693" s="37"/>
      <c r="D7693" s="37"/>
      <c r="E7693" s="37"/>
      <c r="F7693" s="37"/>
      <c r="G7693" s="37"/>
      <c r="H7693" s="37"/>
      <c r="I7693" s="35"/>
      <c r="J7693" s="37"/>
    </row>
    <row r="7694" spans="1:10" ht="15.95" customHeight="1" x14ac:dyDescent="0.2">
      <c r="A7694" s="39"/>
      <c r="B7694" s="36"/>
      <c r="C7694" s="37"/>
      <c r="D7694" s="37"/>
      <c r="E7694" s="37"/>
      <c r="F7694" s="37"/>
      <c r="G7694" s="37"/>
      <c r="H7694" s="37"/>
      <c r="I7694" s="35"/>
      <c r="J7694" s="37"/>
    </row>
    <row r="7695" spans="1:10" ht="15.95" customHeight="1" x14ac:dyDescent="0.2">
      <c r="A7695" s="39"/>
      <c r="B7695" s="36"/>
      <c r="C7695" s="37"/>
      <c r="D7695" s="37"/>
      <c r="E7695" s="37"/>
      <c r="F7695" s="37"/>
      <c r="G7695" s="37"/>
      <c r="H7695" s="37"/>
      <c r="I7695" s="35"/>
      <c r="J7695" s="37"/>
    </row>
    <row r="7696" spans="1:10" ht="15.95" customHeight="1" x14ac:dyDescent="0.2">
      <c r="A7696" s="39"/>
      <c r="B7696" s="36"/>
      <c r="C7696" s="37"/>
      <c r="D7696" s="37"/>
      <c r="E7696" s="37"/>
      <c r="F7696" s="37"/>
      <c r="G7696" s="37"/>
      <c r="H7696" s="37"/>
      <c r="I7696" s="35"/>
      <c r="J7696" s="37"/>
    </row>
    <row r="7697" spans="1:10" ht="15.95" customHeight="1" x14ac:dyDescent="0.2">
      <c r="A7697" s="39"/>
      <c r="B7697" s="36"/>
      <c r="C7697" s="37"/>
      <c r="D7697" s="37"/>
      <c r="E7697" s="37"/>
      <c r="F7697" s="37"/>
      <c r="G7697" s="37"/>
      <c r="H7697" s="37"/>
      <c r="I7697" s="35"/>
      <c r="J7697" s="37"/>
    </row>
    <row r="7698" spans="1:10" ht="15.95" customHeight="1" x14ac:dyDescent="0.2">
      <c r="A7698" s="39"/>
      <c r="B7698" s="36"/>
      <c r="C7698" s="37"/>
      <c r="D7698" s="37"/>
      <c r="E7698" s="37"/>
      <c r="F7698" s="37"/>
      <c r="G7698" s="37"/>
      <c r="H7698" s="37"/>
      <c r="I7698" s="35"/>
      <c r="J7698" s="37"/>
    </row>
    <row r="7699" spans="1:10" ht="15.95" customHeight="1" x14ac:dyDescent="0.2">
      <c r="A7699" s="39"/>
      <c r="B7699" s="36"/>
      <c r="C7699" s="37"/>
      <c r="D7699" s="37"/>
      <c r="E7699" s="37"/>
      <c r="F7699" s="37"/>
      <c r="G7699" s="37"/>
      <c r="H7699" s="37"/>
      <c r="I7699" s="35"/>
      <c r="J7699" s="37"/>
    </row>
    <row r="7700" spans="1:10" ht="15.95" customHeight="1" x14ac:dyDescent="0.2">
      <c r="A7700" s="39"/>
      <c r="B7700" s="36"/>
      <c r="C7700" s="37"/>
      <c r="D7700" s="37"/>
      <c r="E7700" s="37"/>
      <c r="F7700" s="37"/>
      <c r="G7700" s="37"/>
      <c r="H7700" s="37"/>
      <c r="I7700" s="35"/>
      <c r="J7700" s="37"/>
    </row>
    <row r="7701" spans="1:10" ht="15.95" customHeight="1" x14ac:dyDescent="0.2">
      <c r="A7701" s="39"/>
      <c r="B7701" s="36"/>
      <c r="C7701" s="37"/>
      <c r="D7701" s="37"/>
      <c r="E7701" s="37"/>
      <c r="F7701" s="37"/>
      <c r="G7701" s="37"/>
      <c r="H7701" s="37"/>
      <c r="I7701" s="35"/>
      <c r="J7701" s="37"/>
    </row>
    <row r="7702" spans="1:10" ht="15.95" customHeight="1" x14ac:dyDescent="0.2">
      <c r="A7702" s="39"/>
      <c r="B7702" s="36"/>
      <c r="C7702" s="37"/>
      <c r="D7702" s="37"/>
      <c r="E7702" s="37"/>
      <c r="F7702" s="37"/>
      <c r="G7702" s="37"/>
      <c r="H7702" s="37"/>
      <c r="I7702" s="35"/>
      <c r="J7702" s="37"/>
    </row>
    <row r="7703" spans="1:10" ht="15.95" customHeight="1" x14ac:dyDescent="0.2">
      <c r="A7703" s="39"/>
      <c r="B7703" s="36"/>
      <c r="C7703" s="37"/>
      <c r="D7703" s="37"/>
      <c r="E7703" s="37"/>
      <c r="F7703" s="37"/>
      <c r="G7703" s="37"/>
      <c r="H7703" s="37"/>
      <c r="I7703" s="35"/>
      <c r="J7703" s="37"/>
    </row>
    <row r="7704" spans="1:10" ht="15.95" customHeight="1" x14ac:dyDescent="0.2">
      <c r="A7704" s="39"/>
      <c r="B7704" s="36"/>
      <c r="C7704" s="37"/>
      <c r="D7704" s="37"/>
      <c r="E7704" s="37"/>
      <c r="F7704" s="37"/>
      <c r="G7704" s="37"/>
      <c r="H7704" s="37"/>
      <c r="I7704" s="35"/>
      <c r="J7704" s="37"/>
    </row>
    <row r="7705" spans="1:10" ht="15.95" customHeight="1" x14ac:dyDescent="0.2">
      <c r="A7705" s="39"/>
      <c r="B7705" s="36"/>
      <c r="C7705" s="37"/>
      <c r="D7705" s="37"/>
      <c r="E7705" s="37"/>
      <c r="F7705" s="37"/>
      <c r="G7705" s="37"/>
      <c r="H7705" s="37"/>
      <c r="I7705" s="35"/>
      <c r="J7705" s="37"/>
    </row>
    <row r="7706" spans="1:10" ht="15.95" customHeight="1" x14ac:dyDescent="0.2">
      <c r="A7706" s="39"/>
      <c r="B7706" s="36"/>
      <c r="C7706" s="37"/>
      <c r="D7706" s="37"/>
      <c r="E7706" s="37"/>
      <c r="F7706" s="37"/>
      <c r="G7706" s="37"/>
      <c r="H7706" s="37"/>
      <c r="I7706" s="35"/>
      <c r="J7706" s="37"/>
    </row>
    <row r="7707" spans="1:10" ht="15.95" customHeight="1" x14ac:dyDescent="0.2">
      <c r="A7707" s="39"/>
      <c r="B7707" s="36"/>
      <c r="C7707" s="37"/>
      <c r="D7707" s="37"/>
      <c r="E7707" s="37"/>
      <c r="F7707" s="37"/>
      <c r="G7707" s="37"/>
      <c r="H7707" s="37"/>
      <c r="I7707" s="35"/>
      <c r="J7707" s="37"/>
    </row>
    <row r="7708" spans="1:10" ht="15.95" customHeight="1" x14ac:dyDescent="0.2">
      <c r="A7708" s="39"/>
      <c r="B7708" s="36"/>
      <c r="C7708" s="37"/>
      <c r="D7708" s="37"/>
      <c r="E7708" s="37"/>
      <c r="F7708" s="37"/>
      <c r="G7708" s="37"/>
      <c r="H7708" s="37"/>
      <c r="I7708" s="35"/>
      <c r="J7708" s="37"/>
    </row>
    <row r="7709" spans="1:10" ht="15.95" customHeight="1" x14ac:dyDescent="0.2">
      <c r="A7709" s="39"/>
      <c r="B7709" s="36"/>
      <c r="C7709" s="37"/>
      <c r="D7709" s="37"/>
      <c r="E7709" s="37"/>
      <c r="F7709" s="37"/>
      <c r="G7709" s="37"/>
      <c r="H7709" s="37"/>
      <c r="I7709" s="35"/>
      <c r="J7709" s="37"/>
    </row>
    <row r="7710" spans="1:10" ht="15.95" customHeight="1" x14ac:dyDescent="0.2">
      <c r="A7710" s="39"/>
      <c r="B7710" s="36"/>
      <c r="C7710" s="37"/>
      <c r="D7710" s="37"/>
      <c r="E7710" s="37"/>
      <c r="F7710" s="37"/>
      <c r="G7710" s="37"/>
      <c r="H7710" s="37"/>
      <c r="I7710" s="35"/>
      <c r="J7710" s="37"/>
    </row>
    <row r="7711" spans="1:10" ht="15.95" customHeight="1" x14ac:dyDescent="0.2">
      <c r="A7711" s="39"/>
      <c r="B7711" s="36"/>
      <c r="C7711" s="37"/>
      <c r="D7711" s="37"/>
      <c r="E7711" s="37"/>
      <c r="F7711" s="37"/>
      <c r="G7711" s="37"/>
      <c r="H7711" s="37"/>
      <c r="I7711" s="35"/>
      <c r="J7711" s="37"/>
    </row>
    <row r="7712" spans="1:10" ht="15.95" customHeight="1" x14ac:dyDescent="0.2">
      <c r="A7712" s="39"/>
      <c r="B7712" s="36"/>
      <c r="C7712" s="37"/>
      <c r="D7712" s="37"/>
      <c r="E7712" s="37"/>
      <c r="F7712" s="37"/>
      <c r="G7712" s="37"/>
      <c r="H7712" s="37"/>
      <c r="I7712" s="35"/>
      <c r="J7712" s="37"/>
    </row>
    <row r="7713" spans="1:10" ht="15.95" customHeight="1" x14ac:dyDescent="0.2">
      <c r="A7713" s="39"/>
      <c r="B7713" s="36"/>
      <c r="C7713" s="37"/>
      <c r="D7713" s="37"/>
      <c r="E7713" s="37"/>
      <c r="F7713" s="37"/>
      <c r="G7713" s="37"/>
      <c r="H7713" s="37"/>
      <c r="I7713" s="35"/>
      <c r="J7713" s="37"/>
    </row>
    <row r="7714" spans="1:10" ht="15.95" customHeight="1" x14ac:dyDescent="0.2">
      <c r="A7714" s="39"/>
      <c r="B7714" s="36"/>
      <c r="C7714" s="37"/>
      <c r="D7714" s="37"/>
      <c r="E7714" s="37"/>
      <c r="F7714" s="37"/>
      <c r="G7714" s="37"/>
      <c r="H7714" s="37"/>
      <c r="I7714" s="35"/>
      <c r="J7714" s="37"/>
    </row>
    <row r="7715" spans="1:10" ht="15.95" customHeight="1" x14ac:dyDescent="0.2">
      <c r="A7715" s="39"/>
      <c r="B7715" s="36"/>
      <c r="C7715" s="37"/>
      <c r="D7715" s="37"/>
      <c r="E7715" s="37"/>
      <c r="F7715" s="37"/>
      <c r="G7715" s="37"/>
      <c r="H7715" s="37"/>
      <c r="I7715" s="35"/>
      <c r="J7715" s="37"/>
    </row>
    <row r="7716" spans="1:10" ht="15.95" customHeight="1" x14ac:dyDescent="0.2">
      <c r="A7716" s="39"/>
      <c r="B7716" s="36"/>
      <c r="C7716" s="37"/>
      <c r="D7716" s="37"/>
      <c r="E7716" s="37"/>
      <c r="F7716" s="37"/>
      <c r="G7716" s="37"/>
      <c r="H7716" s="37"/>
      <c r="I7716" s="35"/>
      <c r="J7716" s="37"/>
    </row>
    <row r="7717" spans="1:10" ht="15.95" customHeight="1" x14ac:dyDescent="0.2">
      <c r="A7717" s="39"/>
      <c r="B7717" s="36"/>
      <c r="C7717" s="37"/>
      <c r="D7717" s="37"/>
      <c r="E7717" s="37"/>
      <c r="F7717" s="37"/>
      <c r="G7717" s="37"/>
      <c r="H7717" s="37"/>
      <c r="I7717" s="35"/>
      <c r="J7717" s="37"/>
    </row>
    <row r="7718" spans="1:10" ht="15.95" customHeight="1" x14ac:dyDescent="0.2">
      <c r="A7718" s="39"/>
      <c r="B7718" s="36"/>
      <c r="C7718" s="37"/>
      <c r="D7718" s="37"/>
      <c r="E7718" s="37"/>
      <c r="F7718" s="37"/>
      <c r="G7718" s="37"/>
      <c r="H7718" s="37"/>
      <c r="I7718" s="35"/>
      <c r="J7718" s="37"/>
    </row>
    <row r="7719" spans="1:10" ht="15.95" customHeight="1" x14ac:dyDescent="0.2">
      <c r="A7719" s="39"/>
      <c r="B7719" s="36"/>
      <c r="C7719" s="37"/>
      <c r="D7719" s="37"/>
      <c r="E7719" s="37"/>
      <c r="F7719" s="37"/>
      <c r="G7719" s="37"/>
      <c r="H7719" s="37"/>
      <c r="I7719" s="35"/>
      <c r="J7719" s="37"/>
    </row>
    <row r="7720" spans="1:10" ht="15.95" customHeight="1" x14ac:dyDescent="0.2">
      <c r="A7720" s="39"/>
      <c r="B7720" s="36"/>
      <c r="C7720" s="37"/>
      <c r="D7720" s="37"/>
      <c r="E7720" s="37"/>
      <c r="F7720" s="37"/>
      <c r="G7720" s="37"/>
      <c r="H7720" s="37"/>
      <c r="I7720" s="35"/>
      <c r="J7720" s="37"/>
    </row>
    <row r="7721" spans="1:10" ht="15.95" customHeight="1" x14ac:dyDescent="0.2">
      <c r="A7721" s="39"/>
      <c r="B7721" s="36"/>
      <c r="C7721" s="37"/>
      <c r="D7721" s="37"/>
      <c r="E7721" s="37"/>
      <c r="F7721" s="37"/>
      <c r="G7721" s="37"/>
      <c r="H7721" s="37"/>
      <c r="I7721" s="35"/>
      <c r="J7721" s="37"/>
    </row>
    <row r="7722" spans="1:10" ht="15.95" customHeight="1" x14ac:dyDescent="0.2">
      <c r="A7722" s="39"/>
      <c r="B7722" s="36"/>
      <c r="C7722" s="37"/>
      <c r="D7722" s="37"/>
      <c r="E7722" s="37"/>
      <c r="F7722" s="37"/>
      <c r="G7722" s="37"/>
      <c r="H7722" s="37"/>
      <c r="I7722" s="35"/>
      <c r="J7722" s="37"/>
    </row>
    <row r="7723" spans="1:10" ht="15.95" customHeight="1" x14ac:dyDescent="0.2">
      <c r="A7723" s="39"/>
      <c r="B7723" s="36"/>
      <c r="C7723" s="37"/>
      <c r="D7723" s="37"/>
      <c r="E7723" s="37"/>
      <c r="F7723" s="37"/>
      <c r="G7723" s="37"/>
      <c r="H7723" s="37"/>
      <c r="I7723" s="35"/>
      <c r="J7723" s="37"/>
    </row>
    <row r="7724" spans="1:10" ht="15.95" customHeight="1" x14ac:dyDescent="0.2">
      <c r="A7724" s="39"/>
      <c r="B7724" s="36"/>
      <c r="C7724" s="37"/>
      <c r="D7724" s="37"/>
      <c r="E7724" s="37"/>
      <c r="F7724" s="37"/>
      <c r="G7724" s="37"/>
      <c r="H7724" s="37"/>
      <c r="I7724" s="35"/>
      <c r="J7724" s="37"/>
    </row>
    <row r="7725" spans="1:10" ht="15.95" customHeight="1" x14ac:dyDescent="0.2">
      <c r="A7725" s="39"/>
      <c r="B7725" s="36"/>
      <c r="C7725" s="37"/>
      <c r="D7725" s="37"/>
      <c r="E7725" s="37"/>
      <c r="F7725" s="37"/>
      <c r="G7725" s="37"/>
      <c r="H7725" s="37"/>
      <c r="I7725" s="35"/>
      <c r="J7725" s="37"/>
    </row>
    <row r="7726" spans="1:10" ht="15.95" customHeight="1" x14ac:dyDescent="0.2">
      <c r="A7726" s="39"/>
      <c r="B7726" s="36"/>
      <c r="C7726" s="37"/>
      <c r="D7726" s="37"/>
      <c r="E7726" s="37"/>
      <c r="F7726" s="37"/>
      <c r="G7726" s="37"/>
      <c r="H7726" s="37"/>
      <c r="I7726" s="35"/>
      <c r="J7726" s="37"/>
    </row>
    <row r="7727" spans="1:10" ht="15.95" customHeight="1" x14ac:dyDescent="0.2">
      <c r="A7727" s="39"/>
      <c r="B7727" s="36"/>
      <c r="C7727" s="37"/>
      <c r="D7727" s="37"/>
      <c r="E7727" s="37"/>
      <c r="F7727" s="37"/>
      <c r="G7727" s="37"/>
      <c r="H7727" s="37"/>
      <c r="I7727" s="35"/>
      <c r="J7727" s="37"/>
    </row>
    <row r="7728" spans="1:10" ht="15.95" customHeight="1" x14ac:dyDescent="0.2">
      <c r="A7728" s="39"/>
      <c r="B7728" s="36"/>
      <c r="C7728" s="37"/>
      <c r="D7728" s="37"/>
      <c r="E7728" s="37"/>
      <c r="F7728" s="37"/>
      <c r="G7728" s="37"/>
      <c r="H7728" s="37"/>
      <c r="I7728" s="35"/>
      <c r="J7728" s="37"/>
    </row>
    <row r="7729" spans="1:10" ht="15.95" customHeight="1" x14ac:dyDescent="0.2">
      <c r="A7729" s="39"/>
      <c r="B7729" s="36"/>
      <c r="C7729" s="37"/>
      <c r="D7729" s="37"/>
      <c r="E7729" s="37"/>
      <c r="F7729" s="37"/>
      <c r="G7729" s="37"/>
      <c r="H7729" s="37"/>
      <c r="I7729" s="35"/>
      <c r="J7729" s="37"/>
    </row>
    <row r="7730" spans="1:10" ht="15.95" customHeight="1" x14ac:dyDescent="0.2">
      <c r="A7730" s="39"/>
      <c r="B7730" s="36"/>
      <c r="C7730" s="37"/>
      <c r="D7730" s="37"/>
      <c r="E7730" s="37"/>
      <c r="F7730" s="37"/>
      <c r="G7730" s="37"/>
      <c r="H7730" s="37"/>
      <c r="I7730" s="35"/>
      <c r="J7730" s="37"/>
    </row>
    <row r="7731" spans="1:10" ht="15.95" customHeight="1" x14ac:dyDescent="0.2">
      <c r="A7731" s="39"/>
      <c r="B7731" s="36"/>
      <c r="C7731" s="37"/>
      <c r="D7731" s="37"/>
      <c r="E7731" s="37"/>
      <c r="F7731" s="37"/>
      <c r="G7731" s="37"/>
      <c r="H7731" s="37"/>
      <c r="I7731" s="35"/>
      <c r="J7731" s="37"/>
    </row>
    <row r="7732" spans="1:10" ht="15.95" customHeight="1" x14ac:dyDescent="0.2">
      <c r="A7732" s="39"/>
      <c r="B7732" s="36"/>
      <c r="C7732" s="37"/>
      <c r="D7732" s="37"/>
      <c r="E7732" s="37"/>
      <c r="F7732" s="37"/>
      <c r="G7732" s="37"/>
      <c r="H7732" s="37"/>
      <c r="I7732" s="35"/>
      <c r="J7732" s="37"/>
    </row>
    <row r="7733" spans="1:10" ht="15.95" customHeight="1" x14ac:dyDescent="0.2">
      <c r="A7733" s="39"/>
      <c r="B7733" s="36"/>
      <c r="C7733" s="37"/>
      <c r="D7733" s="37"/>
      <c r="E7733" s="37"/>
      <c r="F7733" s="37"/>
      <c r="G7733" s="37"/>
      <c r="H7733" s="37"/>
      <c r="I7733" s="35"/>
      <c r="J7733" s="37"/>
    </row>
    <row r="7734" spans="1:10" ht="15.95" customHeight="1" x14ac:dyDescent="0.2">
      <c r="A7734" s="39"/>
      <c r="B7734" s="36"/>
      <c r="C7734" s="37"/>
      <c r="D7734" s="37"/>
      <c r="E7734" s="37"/>
      <c r="F7734" s="37"/>
      <c r="G7734" s="37"/>
      <c r="H7734" s="37"/>
      <c r="I7734" s="35"/>
      <c r="J7734" s="37"/>
    </row>
    <row r="7735" spans="1:10" ht="15.95" customHeight="1" x14ac:dyDescent="0.2">
      <c r="A7735" s="39"/>
      <c r="B7735" s="36"/>
      <c r="C7735" s="37"/>
      <c r="D7735" s="37"/>
      <c r="E7735" s="37"/>
      <c r="F7735" s="37"/>
      <c r="G7735" s="37"/>
      <c r="H7735" s="37"/>
      <c r="I7735" s="35"/>
      <c r="J7735" s="37"/>
    </row>
    <row r="7736" spans="1:10" ht="15.95" customHeight="1" x14ac:dyDescent="0.2">
      <c r="A7736" s="39"/>
      <c r="B7736" s="36"/>
      <c r="C7736" s="37"/>
      <c r="D7736" s="37"/>
      <c r="E7736" s="37"/>
      <c r="F7736" s="37"/>
      <c r="G7736" s="37"/>
      <c r="H7736" s="37"/>
      <c r="I7736" s="35"/>
      <c r="J7736" s="37"/>
    </row>
    <row r="7737" spans="1:10" ht="15.95" customHeight="1" x14ac:dyDescent="0.2">
      <c r="A7737" s="39"/>
      <c r="B7737" s="36"/>
      <c r="C7737" s="37"/>
      <c r="D7737" s="37"/>
      <c r="E7737" s="37"/>
      <c r="F7737" s="37"/>
      <c r="G7737" s="37"/>
      <c r="H7737" s="37"/>
      <c r="I7737" s="35"/>
      <c r="J7737" s="37"/>
    </row>
    <row r="7738" spans="1:10" ht="15.95" customHeight="1" x14ac:dyDescent="0.2">
      <c r="A7738" s="39"/>
      <c r="B7738" s="36"/>
      <c r="C7738" s="37"/>
      <c r="D7738" s="37"/>
      <c r="E7738" s="37"/>
      <c r="F7738" s="37"/>
      <c r="G7738" s="37"/>
      <c r="H7738" s="37"/>
      <c r="I7738" s="35"/>
      <c r="J7738" s="37"/>
    </row>
    <row r="7739" spans="1:10" ht="15.95" customHeight="1" x14ac:dyDescent="0.2">
      <c r="A7739" s="39"/>
      <c r="B7739" s="36"/>
      <c r="C7739" s="37"/>
      <c r="D7739" s="37"/>
      <c r="E7739" s="37"/>
      <c r="F7739" s="37"/>
      <c r="G7739" s="37"/>
      <c r="H7739" s="37"/>
      <c r="I7739" s="35"/>
      <c r="J7739" s="37"/>
    </row>
    <row r="7740" spans="1:10" ht="15.95" customHeight="1" x14ac:dyDescent="0.2">
      <c r="A7740" s="39"/>
      <c r="B7740" s="36"/>
      <c r="C7740" s="37"/>
      <c r="D7740" s="37"/>
      <c r="E7740" s="37"/>
      <c r="F7740" s="37"/>
      <c r="G7740" s="37"/>
      <c r="H7740" s="37"/>
      <c r="I7740" s="35"/>
      <c r="J7740" s="37"/>
    </row>
    <row r="7741" spans="1:10" ht="15.95" customHeight="1" x14ac:dyDescent="0.2">
      <c r="A7741" s="39"/>
      <c r="B7741" s="36"/>
      <c r="C7741" s="37"/>
      <c r="D7741" s="37"/>
      <c r="E7741" s="37"/>
      <c r="F7741" s="37"/>
      <c r="G7741" s="37"/>
      <c r="H7741" s="37"/>
      <c r="I7741" s="35"/>
      <c r="J7741" s="37"/>
    </row>
    <row r="7742" spans="1:10" ht="15.95" customHeight="1" x14ac:dyDescent="0.2">
      <c r="A7742" s="39"/>
      <c r="B7742" s="36"/>
      <c r="C7742" s="37"/>
      <c r="D7742" s="37"/>
      <c r="E7742" s="37"/>
      <c r="F7742" s="37"/>
      <c r="G7742" s="37"/>
      <c r="H7742" s="37"/>
      <c r="I7742" s="35"/>
      <c r="J7742" s="37"/>
    </row>
    <row r="7743" spans="1:10" ht="15.95" customHeight="1" x14ac:dyDescent="0.2">
      <c r="A7743" s="39"/>
      <c r="B7743" s="36"/>
      <c r="C7743" s="37"/>
      <c r="D7743" s="37"/>
      <c r="E7743" s="37"/>
      <c r="F7743" s="37"/>
      <c r="G7743" s="37"/>
      <c r="H7743" s="37"/>
      <c r="I7743" s="35"/>
      <c r="J7743" s="37"/>
    </row>
    <row r="7744" spans="1:10" ht="15.95" customHeight="1" x14ac:dyDescent="0.2">
      <c r="A7744" s="39"/>
      <c r="B7744" s="36"/>
      <c r="C7744" s="37"/>
      <c r="D7744" s="37"/>
      <c r="E7744" s="37"/>
      <c r="F7744" s="37"/>
      <c r="G7744" s="37"/>
      <c r="H7744" s="37"/>
      <c r="I7744" s="35"/>
      <c r="J7744" s="37"/>
    </row>
    <row r="7745" spans="1:10" ht="15.95" customHeight="1" x14ac:dyDescent="0.2">
      <c r="A7745" s="39"/>
      <c r="B7745" s="36"/>
      <c r="C7745" s="37"/>
      <c r="D7745" s="37"/>
      <c r="E7745" s="37"/>
      <c r="F7745" s="37"/>
      <c r="G7745" s="37"/>
      <c r="H7745" s="37"/>
      <c r="I7745" s="35"/>
      <c r="J7745" s="37"/>
    </row>
    <row r="7746" spans="1:10" ht="15.95" customHeight="1" x14ac:dyDescent="0.2">
      <c r="A7746" s="39"/>
      <c r="B7746" s="36"/>
      <c r="C7746" s="37"/>
      <c r="D7746" s="37"/>
      <c r="E7746" s="37"/>
      <c r="F7746" s="37"/>
      <c r="G7746" s="37"/>
      <c r="H7746" s="37"/>
      <c r="I7746" s="35"/>
      <c r="J7746" s="37"/>
    </row>
    <row r="7747" spans="1:10" ht="15.95" customHeight="1" x14ac:dyDescent="0.2">
      <c r="A7747" s="39"/>
      <c r="B7747" s="36"/>
      <c r="C7747" s="37"/>
      <c r="D7747" s="37"/>
      <c r="E7747" s="37"/>
      <c r="F7747" s="37"/>
      <c r="G7747" s="37"/>
      <c r="H7747" s="37"/>
      <c r="I7747" s="35"/>
      <c r="J7747" s="37"/>
    </row>
    <row r="7748" spans="1:10" ht="15.95" customHeight="1" x14ac:dyDescent="0.2">
      <c r="A7748" s="39"/>
      <c r="B7748" s="36"/>
      <c r="C7748" s="37"/>
      <c r="D7748" s="37"/>
      <c r="E7748" s="37"/>
      <c r="F7748" s="37"/>
      <c r="G7748" s="37"/>
      <c r="H7748" s="37"/>
      <c r="I7748" s="35"/>
      <c r="J7748" s="37"/>
    </row>
    <row r="7749" spans="1:10" ht="15.95" customHeight="1" x14ac:dyDescent="0.2">
      <c r="A7749" s="39"/>
      <c r="B7749" s="36"/>
      <c r="C7749" s="37"/>
      <c r="D7749" s="37"/>
      <c r="E7749" s="37"/>
      <c r="F7749" s="37"/>
      <c r="G7749" s="37"/>
      <c r="H7749" s="37"/>
      <c r="I7749" s="35"/>
      <c r="J7749" s="37"/>
    </row>
    <row r="7750" spans="1:10" ht="15.95" customHeight="1" x14ac:dyDescent="0.2">
      <c r="A7750" s="39"/>
      <c r="B7750" s="36"/>
      <c r="C7750" s="37"/>
      <c r="D7750" s="37"/>
      <c r="E7750" s="37"/>
      <c r="F7750" s="37"/>
      <c r="G7750" s="37"/>
      <c r="H7750" s="37"/>
      <c r="I7750" s="35"/>
      <c r="J7750" s="37"/>
    </row>
    <row r="7751" spans="1:10" ht="15.95" customHeight="1" x14ac:dyDescent="0.2">
      <c r="A7751" s="39"/>
      <c r="B7751" s="36"/>
      <c r="C7751" s="37"/>
      <c r="D7751" s="37"/>
      <c r="E7751" s="37"/>
      <c r="F7751" s="37"/>
      <c r="G7751" s="37"/>
      <c r="H7751" s="37"/>
      <c r="I7751" s="35"/>
      <c r="J7751" s="37"/>
    </row>
    <row r="7752" spans="1:10" ht="15.95" customHeight="1" x14ac:dyDescent="0.2">
      <c r="A7752" s="39"/>
      <c r="B7752" s="36"/>
      <c r="C7752" s="37"/>
      <c r="D7752" s="37"/>
      <c r="E7752" s="37"/>
      <c r="F7752" s="37"/>
      <c r="G7752" s="37"/>
      <c r="H7752" s="37"/>
      <c r="I7752" s="35"/>
      <c r="J7752" s="37"/>
    </row>
    <row r="7753" spans="1:10" ht="15.95" customHeight="1" x14ac:dyDescent="0.2">
      <c r="A7753" s="39"/>
      <c r="B7753" s="36"/>
      <c r="C7753" s="37"/>
      <c r="D7753" s="37"/>
      <c r="E7753" s="37"/>
      <c r="F7753" s="37"/>
      <c r="G7753" s="37"/>
      <c r="H7753" s="37"/>
      <c r="I7753" s="35"/>
      <c r="J7753" s="37"/>
    </row>
    <row r="7754" spans="1:10" ht="15.95" customHeight="1" x14ac:dyDescent="0.2">
      <c r="A7754" s="39"/>
      <c r="B7754" s="36"/>
      <c r="C7754" s="37"/>
      <c r="D7754" s="37"/>
      <c r="E7754" s="37"/>
      <c r="F7754" s="37"/>
      <c r="G7754" s="37"/>
      <c r="H7754" s="37"/>
      <c r="I7754" s="35"/>
      <c r="J7754" s="37"/>
    </row>
    <row r="7755" spans="1:10" ht="15.95" customHeight="1" x14ac:dyDescent="0.2">
      <c r="A7755" s="39"/>
      <c r="B7755" s="36"/>
      <c r="C7755" s="37"/>
      <c r="D7755" s="37"/>
      <c r="E7755" s="37"/>
      <c r="F7755" s="37"/>
      <c r="G7755" s="37"/>
      <c r="H7755" s="37"/>
      <c r="I7755" s="35"/>
      <c r="J7755" s="37"/>
    </row>
    <row r="7756" spans="1:10" ht="15.95" customHeight="1" x14ac:dyDescent="0.2">
      <c r="A7756" s="39"/>
      <c r="B7756" s="36"/>
      <c r="C7756" s="37"/>
      <c r="D7756" s="37"/>
      <c r="E7756" s="37"/>
      <c r="F7756" s="37"/>
      <c r="G7756" s="37"/>
      <c r="H7756" s="37"/>
      <c r="I7756" s="35"/>
      <c r="J7756" s="37"/>
    </row>
    <row r="7757" spans="1:10" ht="15.95" customHeight="1" x14ac:dyDescent="0.2">
      <c r="A7757" s="39"/>
      <c r="B7757" s="36"/>
      <c r="C7757" s="37"/>
      <c r="D7757" s="37"/>
      <c r="E7757" s="37"/>
      <c r="F7757" s="37"/>
      <c r="G7757" s="37"/>
      <c r="H7757" s="37"/>
      <c r="I7757" s="35"/>
      <c r="J7757" s="37"/>
    </row>
    <row r="7758" spans="1:10" ht="15.95" customHeight="1" x14ac:dyDescent="0.2">
      <c r="A7758" s="39"/>
      <c r="B7758" s="36"/>
      <c r="C7758" s="37"/>
      <c r="D7758" s="37"/>
      <c r="E7758" s="37"/>
      <c r="F7758" s="37"/>
      <c r="G7758" s="37"/>
      <c r="H7758" s="37"/>
      <c r="I7758" s="35"/>
      <c r="J7758" s="37"/>
    </row>
    <row r="7759" spans="1:10" ht="15.95" customHeight="1" x14ac:dyDescent="0.2">
      <c r="A7759" s="39"/>
      <c r="B7759" s="36"/>
      <c r="C7759" s="37"/>
      <c r="D7759" s="37"/>
      <c r="E7759" s="37"/>
      <c r="F7759" s="37"/>
      <c r="G7759" s="37"/>
      <c r="H7759" s="37"/>
      <c r="I7759" s="35"/>
      <c r="J7759" s="37"/>
    </row>
    <row r="7760" spans="1:10" ht="15.95" customHeight="1" x14ac:dyDescent="0.2">
      <c r="A7760" s="39"/>
      <c r="B7760" s="36"/>
      <c r="C7760" s="37"/>
      <c r="D7760" s="37"/>
      <c r="E7760" s="37"/>
      <c r="F7760" s="37"/>
      <c r="G7760" s="37"/>
      <c r="H7760" s="37"/>
      <c r="I7760" s="35"/>
      <c r="J7760" s="37"/>
    </row>
    <row r="7761" spans="1:10" ht="15.95" customHeight="1" x14ac:dyDescent="0.2">
      <c r="A7761" s="39"/>
      <c r="B7761" s="36"/>
      <c r="C7761" s="37"/>
      <c r="D7761" s="37"/>
      <c r="E7761" s="37"/>
      <c r="F7761" s="37"/>
      <c r="G7761" s="37"/>
      <c r="H7761" s="37"/>
      <c r="I7761" s="35"/>
      <c r="J7761" s="37"/>
    </row>
    <row r="7762" spans="1:10" ht="15.95" customHeight="1" x14ac:dyDescent="0.2">
      <c r="A7762" s="39"/>
      <c r="B7762" s="36"/>
      <c r="C7762" s="37"/>
      <c r="D7762" s="37"/>
      <c r="E7762" s="37"/>
      <c r="F7762" s="37"/>
      <c r="G7762" s="37"/>
      <c r="H7762" s="37"/>
      <c r="I7762" s="35"/>
      <c r="J7762" s="37"/>
    </row>
    <row r="7763" spans="1:10" ht="15.95" customHeight="1" x14ac:dyDescent="0.2">
      <c r="A7763" s="39"/>
      <c r="B7763" s="36"/>
      <c r="C7763" s="37"/>
      <c r="D7763" s="37"/>
      <c r="E7763" s="37"/>
      <c r="F7763" s="37"/>
      <c r="G7763" s="37"/>
      <c r="H7763" s="37"/>
      <c r="I7763" s="35"/>
      <c r="J7763" s="37"/>
    </row>
    <row r="7764" spans="1:10" ht="15.95" customHeight="1" x14ac:dyDescent="0.2">
      <c r="A7764" s="39"/>
      <c r="B7764" s="36"/>
      <c r="C7764" s="37"/>
      <c r="D7764" s="37"/>
      <c r="E7764" s="37"/>
      <c r="F7764" s="37"/>
      <c r="G7764" s="37"/>
      <c r="H7764" s="37"/>
      <c r="I7764" s="35"/>
      <c r="J7764" s="37"/>
    </row>
    <row r="7765" spans="1:10" ht="15.95" customHeight="1" x14ac:dyDescent="0.2">
      <c r="A7765" s="39"/>
      <c r="B7765" s="36"/>
      <c r="C7765" s="37"/>
      <c r="D7765" s="37"/>
      <c r="E7765" s="37"/>
      <c r="F7765" s="37"/>
      <c r="G7765" s="37"/>
      <c r="H7765" s="37"/>
      <c r="I7765" s="35"/>
      <c r="J7765" s="37"/>
    </row>
    <row r="7766" spans="1:10" ht="15.95" customHeight="1" x14ac:dyDescent="0.2">
      <c r="A7766" s="39"/>
      <c r="B7766" s="36"/>
      <c r="C7766" s="37"/>
      <c r="D7766" s="37"/>
      <c r="E7766" s="37"/>
      <c r="F7766" s="37"/>
      <c r="G7766" s="37"/>
      <c r="H7766" s="37"/>
      <c r="I7766" s="35"/>
      <c r="J7766" s="37"/>
    </row>
    <row r="7767" spans="1:10" ht="15.95" customHeight="1" x14ac:dyDescent="0.2">
      <c r="A7767" s="39"/>
      <c r="B7767" s="36"/>
      <c r="C7767" s="37"/>
      <c r="D7767" s="37"/>
      <c r="E7767" s="37"/>
      <c r="F7767" s="37"/>
      <c r="G7767" s="37"/>
      <c r="H7767" s="37"/>
      <c r="I7767" s="35"/>
      <c r="J7767" s="37"/>
    </row>
    <row r="7768" spans="1:10" ht="15.95" customHeight="1" x14ac:dyDescent="0.2">
      <c r="A7768" s="39"/>
      <c r="B7768" s="36"/>
      <c r="C7768" s="37"/>
      <c r="D7768" s="37"/>
      <c r="E7768" s="37"/>
      <c r="F7768" s="37"/>
      <c r="G7768" s="37"/>
      <c r="H7768" s="37"/>
      <c r="I7768" s="35"/>
      <c r="J7768" s="37"/>
    </row>
    <row r="7769" spans="1:10" ht="15.95" customHeight="1" x14ac:dyDescent="0.2">
      <c r="A7769" s="39"/>
      <c r="B7769" s="36"/>
      <c r="C7769" s="37"/>
      <c r="D7769" s="37"/>
      <c r="E7769" s="37"/>
      <c r="F7769" s="37"/>
      <c r="G7769" s="37"/>
      <c r="H7769" s="37"/>
      <c r="I7769" s="35"/>
      <c r="J7769" s="37"/>
    </row>
    <row r="7770" spans="1:10" ht="15.95" customHeight="1" x14ac:dyDescent="0.2">
      <c r="A7770" s="39"/>
      <c r="B7770" s="36"/>
      <c r="C7770" s="37"/>
      <c r="D7770" s="37"/>
      <c r="E7770" s="37"/>
      <c r="F7770" s="37"/>
      <c r="G7770" s="37"/>
      <c r="H7770" s="37"/>
      <c r="I7770" s="35"/>
      <c r="J7770" s="37"/>
    </row>
    <row r="7771" spans="1:10" ht="15.95" customHeight="1" x14ac:dyDescent="0.2">
      <c r="A7771" s="39"/>
      <c r="B7771" s="36"/>
      <c r="C7771" s="37"/>
      <c r="D7771" s="37"/>
      <c r="E7771" s="37"/>
      <c r="F7771" s="37"/>
      <c r="G7771" s="37"/>
      <c r="H7771" s="37"/>
      <c r="I7771" s="35"/>
      <c r="J7771" s="37"/>
    </row>
    <row r="7772" spans="1:10" ht="15.95" customHeight="1" x14ac:dyDescent="0.2">
      <c r="A7772" s="39"/>
      <c r="B7772" s="36"/>
      <c r="C7772" s="37"/>
      <c r="D7772" s="37"/>
      <c r="E7772" s="37"/>
      <c r="F7772" s="37"/>
      <c r="G7772" s="37"/>
      <c r="H7772" s="37"/>
      <c r="I7772" s="35"/>
      <c r="J7772" s="37"/>
    </row>
    <row r="7773" spans="1:10" ht="15.95" customHeight="1" x14ac:dyDescent="0.2">
      <c r="A7773" s="39"/>
      <c r="B7773" s="36"/>
      <c r="C7773" s="37"/>
      <c r="D7773" s="37"/>
      <c r="E7773" s="37"/>
      <c r="F7773" s="37"/>
      <c r="G7773" s="37"/>
      <c r="H7773" s="37"/>
      <c r="I7773" s="35"/>
      <c r="J7773" s="37"/>
    </row>
    <row r="7774" spans="1:10" ht="15.95" customHeight="1" x14ac:dyDescent="0.2">
      <c r="A7774" s="39"/>
      <c r="B7774" s="36"/>
      <c r="C7774" s="37"/>
      <c r="D7774" s="37"/>
      <c r="E7774" s="37"/>
      <c r="F7774" s="37"/>
      <c r="G7774" s="37"/>
      <c r="H7774" s="37"/>
      <c r="I7774" s="35"/>
      <c r="J7774" s="37"/>
    </row>
    <row r="7775" spans="1:10" ht="15.95" customHeight="1" x14ac:dyDescent="0.2">
      <c r="A7775" s="39"/>
      <c r="B7775" s="36"/>
      <c r="C7775" s="37"/>
      <c r="D7775" s="37"/>
      <c r="E7775" s="37"/>
      <c r="F7775" s="37"/>
      <c r="G7775" s="37"/>
      <c r="H7775" s="37"/>
      <c r="I7775" s="35"/>
      <c r="J7775" s="37"/>
    </row>
    <row r="7776" spans="1:10" ht="15.95" customHeight="1" x14ac:dyDescent="0.2">
      <c r="A7776" s="39"/>
      <c r="B7776" s="36"/>
      <c r="C7776" s="37"/>
      <c r="D7776" s="37"/>
      <c r="E7776" s="37"/>
      <c r="F7776" s="37"/>
      <c r="G7776" s="37"/>
      <c r="H7776" s="37"/>
      <c r="I7776" s="35"/>
      <c r="J7776" s="37"/>
    </row>
    <row r="7777" spans="1:10" ht="15.95" customHeight="1" x14ac:dyDescent="0.2">
      <c r="A7777" s="39"/>
      <c r="B7777" s="36"/>
      <c r="C7777" s="37"/>
      <c r="D7777" s="37"/>
      <c r="E7777" s="37"/>
      <c r="F7777" s="37"/>
      <c r="G7777" s="37"/>
      <c r="H7777" s="37"/>
      <c r="I7777" s="35"/>
      <c r="J7777" s="37"/>
    </row>
    <row r="7778" spans="1:10" ht="15.95" customHeight="1" x14ac:dyDescent="0.2">
      <c r="A7778" s="39"/>
      <c r="B7778" s="36"/>
      <c r="C7778" s="37"/>
      <c r="D7778" s="37"/>
      <c r="E7778" s="37"/>
      <c r="F7778" s="37"/>
      <c r="G7778" s="37"/>
      <c r="H7778" s="37"/>
      <c r="I7778" s="35"/>
      <c r="J7778" s="37"/>
    </row>
    <row r="7779" spans="1:10" ht="15.95" customHeight="1" x14ac:dyDescent="0.2">
      <c r="A7779" s="39"/>
      <c r="B7779" s="36"/>
      <c r="C7779" s="37"/>
      <c r="D7779" s="37"/>
      <c r="E7779" s="37"/>
      <c r="F7779" s="37"/>
      <c r="G7779" s="37"/>
      <c r="H7779" s="37"/>
      <c r="I7779" s="35"/>
      <c r="J7779" s="37"/>
    </row>
    <row r="7780" spans="1:10" ht="15.95" customHeight="1" x14ac:dyDescent="0.2">
      <c r="A7780" s="39"/>
      <c r="B7780" s="36"/>
      <c r="C7780" s="37"/>
      <c r="D7780" s="37"/>
      <c r="E7780" s="37"/>
      <c r="F7780" s="37"/>
      <c r="G7780" s="37"/>
      <c r="H7780" s="37"/>
      <c r="I7780" s="35"/>
      <c r="J7780" s="37"/>
    </row>
    <row r="7781" spans="1:10" ht="15.95" customHeight="1" x14ac:dyDescent="0.2">
      <c r="A7781" s="39"/>
      <c r="B7781" s="36"/>
      <c r="C7781" s="37"/>
      <c r="D7781" s="37"/>
      <c r="E7781" s="37"/>
      <c r="F7781" s="37"/>
      <c r="G7781" s="37"/>
      <c r="H7781" s="37"/>
      <c r="I7781" s="35"/>
      <c r="J7781" s="37"/>
    </row>
    <row r="7782" spans="1:10" ht="15.95" customHeight="1" x14ac:dyDescent="0.2">
      <c r="A7782" s="39"/>
      <c r="B7782" s="36"/>
      <c r="C7782" s="37"/>
      <c r="D7782" s="37"/>
      <c r="E7782" s="37"/>
      <c r="F7782" s="37"/>
      <c r="G7782" s="37"/>
      <c r="H7782" s="37"/>
      <c r="I7782" s="35"/>
      <c r="J7782" s="37"/>
    </row>
    <row r="7783" spans="1:10" ht="15.95" customHeight="1" x14ac:dyDescent="0.2">
      <c r="A7783" s="39"/>
      <c r="B7783" s="36"/>
      <c r="C7783" s="37"/>
      <c r="D7783" s="37"/>
      <c r="E7783" s="37"/>
      <c r="F7783" s="37"/>
      <c r="G7783" s="37"/>
      <c r="H7783" s="37"/>
      <c r="I7783" s="35"/>
      <c r="J7783" s="37"/>
    </row>
    <row r="7784" spans="1:10" ht="15.95" customHeight="1" x14ac:dyDescent="0.2">
      <c r="A7784" s="39"/>
      <c r="B7784" s="36"/>
      <c r="C7784" s="37"/>
      <c r="D7784" s="37"/>
      <c r="E7784" s="37"/>
      <c r="F7784" s="37"/>
      <c r="G7784" s="37"/>
      <c r="H7784" s="37"/>
      <c r="I7784" s="35"/>
      <c r="J7784" s="37"/>
    </row>
    <row r="7785" spans="1:10" ht="15.95" customHeight="1" x14ac:dyDescent="0.2">
      <c r="A7785" s="39"/>
      <c r="B7785" s="36"/>
      <c r="C7785" s="37"/>
      <c r="D7785" s="37"/>
      <c r="E7785" s="37"/>
      <c r="F7785" s="37"/>
      <c r="G7785" s="37"/>
      <c r="H7785" s="37"/>
      <c r="I7785" s="35"/>
      <c r="J7785" s="37"/>
    </row>
    <row r="7786" spans="1:10" ht="15.95" customHeight="1" x14ac:dyDescent="0.2">
      <c r="A7786" s="39"/>
      <c r="B7786" s="36"/>
      <c r="C7786" s="37"/>
      <c r="D7786" s="37"/>
      <c r="E7786" s="37"/>
      <c r="F7786" s="37"/>
      <c r="G7786" s="37"/>
      <c r="H7786" s="37"/>
      <c r="I7786" s="35"/>
      <c r="J7786" s="37"/>
    </row>
    <row r="7787" spans="1:10" ht="15.95" customHeight="1" x14ac:dyDescent="0.2">
      <c r="A7787" s="39"/>
      <c r="B7787" s="36"/>
      <c r="C7787" s="37"/>
      <c r="D7787" s="37"/>
      <c r="E7787" s="37"/>
      <c r="F7787" s="37"/>
      <c r="G7787" s="37"/>
      <c r="H7787" s="37"/>
      <c r="I7787" s="35"/>
      <c r="J7787" s="37"/>
    </row>
    <row r="7788" spans="1:10" ht="15.95" customHeight="1" x14ac:dyDescent="0.2">
      <c r="A7788" s="39"/>
      <c r="B7788" s="36"/>
      <c r="C7788" s="37"/>
      <c r="D7788" s="37"/>
      <c r="E7788" s="37"/>
      <c r="F7788" s="37"/>
      <c r="G7788" s="37"/>
      <c r="H7788" s="37"/>
      <c r="I7788" s="35"/>
      <c r="J7788" s="37"/>
    </row>
    <row r="7789" spans="1:10" ht="15.95" customHeight="1" x14ac:dyDescent="0.2">
      <c r="A7789" s="39"/>
      <c r="B7789" s="36"/>
      <c r="C7789" s="37"/>
      <c r="D7789" s="37"/>
      <c r="E7789" s="37"/>
      <c r="F7789" s="37"/>
      <c r="G7789" s="37"/>
      <c r="H7789" s="37"/>
      <c r="I7789" s="35"/>
      <c r="J7789" s="37"/>
    </row>
    <row r="7790" spans="1:10" ht="15.95" customHeight="1" x14ac:dyDescent="0.2">
      <c r="A7790" s="39"/>
      <c r="B7790" s="36"/>
      <c r="C7790" s="37"/>
      <c r="D7790" s="37"/>
      <c r="E7790" s="37"/>
      <c r="F7790" s="37"/>
      <c r="G7790" s="37"/>
      <c r="H7790" s="37"/>
      <c r="I7790" s="35"/>
      <c r="J7790" s="37"/>
    </row>
    <row r="7791" spans="1:10" ht="15.95" customHeight="1" x14ac:dyDescent="0.2">
      <c r="A7791" s="39"/>
      <c r="B7791" s="36"/>
      <c r="C7791" s="37"/>
      <c r="D7791" s="37"/>
      <c r="E7791" s="37"/>
      <c r="F7791" s="37"/>
      <c r="G7791" s="37"/>
      <c r="H7791" s="37"/>
      <c r="I7791" s="35"/>
      <c r="J7791" s="37"/>
    </row>
    <row r="7792" spans="1:10" ht="15.95" customHeight="1" x14ac:dyDescent="0.2">
      <c r="A7792" s="39"/>
      <c r="B7792" s="36"/>
      <c r="C7792" s="37"/>
      <c r="D7792" s="37"/>
      <c r="E7792" s="37"/>
      <c r="F7792" s="37"/>
      <c r="G7792" s="37"/>
      <c r="H7792" s="37"/>
      <c r="I7792" s="35"/>
      <c r="J7792" s="37"/>
    </row>
    <row r="7793" spans="1:10" ht="15.95" customHeight="1" x14ac:dyDescent="0.2">
      <c r="A7793" s="39"/>
      <c r="B7793" s="36"/>
      <c r="C7793" s="37"/>
      <c r="D7793" s="37"/>
      <c r="E7793" s="37"/>
      <c r="F7793" s="37"/>
      <c r="G7793" s="37"/>
      <c r="H7793" s="37"/>
      <c r="I7793" s="35"/>
      <c r="J7793" s="37"/>
    </row>
    <row r="7794" spans="1:10" ht="15.95" customHeight="1" x14ac:dyDescent="0.2">
      <c r="A7794" s="39"/>
      <c r="B7794" s="36"/>
      <c r="C7794" s="37"/>
      <c r="D7794" s="37"/>
      <c r="E7794" s="37"/>
      <c r="F7794" s="37"/>
      <c r="G7794" s="37"/>
      <c r="H7794" s="37"/>
      <c r="I7794" s="35"/>
      <c r="J7794" s="37"/>
    </row>
    <row r="7795" spans="1:10" ht="15.95" customHeight="1" x14ac:dyDescent="0.2">
      <c r="A7795" s="39"/>
      <c r="B7795" s="36"/>
      <c r="C7795" s="37"/>
      <c r="D7795" s="37"/>
      <c r="E7795" s="37"/>
      <c r="F7795" s="37"/>
      <c r="G7795" s="37"/>
      <c r="H7795" s="37"/>
      <c r="I7795" s="35"/>
      <c r="J7795" s="37"/>
    </row>
    <row r="7796" spans="1:10" ht="15.95" customHeight="1" x14ac:dyDescent="0.2">
      <c r="A7796" s="39"/>
      <c r="B7796" s="36"/>
      <c r="C7796" s="37"/>
      <c r="D7796" s="37"/>
      <c r="E7796" s="37"/>
      <c r="F7796" s="37"/>
      <c r="G7796" s="37"/>
      <c r="H7796" s="37"/>
      <c r="I7796" s="35"/>
      <c r="J7796" s="37"/>
    </row>
    <row r="7797" spans="1:10" ht="15.95" customHeight="1" x14ac:dyDescent="0.2">
      <c r="A7797" s="39"/>
      <c r="B7797" s="36"/>
      <c r="C7797" s="37"/>
      <c r="D7797" s="37"/>
      <c r="E7797" s="37"/>
      <c r="F7797" s="37"/>
      <c r="G7797" s="37"/>
      <c r="H7797" s="37"/>
      <c r="I7797" s="35"/>
      <c r="J7797" s="37"/>
    </row>
    <row r="7798" spans="1:10" ht="15.95" customHeight="1" x14ac:dyDescent="0.2">
      <c r="A7798" s="39"/>
      <c r="B7798" s="36"/>
      <c r="C7798" s="37"/>
      <c r="D7798" s="37"/>
      <c r="E7798" s="37"/>
      <c r="F7798" s="37"/>
      <c r="G7798" s="37"/>
      <c r="H7798" s="37"/>
      <c r="I7798" s="35"/>
      <c r="J7798" s="37"/>
    </row>
    <row r="7799" spans="1:10" ht="15.95" customHeight="1" x14ac:dyDescent="0.2">
      <c r="A7799" s="39"/>
      <c r="B7799" s="36"/>
      <c r="C7799" s="37"/>
      <c r="D7799" s="37"/>
      <c r="E7799" s="37"/>
      <c r="F7799" s="37"/>
      <c r="G7799" s="37"/>
      <c r="H7799" s="37"/>
      <c r="I7799" s="35"/>
      <c r="J7799" s="37"/>
    </row>
    <row r="7800" spans="1:10" ht="15.95" customHeight="1" x14ac:dyDescent="0.2">
      <c r="A7800" s="39"/>
      <c r="B7800" s="36"/>
      <c r="C7800" s="37"/>
      <c r="D7800" s="37"/>
      <c r="E7800" s="37"/>
      <c r="F7800" s="37"/>
      <c r="G7800" s="37"/>
      <c r="H7800" s="37"/>
      <c r="I7800" s="35"/>
      <c r="J7800" s="37"/>
    </row>
    <row r="7801" spans="1:10" ht="15.95" customHeight="1" x14ac:dyDescent="0.2">
      <c r="A7801" s="39"/>
      <c r="B7801" s="36"/>
      <c r="C7801" s="37"/>
      <c r="D7801" s="37"/>
      <c r="E7801" s="37"/>
      <c r="F7801" s="37"/>
      <c r="G7801" s="37"/>
      <c r="H7801" s="37"/>
      <c r="I7801" s="35"/>
      <c r="J7801" s="37"/>
    </row>
    <row r="7802" spans="1:10" ht="15.95" customHeight="1" x14ac:dyDescent="0.2">
      <c r="A7802" s="39"/>
      <c r="B7802" s="36"/>
      <c r="C7802" s="37"/>
      <c r="D7802" s="37"/>
      <c r="E7802" s="37"/>
      <c r="F7802" s="37"/>
      <c r="G7802" s="37"/>
      <c r="H7802" s="37"/>
      <c r="I7802" s="35"/>
      <c r="J7802" s="37"/>
    </row>
    <row r="7803" spans="1:10" ht="15.95" customHeight="1" x14ac:dyDescent="0.2">
      <c r="A7803" s="39"/>
      <c r="B7803" s="36"/>
      <c r="C7803" s="37"/>
      <c r="D7803" s="37"/>
      <c r="E7803" s="37"/>
      <c r="F7803" s="37"/>
      <c r="G7803" s="37"/>
      <c r="H7803" s="37"/>
      <c r="I7803" s="35"/>
      <c r="J7803" s="37"/>
    </row>
    <row r="7804" spans="1:10" ht="15.95" customHeight="1" x14ac:dyDescent="0.2">
      <c r="A7804" s="39"/>
      <c r="B7804" s="36"/>
      <c r="C7804" s="37"/>
      <c r="D7804" s="37"/>
      <c r="E7804" s="37"/>
      <c r="F7804" s="37"/>
      <c r="G7804" s="37"/>
      <c r="H7804" s="37"/>
      <c r="I7804" s="35"/>
      <c r="J7804" s="37"/>
    </row>
    <row r="7805" spans="1:10" ht="15.95" customHeight="1" x14ac:dyDescent="0.2">
      <c r="A7805" s="39"/>
      <c r="B7805" s="36"/>
      <c r="C7805" s="37"/>
      <c r="D7805" s="37"/>
      <c r="E7805" s="37"/>
      <c r="F7805" s="37"/>
      <c r="G7805" s="37"/>
      <c r="H7805" s="37"/>
      <c r="I7805" s="35"/>
      <c r="J7805" s="37"/>
    </row>
    <row r="7806" spans="1:10" ht="15.95" customHeight="1" x14ac:dyDescent="0.2">
      <c r="A7806" s="39"/>
      <c r="B7806" s="36"/>
      <c r="C7806" s="37"/>
      <c r="D7806" s="37"/>
      <c r="E7806" s="37"/>
      <c r="F7806" s="37"/>
      <c r="G7806" s="37"/>
      <c r="H7806" s="37"/>
      <c r="I7806" s="35"/>
      <c r="J7806" s="37"/>
    </row>
    <row r="7807" spans="1:10" ht="15.95" customHeight="1" x14ac:dyDescent="0.2">
      <c r="A7807" s="39"/>
      <c r="B7807" s="36"/>
      <c r="C7807" s="37"/>
      <c r="D7807" s="37"/>
      <c r="E7807" s="37"/>
      <c r="F7807" s="37"/>
      <c r="G7807" s="37"/>
      <c r="H7807" s="37"/>
      <c r="I7807" s="35"/>
      <c r="J7807" s="37"/>
    </row>
    <row r="7808" spans="1:10" ht="15.95" customHeight="1" x14ac:dyDescent="0.2">
      <c r="A7808" s="39"/>
      <c r="B7808" s="36"/>
      <c r="C7808" s="37"/>
      <c r="D7808" s="37"/>
      <c r="E7808" s="37"/>
      <c r="F7808" s="37"/>
      <c r="G7808" s="37"/>
      <c r="H7808" s="37"/>
      <c r="I7808" s="35"/>
      <c r="J7808" s="37"/>
    </row>
    <row r="7809" spans="1:10" ht="15.95" customHeight="1" x14ac:dyDescent="0.2">
      <c r="A7809" s="39"/>
      <c r="B7809" s="36"/>
      <c r="C7809" s="37"/>
      <c r="D7809" s="37"/>
      <c r="E7809" s="37"/>
      <c r="F7809" s="37"/>
      <c r="G7809" s="37"/>
      <c r="H7809" s="37"/>
      <c r="I7809" s="35"/>
      <c r="J7809" s="37"/>
    </row>
    <row r="7810" spans="1:10" ht="15.95" customHeight="1" x14ac:dyDescent="0.2">
      <c r="A7810" s="39"/>
      <c r="B7810" s="36"/>
      <c r="C7810" s="37"/>
      <c r="D7810" s="37"/>
      <c r="E7810" s="37"/>
      <c r="F7810" s="37"/>
      <c r="G7810" s="37"/>
      <c r="H7810" s="37"/>
      <c r="I7810" s="35"/>
      <c r="J7810" s="37"/>
    </row>
    <row r="7811" spans="1:10" ht="15.95" customHeight="1" x14ac:dyDescent="0.2">
      <c r="A7811" s="39"/>
      <c r="B7811" s="36"/>
      <c r="C7811" s="37"/>
      <c r="D7811" s="37"/>
      <c r="E7811" s="37"/>
      <c r="F7811" s="37"/>
      <c r="G7811" s="37"/>
      <c r="H7811" s="37"/>
      <c r="I7811" s="35"/>
      <c r="J7811" s="37"/>
    </row>
    <row r="7812" spans="1:10" ht="15.95" customHeight="1" x14ac:dyDescent="0.2">
      <c r="A7812" s="39"/>
      <c r="B7812" s="36"/>
      <c r="C7812" s="37"/>
      <c r="D7812" s="37"/>
      <c r="E7812" s="37"/>
      <c r="F7812" s="37"/>
      <c r="G7812" s="37"/>
      <c r="H7812" s="37"/>
      <c r="I7812" s="35"/>
      <c r="J7812" s="37"/>
    </row>
    <row r="7813" spans="1:10" ht="15.95" customHeight="1" x14ac:dyDescent="0.2">
      <c r="A7813" s="39"/>
      <c r="B7813" s="36"/>
      <c r="C7813" s="37"/>
      <c r="D7813" s="37"/>
      <c r="E7813" s="37"/>
      <c r="F7813" s="37"/>
      <c r="G7813" s="37"/>
      <c r="H7813" s="37"/>
      <c r="I7813" s="35"/>
      <c r="J7813" s="37"/>
    </row>
    <row r="7814" spans="1:10" ht="15.95" customHeight="1" x14ac:dyDescent="0.2">
      <c r="A7814" s="39"/>
      <c r="B7814" s="36"/>
      <c r="C7814" s="37"/>
      <c r="D7814" s="37"/>
      <c r="E7814" s="37"/>
      <c r="F7814" s="37"/>
      <c r="G7814" s="37"/>
      <c r="H7814" s="37"/>
      <c r="I7814" s="35"/>
      <c r="J7814" s="37"/>
    </row>
    <row r="7815" spans="1:10" ht="15.95" customHeight="1" x14ac:dyDescent="0.2">
      <c r="A7815" s="39"/>
      <c r="B7815" s="36"/>
      <c r="C7815" s="37"/>
      <c r="D7815" s="37"/>
      <c r="E7815" s="37"/>
      <c r="F7815" s="37"/>
      <c r="G7815" s="37"/>
      <c r="H7815" s="37"/>
      <c r="I7815" s="35"/>
      <c r="J7815" s="37"/>
    </row>
    <row r="7816" spans="1:10" ht="15.95" customHeight="1" x14ac:dyDescent="0.2">
      <c r="A7816" s="39"/>
      <c r="B7816" s="36"/>
      <c r="C7816" s="37"/>
      <c r="D7816" s="37"/>
      <c r="E7816" s="37"/>
      <c r="F7816" s="37"/>
      <c r="G7816" s="37"/>
      <c r="H7816" s="37"/>
      <c r="I7816" s="35"/>
      <c r="J7816" s="37"/>
    </row>
    <row r="7817" spans="1:10" ht="15.95" customHeight="1" x14ac:dyDescent="0.2">
      <c r="A7817" s="39"/>
      <c r="B7817" s="36"/>
      <c r="C7817" s="37"/>
      <c r="D7817" s="37"/>
      <c r="E7817" s="37"/>
      <c r="F7817" s="37"/>
      <c r="G7817" s="37"/>
      <c r="H7817" s="37"/>
      <c r="I7817" s="35"/>
      <c r="J7817" s="37"/>
    </row>
    <row r="7818" spans="1:10" ht="15.95" customHeight="1" x14ac:dyDescent="0.2">
      <c r="A7818" s="39"/>
      <c r="B7818" s="36"/>
      <c r="C7818" s="37"/>
      <c r="D7818" s="37"/>
      <c r="E7818" s="37"/>
      <c r="F7818" s="37"/>
      <c r="G7818" s="37"/>
      <c r="H7818" s="37"/>
      <c r="I7818" s="35"/>
      <c r="J7818" s="37"/>
    </row>
    <row r="7819" spans="1:10" ht="15.95" customHeight="1" x14ac:dyDescent="0.2">
      <c r="A7819" s="39"/>
      <c r="B7819" s="36"/>
      <c r="C7819" s="37"/>
      <c r="D7819" s="37"/>
      <c r="E7819" s="37"/>
      <c r="F7819" s="37"/>
      <c r="G7819" s="37"/>
      <c r="H7819" s="37"/>
      <c r="I7819" s="35"/>
      <c r="J7819" s="37"/>
    </row>
    <row r="7820" spans="1:10" ht="15.95" customHeight="1" x14ac:dyDescent="0.2">
      <c r="A7820" s="39"/>
      <c r="B7820" s="36"/>
      <c r="C7820" s="37"/>
      <c r="D7820" s="37"/>
      <c r="E7820" s="37"/>
      <c r="F7820" s="37"/>
      <c r="G7820" s="37"/>
      <c r="H7820" s="37"/>
      <c r="I7820" s="35"/>
      <c r="J7820" s="37"/>
    </row>
    <row r="7821" spans="1:10" ht="15.95" customHeight="1" x14ac:dyDescent="0.2">
      <c r="A7821" s="39"/>
      <c r="B7821" s="36"/>
      <c r="C7821" s="37"/>
      <c r="D7821" s="37"/>
      <c r="E7821" s="37"/>
      <c r="F7821" s="37"/>
      <c r="G7821" s="37"/>
      <c r="H7821" s="37"/>
      <c r="I7821" s="35"/>
      <c r="J7821" s="37"/>
    </row>
    <row r="7822" spans="1:10" ht="15.95" customHeight="1" x14ac:dyDescent="0.2">
      <c r="A7822" s="39"/>
      <c r="B7822" s="36"/>
      <c r="C7822" s="37"/>
      <c r="D7822" s="37"/>
      <c r="E7822" s="37"/>
      <c r="F7822" s="37"/>
      <c r="G7822" s="37"/>
      <c r="H7822" s="37"/>
      <c r="I7822" s="35"/>
      <c r="J7822" s="37"/>
    </row>
    <row r="7823" spans="1:10" ht="15.95" customHeight="1" x14ac:dyDescent="0.2">
      <c r="A7823" s="39"/>
      <c r="B7823" s="36"/>
      <c r="C7823" s="37"/>
      <c r="D7823" s="37"/>
      <c r="E7823" s="37"/>
      <c r="F7823" s="37"/>
      <c r="G7823" s="37"/>
      <c r="H7823" s="37"/>
      <c r="I7823" s="35"/>
      <c r="J7823" s="37"/>
    </row>
    <row r="7824" spans="1:10" ht="15.95" customHeight="1" x14ac:dyDescent="0.2">
      <c r="A7824" s="39"/>
      <c r="B7824" s="36"/>
      <c r="C7824" s="37"/>
      <c r="D7824" s="37"/>
      <c r="E7824" s="37"/>
      <c r="F7824" s="37"/>
      <c r="G7824" s="37"/>
      <c r="H7824" s="37"/>
      <c r="I7824" s="35"/>
      <c r="J7824" s="37"/>
    </row>
    <row r="7825" spans="1:10" ht="15.95" customHeight="1" x14ac:dyDescent="0.2">
      <c r="A7825" s="39"/>
      <c r="B7825" s="36"/>
      <c r="C7825" s="37"/>
      <c r="D7825" s="37"/>
      <c r="E7825" s="37"/>
      <c r="F7825" s="37"/>
      <c r="G7825" s="37"/>
      <c r="H7825" s="37"/>
      <c r="I7825" s="35"/>
      <c r="J7825" s="37"/>
    </row>
    <row r="7826" spans="1:10" ht="15.95" customHeight="1" x14ac:dyDescent="0.2">
      <c r="A7826" s="39"/>
      <c r="B7826" s="36"/>
      <c r="C7826" s="37"/>
      <c r="D7826" s="37"/>
      <c r="E7826" s="37"/>
      <c r="F7826" s="37"/>
      <c r="G7826" s="37"/>
      <c r="H7826" s="37"/>
      <c r="I7826" s="35"/>
      <c r="J7826" s="37"/>
    </row>
    <row r="7827" spans="1:10" ht="15.95" customHeight="1" x14ac:dyDescent="0.2">
      <c r="A7827" s="39"/>
      <c r="B7827" s="36"/>
      <c r="C7827" s="37"/>
      <c r="D7827" s="37"/>
      <c r="E7827" s="37"/>
      <c r="F7827" s="37"/>
      <c r="G7827" s="37"/>
      <c r="H7827" s="37"/>
      <c r="I7827" s="35"/>
      <c r="J7827" s="37"/>
    </row>
    <row r="7828" spans="1:10" ht="15.95" customHeight="1" x14ac:dyDescent="0.2">
      <c r="A7828" s="39"/>
      <c r="B7828" s="36"/>
      <c r="C7828" s="37"/>
      <c r="D7828" s="37"/>
      <c r="E7828" s="37"/>
      <c r="F7828" s="37"/>
      <c r="G7828" s="37"/>
      <c r="H7828" s="37"/>
      <c r="I7828" s="35"/>
      <c r="J7828" s="37"/>
    </row>
    <row r="7829" spans="1:10" ht="15.95" customHeight="1" x14ac:dyDescent="0.2">
      <c r="A7829" s="39"/>
      <c r="B7829" s="36"/>
      <c r="C7829" s="37"/>
      <c r="D7829" s="37"/>
      <c r="E7829" s="37"/>
      <c r="F7829" s="37"/>
      <c r="G7829" s="37"/>
      <c r="H7829" s="37"/>
      <c r="I7829" s="35"/>
      <c r="J7829" s="37"/>
    </row>
    <row r="7830" spans="1:10" ht="15.95" customHeight="1" x14ac:dyDescent="0.2">
      <c r="A7830" s="39"/>
      <c r="B7830" s="36"/>
      <c r="C7830" s="37"/>
      <c r="D7830" s="37"/>
      <c r="E7830" s="37"/>
      <c r="F7830" s="37"/>
      <c r="G7830" s="37"/>
      <c r="H7830" s="37"/>
      <c r="I7830" s="35"/>
      <c r="J7830" s="37"/>
    </row>
    <row r="7831" spans="1:10" ht="15.95" customHeight="1" x14ac:dyDescent="0.2">
      <c r="A7831" s="39"/>
      <c r="B7831" s="36"/>
      <c r="C7831" s="37"/>
      <c r="D7831" s="37"/>
      <c r="E7831" s="37"/>
      <c r="F7831" s="37"/>
      <c r="G7831" s="37"/>
      <c r="H7831" s="37"/>
      <c r="I7831" s="35"/>
      <c r="J7831" s="37"/>
    </row>
    <row r="7832" spans="1:10" ht="15.95" customHeight="1" x14ac:dyDescent="0.2">
      <c r="A7832" s="39"/>
      <c r="B7832" s="36"/>
      <c r="C7832" s="37"/>
      <c r="D7832" s="37"/>
      <c r="E7832" s="37"/>
      <c r="F7832" s="37"/>
      <c r="G7832" s="37"/>
      <c r="H7832" s="37"/>
      <c r="I7832" s="35"/>
      <c r="J7832" s="37"/>
    </row>
    <row r="7833" spans="1:10" ht="15.95" customHeight="1" x14ac:dyDescent="0.2">
      <c r="A7833" s="39"/>
      <c r="B7833" s="36"/>
      <c r="C7833" s="37"/>
      <c r="D7833" s="37"/>
      <c r="E7833" s="37"/>
      <c r="F7833" s="37"/>
      <c r="G7833" s="37"/>
      <c r="H7833" s="37"/>
      <c r="I7833" s="35"/>
      <c r="J7833" s="37"/>
    </row>
    <row r="7834" spans="1:10" ht="15.95" customHeight="1" x14ac:dyDescent="0.2">
      <c r="A7834" s="39"/>
      <c r="B7834" s="36"/>
      <c r="C7834" s="37"/>
      <c r="D7834" s="37"/>
      <c r="E7834" s="37"/>
      <c r="F7834" s="37"/>
      <c r="G7834" s="37"/>
      <c r="H7834" s="37"/>
      <c r="I7834" s="35"/>
      <c r="J7834" s="37"/>
    </row>
    <row r="7835" spans="1:10" ht="15.95" customHeight="1" x14ac:dyDescent="0.2">
      <c r="A7835" s="39"/>
      <c r="B7835" s="36"/>
      <c r="C7835" s="37"/>
      <c r="D7835" s="37"/>
      <c r="E7835" s="37"/>
      <c r="F7835" s="37"/>
      <c r="G7835" s="37"/>
      <c r="H7835" s="37"/>
      <c r="I7835" s="35"/>
      <c r="J7835" s="37"/>
    </row>
    <row r="7836" spans="1:10" ht="15.95" customHeight="1" x14ac:dyDescent="0.2">
      <c r="A7836" s="39"/>
      <c r="B7836" s="36"/>
      <c r="C7836" s="37"/>
      <c r="D7836" s="37"/>
      <c r="E7836" s="37"/>
      <c r="F7836" s="37"/>
      <c r="G7836" s="37"/>
      <c r="H7836" s="37"/>
      <c r="I7836" s="35"/>
      <c r="J7836" s="37"/>
    </row>
    <row r="7837" spans="1:10" ht="15.95" customHeight="1" x14ac:dyDescent="0.2">
      <c r="A7837" s="39"/>
      <c r="B7837" s="36"/>
      <c r="C7837" s="37"/>
      <c r="D7837" s="37"/>
      <c r="E7837" s="37"/>
      <c r="F7837" s="37"/>
      <c r="G7837" s="37"/>
      <c r="H7837" s="37"/>
      <c r="I7837" s="35"/>
      <c r="J7837" s="37"/>
    </row>
    <row r="7838" spans="1:10" ht="15.95" customHeight="1" x14ac:dyDescent="0.2">
      <c r="A7838" s="39"/>
      <c r="B7838" s="36"/>
      <c r="C7838" s="37"/>
      <c r="D7838" s="37"/>
      <c r="E7838" s="37"/>
      <c r="F7838" s="37"/>
      <c r="G7838" s="37"/>
      <c r="H7838" s="37"/>
      <c r="I7838" s="35"/>
      <c r="J7838" s="37"/>
    </row>
    <row r="7839" spans="1:10" ht="15.95" customHeight="1" x14ac:dyDescent="0.2">
      <c r="A7839" s="39"/>
      <c r="B7839" s="36"/>
      <c r="C7839" s="37"/>
      <c r="D7839" s="37"/>
      <c r="E7839" s="37"/>
      <c r="F7839" s="37"/>
      <c r="G7839" s="37"/>
      <c r="H7839" s="37"/>
      <c r="I7839" s="35"/>
      <c r="J7839" s="37"/>
    </row>
    <row r="7840" spans="1:10" ht="15.95" customHeight="1" x14ac:dyDescent="0.2">
      <c r="A7840" s="39"/>
      <c r="B7840" s="36"/>
      <c r="C7840" s="37"/>
      <c r="D7840" s="37"/>
      <c r="E7840" s="37"/>
      <c r="F7840" s="37"/>
      <c r="G7840" s="37"/>
      <c r="H7840" s="37"/>
      <c r="I7840" s="35"/>
      <c r="J7840" s="37"/>
    </row>
    <row r="7841" spans="1:10" ht="15.95" customHeight="1" x14ac:dyDescent="0.2">
      <c r="A7841" s="39"/>
      <c r="B7841" s="36"/>
      <c r="C7841" s="37"/>
      <c r="D7841" s="37"/>
      <c r="E7841" s="37"/>
      <c r="F7841" s="37"/>
      <c r="G7841" s="37"/>
      <c r="H7841" s="37"/>
      <c r="I7841" s="35"/>
      <c r="J7841" s="37"/>
    </row>
    <row r="7842" spans="1:10" ht="15.95" customHeight="1" x14ac:dyDescent="0.2">
      <c r="A7842" s="39"/>
      <c r="B7842" s="36"/>
      <c r="C7842" s="37"/>
      <c r="D7842" s="37"/>
      <c r="E7842" s="37"/>
      <c r="F7842" s="37"/>
      <c r="G7842" s="37"/>
      <c r="H7842" s="37"/>
      <c r="I7842" s="35"/>
      <c r="J7842" s="37"/>
    </row>
    <row r="7843" spans="1:10" ht="15.95" customHeight="1" x14ac:dyDescent="0.2">
      <c r="A7843" s="39"/>
      <c r="B7843" s="36"/>
      <c r="C7843" s="37"/>
      <c r="D7843" s="37"/>
      <c r="E7843" s="37"/>
      <c r="F7843" s="37"/>
      <c r="G7843" s="37"/>
      <c r="H7843" s="37"/>
      <c r="I7843" s="35"/>
      <c r="J7843" s="37"/>
    </row>
    <row r="7844" spans="1:10" ht="15.95" customHeight="1" x14ac:dyDescent="0.2">
      <c r="A7844" s="39"/>
      <c r="B7844" s="36"/>
      <c r="C7844" s="37"/>
      <c r="D7844" s="37"/>
      <c r="E7844" s="37"/>
      <c r="F7844" s="37"/>
      <c r="G7844" s="37"/>
      <c r="H7844" s="37"/>
      <c r="I7844" s="35"/>
      <c r="J7844" s="37"/>
    </row>
    <row r="7845" spans="1:10" ht="15.95" customHeight="1" x14ac:dyDescent="0.2">
      <c r="A7845" s="39"/>
      <c r="B7845" s="36"/>
      <c r="C7845" s="37"/>
      <c r="D7845" s="37"/>
      <c r="E7845" s="37"/>
      <c r="F7845" s="37"/>
      <c r="G7845" s="37"/>
      <c r="H7845" s="37"/>
      <c r="I7845" s="35"/>
      <c r="J7845" s="37"/>
    </row>
    <row r="7846" spans="1:10" ht="15.95" customHeight="1" x14ac:dyDescent="0.2">
      <c r="A7846" s="39"/>
      <c r="B7846" s="36"/>
      <c r="C7846" s="37"/>
      <c r="D7846" s="37"/>
      <c r="E7846" s="37"/>
      <c r="F7846" s="37"/>
      <c r="G7846" s="37"/>
      <c r="H7846" s="37"/>
      <c r="I7846" s="35"/>
      <c r="J7846" s="37"/>
    </row>
    <row r="7847" spans="1:10" ht="15.95" customHeight="1" x14ac:dyDescent="0.2">
      <c r="A7847" s="39"/>
      <c r="B7847" s="36"/>
      <c r="C7847" s="37"/>
      <c r="D7847" s="37"/>
      <c r="E7847" s="37"/>
      <c r="F7847" s="37"/>
      <c r="G7847" s="37"/>
      <c r="H7847" s="37"/>
      <c r="I7847" s="35"/>
      <c r="J7847" s="37"/>
    </row>
    <row r="7848" spans="1:10" ht="15.95" customHeight="1" x14ac:dyDescent="0.2">
      <c r="A7848" s="39"/>
      <c r="B7848" s="36"/>
      <c r="C7848" s="37"/>
      <c r="D7848" s="37"/>
      <c r="E7848" s="37"/>
      <c r="F7848" s="37"/>
      <c r="G7848" s="37"/>
      <c r="H7848" s="37"/>
      <c r="I7848" s="35"/>
      <c r="J7848" s="37"/>
    </row>
    <row r="7849" spans="1:10" ht="15.95" customHeight="1" x14ac:dyDescent="0.2">
      <c r="A7849" s="39"/>
      <c r="B7849" s="36"/>
      <c r="C7849" s="37"/>
      <c r="D7849" s="37"/>
      <c r="E7849" s="37"/>
      <c r="F7849" s="37"/>
      <c r="G7849" s="37"/>
      <c r="H7849" s="37"/>
      <c r="I7849" s="35"/>
      <c r="J7849" s="37"/>
    </row>
    <row r="7850" spans="1:10" ht="15.95" customHeight="1" x14ac:dyDescent="0.2">
      <c r="A7850" s="39"/>
      <c r="B7850" s="36"/>
      <c r="C7850" s="37"/>
      <c r="D7850" s="37"/>
      <c r="E7850" s="37"/>
      <c r="F7850" s="37"/>
      <c r="G7850" s="37"/>
      <c r="H7850" s="37"/>
      <c r="I7850" s="35"/>
      <c r="J7850" s="37"/>
    </row>
    <row r="7851" spans="1:10" ht="15.95" customHeight="1" x14ac:dyDescent="0.2">
      <c r="A7851" s="39"/>
      <c r="B7851" s="36"/>
      <c r="C7851" s="37"/>
      <c r="D7851" s="37"/>
      <c r="E7851" s="37"/>
      <c r="F7851" s="37"/>
      <c r="G7851" s="37"/>
      <c r="H7851" s="37"/>
      <c r="I7851" s="35"/>
      <c r="J7851" s="37"/>
    </row>
    <row r="7852" spans="1:10" ht="15.95" customHeight="1" x14ac:dyDescent="0.2">
      <c r="A7852" s="39"/>
      <c r="B7852" s="36"/>
      <c r="C7852" s="37"/>
      <c r="D7852" s="37"/>
      <c r="E7852" s="37"/>
      <c r="F7852" s="37"/>
      <c r="G7852" s="37"/>
      <c r="H7852" s="37"/>
      <c r="I7852" s="35"/>
      <c r="J7852" s="37"/>
    </row>
    <row r="7853" spans="1:10" ht="15.95" customHeight="1" x14ac:dyDescent="0.2">
      <c r="A7853" s="39"/>
      <c r="B7853" s="36"/>
      <c r="C7853" s="37"/>
      <c r="D7853" s="37"/>
      <c r="E7853" s="37"/>
      <c r="F7853" s="37"/>
      <c r="G7853" s="37"/>
      <c r="H7853" s="37"/>
      <c r="I7853" s="35"/>
      <c r="J7853" s="37"/>
    </row>
    <row r="7854" spans="1:10" ht="15.95" customHeight="1" x14ac:dyDescent="0.2">
      <c r="A7854" s="39"/>
      <c r="B7854" s="36"/>
      <c r="C7854" s="37"/>
      <c r="D7854" s="37"/>
      <c r="E7854" s="37"/>
      <c r="F7854" s="37"/>
      <c r="G7854" s="37"/>
      <c r="H7854" s="37"/>
      <c r="I7854" s="35"/>
      <c r="J7854" s="37"/>
    </row>
    <row r="7855" spans="1:10" ht="15.95" customHeight="1" x14ac:dyDescent="0.2">
      <c r="A7855" s="39"/>
      <c r="B7855" s="36"/>
      <c r="C7855" s="37"/>
      <c r="D7855" s="37"/>
      <c r="E7855" s="37"/>
      <c r="F7855" s="37"/>
      <c r="G7855" s="37"/>
      <c r="H7855" s="37"/>
      <c r="I7855" s="35"/>
      <c r="J7855" s="37"/>
    </row>
    <row r="7856" spans="1:10" ht="15.95" customHeight="1" x14ac:dyDescent="0.2">
      <c r="A7856" s="39"/>
      <c r="B7856" s="36"/>
      <c r="C7856" s="37"/>
      <c r="D7856" s="37"/>
      <c r="E7856" s="37"/>
      <c r="F7856" s="37"/>
      <c r="G7856" s="37"/>
      <c r="H7856" s="37"/>
      <c r="I7856" s="35"/>
      <c r="J7856" s="37"/>
    </row>
    <row r="7857" spans="1:10" ht="15.95" customHeight="1" x14ac:dyDescent="0.2">
      <c r="A7857" s="39"/>
      <c r="B7857" s="36"/>
      <c r="C7857" s="37"/>
      <c r="D7857" s="37"/>
      <c r="E7857" s="37"/>
      <c r="F7857" s="37"/>
      <c r="G7857" s="37"/>
      <c r="H7857" s="37"/>
      <c r="I7857" s="35"/>
      <c r="J7857" s="37"/>
    </row>
    <row r="7858" spans="1:10" ht="15.95" customHeight="1" x14ac:dyDescent="0.2">
      <c r="A7858" s="39"/>
      <c r="B7858" s="36"/>
      <c r="C7858" s="37"/>
      <c r="D7858" s="37"/>
      <c r="E7858" s="37"/>
      <c r="F7858" s="37"/>
      <c r="G7858" s="37"/>
      <c r="H7858" s="37"/>
      <c r="I7858" s="35"/>
      <c r="J7858" s="37"/>
    </row>
    <row r="7859" spans="1:10" ht="15.95" customHeight="1" x14ac:dyDescent="0.2">
      <c r="A7859" s="39"/>
      <c r="B7859" s="36"/>
      <c r="C7859" s="37"/>
      <c r="D7859" s="37"/>
      <c r="E7859" s="37"/>
      <c r="F7859" s="37"/>
      <c r="G7859" s="37"/>
      <c r="H7859" s="37"/>
      <c r="I7859" s="35"/>
      <c r="J7859" s="37"/>
    </row>
    <row r="7860" spans="1:10" ht="15.95" customHeight="1" x14ac:dyDescent="0.2">
      <c r="A7860" s="39"/>
      <c r="B7860" s="36"/>
      <c r="C7860" s="37"/>
      <c r="D7860" s="37"/>
      <c r="E7860" s="37"/>
      <c r="F7860" s="37"/>
      <c r="G7860" s="37"/>
      <c r="H7860" s="37"/>
      <c r="I7860" s="35"/>
      <c r="J7860" s="37"/>
    </row>
    <row r="7861" spans="1:10" ht="15.95" customHeight="1" x14ac:dyDescent="0.2">
      <c r="A7861" s="39"/>
      <c r="B7861" s="36"/>
      <c r="C7861" s="37"/>
      <c r="D7861" s="37"/>
      <c r="E7861" s="37"/>
      <c r="F7861" s="37"/>
      <c r="G7861" s="37"/>
      <c r="H7861" s="37"/>
      <c r="I7861" s="35"/>
      <c r="J7861" s="37"/>
    </row>
    <row r="7862" spans="1:10" ht="15.95" customHeight="1" x14ac:dyDescent="0.2">
      <c r="A7862" s="39"/>
      <c r="B7862" s="36"/>
      <c r="C7862" s="37"/>
      <c r="D7862" s="37"/>
      <c r="E7862" s="37"/>
      <c r="F7862" s="37"/>
      <c r="G7862" s="37"/>
      <c r="H7862" s="37"/>
      <c r="I7862" s="35"/>
      <c r="J7862" s="37"/>
    </row>
    <row r="7863" spans="1:10" ht="15.95" customHeight="1" x14ac:dyDescent="0.2">
      <c r="A7863" s="39"/>
      <c r="B7863" s="36"/>
      <c r="C7863" s="37"/>
      <c r="D7863" s="37"/>
      <c r="E7863" s="37"/>
      <c r="F7863" s="37"/>
      <c r="G7863" s="37"/>
      <c r="H7863" s="37"/>
      <c r="I7863" s="35"/>
      <c r="J7863" s="37"/>
    </row>
    <row r="7864" spans="1:10" ht="15.95" customHeight="1" x14ac:dyDescent="0.2">
      <c r="A7864" s="39"/>
      <c r="B7864" s="36"/>
      <c r="C7864" s="37"/>
      <c r="D7864" s="37"/>
      <c r="E7864" s="37"/>
      <c r="F7864" s="37"/>
      <c r="G7864" s="37"/>
      <c r="H7864" s="37"/>
      <c r="I7864" s="35"/>
      <c r="J7864" s="37"/>
    </row>
    <row r="7865" spans="1:10" ht="15.95" customHeight="1" x14ac:dyDescent="0.2">
      <c r="A7865" s="39"/>
      <c r="B7865" s="36"/>
      <c r="C7865" s="37"/>
      <c r="D7865" s="37"/>
      <c r="E7865" s="37"/>
      <c r="F7865" s="37"/>
      <c r="G7865" s="37"/>
      <c r="H7865" s="37"/>
      <c r="I7865" s="35"/>
      <c r="J7865" s="37"/>
    </row>
    <row r="7866" spans="1:10" ht="15.95" customHeight="1" x14ac:dyDescent="0.2">
      <c r="A7866" s="39"/>
      <c r="B7866" s="36"/>
      <c r="C7866" s="37"/>
      <c r="D7866" s="37"/>
      <c r="E7866" s="37"/>
      <c r="F7866" s="37"/>
      <c r="G7866" s="37"/>
      <c r="H7866" s="37"/>
      <c r="I7866" s="35"/>
      <c r="J7866" s="37"/>
    </row>
    <row r="7867" spans="1:10" ht="15.95" customHeight="1" x14ac:dyDescent="0.2">
      <c r="A7867" s="39"/>
      <c r="B7867" s="36"/>
      <c r="C7867" s="37"/>
      <c r="D7867" s="37"/>
      <c r="E7867" s="37"/>
      <c r="F7867" s="37"/>
      <c r="G7867" s="37"/>
      <c r="H7867" s="37"/>
      <c r="I7867" s="35"/>
      <c r="J7867" s="37"/>
    </row>
    <row r="7868" spans="1:10" ht="15.95" customHeight="1" x14ac:dyDescent="0.2">
      <c r="A7868" s="39"/>
      <c r="B7868" s="36"/>
      <c r="C7868" s="37"/>
      <c r="D7868" s="37"/>
      <c r="E7868" s="37"/>
      <c r="F7868" s="37"/>
      <c r="G7868" s="37"/>
      <c r="H7868" s="37"/>
      <c r="I7868" s="35"/>
      <c r="J7868" s="37"/>
    </row>
    <row r="7869" spans="1:10" ht="15.95" customHeight="1" x14ac:dyDescent="0.2">
      <c r="A7869" s="39"/>
      <c r="B7869" s="36"/>
      <c r="C7869" s="37"/>
      <c r="D7869" s="37"/>
      <c r="E7869" s="37"/>
      <c r="F7869" s="37"/>
      <c r="G7869" s="37"/>
      <c r="H7869" s="37"/>
      <c r="I7869" s="35"/>
      <c r="J7869" s="37"/>
    </row>
    <row r="7870" spans="1:10" ht="15.95" customHeight="1" x14ac:dyDescent="0.2">
      <c r="A7870" s="39"/>
      <c r="B7870" s="36"/>
      <c r="C7870" s="37"/>
      <c r="D7870" s="37"/>
      <c r="E7870" s="37"/>
      <c r="F7870" s="37"/>
      <c r="G7870" s="37"/>
      <c r="H7870" s="37"/>
      <c r="I7870" s="35"/>
      <c r="J7870" s="37"/>
    </row>
    <row r="7871" spans="1:10" ht="15.95" customHeight="1" x14ac:dyDescent="0.2">
      <c r="A7871" s="39"/>
      <c r="B7871" s="36"/>
      <c r="C7871" s="37"/>
      <c r="D7871" s="37"/>
      <c r="E7871" s="37"/>
      <c r="F7871" s="37"/>
      <c r="G7871" s="37"/>
      <c r="H7871" s="37"/>
      <c r="I7871" s="35"/>
      <c r="J7871" s="37"/>
    </row>
    <row r="7872" spans="1:10" ht="15.95" customHeight="1" x14ac:dyDescent="0.2">
      <c r="A7872" s="39"/>
      <c r="B7872" s="36"/>
      <c r="C7872" s="37"/>
      <c r="D7872" s="37"/>
      <c r="E7872" s="37"/>
      <c r="F7872" s="37"/>
      <c r="G7872" s="37"/>
      <c r="H7872" s="37"/>
      <c r="I7872" s="35"/>
      <c r="J7872" s="37"/>
    </row>
    <row r="7873" spans="1:10" ht="15.95" customHeight="1" x14ac:dyDescent="0.2">
      <c r="A7873" s="39"/>
      <c r="B7873" s="36"/>
      <c r="C7873" s="37"/>
      <c r="D7873" s="37"/>
      <c r="E7873" s="37"/>
      <c r="F7873" s="37"/>
      <c r="G7873" s="37"/>
      <c r="H7873" s="37"/>
      <c r="I7873" s="35"/>
      <c r="J7873" s="37"/>
    </row>
    <row r="7874" spans="1:10" ht="15.95" customHeight="1" x14ac:dyDescent="0.2">
      <c r="A7874" s="39"/>
      <c r="B7874" s="36"/>
      <c r="C7874" s="37"/>
      <c r="D7874" s="37"/>
      <c r="E7874" s="37"/>
      <c r="F7874" s="37"/>
      <c r="G7874" s="37"/>
      <c r="H7874" s="37"/>
      <c r="I7874" s="35"/>
      <c r="J7874" s="37"/>
    </row>
    <row r="7875" spans="1:10" ht="15.95" customHeight="1" x14ac:dyDescent="0.2">
      <c r="A7875" s="39"/>
      <c r="B7875" s="36"/>
      <c r="C7875" s="37"/>
      <c r="D7875" s="37"/>
      <c r="E7875" s="37"/>
      <c r="F7875" s="37"/>
      <c r="G7875" s="37"/>
      <c r="H7875" s="37"/>
      <c r="I7875" s="35"/>
      <c r="J7875" s="37"/>
    </row>
    <row r="7876" spans="1:10" ht="15.95" customHeight="1" x14ac:dyDescent="0.2">
      <c r="A7876" s="39"/>
      <c r="B7876" s="36"/>
      <c r="C7876" s="37"/>
      <c r="D7876" s="37"/>
      <c r="E7876" s="37"/>
      <c r="F7876" s="37"/>
      <c r="G7876" s="37"/>
      <c r="H7876" s="37"/>
      <c r="I7876" s="35"/>
      <c r="J7876" s="37"/>
    </row>
    <row r="7877" spans="1:10" ht="15.95" customHeight="1" x14ac:dyDescent="0.2">
      <c r="A7877" s="39"/>
      <c r="B7877" s="36"/>
      <c r="C7877" s="37"/>
      <c r="D7877" s="37"/>
      <c r="E7877" s="37"/>
      <c r="F7877" s="37"/>
      <c r="G7877" s="37"/>
      <c r="H7877" s="37"/>
      <c r="I7877" s="35"/>
      <c r="J7877" s="37"/>
    </row>
    <row r="7878" spans="1:10" ht="15.95" customHeight="1" x14ac:dyDescent="0.2">
      <c r="A7878" s="39"/>
      <c r="B7878" s="36"/>
      <c r="C7878" s="37"/>
      <c r="D7878" s="37"/>
      <c r="E7878" s="37"/>
      <c r="F7878" s="37"/>
      <c r="G7878" s="37"/>
      <c r="H7878" s="37"/>
      <c r="I7878" s="35"/>
      <c r="J7878" s="37"/>
    </row>
    <row r="7879" spans="1:10" ht="15.95" customHeight="1" x14ac:dyDescent="0.2">
      <c r="A7879" s="39"/>
      <c r="B7879" s="36"/>
      <c r="C7879" s="37"/>
      <c r="D7879" s="37"/>
      <c r="E7879" s="37"/>
      <c r="F7879" s="37"/>
      <c r="G7879" s="37"/>
      <c r="H7879" s="37"/>
      <c r="I7879" s="35"/>
      <c r="J7879" s="37"/>
    </row>
    <row r="7880" spans="1:10" ht="15.95" customHeight="1" x14ac:dyDescent="0.2">
      <c r="A7880" s="39"/>
      <c r="B7880" s="36"/>
      <c r="C7880" s="37"/>
      <c r="D7880" s="37"/>
      <c r="E7880" s="37"/>
      <c r="F7880" s="37"/>
      <c r="G7880" s="37"/>
      <c r="H7880" s="37"/>
      <c r="I7880" s="35"/>
      <c r="J7880" s="37"/>
    </row>
    <row r="7881" spans="1:10" ht="15.95" customHeight="1" x14ac:dyDescent="0.2">
      <c r="A7881" s="39"/>
      <c r="B7881" s="36"/>
      <c r="C7881" s="37"/>
      <c r="D7881" s="37"/>
      <c r="E7881" s="37"/>
      <c r="F7881" s="37"/>
      <c r="G7881" s="37"/>
      <c r="H7881" s="37"/>
      <c r="I7881" s="35"/>
      <c r="J7881" s="37"/>
    </row>
    <row r="7882" spans="1:10" ht="15.95" customHeight="1" x14ac:dyDescent="0.2">
      <c r="A7882" s="39"/>
      <c r="B7882" s="36"/>
      <c r="C7882" s="37"/>
      <c r="D7882" s="37"/>
      <c r="E7882" s="37"/>
      <c r="F7882" s="37"/>
      <c r="G7882" s="37"/>
      <c r="H7882" s="37"/>
      <c r="I7882" s="35"/>
      <c r="J7882" s="37"/>
    </row>
    <row r="7883" spans="1:10" ht="15.95" customHeight="1" x14ac:dyDescent="0.2">
      <c r="A7883" s="39"/>
      <c r="B7883" s="36"/>
      <c r="C7883" s="37"/>
      <c r="D7883" s="37"/>
      <c r="E7883" s="37"/>
      <c r="F7883" s="37"/>
      <c r="G7883" s="37"/>
      <c r="H7883" s="37"/>
      <c r="I7883" s="35"/>
      <c r="J7883" s="37"/>
    </row>
    <row r="7884" spans="1:10" ht="15.95" customHeight="1" x14ac:dyDescent="0.2">
      <c r="A7884" s="39"/>
      <c r="B7884" s="36"/>
      <c r="C7884" s="37"/>
      <c r="D7884" s="37"/>
      <c r="E7884" s="37"/>
      <c r="F7884" s="37"/>
      <c r="G7884" s="37"/>
      <c r="H7884" s="37"/>
      <c r="I7884" s="35"/>
      <c r="J7884" s="37"/>
    </row>
    <row r="7885" spans="1:10" ht="15.95" customHeight="1" x14ac:dyDescent="0.2">
      <c r="A7885" s="39"/>
      <c r="B7885" s="36"/>
      <c r="C7885" s="37"/>
      <c r="D7885" s="37"/>
      <c r="E7885" s="37"/>
      <c r="F7885" s="37"/>
      <c r="G7885" s="37"/>
      <c r="H7885" s="37"/>
      <c r="I7885" s="35"/>
      <c r="J7885" s="37"/>
    </row>
    <row r="7886" spans="1:10" ht="15.95" customHeight="1" x14ac:dyDescent="0.2">
      <c r="A7886" s="39"/>
      <c r="B7886" s="36"/>
      <c r="C7886" s="37"/>
      <c r="D7886" s="37"/>
      <c r="E7886" s="37"/>
      <c r="F7886" s="37"/>
      <c r="G7886" s="37"/>
      <c r="H7886" s="37"/>
      <c r="I7886" s="35"/>
      <c r="J7886" s="37"/>
    </row>
    <row r="7887" spans="1:10" ht="15.95" customHeight="1" x14ac:dyDescent="0.2">
      <c r="A7887" s="39"/>
      <c r="B7887" s="36"/>
      <c r="C7887" s="37"/>
      <c r="D7887" s="37"/>
      <c r="E7887" s="37"/>
      <c r="F7887" s="37"/>
      <c r="G7887" s="37"/>
      <c r="H7887" s="37"/>
      <c r="I7887" s="35"/>
      <c r="J7887" s="37"/>
    </row>
    <row r="7888" spans="1:10" ht="15.95" customHeight="1" x14ac:dyDescent="0.2">
      <c r="A7888" s="39"/>
      <c r="B7888" s="36"/>
      <c r="C7888" s="37"/>
      <c r="D7888" s="37"/>
      <c r="E7888" s="37"/>
      <c r="F7888" s="37"/>
      <c r="G7888" s="37"/>
      <c r="H7888" s="37"/>
      <c r="I7888" s="35"/>
      <c r="J7888" s="37"/>
    </row>
    <row r="7889" spans="1:10" ht="15.95" customHeight="1" x14ac:dyDescent="0.2">
      <c r="A7889" s="39"/>
      <c r="B7889" s="36"/>
      <c r="C7889" s="37"/>
      <c r="D7889" s="37"/>
      <c r="E7889" s="37"/>
      <c r="F7889" s="37"/>
      <c r="G7889" s="37"/>
      <c r="H7889" s="37"/>
      <c r="I7889" s="35"/>
      <c r="J7889" s="37"/>
    </row>
    <row r="7890" spans="1:10" ht="15.95" customHeight="1" x14ac:dyDescent="0.2">
      <c r="A7890" s="39"/>
      <c r="B7890" s="36"/>
      <c r="C7890" s="37"/>
      <c r="D7890" s="37"/>
      <c r="E7890" s="37"/>
      <c r="F7890" s="37"/>
      <c r="G7890" s="37"/>
      <c r="H7890" s="37"/>
      <c r="I7890" s="35"/>
      <c r="J7890" s="37"/>
    </row>
    <row r="7891" spans="1:10" ht="15.95" customHeight="1" x14ac:dyDescent="0.2">
      <c r="A7891" s="39"/>
      <c r="B7891" s="36"/>
      <c r="C7891" s="37"/>
      <c r="D7891" s="37"/>
      <c r="E7891" s="37"/>
      <c r="F7891" s="37"/>
      <c r="G7891" s="37"/>
      <c r="H7891" s="37"/>
      <c r="I7891" s="35"/>
      <c r="J7891" s="37"/>
    </row>
    <row r="7892" spans="1:10" ht="15.95" customHeight="1" x14ac:dyDescent="0.2">
      <c r="A7892" s="39"/>
      <c r="B7892" s="36"/>
      <c r="C7892" s="37"/>
      <c r="D7892" s="37"/>
      <c r="E7892" s="37"/>
      <c r="F7892" s="37"/>
      <c r="G7892" s="37"/>
      <c r="H7892" s="37"/>
      <c r="I7892" s="35"/>
      <c r="J7892" s="37"/>
    </row>
    <row r="7893" spans="1:10" ht="15.95" customHeight="1" x14ac:dyDescent="0.2">
      <c r="A7893" s="39"/>
      <c r="B7893" s="36"/>
      <c r="C7893" s="37"/>
      <c r="D7893" s="37"/>
      <c r="E7893" s="37"/>
      <c r="F7893" s="37"/>
      <c r="G7893" s="37"/>
      <c r="H7893" s="37"/>
      <c r="I7893" s="35"/>
      <c r="J7893" s="37"/>
    </row>
    <row r="7894" spans="1:10" ht="15.95" customHeight="1" x14ac:dyDescent="0.2">
      <c r="A7894" s="39"/>
      <c r="B7894" s="36"/>
      <c r="C7894" s="37"/>
      <c r="D7894" s="37"/>
      <c r="E7894" s="37"/>
      <c r="F7894" s="37"/>
      <c r="G7894" s="37"/>
      <c r="H7894" s="37"/>
      <c r="I7894" s="35"/>
      <c r="J7894" s="37"/>
    </row>
    <row r="7895" spans="1:10" ht="15.95" customHeight="1" x14ac:dyDescent="0.2">
      <c r="A7895" s="39"/>
      <c r="B7895" s="36"/>
      <c r="C7895" s="37"/>
      <c r="D7895" s="37"/>
      <c r="E7895" s="37"/>
      <c r="F7895" s="37"/>
      <c r="G7895" s="37"/>
      <c r="H7895" s="37"/>
      <c r="I7895" s="35"/>
      <c r="J7895" s="37"/>
    </row>
    <row r="7896" spans="1:10" ht="15.95" customHeight="1" x14ac:dyDescent="0.2">
      <c r="A7896" s="39"/>
      <c r="B7896" s="36"/>
      <c r="C7896" s="37"/>
      <c r="D7896" s="37"/>
      <c r="E7896" s="37"/>
      <c r="F7896" s="37"/>
      <c r="G7896" s="37"/>
      <c r="H7896" s="37"/>
      <c r="I7896" s="35"/>
      <c r="J7896" s="37"/>
    </row>
    <row r="7897" spans="1:10" ht="15.95" customHeight="1" x14ac:dyDescent="0.2">
      <c r="A7897" s="39"/>
      <c r="B7897" s="36"/>
      <c r="C7897" s="37"/>
      <c r="D7897" s="37"/>
      <c r="E7897" s="37"/>
      <c r="F7897" s="37"/>
      <c r="G7897" s="37"/>
      <c r="H7897" s="37"/>
      <c r="I7897" s="35"/>
      <c r="J7897" s="37"/>
    </row>
    <row r="7898" spans="1:10" ht="15.95" customHeight="1" x14ac:dyDescent="0.2">
      <c r="A7898" s="39"/>
      <c r="B7898" s="36"/>
      <c r="C7898" s="37"/>
      <c r="D7898" s="37"/>
      <c r="E7898" s="37"/>
      <c r="F7898" s="37"/>
      <c r="G7898" s="37"/>
      <c r="H7898" s="37"/>
      <c r="I7898" s="35"/>
      <c r="J7898" s="37"/>
    </row>
    <row r="7899" spans="1:10" ht="15.95" customHeight="1" x14ac:dyDescent="0.2">
      <c r="A7899" s="39"/>
      <c r="B7899" s="36"/>
      <c r="C7899" s="37"/>
      <c r="D7899" s="37"/>
      <c r="E7899" s="37"/>
      <c r="F7899" s="37"/>
      <c r="G7899" s="37"/>
      <c r="H7899" s="37"/>
      <c r="I7899" s="35"/>
      <c r="J7899" s="37"/>
    </row>
    <row r="7900" spans="1:10" ht="15.95" customHeight="1" x14ac:dyDescent="0.2">
      <c r="A7900" s="39"/>
      <c r="B7900" s="36"/>
      <c r="C7900" s="37"/>
      <c r="D7900" s="37"/>
      <c r="E7900" s="37"/>
      <c r="F7900" s="37"/>
      <c r="G7900" s="37"/>
      <c r="H7900" s="37"/>
      <c r="I7900" s="35"/>
      <c r="J7900" s="37"/>
    </row>
    <row r="7901" spans="1:10" ht="15.95" customHeight="1" x14ac:dyDescent="0.2">
      <c r="A7901" s="39"/>
      <c r="B7901" s="36"/>
      <c r="C7901" s="37"/>
      <c r="D7901" s="37"/>
      <c r="E7901" s="37"/>
      <c r="F7901" s="37"/>
      <c r="G7901" s="37"/>
      <c r="H7901" s="37"/>
      <c r="I7901" s="35"/>
      <c r="J7901" s="37"/>
    </row>
    <row r="7902" spans="1:10" ht="15.95" customHeight="1" x14ac:dyDescent="0.2">
      <c r="A7902" s="39"/>
      <c r="B7902" s="36"/>
      <c r="C7902" s="37"/>
      <c r="D7902" s="37"/>
      <c r="E7902" s="37"/>
      <c r="F7902" s="37"/>
      <c r="G7902" s="37"/>
      <c r="H7902" s="37"/>
      <c r="I7902" s="35"/>
      <c r="J7902" s="37"/>
    </row>
    <row r="7903" spans="1:10" ht="15.95" customHeight="1" x14ac:dyDescent="0.2">
      <c r="A7903" s="39"/>
      <c r="B7903" s="36"/>
      <c r="C7903" s="37"/>
      <c r="D7903" s="37"/>
      <c r="E7903" s="37"/>
      <c r="F7903" s="37"/>
      <c r="G7903" s="37"/>
      <c r="H7903" s="37"/>
      <c r="I7903" s="35"/>
      <c r="J7903" s="37"/>
    </row>
    <row r="7904" spans="1:10" ht="15.95" customHeight="1" x14ac:dyDescent="0.2">
      <c r="A7904" s="39"/>
      <c r="B7904" s="36"/>
      <c r="C7904" s="37"/>
      <c r="D7904" s="37"/>
      <c r="E7904" s="37"/>
      <c r="F7904" s="37"/>
      <c r="G7904" s="37"/>
      <c r="H7904" s="37"/>
      <c r="I7904" s="35"/>
      <c r="J7904" s="37"/>
    </row>
    <row r="7905" spans="1:10" ht="15.95" customHeight="1" x14ac:dyDescent="0.2">
      <c r="A7905" s="39"/>
      <c r="B7905" s="36"/>
      <c r="C7905" s="37"/>
      <c r="D7905" s="37"/>
      <c r="E7905" s="37"/>
      <c r="F7905" s="37"/>
      <c r="G7905" s="37"/>
      <c r="H7905" s="37"/>
      <c r="I7905" s="35"/>
      <c r="J7905" s="37"/>
    </row>
    <row r="7906" spans="1:10" ht="15.95" customHeight="1" x14ac:dyDescent="0.2">
      <c r="A7906" s="39"/>
      <c r="B7906" s="36"/>
      <c r="C7906" s="37"/>
      <c r="D7906" s="37"/>
      <c r="E7906" s="37"/>
      <c r="F7906" s="37"/>
      <c r="G7906" s="37"/>
      <c r="H7906" s="37"/>
      <c r="I7906" s="35"/>
      <c r="J7906" s="37"/>
    </row>
    <row r="7907" spans="1:10" ht="15.95" customHeight="1" x14ac:dyDescent="0.2">
      <c r="A7907" s="39"/>
      <c r="B7907" s="36"/>
      <c r="C7907" s="37"/>
      <c r="D7907" s="37"/>
      <c r="E7907" s="37"/>
      <c r="F7907" s="37"/>
      <c r="G7907" s="37"/>
      <c r="H7907" s="37"/>
      <c r="I7907" s="35"/>
      <c r="J7907" s="37"/>
    </row>
    <row r="7908" spans="1:10" ht="15.95" customHeight="1" x14ac:dyDescent="0.2">
      <c r="A7908" s="39"/>
      <c r="B7908" s="36"/>
      <c r="C7908" s="37"/>
      <c r="D7908" s="37"/>
      <c r="E7908" s="37"/>
      <c r="F7908" s="37"/>
      <c r="G7908" s="37"/>
      <c r="H7908" s="37"/>
      <c r="I7908" s="35"/>
      <c r="J7908" s="37"/>
    </row>
    <row r="7909" spans="1:10" ht="15.95" customHeight="1" x14ac:dyDescent="0.2">
      <c r="A7909" s="39"/>
      <c r="B7909" s="36"/>
      <c r="C7909" s="37"/>
      <c r="D7909" s="37"/>
      <c r="E7909" s="37"/>
      <c r="F7909" s="37"/>
      <c r="G7909" s="37"/>
      <c r="H7909" s="37"/>
      <c r="I7909" s="35"/>
      <c r="J7909" s="37"/>
    </row>
    <row r="7910" spans="1:10" ht="15.95" customHeight="1" x14ac:dyDescent="0.2">
      <c r="A7910" s="39"/>
      <c r="B7910" s="36"/>
      <c r="C7910" s="37"/>
      <c r="D7910" s="37"/>
      <c r="E7910" s="37"/>
      <c r="F7910" s="37"/>
      <c r="G7910" s="37"/>
      <c r="H7910" s="37"/>
      <c r="I7910" s="35"/>
      <c r="J7910" s="37"/>
    </row>
    <row r="7911" spans="1:10" ht="15.95" customHeight="1" x14ac:dyDescent="0.2">
      <c r="A7911" s="39"/>
      <c r="B7911" s="36"/>
      <c r="C7911" s="37"/>
      <c r="D7911" s="37"/>
      <c r="E7911" s="37"/>
      <c r="F7911" s="37"/>
      <c r="G7911" s="37"/>
      <c r="H7911" s="37"/>
      <c r="I7911" s="35"/>
      <c r="J7911" s="37"/>
    </row>
    <row r="7912" spans="1:10" ht="15.95" customHeight="1" x14ac:dyDescent="0.2">
      <c r="A7912" s="39"/>
      <c r="B7912" s="36"/>
      <c r="C7912" s="37"/>
      <c r="D7912" s="37"/>
      <c r="E7912" s="37"/>
      <c r="F7912" s="37"/>
      <c r="G7912" s="37"/>
      <c r="H7912" s="37"/>
      <c r="I7912" s="35"/>
      <c r="J7912" s="37"/>
    </row>
    <row r="7913" spans="1:10" ht="15.95" customHeight="1" x14ac:dyDescent="0.2">
      <c r="A7913" s="39"/>
      <c r="B7913" s="36"/>
      <c r="C7913" s="37"/>
      <c r="D7913" s="37"/>
      <c r="E7913" s="37"/>
      <c r="F7913" s="37"/>
      <c r="G7913" s="37"/>
      <c r="H7913" s="37"/>
      <c r="I7913" s="35"/>
      <c r="J7913" s="37"/>
    </row>
    <row r="7914" spans="1:10" ht="15.95" customHeight="1" x14ac:dyDescent="0.2">
      <c r="A7914" s="39"/>
      <c r="B7914" s="36"/>
      <c r="C7914" s="37"/>
      <c r="D7914" s="37"/>
      <c r="E7914" s="37"/>
      <c r="F7914" s="37"/>
      <c r="G7914" s="37"/>
      <c r="H7914" s="37"/>
      <c r="I7914" s="35"/>
      <c r="J7914" s="37"/>
    </row>
    <row r="7915" spans="1:10" ht="15.95" customHeight="1" x14ac:dyDescent="0.2">
      <c r="A7915" s="39"/>
      <c r="B7915" s="36"/>
      <c r="C7915" s="37"/>
      <c r="D7915" s="37"/>
      <c r="E7915" s="37"/>
      <c r="F7915" s="37"/>
      <c r="G7915" s="37"/>
      <c r="H7915" s="37"/>
      <c r="I7915" s="35"/>
      <c r="J7915" s="37"/>
    </row>
    <row r="7916" spans="1:10" ht="15.95" customHeight="1" x14ac:dyDescent="0.2">
      <c r="A7916" s="39"/>
      <c r="B7916" s="36"/>
      <c r="C7916" s="37"/>
      <c r="D7916" s="37"/>
      <c r="E7916" s="37"/>
      <c r="F7916" s="37"/>
      <c r="G7916" s="37"/>
      <c r="H7916" s="37"/>
      <c r="I7916" s="35"/>
      <c r="J7916" s="37"/>
    </row>
    <row r="7917" spans="1:10" ht="15.95" customHeight="1" x14ac:dyDescent="0.2">
      <c r="A7917" s="39"/>
      <c r="B7917" s="36"/>
      <c r="C7917" s="37"/>
      <c r="D7917" s="37"/>
      <c r="E7917" s="37"/>
      <c r="F7917" s="37"/>
      <c r="G7917" s="37"/>
      <c r="H7917" s="37"/>
      <c r="I7917" s="35"/>
      <c r="J7917" s="37"/>
    </row>
    <row r="7918" spans="1:10" ht="15.95" customHeight="1" x14ac:dyDescent="0.2">
      <c r="A7918" s="39"/>
      <c r="B7918" s="36"/>
      <c r="C7918" s="37"/>
      <c r="D7918" s="37"/>
      <c r="E7918" s="37"/>
      <c r="F7918" s="37"/>
      <c r="G7918" s="37"/>
      <c r="H7918" s="37"/>
      <c r="I7918" s="35"/>
      <c r="J7918" s="37"/>
    </row>
    <row r="7919" spans="1:10" ht="15.95" customHeight="1" x14ac:dyDescent="0.2">
      <c r="A7919" s="39"/>
      <c r="B7919" s="36"/>
      <c r="C7919" s="37"/>
      <c r="D7919" s="37"/>
      <c r="E7919" s="37"/>
      <c r="F7919" s="37"/>
      <c r="G7919" s="37"/>
      <c r="H7919" s="37"/>
      <c r="I7919" s="35"/>
      <c r="J7919" s="37"/>
    </row>
    <row r="7920" spans="1:10" ht="15.95" customHeight="1" x14ac:dyDescent="0.2">
      <c r="A7920" s="39"/>
      <c r="B7920" s="36"/>
      <c r="C7920" s="37"/>
      <c r="D7920" s="37"/>
      <c r="E7920" s="37"/>
      <c r="F7920" s="37"/>
      <c r="G7920" s="37"/>
      <c r="H7920" s="37"/>
      <c r="I7920" s="35"/>
      <c r="J7920" s="37"/>
    </row>
    <row r="7921" spans="1:10" ht="15.95" customHeight="1" x14ac:dyDescent="0.2">
      <c r="A7921" s="39"/>
      <c r="B7921" s="36"/>
      <c r="C7921" s="37"/>
      <c r="D7921" s="37"/>
      <c r="E7921" s="37"/>
      <c r="F7921" s="37"/>
      <c r="G7921" s="37"/>
      <c r="H7921" s="37"/>
      <c r="I7921" s="35"/>
      <c r="J7921" s="37"/>
    </row>
    <row r="7922" spans="1:10" ht="15.95" customHeight="1" x14ac:dyDescent="0.2">
      <c r="A7922" s="39"/>
      <c r="B7922" s="36"/>
      <c r="C7922" s="37"/>
      <c r="D7922" s="37"/>
      <c r="E7922" s="37"/>
      <c r="F7922" s="37"/>
      <c r="G7922" s="37"/>
      <c r="H7922" s="37"/>
      <c r="I7922" s="35"/>
      <c r="J7922" s="37"/>
    </row>
    <row r="7923" spans="1:10" ht="15.95" customHeight="1" x14ac:dyDescent="0.2">
      <c r="A7923" s="39"/>
      <c r="B7923" s="36"/>
      <c r="C7923" s="37"/>
      <c r="D7923" s="37"/>
      <c r="E7923" s="37"/>
      <c r="F7923" s="37"/>
      <c r="G7923" s="37"/>
      <c r="H7923" s="37"/>
      <c r="I7923" s="35"/>
      <c r="J7923" s="37"/>
    </row>
    <row r="7924" spans="1:10" ht="15.95" customHeight="1" x14ac:dyDescent="0.2">
      <c r="A7924" s="39"/>
      <c r="B7924" s="36"/>
      <c r="C7924" s="37"/>
      <c r="D7924" s="37"/>
      <c r="E7924" s="37"/>
      <c r="F7924" s="37"/>
      <c r="G7924" s="37"/>
      <c r="H7924" s="37"/>
      <c r="I7924" s="35"/>
      <c r="J7924" s="37"/>
    </row>
    <row r="7925" spans="1:10" ht="15.95" customHeight="1" x14ac:dyDescent="0.2">
      <c r="A7925" s="39"/>
      <c r="B7925" s="36"/>
      <c r="C7925" s="37"/>
      <c r="D7925" s="37"/>
      <c r="E7925" s="37"/>
      <c r="F7925" s="37"/>
      <c r="G7925" s="37"/>
      <c r="H7925" s="37"/>
      <c r="I7925" s="35"/>
      <c r="J7925" s="37"/>
    </row>
    <row r="7926" spans="1:10" ht="15.95" customHeight="1" x14ac:dyDescent="0.2">
      <c r="A7926" s="39"/>
      <c r="B7926" s="36"/>
      <c r="C7926" s="37"/>
      <c r="D7926" s="37"/>
      <c r="E7926" s="37"/>
      <c r="F7926" s="37"/>
      <c r="G7926" s="37"/>
      <c r="H7926" s="37"/>
      <c r="I7926" s="35"/>
      <c r="J7926" s="37"/>
    </row>
    <row r="7927" spans="1:10" ht="15.95" customHeight="1" x14ac:dyDescent="0.2">
      <c r="A7927" s="39"/>
      <c r="B7927" s="36"/>
      <c r="C7927" s="37"/>
      <c r="D7927" s="37"/>
      <c r="E7927" s="37"/>
      <c r="F7927" s="37"/>
      <c r="G7927" s="37"/>
      <c r="H7927" s="37"/>
      <c r="I7927" s="35"/>
      <c r="J7927" s="37"/>
    </row>
    <row r="7928" spans="1:10" ht="15.95" customHeight="1" x14ac:dyDescent="0.2">
      <c r="A7928" s="39"/>
      <c r="B7928" s="36"/>
      <c r="C7928" s="37"/>
      <c r="D7928" s="37"/>
      <c r="E7928" s="37"/>
      <c r="F7928" s="37"/>
      <c r="G7928" s="37"/>
      <c r="H7928" s="37"/>
      <c r="I7928" s="35"/>
      <c r="J7928" s="37"/>
    </row>
    <row r="7929" spans="1:10" ht="15.95" customHeight="1" x14ac:dyDescent="0.2">
      <c r="A7929" s="39"/>
      <c r="B7929" s="36"/>
      <c r="C7929" s="37"/>
      <c r="D7929" s="37"/>
      <c r="E7929" s="37"/>
      <c r="F7929" s="37"/>
      <c r="G7929" s="37"/>
      <c r="H7929" s="37"/>
      <c r="I7929" s="35"/>
      <c r="J7929" s="37"/>
    </row>
    <row r="7930" spans="1:10" ht="15.95" customHeight="1" x14ac:dyDescent="0.2">
      <c r="A7930" s="39"/>
      <c r="B7930" s="36"/>
      <c r="C7930" s="37"/>
      <c r="D7930" s="37"/>
      <c r="E7930" s="37"/>
      <c r="F7930" s="37"/>
      <c r="G7930" s="37"/>
      <c r="H7930" s="37"/>
      <c r="I7930" s="35"/>
      <c r="J7930" s="37"/>
    </row>
    <row r="7931" spans="1:10" ht="15.95" customHeight="1" x14ac:dyDescent="0.2">
      <c r="A7931" s="39"/>
      <c r="B7931" s="36"/>
      <c r="C7931" s="37"/>
      <c r="D7931" s="37"/>
      <c r="E7931" s="37"/>
      <c r="F7931" s="37"/>
      <c r="G7931" s="37"/>
      <c r="H7931" s="37"/>
      <c r="I7931" s="35"/>
      <c r="J7931" s="37"/>
    </row>
    <row r="7932" spans="1:10" ht="15.95" customHeight="1" x14ac:dyDescent="0.2">
      <c r="A7932" s="39"/>
      <c r="B7932" s="36"/>
      <c r="C7932" s="37"/>
      <c r="D7932" s="37"/>
      <c r="E7932" s="37"/>
      <c r="F7932" s="37"/>
      <c r="G7932" s="37"/>
      <c r="H7932" s="37"/>
      <c r="I7932" s="35"/>
      <c r="J7932" s="37"/>
    </row>
    <row r="7933" spans="1:10" ht="15.95" customHeight="1" x14ac:dyDescent="0.2">
      <c r="A7933" s="39"/>
      <c r="B7933" s="36"/>
      <c r="C7933" s="37"/>
      <c r="D7933" s="37"/>
      <c r="E7933" s="37"/>
      <c r="F7933" s="37"/>
      <c r="G7933" s="37"/>
      <c r="H7933" s="37"/>
      <c r="I7933" s="35"/>
      <c r="J7933" s="37"/>
    </row>
    <row r="7934" spans="1:10" ht="15.95" customHeight="1" x14ac:dyDescent="0.2">
      <c r="A7934" s="39"/>
      <c r="B7934" s="36"/>
      <c r="C7934" s="37"/>
      <c r="D7934" s="37"/>
      <c r="E7934" s="37"/>
      <c r="F7934" s="37"/>
      <c r="G7934" s="37"/>
      <c r="H7934" s="37"/>
      <c r="I7934" s="35"/>
      <c r="J7934" s="37"/>
    </row>
    <row r="7935" spans="1:10" ht="15.95" customHeight="1" x14ac:dyDescent="0.2">
      <c r="A7935" s="39"/>
      <c r="B7935" s="36"/>
      <c r="C7935" s="37"/>
      <c r="D7935" s="37"/>
      <c r="E7935" s="37"/>
      <c r="F7935" s="37"/>
      <c r="G7935" s="37"/>
      <c r="H7935" s="37"/>
      <c r="I7935" s="35"/>
      <c r="J7935" s="37"/>
    </row>
    <row r="7936" spans="1:10" ht="15.95" customHeight="1" x14ac:dyDescent="0.2">
      <c r="A7936" s="39"/>
      <c r="B7936" s="36"/>
      <c r="C7936" s="37"/>
      <c r="D7936" s="37"/>
      <c r="E7936" s="37"/>
      <c r="F7936" s="37"/>
      <c r="G7936" s="37"/>
      <c r="H7936" s="37"/>
      <c r="I7936" s="35"/>
      <c r="J7936" s="37"/>
    </row>
    <row r="7937" spans="1:10" ht="15.95" customHeight="1" x14ac:dyDescent="0.2">
      <c r="A7937" s="39"/>
      <c r="B7937" s="36"/>
      <c r="C7937" s="37"/>
      <c r="D7937" s="37"/>
      <c r="E7937" s="37"/>
      <c r="F7937" s="37"/>
      <c r="G7937" s="37"/>
      <c r="H7937" s="37"/>
      <c r="I7937" s="35"/>
      <c r="J7937" s="37"/>
    </row>
    <row r="7938" spans="1:10" ht="15.95" customHeight="1" x14ac:dyDescent="0.2">
      <c r="A7938" s="39"/>
      <c r="B7938" s="36"/>
      <c r="C7938" s="37"/>
      <c r="D7938" s="37"/>
      <c r="E7938" s="37"/>
      <c r="F7938" s="37"/>
      <c r="G7938" s="37"/>
      <c r="H7938" s="37"/>
      <c r="I7938" s="35"/>
      <c r="J7938" s="37"/>
    </row>
    <row r="7939" spans="1:10" ht="15.95" customHeight="1" x14ac:dyDescent="0.2">
      <c r="A7939" s="39"/>
      <c r="B7939" s="36"/>
      <c r="C7939" s="37"/>
      <c r="D7939" s="37"/>
      <c r="E7939" s="37"/>
      <c r="F7939" s="37"/>
      <c r="G7939" s="37"/>
      <c r="H7939" s="37"/>
      <c r="I7939" s="35"/>
      <c r="J7939" s="37"/>
    </row>
    <row r="7940" spans="1:10" ht="15.95" customHeight="1" x14ac:dyDescent="0.2">
      <c r="A7940" s="39"/>
      <c r="B7940" s="36"/>
      <c r="C7940" s="37"/>
      <c r="D7940" s="37"/>
      <c r="E7940" s="37"/>
      <c r="F7940" s="37"/>
      <c r="G7940" s="37"/>
      <c r="H7940" s="37"/>
      <c r="I7940" s="35"/>
      <c r="J7940" s="37"/>
    </row>
    <row r="7941" spans="1:10" ht="15.95" customHeight="1" x14ac:dyDescent="0.2">
      <c r="A7941" s="39"/>
      <c r="B7941" s="36"/>
      <c r="C7941" s="37"/>
      <c r="D7941" s="37"/>
      <c r="E7941" s="37"/>
      <c r="F7941" s="37"/>
      <c r="G7941" s="37"/>
      <c r="H7941" s="37"/>
      <c r="I7941" s="35"/>
      <c r="J7941" s="37"/>
    </row>
    <row r="7942" spans="1:10" ht="15.95" customHeight="1" x14ac:dyDescent="0.2">
      <c r="A7942" s="39"/>
      <c r="B7942" s="36"/>
      <c r="C7942" s="37"/>
      <c r="D7942" s="37"/>
      <c r="E7942" s="37"/>
      <c r="F7942" s="37"/>
      <c r="G7942" s="37"/>
      <c r="H7942" s="37"/>
      <c r="I7942" s="35"/>
      <c r="J7942" s="37"/>
    </row>
    <row r="7943" spans="1:10" ht="15.95" customHeight="1" x14ac:dyDescent="0.2">
      <c r="A7943" s="39"/>
      <c r="B7943" s="36"/>
      <c r="C7943" s="37"/>
      <c r="D7943" s="37"/>
      <c r="E7943" s="37"/>
      <c r="F7943" s="37"/>
      <c r="G7943" s="37"/>
      <c r="H7943" s="37"/>
      <c r="I7943" s="35"/>
      <c r="J7943" s="37"/>
    </row>
    <row r="7944" spans="1:10" ht="15.95" customHeight="1" x14ac:dyDescent="0.2">
      <c r="A7944" s="39"/>
      <c r="B7944" s="36"/>
      <c r="C7944" s="37"/>
      <c r="D7944" s="37"/>
      <c r="E7944" s="37"/>
      <c r="F7944" s="37"/>
      <c r="G7944" s="37"/>
      <c r="H7944" s="37"/>
      <c r="I7944" s="35"/>
      <c r="J7944" s="37"/>
    </row>
    <row r="7945" spans="1:10" ht="15.95" customHeight="1" x14ac:dyDescent="0.2">
      <c r="A7945" s="39"/>
      <c r="B7945" s="36"/>
      <c r="C7945" s="37"/>
      <c r="D7945" s="37"/>
      <c r="E7945" s="37"/>
      <c r="F7945" s="37"/>
      <c r="G7945" s="37"/>
      <c r="H7945" s="37"/>
      <c r="I7945" s="35"/>
      <c r="J7945" s="37"/>
    </row>
    <row r="7946" spans="1:10" ht="15.95" customHeight="1" x14ac:dyDescent="0.2">
      <c r="A7946" s="39"/>
      <c r="B7946" s="36"/>
      <c r="C7946" s="37"/>
      <c r="D7946" s="37"/>
      <c r="E7946" s="37"/>
      <c r="F7946" s="37"/>
      <c r="G7946" s="37"/>
      <c r="H7946" s="37"/>
      <c r="I7946" s="35"/>
      <c r="J7946" s="37"/>
    </row>
    <row r="7947" spans="1:10" ht="15.95" customHeight="1" x14ac:dyDescent="0.2">
      <c r="A7947" s="39"/>
      <c r="B7947" s="36"/>
      <c r="C7947" s="37"/>
      <c r="D7947" s="37"/>
      <c r="E7947" s="37"/>
      <c r="F7947" s="37"/>
      <c r="G7947" s="37"/>
      <c r="H7947" s="37"/>
      <c r="I7947" s="35"/>
      <c r="J7947" s="37"/>
    </row>
    <row r="7948" spans="1:10" ht="15.95" customHeight="1" x14ac:dyDescent="0.2">
      <c r="A7948" s="39"/>
      <c r="B7948" s="36"/>
      <c r="C7948" s="37"/>
      <c r="D7948" s="37"/>
      <c r="E7948" s="37"/>
      <c r="F7948" s="37"/>
      <c r="G7948" s="37"/>
      <c r="H7948" s="37"/>
      <c r="I7948" s="35"/>
      <c r="J7948" s="37"/>
    </row>
    <row r="7949" spans="1:10" ht="15.95" customHeight="1" x14ac:dyDescent="0.2">
      <c r="A7949" s="39"/>
      <c r="B7949" s="36"/>
      <c r="C7949" s="37"/>
      <c r="D7949" s="37"/>
      <c r="E7949" s="37"/>
      <c r="F7949" s="37"/>
      <c r="G7949" s="37"/>
      <c r="H7949" s="37"/>
      <c r="I7949" s="35"/>
      <c r="J7949" s="37"/>
    </row>
    <row r="7950" spans="1:10" ht="15.95" customHeight="1" x14ac:dyDescent="0.2">
      <c r="A7950" s="39"/>
      <c r="B7950" s="36"/>
      <c r="C7950" s="37"/>
      <c r="D7950" s="37"/>
      <c r="E7950" s="37"/>
      <c r="F7950" s="37"/>
      <c r="G7950" s="37"/>
      <c r="H7950" s="37"/>
      <c r="I7950" s="35"/>
      <c r="J7950" s="37"/>
    </row>
    <row r="7951" spans="1:10" ht="15.95" customHeight="1" x14ac:dyDescent="0.2">
      <c r="A7951" s="39"/>
      <c r="B7951" s="36"/>
      <c r="C7951" s="37"/>
      <c r="D7951" s="37"/>
      <c r="E7951" s="37"/>
      <c r="F7951" s="37"/>
      <c r="G7951" s="37"/>
      <c r="H7951" s="37"/>
      <c r="I7951" s="35"/>
      <c r="J7951" s="37"/>
    </row>
    <row r="7952" spans="1:10" ht="15.95" customHeight="1" x14ac:dyDescent="0.2">
      <c r="A7952" s="39"/>
      <c r="B7952" s="36"/>
      <c r="C7952" s="37"/>
      <c r="D7952" s="37"/>
      <c r="E7952" s="37"/>
      <c r="F7952" s="37"/>
      <c r="G7952" s="37"/>
      <c r="H7952" s="37"/>
      <c r="I7952" s="35"/>
      <c r="J7952" s="37"/>
    </row>
    <row r="7953" spans="1:10" ht="15.95" customHeight="1" x14ac:dyDescent="0.2">
      <c r="A7953" s="39"/>
      <c r="B7953" s="36"/>
      <c r="C7953" s="37"/>
      <c r="D7953" s="37"/>
      <c r="E7953" s="37"/>
      <c r="F7953" s="37"/>
      <c r="G7953" s="37"/>
      <c r="H7953" s="37"/>
      <c r="I7953" s="35"/>
      <c r="J7953" s="37"/>
    </row>
    <row r="7954" spans="1:10" ht="15.95" customHeight="1" x14ac:dyDescent="0.2">
      <c r="A7954" s="39"/>
      <c r="B7954" s="36"/>
      <c r="C7954" s="37"/>
      <c r="D7954" s="37"/>
      <c r="E7954" s="37"/>
      <c r="F7954" s="37"/>
      <c r="G7954" s="37"/>
      <c r="H7954" s="37"/>
      <c r="I7954" s="35"/>
      <c r="J7954" s="37"/>
    </row>
    <row r="7955" spans="1:10" ht="15.95" customHeight="1" x14ac:dyDescent="0.2">
      <c r="A7955" s="39"/>
      <c r="B7955" s="36"/>
      <c r="C7955" s="37"/>
      <c r="D7955" s="37"/>
      <c r="E7955" s="37"/>
      <c r="F7955" s="37"/>
      <c r="G7955" s="37"/>
      <c r="H7955" s="37"/>
      <c r="I7955" s="35"/>
      <c r="J7955" s="37"/>
    </row>
    <row r="7956" spans="1:10" ht="15.95" customHeight="1" x14ac:dyDescent="0.2">
      <c r="A7956" s="39"/>
      <c r="B7956" s="36"/>
      <c r="C7956" s="37"/>
      <c r="D7956" s="37"/>
      <c r="E7956" s="37"/>
      <c r="F7956" s="37"/>
      <c r="G7956" s="37"/>
      <c r="H7956" s="37"/>
      <c r="I7956" s="35"/>
      <c r="J7956" s="37"/>
    </row>
    <row r="7957" spans="1:10" ht="15.95" customHeight="1" x14ac:dyDescent="0.2">
      <c r="A7957" s="39"/>
      <c r="B7957" s="36"/>
      <c r="C7957" s="37"/>
      <c r="D7957" s="37"/>
      <c r="E7957" s="37"/>
      <c r="F7957" s="37"/>
      <c r="G7957" s="37"/>
      <c r="H7957" s="37"/>
      <c r="I7957" s="35"/>
      <c r="J7957" s="37"/>
    </row>
    <row r="7958" spans="1:10" ht="15.95" customHeight="1" x14ac:dyDescent="0.2">
      <c r="A7958" s="39"/>
      <c r="B7958" s="36"/>
      <c r="C7958" s="37"/>
      <c r="D7958" s="37"/>
      <c r="E7958" s="37"/>
      <c r="F7958" s="37"/>
      <c r="G7958" s="37"/>
      <c r="H7958" s="37"/>
      <c r="I7958" s="35"/>
      <c r="J7958" s="37"/>
    </row>
    <row r="7959" spans="1:10" ht="15.95" customHeight="1" x14ac:dyDescent="0.2">
      <c r="A7959" s="39"/>
      <c r="B7959" s="36"/>
      <c r="C7959" s="37"/>
      <c r="D7959" s="37"/>
      <c r="E7959" s="37"/>
      <c r="F7959" s="37"/>
      <c r="G7959" s="37"/>
      <c r="H7959" s="37"/>
      <c r="I7959" s="35"/>
      <c r="J7959" s="37"/>
    </row>
    <row r="7960" spans="1:10" ht="15.95" customHeight="1" x14ac:dyDescent="0.2">
      <c r="A7960" s="39"/>
      <c r="B7960" s="36"/>
      <c r="C7960" s="37"/>
      <c r="D7960" s="37"/>
      <c r="E7960" s="37"/>
      <c r="F7960" s="37"/>
      <c r="G7960" s="37"/>
      <c r="H7960" s="37"/>
      <c r="I7960" s="35"/>
      <c r="J7960" s="37"/>
    </row>
    <row r="7961" spans="1:10" ht="15.95" customHeight="1" x14ac:dyDescent="0.2">
      <c r="A7961" s="39"/>
      <c r="B7961" s="36"/>
      <c r="C7961" s="37"/>
      <c r="D7961" s="37"/>
      <c r="E7961" s="37"/>
      <c r="F7961" s="37"/>
      <c r="G7961" s="37"/>
      <c r="H7961" s="37"/>
      <c r="I7961" s="35"/>
      <c r="J7961" s="37"/>
    </row>
    <row r="7962" spans="1:10" ht="15.95" customHeight="1" x14ac:dyDescent="0.2">
      <c r="A7962" s="39"/>
      <c r="B7962" s="36"/>
      <c r="C7962" s="37"/>
      <c r="D7962" s="37"/>
      <c r="E7962" s="37"/>
      <c r="F7962" s="37"/>
      <c r="G7962" s="37"/>
      <c r="H7962" s="37"/>
      <c r="I7962" s="35"/>
      <c r="J7962" s="37"/>
    </row>
    <row r="7963" spans="1:10" ht="15.95" customHeight="1" x14ac:dyDescent="0.2">
      <c r="A7963" s="39"/>
      <c r="B7963" s="36"/>
      <c r="C7963" s="37"/>
      <c r="D7963" s="37"/>
      <c r="E7963" s="37"/>
      <c r="F7963" s="37"/>
      <c r="G7963" s="37"/>
      <c r="H7963" s="37"/>
      <c r="I7963" s="35"/>
      <c r="J7963" s="37"/>
    </row>
    <row r="7964" spans="1:10" ht="15.95" customHeight="1" x14ac:dyDescent="0.2">
      <c r="A7964" s="39"/>
      <c r="B7964" s="36"/>
      <c r="C7964" s="37"/>
      <c r="D7964" s="37"/>
      <c r="E7964" s="37"/>
      <c r="F7964" s="37"/>
      <c r="G7964" s="37"/>
      <c r="H7964" s="37"/>
      <c r="I7964" s="35"/>
      <c r="J7964" s="37"/>
    </row>
    <row r="7965" spans="1:10" ht="15.95" customHeight="1" x14ac:dyDescent="0.2">
      <c r="A7965" s="39"/>
      <c r="B7965" s="36"/>
      <c r="C7965" s="37"/>
      <c r="D7965" s="37"/>
      <c r="E7965" s="37"/>
      <c r="F7965" s="37"/>
      <c r="G7965" s="37"/>
      <c r="H7965" s="37"/>
      <c r="I7965" s="35"/>
      <c r="J7965" s="37"/>
    </row>
    <row r="7966" spans="1:10" ht="15.95" customHeight="1" x14ac:dyDescent="0.2">
      <c r="A7966" s="39"/>
      <c r="B7966" s="36"/>
      <c r="C7966" s="37"/>
      <c r="D7966" s="37"/>
      <c r="E7966" s="37"/>
      <c r="F7966" s="37"/>
      <c r="G7966" s="37"/>
      <c r="H7966" s="37"/>
      <c r="I7966" s="35"/>
      <c r="J7966" s="37"/>
    </row>
    <row r="7967" spans="1:10" ht="15.95" customHeight="1" x14ac:dyDescent="0.2">
      <c r="A7967" s="39"/>
      <c r="B7967" s="36"/>
      <c r="C7967" s="37"/>
      <c r="D7967" s="37"/>
      <c r="E7967" s="37"/>
      <c r="F7967" s="37"/>
      <c r="G7967" s="37"/>
      <c r="H7967" s="37"/>
      <c r="I7967" s="35"/>
      <c r="J7967" s="37"/>
    </row>
    <row r="7968" spans="1:10" ht="15.95" customHeight="1" x14ac:dyDescent="0.2">
      <c r="A7968" s="39"/>
      <c r="B7968" s="36"/>
      <c r="C7968" s="37"/>
      <c r="D7968" s="37"/>
      <c r="E7968" s="37"/>
      <c r="F7968" s="37"/>
      <c r="G7968" s="37"/>
      <c r="H7968" s="37"/>
      <c r="I7968" s="35"/>
      <c r="J7968" s="37"/>
    </row>
    <row r="7969" spans="1:10" ht="15.95" customHeight="1" x14ac:dyDescent="0.2">
      <c r="A7969" s="39"/>
      <c r="B7969" s="36"/>
      <c r="C7969" s="37"/>
      <c r="D7969" s="37"/>
      <c r="E7969" s="37"/>
      <c r="F7969" s="37"/>
      <c r="G7969" s="37"/>
      <c r="H7969" s="37"/>
      <c r="I7969" s="35"/>
      <c r="J7969" s="37"/>
    </row>
    <row r="7970" spans="1:10" ht="15.95" customHeight="1" x14ac:dyDescent="0.2">
      <c r="A7970" s="39"/>
      <c r="B7970" s="36"/>
      <c r="C7970" s="37"/>
      <c r="D7970" s="37"/>
      <c r="E7970" s="37"/>
      <c r="F7970" s="37"/>
      <c r="G7970" s="37"/>
      <c r="H7970" s="37"/>
      <c r="I7970" s="35"/>
      <c r="J7970" s="37"/>
    </row>
    <row r="7971" spans="1:10" ht="15.95" customHeight="1" x14ac:dyDescent="0.2">
      <c r="A7971" s="39"/>
      <c r="B7971" s="36"/>
      <c r="C7971" s="37"/>
      <c r="D7971" s="37"/>
      <c r="E7971" s="37"/>
      <c r="F7971" s="37"/>
      <c r="G7971" s="37"/>
      <c r="H7971" s="37"/>
      <c r="I7971" s="35"/>
      <c r="J7971" s="37"/>
    </row>
    <row r="7972" spans="1:10" ht="15.95" customHeight="1" x14ac:dyDescent="0.2">
      <c r="A7972" s="39"/>
      <c r="B7972" s="36"/>
      <c r="C7972" s="37"/>
      <c r="D7972" s="37"/>
      <c r="E7972" s="37"/>
      <c r="F7972" s="37"/>
      <c r="G7972" s="37"/>
      <c r="H7972" s="37"/>
      <c r="I7972" s="35"/>
      <c r="J7972" s="37"/>
    </row>
    <row r="7973" spans="1:10" ht="15.95" customHeight="1" x14ac:dyDescent="0.2">
      <c r="A7973" s="39"/>
      <c r="B7973" s="36"/>
      <c r="C7973" s="37"/>
      <c r="D7973" s="37"/>
      <c r="E7973" s="37"/>
      <c r="F7973" s="37"/>
      <c r="G7973" s="37"/>
      <c r="H7973" s="37"/>
      <c r="I7973" s="35"/>
      <c r="J7973" s="37"/>
    </row>
    <row r="7974" spans="1:10" ht="15.95" customHeight="1" x14ac:dyDescent="0.2">
      <c r="A7974" s="39"/>
      <c r="B7974" s="36"/>
      <c r="C7974" s="37"/>
      <c r="D7974" s="37"/>
      <c r="E7974" s="37"/>
      <c r="F7974" s="37"/>
      <c r="G7974" s="37"/>
      <c r="H7974" s="37"/>
      <c r="I7974" s="35"/>
      <c r="J7974" s="37"/>
    </row>
    <row r="7975" spans="1:10" ht="15.95" customHeight="1" x14ac:dyDescent="0.2">
      <c r="A7975" s="39"/>
      <c r="B7975" s="36"/>
      <c r="C7975" s="37"/>
      <c r="D7975" s="37"/>
      <c r="E7975" s="37"/>
      <c r="F7975" s="37"/>
      <c r="G7975" s="37"/>
      <c r="H7975" s="37"/>
      <c r="I7975" s="35"/>
      <c r="J7975" s="37"/>
    </row>
    <row r="7976" spans="1:10" ht="15.95" customHeight="1" x14ac:dyDescent="0.2">
      <c r="A7976" s="39"/>
      <c r="B7976" s="36"/>
      <c r="C7976" s="37"/>
      <c r="D7976" s="37"/>
      <c r="E7976" s="37"/>
      <c r="F7976" s="37"/>
      <c r="G7976" s="37"/>
      <c r="H7976" s="37"/>
      <c r="I7976" s="35"/>
      <c r="J7976" s="37"/>
    </row>
    <row r="7977" spans="1:10" ht="15.95" customHeight="1" x14ac:dyDescent="0.2">
      <c r="A7977" s="39"/>
      <c r="B7977" s="36"/>
      <c r="C7977" s="37"/>
      <c r="D7977" s="37"/>
      <c r="E7977" s="37"/>
      <c r="F7977" s="37"/>
      <c r="G7977" s="37"/>
      <c r="H7977" s="37"/>
      <c r="I7977" s="35"/>
      <c r="J7977" s="37"/>
    </row>
    <row r="7978" spans="1:10" ht="15.95" customHeight="1" x14ac:dyDescent="0.2">
      <c r="A7978" s="39"/>
      <c r="B7978" s="36"/>
      <c r="C7978" s="37"/>
      <c r="D7978" s="37"/>
      <c r="E7978" s="37"/>
      <c r="F7978" s="37"/>
      <c r="G7978" s="37"/>
      <c r="H7978" s="37"/>
      <c r="I7978" s="35"/>
      <c r="J7978" s="37"/>
    </row>
    <row r="7979" spans="1:10" ht="15.95" customHeight="1" x14ac:dyDescent="0.2">
      <c r="A7979" s="39"/>
      <c r="B7979" s="36"/>
      <c r="C7979" s="37"/>
      <c r="D7979" s="37"/>
      <c r="E7979" s="37"/>
      <c r="F7979" s="37"/>
      <c r="G7979" s="37"/>
      <c r="H7979" s="37"/>
      <c r="I7979" s="35"/>
      <c r="J7979" s="37"/>
    </row>
    <row r="7980" spans="1:10" ht="15.95" customHeight="1" x14ac:dyDescent="0.2">
      <c r="A7980" s="39"/>
      <c r="B7980" s="36"/>
      <c r="C7980" s="37"/>
      <c r="D7980" s="37"/>
      <c r="E7980" s="37"/>
      <c r="F7980" s="37"/>
      <c r="G7980" s="37"/>
      <c r="H7980" s="37"/>
      <c r="I7980" s="35"/>
      <c r="J7980" s="37"/>
    </row>
    <row r="7981" spans="1:10" ht="15.95" customHeight="1" x14ac:dyDescent="0.2">
      <c r="A7981" s="39"/>
      <c r="B7981" s="36"/>
      <c r="C7981" s="37"/>
      <c r="D7981" s="37"/>
      <c r="E7981" s="37"/>
      <c r="F7981" s="37"/>
      <c r="G7981" s="37"/>
      <c r="H7981" s="37"/>
      <c r="I7981" s="35"/>
      <c r="J7981" s="37"/>
    </row>
    <row r="7982" spans="1:10" ht="15.95" customHeight="1" x14ac:dyDescent="0.2">
      <c r="A7982" s="39"/>
      <c r="B7982" s="36"/>
      <c r="C7982" s="37"/>
      <c r="D7982" s="37"/>
      <c r="E7982" s="37"/>
      <c r="F7982" s="37"/>
      <c r="G7982" s="37"/>
      <c r="H7982" s="37"/>
      <c r="I7982" s="35"/>
      <c r="J7982" s="37"/>
    </row>
    <row r="7983" spans="1:10" ht="15.95" customHeight="1" x14ac:dyDescent="0.2">
      <c r="A7983" s="39"/>
      <c r="B7983" s="36"/>
      <c r="C7983" s="37"/>
      <c r="D7983" s="37"/>
      <c r="E7983" s="37"/>
      <c r="F7983" s="37"/>
      <c r="G7983" s="37"/>
      <c r="H7983" s="37"/>
      <c r="I7983" s="35"/>
      <c r="J7983" s="37"/>
    </row>
    <row r="7984" spans="1:10" ht="15.95" customHeight="1" x14ac:dyDescent="0.2">
      <c r="A7984" s="39"/>
      <c r="B7984" s="36"/>
      <c r="C7984" s="37"/>
      <c r="D7984" s="37"/>
      <c r="E7984" s="37"/>
      <c r="F7984" s="37"/>
      <c r="G7984" s="37"/>
      <c r="H7984" s="37"/>
      <c r="I7984" s="35"/>
      <c r="J7984" s="37"/>
    </row>
    <row r="7985" spans="1:10" ht="15.95" customHeight="1" x14ac:dyDescent="0.2">
      <c r="A7985" s="39"/>
      <c r="B7985" s="36"/>
      <c r="C7985" s="37"/>
      <c r="D7985" s="37"/>
      <c r="E7985" s="37"/>
      <c r="F7985" s="37"/>
      <c r="G7985" s="37"/>
      <c r="H7985" s="37"/>
      <c r="I7985" s="35"/>
      <c r="J7985" s="37"/>
    </row>
    <row r="7986" spans="1:10" ht="15.95" customHeight="1" x14ac:dyDescent="0.2">
      <c r="A7986" s="39"/>
      <c r="B7986" s="36"/>
      <c r="C7986" s="37"/>
      <c r="D7986" s="37"/>
      <c r="E7986" s="37"/>
      <c r="F7986" s="37"/>
      <c r="G7986" s="37"/>
      <c r="H7986" s="37"/>
      <c r="I7986" s="35"/>
      <c r="J7986" s="37"/>
    </row>
    <row r="7987" spans="1:10" ht="15.95" customHeight="1" x14ac:dyDescent="0.2">
      <c r="A7987" s="39"/>
      <c r="B7987" s="36"/>
      <c r="C7987" s="37"/>
      <c r="D7987" s="37"/>
      <c r="E7987" s="37"/>
      <c r="F7987" s="37"/>
      <c r="G7987" s="37"/>
      <c r="H7987" s="37"/>
      <c r="I7987" s="35"/>
      <c r="J7987" s="37"/>
    </row>
    <row r="7988" spans="1:10" ht="15.95" customHeight="1" x14ac:dyDescent="0.2">
      <c r="A7988" s="39"/>
      <c r="B7988" s="36"/>
      <c r="C7988" s="37"/>
      <c r="D7988" s="37"/>
      <c r="E7988" s="37"/>
      <c r="F7988" s="37"/>
      <c r="G7988" s="37"/>
      <c r="H7988" s="37"/>
      <c r="I7988" s="35"/>
      <c r="J7988" s="37"/>
    </row>
    <row r="7989" spans="1:10" ht="15.95" customHeight="1" x14ac:dyDescent="0.2">
      <c r="A7989" s="39"/>
      <c r="B7989" s="36"/>
      <c r="C7989" s="37"/>
      <c r="D7989" s="37"/>
      <c r="E7989" s="37"/>
      <c r="F7989" s="37"/>
      <c r="G7989" s="37"/>
      <c r="H7989" s="37"/>
      <c r="I7989" s="35"/>
      <c r="J7989" s="37"/>
    </row>
    <row r="7990" spans="1:10" ht="15.95" customHeight="1" x14ac:dyDescent="0.2">
      <c r="A7990" s="39"/>
      <c r="B7990" s="36"/>
      <c r="C7990" s="37"/>
      <c r="D7990" s="37"/>
      <c r="E7990" s="37"/>
      <c r="F7990" s="37"/>
      <c r="G7990" s="37"/>
      <c r="H7990" s="37"/>
      <c r="I7990" s="35"/>
      <c r="J7990" s="37"/>
    </row>
    <row r="7991" spans="1:10" ht="15.95" customHeight="1" x14ac:dyDescent="0.2">
      <c r="A7991" s="39"/>
      <c r="B7991" s="36"/>
      <c r="C7991" s="37"/>
      <c r="D7991" s="37"/>
      <c r="E7991" s="37"/>
      <c r="F7991" s="37"/>
      <c r="G7991" s="37"/>
      <c r="H7991" s="37"/>
      <c r="I7991" s="35"/>
      <c r="J7991" s="37"/>
    </row>
    <row r="7992" spans="1:10" ht="15.95" customHeight="1" x14ac:dyDescent="0.2">
      <c r="A7992" s="39"/>
      <c r="B7992" s="36"/>
      <c r="C7992" s="37"/>
      <c r="D7992" s="37"/>
      <c r="E7992" s="37"/>
      <c r="F7992" s="37"/>
      <c r="G7992" s="37"/>
      <c r="H7992" s="37"/>
      <c r="I7992" s="35"/>
      <c r="J7992" s="37"/>
    </row>
    <row r="7993" spans="1:10" ht="15.95" customHeight="1" x14ac:dyDescent="0.2">
      <c r="A7993" s="39"/>
      <c r="B7993" s="36"/>
      <c r="C7993" s="37"/>
      <c r="D7993" s="37"/>
      <c r="E7993" s="37"/>
      <c r="F7993" s="37"/>
      <c r="G7993" s="37"/>
      <c r="H7993" s="37"/>
      <c r="I7993" s="35"/>
      <c r="J7993" s="37"/>
    </row>
    <row r="7994" spans="1:10" ht="15.95" customHeight="1" x14ac:dyDescent="0.2">
      <c r="A7994" s="39"/>
      <c r="B7994" s="36"/>
      <c r="C7994" s="37"/>
      <c r="D7994" s="37"/>
      <c r="E7994" s="37"/>
      <c r="F7994" s="37"/>
      <c r="G7994" s="37"/>
      <c r="H7994" s="37"/>
      <c r="I7994" s="35"/>
      <c r="J7994" s="37"/>
    </row>
    <row r="7995" spans="1:10" ht="15.95" customHeight="1" x14ac:dyDescent="0.2">
      <c r="A7995" s="39"/>
      <c r="B7995" s="36"/>
      <c r="C7995" s="37"/>
      <c r="D7995" s="37"/>
      <c r="E7995" s="37"/>
      <c r="F7995" s="37"/>
      <c r="G7995" s="37"/>
      <c r="H7995" s="37"/>
      <c r="I7995" s="35"/>
      <c r="J7995" s="37"/>
    </row>
    <row r="7996" spans="1:10" ht="15.95" customHeight="1" x14ac:dyDescent="0.2">
      <c r="A7996" s="39"/>
      <c r="B7996" s="36"/>
      <c r="C7996" s="37"/>
      <c r="D7996" s="37"/>
      <c r="E7996" s="37"/>
      <c r="F7996" s="37"/>
      <c r="G7996" s="37"/>
      <c r="H7996" s="37"/>
      <c r="I7996" s="35"/>
      <c r="J7996" s="37"/>
    </row>
    <row r="7997" spans="1:10" ht="15.95" customHeight="1" x14ac:dyDescent="0.2">
      <c r="A7997" s="39"/>
      <c r="B7997" s="36"/>
      <c r="C7997" s="37"/>
      <c r="D7997" s="37"/>
      <c r="E7997" s="37"/>
      <c r="F7997" s="37"/>
      <c r="G7997" s="37"/>
      <c r="H7997" s="37"/>
      <c r="I7997" s="35"/>
      <c r="J7997" s="37"/>
    </row>
    <row r="7998" spans="1:10" ht="15.95" customHeight="1" x14ac:dyDescent="0.2">
      <c r="A7998" s="39"/>
      <c r="B7998" s="36"/>
      <c r="C7998" s="37"/>
      <c r="D7998" s="37"/>
      <c r="E7998" s="37"/>
      <c r="F7998" s="37"/>
      <c r="G7998" s="37"/>
      <c r="H7998" s="37"/>
      <c r="I7998" s="35"/>
      <c r="J7998" s="37"/>
    </row>
    <row r="7999" spans="1:10" ht="15.95" customHeight="1" x14ac:dyDescent="0.2">
      <c r="A7999" s="39"/>
      <c r="B7999" s="36"/>
      <c r="C7999" s="37"/>
      <c r="D7999" s="37"/>
      <c r="E7999" s="37"/>
      <c r="F7999" s="37"/>
      <c r="G7999" s="37"/>
      <c r="H7999" s="37"/>
      <c r="I7999" s="35"/>
      <c r="J7999" s="37"/>
    </row>
    <row r="8000" spans="1:10" ht="15.95" customHeight="1" x14ac:dyDescent="0.2">
      <c r="A8000" s="39"/>
      <c r="B8000" s="36"/>
      <c r="C8000" s="37"/>
      <c r="D8000" s="37"/>
      <c r="E8000" s="37"/>
      <c r="F8000" s="37"/>
      <c r="G8000" s="37"/>
      <c r="H8000" s="37"/>
      <c r="I8000" s="35"/>
      <c r="J8000" s="37"/>
    </row>
    <row r="8001" spans="1:10" ht="15.95" customHeight="1" x14ac:dyDescent="0.2">
      <c r="A8001" s="39"/>
      <c r="B8001" s="36"/>
      <c r="C8001" s="37"/>
      <c r="D8001" s="37"/>
      <c r="E8001" s="37"/>
      <c r="F8001" s="37"/>
      <c r="G8001" s="37"/>
      <c r="H8001" s="37"/>
      <c r="I8001" s="35"/>
      <c r="J8001" s="37"/>
    </row>
    <row r="8002" spans="1:10" ht="15.95" customHeight="1" x14ac:dyDescent="0.2">
      <c r="A8002" s="39"/>
      <c r="B8002" s="36"/>
      <c r="C8002" s="37"/>
      <c r="D8002" s="37"/>
      <c r="E8002" s="37"/>
      <c r="F8002" s="37"/>
      <c r="G8002" s="37"/>
      <c r="H8002" s="37"/>
      <c r="I8002" s="35"/>
      <c r="J8002" s="37"/>
    </row>
    <row r="8003" spans="1:10" ht="15.95" customHeight="1" x14ac:dyDescent="0.2">
      <c r="A8003" s="39"/>
      <c r="B8003" s="36"/>
      <c r="C8003" s="37"/>
      <c r="D8003" s="37"/>
      <c r="E8003" s="37"/>
      <c r="F8003" s="37"/>
      <c r="G8003" s="37"/>
      <c r="H8003" s="37"/>
      <c r="I8003" s="35"/>
      <c r="J8003" s="37"/>
    </row>
    <row r="8004" spans="1:10" ht="15.95" customHeight="1" x14ac:dyDescent="0.2">
      <c r="A8004" s="39"/>
      <c r="B8004" s="36"/>
      <c r="C8004" s="37"/>
      <c r="D8004" s="37"/>
      <c r="E8004" s="37"/>
      <c r="F8004" s="37"/>
      <c r="G8004" s="37"/>
      <c r="H8004" s="37"/>
      <c r="I8004" s="35"/>
      <c r="J8004" s="37"/>
    </row>
    <row r="8005" spans="1:10" ht="15.95" customHeight="1" x14ac:dyDescent="0.2">
      <c r="A8005" s="39"/>
      <c r="B8005" s="36"/>
      <c r="C8005" s="37"/>
      <c r="D8005" s="37"/>
      <c r="E8005" s="37"/>
      <c r="F8005" s="37"/>
      <c r="G8005" s="37"/>
      <c r="H8005" s="37"/>
      <c r="I8005" s="35"/>
      <c r="J8005" s="37"/>
    </row>
    <row r="8006" spans="1:10" ht="15.95" customHeight="1" x14ac:dyDescent="0.2">
      <c r="A8006" s="39"/>
      <c r="B8006" s="36"/>
      <c r="C8006" s="37"/>
      <c r="D8006" s="37"/>
      <c r="E8006" s="37"/>
      <c r="F8006" s="37"/>
      <c r="G8006" s="37"/>
      <c r="H8006" s="37"/>
      <c r="I8006" s="35"/>
      <c r="J8006" s="37"/>
    </row>
    <row r="8007" spans="1:10" ht="15.95" customHeight="1" x14ac:dyDescent="0.2">
      <c r="A8007" s="39"/>
      <c r="B8007" s="36"/>
      <c r="C8007" s="37"/>
      <c r="D8007" s="37"/>
      <c r="E8007" s="37"/>
      <c r="F8007" s="37"/>
      <c r="G8007" s="37"/>
      <c r="H8007" s="37"/>
      <c r="I8007" s="35"/>
      <c r="J8007" s="37"/>
    </row>
    <row r="8008" spans="1:10" ht="15.95" customHeight="1" x14ac:dyDescent="0.2">
      <c r="A8008" s="39"/>
      <c r="B8008" s="36"/>
      <c r="C8008" s="37"/>
      <c r="D8008" s="37"/>
      <c r="E8008" s="37"/>
      <c r="F8008" s="37"/>
      <c r="G8008" s="37"/>
      <c r="H8008" s="37"/>
      <c r="I8008" s="35"/>
      <c r="J8008" s="37"/>
    </row>
    <row r="8009" spans="1:10" ht="15.95" customHeight="1" x14ac:dyDescent="0.2">
      <c r="A8009" s="39"/>
      <c r="B8009" s="36"/>
      <c r="C8009" s="37"/>
      <c r="D8009" s="37"/>
      <c r="E8009" s="37"/>
      <c r="F8009" s="37"/>
      <c r="G8009" s="37"/>
      <c r="H8009" s="37"/>
      <c r="I8009" s="35"/>
      <c r="J8009" s="37"/>
    </row>
    <row r="8010" spans="1:10" ht="15.95" customHeight="1" x14ac:dyDescent="0.2">
      <c r="A8010" s="39"/>
      <c r="B8010" s="36"/>
      <c r="C8010" s="37"/>
      <c r="D8010" s="37"/>
      <c r="E8010" s="37"/>
      <c r="F8010" s="37"/>
      <c r="G8010" s="37"/>
      <c r="H8010" s="37"/>
      <c r="I8010" s="35"/>
      <c r="J8010" s="37"/>
    </row>
    <row r="8011" spans="1:10" ht="15.95" customHeight="1" x14ac:dyDescent="0.2">
      <c r="A8011" s="39"/>
      <c r="B8011" s="36"/>
      <c r="C8011" s="37"/>
      <c r="D8011" s="37"/>
      <c r="E8011" s="37"/>
      <c r="F8011" s="37"/>
      <c r="G8011" s="37"/>
      <c r="H8011" s="37"/>
      <c r="I8011" s="35"/>
      <c r="J8011" s="37"/>
    </row>
    <row r="8012" spans="1:10" ht="15.95" customHeight="1" x14ac:dyDescent="0.2">
      <c r="A8012" s="39"/>
      <c r="B8012" s="36"/>
      <c r="C8012" s="37"/>
      <c r="D8012" s="37"/>
      <c r="E8012" s="37"/>
      <c r="F8012" s="37"/>
      <c r="G8012" s="37"/>
      <c r="H8012" s="37"/>
      <c r="I8012" s="35"/>
      <c r="J8012" s="37"/>
    </row>
    <row r="8013" spans="1:10" ht="15.95" customHeight="1" x14ac:dyDescent="0.2">
      <c r="A8013" s="39"/>
      <c r="B8013" s="36"/>
      <c r="C8013" s="37"/>
      <c r="D8013" s="37"/>
      <c r="E8013" s="37"/>
      <c r="F8013" s="37"/>
      <c r="G8013" s="37"/>
      <c r="H8013" s="37"/>
      <c r="I8013" s="35"/>
      <c r="J8013" s="37"/>
    </row>
    <row r="8014" spans="1:10" ht="15.95" customHeight="1" x14ac:dyDescent="0.2">
      <c r="A8014" s="39"/>
      <c r="B8014" s="36"/>
      <c r="C8014" s="37"/>
      <c r="D8014" s="37"/>
      <c r="E8014" s="37"/>
      <c r="F8014" s="37"/>
      <c r="G8014" s="37"/>
      <c r="H8014" s="37"/>
      <c r="I8014" s="35"/>
      <c r="J8014" s="37"/>
    </row>
    <row r="8015" spans="1:10" ht="15.95" customHeight="1" x14ac:dyDescent="0.2">
      <c r="A8015" s="39"/>
      <c r="B8015" s="36"/>
      <c r="C8015" s="37"/>
      <c r="D8015" s="37"/>
      <c r="E8015" s="37"/>
      <c r="F8015" s="37"/>
      <c r="G8015" s="37"/>
      <c r="H8015" s="37"/>
      <c r="I8015" s="35"/>
      <c r="J8015" s="37"/>
    </row>
    <row r="8016" spans="1:10" ht="15.95" customHeight="1" x14ac:dyDescent="0.2">
      <c r="A8016" s="39"/>
      <c r="B8016" s="36"/>
      <c r="C8016" s="37"/>
      <c r="D8016" s="37"/>
      <c r="E8016" s="37"/>
      <c r="F8016" s="37"/>
      <c r="G8016" s="37"/>
      <c r="H8016" s="37"/>
      <c r="I8016" s="35"/>
      <c r="J8016" s="37"/>
    </row>
    <row r="8017" spans="1:10" ht="15.95" customHeight="1" x14ac:dyDescent="0.2">
      <c r="A8017" s="39"/>
      <c r="B8017" s="36"/>
      <c r="C8017" s="37"/>
      <c r="D8017" s="37"/>
      <c r="E8017" s="37"/>
      <c r="F8017" s="37"/>
      <c r="G8017" s="37"/>
      <c r="H8017" s="37"/>
      <c r="I8017" s="35"/>
      <c r="J8017" s="37"/>
    </row>
    <row r="8018" spans="1:10" ht="15.95" customHeight="1" x14ac:dyDescent="0.2">
      <c r="A8018" s="39"/>
      <c r="B8018" s="36"/>
      <c r="C8018" s="37"/>
      <c r="D8018" s="37"/>
      <c r="E8018" s="37"/>
      <c r="F8018" s="37"/>
      <c r="G8018" s="37"/>
      <c r="H8018" s="37"/>
      <c r="I8018" s="35"/>
      <c r="J8018" s="37"/>
    </row>
    <row r="8019" spans="1:10" ht="15.95" customHeight="1" x14ac:dyDescent="0.2">
      <c r="A8019" s="39"/>
      <c r="B8019" s="36"/>
      <c r="C8019" s="37"/>
      <c r="D8019" s="37"/>
      <c r="E8019" s="37"/>
      <c r="F8019" s="37"/>
      <c r="G8019" s="37"/>
      <c r="H8019" s="37"/>
      <c r="I8019" s="35"/>
      <c r="J8019" s="37"/>
    </row>
    <row r="8020" spans="1:10" ht="15.95" customHeight="1" x14ac:dyDescent="0.2">
      <c r="A8020" s="39"/>
      <c r="B8020" s="36"/>
      <c r="C8020" s="37"/>
      <c r="D8020" s="37"/>
      <c r="E8020" s="37"/>
      <c r="F8020" s="37"/>
      <c r="G8020" s="37"/>
      <c r="H8020" s="37"/>
      <c r="I8020" s="35"/>
      <c r="J8020" s="37"/>
    </row>
    <row r="8021" spans="1:10" ht="15.95" customHeight="1" x14ac:dyDescent="0.2">
      <c r="A8021" s="39"/>
      <c r="B8021" s="36"/>
      <c r="C8021" s="37"/>
      <c r="D8021" s="37"/>
      <c r="E8021" s="37"/>
      <c r="F8021" s="37"/>
      <c r="G8021" s="37"/>
      <c r="H8021" s="37"/>
      <c r="I8021" s="35"/>
      <c r="J8021" s="37"/>
    </row>
    <row r="8022" spans="1:10" ht="15.95" customHeight="1" x14ac:dyDescent="0.2">
      <c r="A8022" s="39"/>
      <c r="B8022" s="36"/>
      <c r="C8022" s="37"/>
      <c r="D8022" s="37"/>
      <c r="E8022" s="37"/>
      <c r="F8022" s="37"/>
      <c r="G8022" s="37"/>
      <c r="H8022" s="37"/>
      <c r="I8022" s="35"/>
      <c r="J8022" s="37"/>
    </row>
    <row r="8023" spans="1:10" ht="15.95" customHeight="1" x14ac:dyDescent="0.2">
      <c r="A8023" s="39"/>
      <c r="B8023" s="36"/>
      <c r="C8023" s="37"/>
      <c r="D8023" s="37"/>
      <c r="E8023" s="37"/>
      <c r="F8023" s="37"/>
      <c r="G8023" s="37"/>
      <c r="H8023" s="37"/>
      <c r="I8023" s="35"/>
      <c r="J8023" s="37"/>
    </row>
    <row r="8024" spans="1:10" ht="15.95" customHeight="1" x14ac:dyDescent="0.2">
      <c r="A8024" s="39"/>
      <c r="B8024" s="36"/>
      <c r="C8024" s="37"/>
      <c r="D8024" s="37"/>
      <c r="E8024" s="37"/>
      <c r="F8024" s="37"/>
      <c r="G8024" s="37"/>
      <c r="H8024" s="37"/>
      <c r="I8024" s="35"/>
      <c r="J8024" s="37"/>
    </row>
    <row r="8025" spans="1:10" ht="15.95" customHeight="1" x14ac:dyDescent="0.2">
      <c r="A8025" s="39"/>
      <c r="B8025" s="36"/>
      <c r="C8025" s="37"/>
      <c r="D8025" s="37"/>
      <c r="E8025" s="37"/>
      <c r="F8025" s="37"/>
      <c r="G8025" s="37"/>
      <c r="H8025" s="37"/>
      <c r="I8025" s="35"/>
      <c r="J8025" s="37"/>
    </row>
    <row r="8026" spans="1:10" ht="15.95" customHeight="1" x14ac:dyDescent="0.2">
      <c r="A8026" s="39"/>
      <c r="B8026" s="36"/>
      <c r="C8026" s="37"/>
      <c r="D8026" s="37"/>
      <c r="E8026" s="37"/>
      <c r="F8026" s="37"/>
      <c r="G8026" s="37"/>
      <c r="H8026" s="37"/>
      <c r="I8026" s="35"/>
      <c r="J8026" s="37"/>
    </row>
    <row r="8027" spans="1:10" ht="15.95" customHeight="1" x14ac:dyDescent="0.2">
      <c r="A8027" s="39"/>
      <c r="B8027" s="36"/>
      <c r="C8027" s="37"/>
      <c r="D8027" s="37"/>
      <c r="E8027" s="37"/>
      <c r="F8027" s="37"/>
      <c r="G8027" s="37"/>
      <c r="H8027" s="37"/>
      <c r="I8027" s="35"/>
      <c r="J8027" s="37"/>
    </row>
    <row r="8028" spans="1:10" ht="15.95" customHeight="1" x14ac:dyDescent="0.2">
      <c r="A8028" s="39"/>
      <c r="B8028" s="36"/>
      <c r="C8028" s="37"/>
      <c r="D8028" s="37"/>
      <c r="E8028" s="37"/>
      <c r="F8028" s="37"/>
      <c r="G8028" s="37"/>
      <c r="H8028" s="37"/>
      <c r="I8028" s="35"/>
      <c r="J8028" s="37"/>
    </row>
    <row r="8029" spans="1:10" ht="15.95" customHeight="1" x14ac:dyDescent="0.2">
      <c r="A8029" s="39"/>
      <c r="B8029" s="36"/>
      <c r="C8029" s="37"/>
      <c r="D8029" s="37"/>
      <c r="E8029" s="37"/>
      <c r="F8029" s="37"/>
      <c r="G8029" s="37"/>
      <c r="H8029" s="37"/>
      <c r="I8029" s="35"/>
      <c r="J8029" s="37"/>
    </row>
    <row r="8030" spans="1:10" ht="15.95" customHeight="1" x14ac:dyDescent="0.2">
      <c r="A8030" s="39"/>
      <c r="B8030" s="36"/>
      <c r="C8030" s="37"/>
      <c r="D8030" s="37"/>
      <c r="E8030" s="37"/>
      <c r="F8030" s="37"/>
      <c r="G8030" s="37"/>
      <c r="H8030" s="37"/>
      <c r="I8030" s="35"/>
      <c r="J8030" s="37"/>
    </row>
    <row r="8031" spans="1:10" ht="15.95" customHeight="1" x14ac:dyDescent="0.2">
      <c r="A8031" s="39"/>
      <c r="B8031" s="36"/>
      <c r="C8031" s="37"/>
      <c r="D8031" s="37"/>
      <c r="E8031" s="37"/>
      <c r="F8031" s="37"/>
      <c r="G8031" s="37"/>
      <c r="H8031" s="37"/>
      <c r="I8031" s="35"/>
      <c r="J8031" s="37"/>
    </row>
    <row r="8032" spans="1:10" ht="15.95" customHeight="1" x14ac:dyDescent="0.2">
      <c r="A8032" s="39"/>
      <c r="B8032" s="36"/>
      <c r="C8032" s="37"/>
      <c r="D8032" s="37"/>
      <c r="E8032" s="37"/>
      <c r="F8032" s="37"/>
      <c r="G8032" s="37"/>
      <c r="H8032" s="37"/>
      <c r="I8032" s="35"/>
      <c r="J8032" s="37"/>
    </row>
    <row r="8033" spans="1:10" ht="15.95" customHeight="1" x14ac:dyDescent="0.2">
      <c r="A8033" s="39"/>
      <c r="B8033" s="36"/>
      <c r="C8033" s="37"/>
      <c r="D8033" s="37"/>
      <c r="E8033" s="37"/>
      <c r="F8033" s="37"/>
      <c r="G8033" s="37"/>
      <c r="H8033" s="37"/>
      <c r="I8033" s="35"/>
      <c r="J8033" s="37"/>
    </row>
    <row r="8034" spans="1:10" ht="15.95" customHeight="1" x14ac:dyDescent="0.2">
      <c r="A8034" s="39"/>
      <c r="B8034" s="36"/>
      <c r="C8034" s="37"/>
      <c r="D8034" s="37"/>
      <c r="E8034" s="37"/>
      <c r="F8034" s="37"/>
      <c r="G8034" s="37"/>
      <c r="H8034" s="37"/>
      <c r="I8034" s="35"/>
      <c r="J8034" s="37"/>
    </row>
    <row r="8035" spans="1:10" ht="15.95" customHeight="1" x14ac:dyDescent="0.2">
      <c r="A8035" s="39"/>
      <c r="B8035" s="36"/>
      <c r="C8035" s="37"/>
      <c r="D8035" s="37"/>
      <c r="E8035" s="37"/>
      <c r="F8035" s="37"/>
      <c r="G8035" s="37"/>
      <c r="H8035" s="37"/>
      <c r="I8035" s="35"/>
      <c r="J8035" s="37"/>
    </row>
    <row r="8036" spans="1:10" ht="15.95" customHeight="1" x14ac:dyDescent="0.2">
      <c r="A8036" s="39"/>
      <c r="B8036" s="36"/>
      <c r="C8036" s="37"/>
      <c r="D8036" s="37"/>
      <c r="E8036" s="37"/>
      <c r="F8036" s="37"/>
      <c r="G8036" s="37"/>
      <c r="H8036" s="37"/>
      <c r="I8036" s="35"/>
      <c r="J8036" s="37"/>
    </row>
    <row r="8037" spans="1:10" ht="15.95" customHeight="1" x14ac:dyDescent="0.2">
      <c r="A8037" s="39"/>
      <c r="B8037" s="36"/>
      <c r="C8037" s="37"/>
      <c r="D8037" s="37"/>
      <c r="E8037" s="37"/>
      <c r="F8037" s="37"/>
      <c r="G8037" s="37"/>
      <c r="H8037" s="37"/>
      <c r="I8037" s="35"/>
      <c r="J8037" s="37"/>
    </row>
    <row r="8038" spans="1:10" ht="15.95" customHeight="1" x14ac:dyDescent="0.2">
      <c r="A8038" s="39"/>
      <c r="B8038" s="36"/>
      <c r="C8038" s="37"/>
      <c r="D8038" s="37"/>
      <c r="E8038" s="37"/>
      <c r="F8038" s="37"/>
      <c r="G8038" s="37"/>
      <c r="H8038" s="37"/>
      <c r="I8038" s="35"/>
      <c r="J8038" s="37"/>
    </row>
    <row r="8039" spans="1:10" ht="15.95" customHeight="1" x14ac:dyDescent="0.2">
      <c r="A8039" s="39"/>
      <c r="B8039" s="36"/>
      <c r="C8039" s="37"/>
      <c r="D8039" s="37"/>
      <c r="E8039" s="37"/>
      <c r="F8039" s="37"/>
      <c r="G8039" s="37"/>
      <c r="H8039" s="37"/>
      <c r="I8039" s="35"/>
      <c r="J8039" s="37"/>
    </row>
    <row r="8040" spans="1:10" ht="15.95" customHeight="1" x14ac:dyDescent="0.2">
      <c r="A8040" s="39"/>
      <c r="B8040" s="36"/>
      <c r="C8040" s="37"/>
      <c r="D8040" s="37"/>
      <c r="E8040" s="37"/>
      <c r="F8040" s="37"/>
      <c r="G8040" s="37"/>
      <c r="H8040" s="37"/>
      <c r="I8040" s="35"/>
      <c r="J8040" s="37"/>
    </row>
    <row r="8041" spans="1:10" ht="15.95" customHeight="1" x14ac:dyDescent="0.2">
      <c r="A8041" s="39"/>
      <c r="B8041" s="36"/>
      <c r="C8041" s="37"/>
      <c r="D8041" s="37"/>
      <c r="E8041" s="37"/>
      <c r="F8041" s="37"/>
      <c r="G8041" s="37"/>
      <c r="H8041" s="37"/>
      <c r="I8041" s="35"/>
      <c r="J8041" s="37"/>
    </row>
    <row r="8042" spans="1:10" ht="15.95" customHeight="1" x14ac:dyDescent="0.2">
      <c r="A8042" s="39"/>
      <c r="B8042" s="36"/>
      <c r="C8042" s="37"/>
      <c r="D8042" s="37"/>
      <c r="E8042" s="37"/>
      <c r="F8042" s="37"/>
      <c r="G8042" s="37"/>
      <c r="H8042" s="37"/>
      <c r="I8042" s="35"/>
      <c r="J8042" s="37"/>
    </row>
    <row r="8043" spans="1:10" ht="15.95" customHeight="1" x14ac:dyDescent="0.2">
      <c r="A8043" s="39"/>
      <c r="B8043" s="36"/>
      <c r="C8043" s="37"/>
      <c r="D8043" s="37"/>
      <c r="E8043" s="37"/>
      <c r="F8043" s="37"/>
      <c r="G8043" s="37"/>
      <c r="H8043" s="37"/>
      <c r="I8043" s="35"/>
      <c r="J8043" s="37"/>
    </row>
    <row r="8044" spans="1:10" ht="15.95" customHeight="1" x14ac:dyDescent="0.2">
      <c r="A8044" s="39"/>
      <c r="B8044" s="36"/>
      <c r="C8044" s="37"/>
      <c r="D8044" s="37"/>
      <c r="E8044" s="37"/>
      <c r="F8044" s="37"/>
      <c r="G8044" s="37"/>
      <c r="H8044" s="37"/>
      <c r="I8044" s="35"/>
      <c r="J8044" s="37"/>
    </row>
    <row r="8045" spans="1:10" ht="15.95" customHeight="1" x14ac:dyDescent="0.2">
      <c r="A8045" s="39"/>
      <c r="B8045" s="36"/>
      <c r="C8045" s="37"/>
      <c r="D8045" s="37"/>
      <c r="E8045" s="37"/>
      <c r="F8045" s="37"/>
      <c r="G8045" s="37"/>
      <c r="H8045" s="37"/>
      <c r="I8045" s="35"/>
      <c r="J8045" s="37"/>
    </row>
    <row r="8046" spans="1:10" ht="15.95" customHeight="1" x14ac:dyDescent="0.2">
      <c r="A8046" s="39"/>
      <c r="B8046" s="36"/>
      <c r="C8046" s="37"/>
      <c r="D8046" s="37"/>
      <c r="E8046" s="37"/>
      <c r="F8046" s="37"/>
      <c r="G8046" s="37"/>
      <c r="H8046" s="37"/>
      <c r="I8046" s="35"/>
      <c r="J8046" s="37"/>
    </row>
    <row r="8047" spans="1:10" ht="15.95" customHeight="1" x14ac:dyDescent="0.2">
      <c r="A8047" s="39"/>
      <c r="B8047" s="36"/>
      <c r="C8047" s="37"/>
      <c r="D8047" s="37"/>
      <c r="E8047" s="37"/>
      <c r="F8047" s="37"/>
      <c r="G8047" s="37"/>
      <c r="H8047" s="37"/>
      <c r="I8047" s="35"/>
      <c r="J8047" s="37"/>
    </row>
    <row r="8048" spans="1:10" ht="15.95" customHeight="1" x14ac:dyDescent="0.2">
      <c r="A8048" s="39"/>
      <c r="B8048" s="36"/>
      <c r="C8048" s="37"/>
      <c r="D8048" s="37"/>
      <c r="E8048" s="37"/>
      <c r="F8048" s="37"/>
      <c r="G8048" s="37"/>
      <c r="H8048" s="37"/>
      <c r="I8048" s="35"/>
      <c r="J8048" s="37"/>
    </row>
    <row r="8049" spans="1:10" ht="15.95" customHeight="1" x14ac:dyDescent="0.2">
      <c r="A8049" s="39"/>
      <c r="B8049" s="36"/>
      <c r="C8049" s="37"/>
      <c r="D8049" s="37"/>
      <c r="E8049" s="37"/>
      <c r="F8049" s="37"/>
      <c r="G8049" s="37"/>
      <c r="H8049" s="37"/>
      <c r="I8049" s="35"/>
      <c r="J8049" s="37"/>
    </row>
    <row r="8050" spans="1:10" ht="15.95" customHeight="1" x14ac:dyDescent="0.2">
      <c r="A8050" s="39"/>
      <c r="B8050" s="36"/>
      <c r="C8050" s="37"/>
      <c r="D8050" s="37"/>
      <c r="E8050" s="37"/>
      <c r="F8050" s="37"/>
      <c r="G8050" s="37"/>
      <c r="H8050" s="37"/>
      <c r="I8050" s="35"/>
      <c r="J8050" s="37"/>
    </row>
    <row r="8051" spans="1:10" ht="15.95" customHeight="1" x14ac:dyDescent="0.2">
      <c r="A8051" s="39"/>
      <c r="B8051" s="36"/>
      <c r="C8051" s="37"/>
      <c r="D8051" s="37"/>
      <c r="E8051" s="37"/>
      <c r="F8051" s="37"/>
      <c r="G8051" s="37"/>
      <c r="H8051" s="37"/>
      <c r="I8051" s="35"/>
      <c r="J8051" s="37"/>
    </row>
    <row r="8052" spans="1:10" ht="15.95" customHeight="1" x14ac:dyDescent="0.2">
      <c r="A8052" s="39"/>
      <c r="B8052" s="36"/>
      <c r="C8052" s="37"/>
      <c r="D8052" s="37"/>
      <c r="E8052" s="37"/>
      <c r="F8052" s="37"/>
      <c r="G8052" s="37"/>
      <c r="H8052" s="37"/>
      <c r="I8052" s="35"/>
      <c r="J8052" s="37"/>
    </row>
    <row r="8053" spans="1:10" ht="15.95" customHeight="1" x14ac:dyDescent="0.2">
      <c r="A8053" s="39"/>
      <c r="B8053" s="36"/>
      <c r="C8053" s="37"/>
      <c r="D8053" s="37"/>
      <c r="E8053" s="37"/>
      <c r="F8053" s="37"/>
      <c r="G8053" s="37"/>
      <c r="H8053" s="37"/>
      <c r="I8053" s="35"/>
      <c r="J8053" s="37"/>
    </row>
    <row r="8054" spans="1:10" ht="15.95" customHeight="1" x14ac:dyDescent="0.2">
      <c r="A8054" s="39"/>
      <c r="B8054" s="36"/>
      <c r="C8054" s="37"/>
      <c r="D8054" s="37"/>
      <c r="E8054" s="37"/>
      <c r="F8054" s="37"/>
      <c r="G8054" s="37"/>
      <c r="H8054" s="37"/>
      <c r="I8054" s="35"/>
      <c r="J8054" s="37"/>
    </row>
    <row r="8055" spans="1:10" ht="15.95" customHeight="1" x14ac:dyDescent="0.2">
      <c r="A8055" s="39"/>
      <c r="B8055" s="36"/>
      <c r="C8055" s="37"/>
      <c r="D8055" s="37"/>
      <c r="E8055" s="37"/>
      <c r="F8055" s="37"/>
      <c r="G8055" s="37"/>
      <c r="H8055" s="37"/>
      <c r="I8055" s="35"/>
      <c r="J8055" s="37"/>
    </row>
    <row r="8056" spans="1:10" ht="15.95" customHeight="1" x14ac:dyDescent="0.2">
      <c r="A8056" s="39"/>
      <c r="B8056" s="36"/>
      <c r="C8056" s="37"/>
      <c r="D8056" s="37"/>
      <c r="E8056" s="37"/>
      <c r="F8056" s="37"/>
      <c r="G8056" s="37"/>
      <c r="H8056" s="37"/>
      <c r="I8056" s="35"/>
      <c r="J8056" s="37"/>
    </row>
    <row r="8057" spans="1:10" ht="15.95" customHeight="1" x14ac:dyDescent="0.2">
      <c r="A8057" s="39"/>
      <c r="B8057" s="36"/>
      <c r="C8057" s="37"/>
      <c r="D8057" s="37"/>
      <c r="E8057" s="37"/>
      <c r="F8057" s="37"/>
      <c r="G8057" s="37"/>
      <c r="H8057" s="37"/>
      <c r="I8057" s="35"/>
      <c r="J8057" s="37"/>
    </row>
    <row r="8058" spans="1:10" ht="15.95" customHeight="1" x14ac:dyDescent="0.2">
      <c r="A8058" s="39"/>
      <c r="B8058" s="36"/>
      <c r="C8058" s="37"/>
      <c r="D8058" s="37"/>
      <c r="E8058" s="37"/>
      <c r="F8058" s="37"/>
      <c r="G8058" s="37"/>
      <c r="H8058" s="37"/>
      <c r="I8058" s="35"/>
      <c r="J8058" s="37"/>
    </row>
    <row r="8059" spans="1:10" ht="15.95" customHeight="1" x14ac:dyDescent="0.2">
      <c r="A8059" s="39"/>
      <c r="B8059" s="36"/>
      <c r="C8059" s="37"/>
      <c r="D8059" s="37"/>
      <c r="E8059" s="37"/>
      <c r="F8059" s="37"/>
      <c r="G8059" s="37"/>
      <c r="H8059" s="37"/>
      <c r="I8059" s="35"/>
      <c r="J8059" s="37"/>
    </row>
    <row r="8060" spans="1:10" ht="15.95" customHeight="1" x14ac:dyDescent="0.2">
      <c r="A8060" s="39"/>
      <c r="B8060" s="36"/>
      <c r="C8060" s="37"/>
      <c r="D8060" s="37"/>
      <c r="E8060" s="37"/>
      <c r="F8060" s="37"/>
      <c r="G8060" s="37"/>
      <c r="H8060" s="37"/>
      <c r="I8060" s="35"/>
      <c r="J8060" s="37"/>
    </row>
    <row r="8061" spans="1:10" ht="15.95" customHeight="1" x14ac:dyDescent="0.2">
      <c r="A8061" s="39"/>
      <c r="B8061" s="36"/>
      <c r="C8061" s="37"/>
      <c r="D8061" s="37"/>
      <c r="E8061" s="37"/>
      <c r="F8061" s="37"/>
      <c r="G8061" s="37"/>
      <c r="H8061" s="37"/>
      <c r="I8061" s="35"/>
      <c r="J8061" s="37"/>
    </row>
    <row r="8062" spans="1:10" ht="15.95" customHeight="1" x14ac:dyDescent="0.2">
      <c r="A8062" s="39"/>
      <c r="B8062" s="36"/>
      <c r="C8062" s="37"/>
      <c r="D8062" s="37"/>
      <c r="E8062" s="37"/>
      <c r="F8062" s="37"/>
      <c r="G8062" s="37"/>
      <c r="H8062" s="37"/>
      <c r="I8062" s="35"/>
      <c r="J8062" s="37"/>
    </row>
    <row r="8063" spans="1:10" ht="15.95" customHeight="1" x14ac:dyDescent="0.2">
      <c r="A8063" s="39"/>
      <c r="B8063" s="36"/>
      <c r="C8063" s="37"/>
      <c r="D8063" s="37"/>
      <c r="E8063" s="37"/>
      <c r="F8063" s="37"/>
      <c r="G8063" s="37"/>
      <c r="H8063" s="37"/>
      <c r="I8063" s="35"/>
      <c r="J8063" s="37"/>
    </row>
    <row r="8064" spans="1:10" ht="15.95" customHeight="1" x14ac:dyDescent="0.2">
      <c r="A8064" s="39"/>
      <c r="B8064" s="36"/>
      <c r="C8064" s="37"/>
      <c r="D8064" s="37"/>
      <c r="E8064" s="37"/>
      <c r="F8064" s="37"/>
      <c r="G8064" s="37"/>
      <c r="H8064" s="37"/>
      <c r="I8064" s="35"/>
      <c r="J8064" s="37"/>
    </row>
    <row r="8065" spans="1:10" ht="15.95" customHeight="1" x14ac:dyDescent="0.2">
      <c r="A8065" s="39"/>
      <c r="B8065" s="36"/>
      <c r="C8065" s="37"/>
      <c r="D8065" s="37"/>
      <c r="E8065" s="37"/>
      <c r="F8065" s="37"/>
      <c r="G8065" s="37"/>
      <c r="H8065" s="37"/>
      <c r="I8065" s="35"/>
      <c r="J8065" s="37"/>
    </row>
    <row r="8066" spans="1:10" ht="15.95" customHeight="1" x14ac:dyDescent="0.2">
      <c r="A8066" s="39"/>
      <c r="B8066" s="36"/>
      <c r="C8066" s="37"/>
      <c r="D8066" s="37"/>
      <c r="E8066" s="37"/>
      <c r="F8066" s="37"/>
      <c r="G8066" s="37"/>
      <c r="H8066" s="37"/>
      <c r="I8066" s="35"/>
      <c r="J8066" s="37"/>
    </row>
    <row r="8067" spans="1:10" ht="15.95" customHeight="1" x14ac:dyDescent="0.2">
      <c r="A8067" s="39"/>
      <c r="B8067" s="36"/>
      <c r="C8067" s="37"/>
      <c r="D8067" s="37"/>
      <c r="E8067" s="37"/>
      <c r="F8067" s="37"/>
      <c r="G8067" s="37"/>
      <c r="H8067" s="37"/>
      <c r="I8067" s="35"/>
      <c r="J8067" s="37"/>
    </row>
    <row r="8068" spans="1:10" ht="15.95" customHeight="1" x14ac:dyDescent="0.2">
      <c r="A8068" s="39"/>
      <c r="B8068" s="36"/>
      <c r="C8068" s="37"/>
      <c r="D8068" s="37"/>
      <c r="E8068" s="37"/>
      <c r="F8068" s="37"/>
      <c r="G8068" s="37"/>
      <c r="H8068" s="37"/>
      <c r="I8068" s="35"/>
      <c r="J8068" s="37"/>
    </row>
    <row r="8069" spans="1:10" ht="15.95" customHeight="1" x14ac:dyDescent="0.2">
      <c r="A8069" s="39"/>
      <c r="B8069" s="36"/>
      <c r="C8069" s="37"/>
      <c r="D8069" s="37"/>
      <c r="E8069" s="37"/>
      <c r="F8069" s="37"/>
      <c r="G8069" s="37"/>
      <c r="H8069" s="37"/>
      <c r="I8069" s="35"/>
      <c r="J8069" s="37"/>
    </row>
    <row r="8070" spans="1:10" ht="15.95" customHeight="1" x14ac:dyDescent="0.2">
      <c r="A8070" s="39"/>
      <c r="B8070" s="36"/>
      <c r="C8070" s="37"/>
      <c r="D8070" s="37"/>
      <c r="E8070" s="37"/>
      <c r="F8070" s="37"/>
      <c r="G8070" s="37"/>
      <c r="H8070" s="37"/>
      <c r="I8070" s="35"/>
      <c r="J8070" s="37"/>
    </row>
    <row r="8071" spans="1:10" ht="15.95" customHeight="1" x14ac:dyDescent="0.2">
      <c r="A8071" s="39"/>
      <c r="B8071" s="36"/>
      <c r="C8071" s="37"/>
      <c r="D8071" s="37"/>
      <c r="E8071" s="37"/>
      <c r="F8071" s="37"/>
      <c r="G8071" s="37"/>
      <c r="H8071" s="37"/>
      <c r="I8071" s="35"/>
      <c r="J8071" s="37"/>
    </row>
    <row r="8072" spans="1:10" ht="15.95" customHeight="1" x14ac:dyDescent="0.2">
      <c r="A8072" s="39"/>
      <c r="B8072" s="36"/>
      <c r="C8072" s="37"/>
      <c r="D8072" s="37"/>
      <c r="E8072" s="37"/>
      <c r="F8072" s="37"/>
      <c r="G8072" s="37"/>
      <c r="H8072" s="37"/>
      <c r="I8072" s="35"/>
      <c r="J8072" s="37"/>
    </row>
    <row r="8073" spans="1:10" ht="15.95" customHeight="1" x14ac:dyDescent="0.2">
      <c r="A8073" s="39"/>
      <c r="B8073" s="36"/>
      <c r="C8073" s="37"/>
      <c r="D8073" s="37"/>
      <c r="E8073" s="37"/>
      <c r="F8073" s="37"/>
      <c r="G8073" s="37"/>
      <c r="H8073" s="37"/>
      <c r="I8073" s="35"/>
      <c r="J8073" s="37"/>
    </row>
    <row r="8074" spans="1:10" ht="15.95" customHeight="1" x14ac:dyDescent="0.2">
      <c r="A8074" s="39"/>
      <c r="B8074" s="36"/>
      <c r="C8074" s="37"/>
      <c r="D8074" s="37"/>
      <c r="E8074" s="37"/>
      <c r="F8074" s="37"/>
      <c r="G8074" s="37"/>
      <c r="H8074" s="37"/>
      <c r="I8074" s="35"/>
      <c r="J8074" s="37"/>
    </row>
    <row r="8075" spans="1:10" ht="15.95" customHeight="1" x14ac:dyDescent="0.2">
      <c r="A8075" s="39"/>
      <c r="B8075" s="36"/>
      <c r="C8075" s="37"/>
      <c r="D8075" s="37"/>
      <c r="E8075" s="37"/>
      <c r="F8075" s="37"/>
      <c r="G8075" s="37"/>
      <c r="H8075" s="37"/>
      <c r="I8075" s="35"/>
      <c r="J8075" s="37"/>
    </row>
    <row r="8076" spans="1:10" ht="15.95" customHeight="1" x14ac:dyDescent="0.2">
      <c r="A8076" s="39"/>
      <c r="B8076" s="36"/>
      <c r="C8076" s="37"/>
      <c r="D8076" s="37"/>
      <c r="E8076" s="37"/>
      <c r="F8076" s="37"/>
      <c r="G8076" s="37"/>
      <c r="H8076" s="37"/>
      <c r="I8076" s="35"/>
      <c r="J8076" s="37"/>
    </row>
    <row r="8077" spans="1:10" ht="15.95" customHeight="1" x14ac:dyDescent="0.2">
      <c r="A8077" s="39"/>
      <c r="B8077" s="36"/>
      <c r="C8077" s="37"/>
      <c r="D8077" s="37"/>
      <c r="E8077" s="37"/>
      <c r="F8077" s="37"/>
      <c r="G8077" s="37"/>
      <c r="H8077" s="37"/>
      <c r="I8077" s="35"/>
      <c r="J8077" s="37"/>
    </row>
    <row r="8078" spans="1:10" ht="15.95" customHeight="1" x14ac:dyDescent="0.2">
      <c r="A8078" s="39"/>
      <c r="B8078" s="36"/>
      <c r="C8078" s="37"/>
      <c r="D8078" s="37"/>
      <c r="E8078" s="37"/>
      <c r="F8078" s="37"/>
      <c r="G8078" s="37"/>
      <c r="H8078" s="37"/>
      <c r="I8078" s="35"/>
      <c r="J8078" s="37"/>
    </row>
    <row r="8079" spans="1:10" ht="15.95" customHeight="1" x14ac:dyDescent="0.2">
      <c r="A8079" s="39"/>
      <c r="B8079" s="36"/>
      <c r="C8079" s="37"/>
      <c r="D8079" s="37"/>
      <c r="E8079" s="37"/>
      <c r="F8079" s="37"/>
      <c r="G8079" s="37"/>
      <c r="H8079" s="37"/>
      <c r="I8079" s="35"/>
      <c r="J8079" s="37"/>
    </row>
    <row r="8080" spans="1:10" ht="15.95" customHeight="1" x14ac:dyDescent="0.2">
      <c r="A8080" s="39"/>
      <c r="B8080" s="36"/>
      <c r="C8080" s="37"/>
      <c r="D8080" s="37"/>
      <c r="E8080" s="37"/>
      <c r="F8080" s="37"/>
      <c r="G8080" s="37"/>
      <c r="H8080" s="37"/>
      <c r="I8080" s="35"/>
      <c r="J8080" s="37"/>
    </row>
    <row r="8081" spans="1:10" ht="15.95" customHeight="1" x14ac:dyDescent="0.2">
      <c r="A8081" s="39"/>
      <c r="B8081" s="36"/>
      <c r="C8081" s="37"/>
      <c r="D8081" s="37"/>
      <c r="E8081" s="37"/>
      <c r="F8081" s="37"/>
      <c r="G8081" s="37"/>
      <c r="H8081" s="37"/>
      <c r="I8081" s="35"/>
      <c r="J8081" s="37"/>
    </row>
    <row r="8082" spans="1:10" ht="15.95" customHeight="1" x14ac:dyDescent="0.2">
      <c r="A8082" s="39"/>
      <c r="B8082" s="36"/>
      <c r="C8082" s="37"/>
      <c r="D8082" s="37"/>
      <c r="E8082" s="37"/>
      <c r="F8082" s="37"/>
      <c r="G8082" s="37"/>
      <c r="H8082" s="37"/>
      <c r="I8082" s="35"/>
      <c r="J8082" s="37"/>
    </row>
    <row r="8083" spans="1:10" ht="15.95" customHeight="1" x14ac:dyDescent="0.2">
      <c r="A8083" s="39"/>
      <c r="B8083" s="36"/>
      <c r="C8083" s="37"/>
      <c r="D8083" s="37"/>
      <c r="E8083" s="37"/>
      <c r="F8083" s="37"/>
      <c r="G8083" s="37"/>
      <c r="H8083" s="37"/>
      <c r="I8083" s="35"/>
      <c r="J8083" s="37"/>
    </row>
    <row r="8084" spans="1:10" ht="15.95" customHeight="1" x14ac:dyDescent="0.2">
      <c r="A8084" s="39"/>
      <c r="B8084" s="36"/>
      <c r="C8084" s="37"/>
      <c r="D8084" s="37"/>
      <c r="E8084" s="37"/>
      <c r="F8084" s="37"/>
      <c r="G8084" s="37"/>
      <c r="H8084" s="37"/>
      <c r="I8084" s="35"/>
      <c r="J8084" s="37"/>
    </row>
    <row r="8085" spans="1:10" ht="15.95" customHeight="1" x14ac:dyDescent="0.2">
      <c r="A8085" s="39"/>
      <c r="B8085" s="36"/>
      <c r="C8085" s="37"/>
      <c r="D8085" s="37"/>
      <c r="E8085" s="37"/>
      <c r="F8085" s="37"/>
      <c r="G8085" s="37"/>
      <c r="H8085" s="37"/>
      <c r="I8085" s="35"/>
      <c r="J8085" s="37"/>
    </row>
    <row r="8086" spans="1:10" ht="15.95" customHeight="1" x14ac:dyDescent="0.2">
      <c r="A8086" s="39"/>
      <c r="B8086" s="36"/>
      <c r="C8086" s="37"/>
      <c r="D8086" s="37"/>
      <c r="E8086" s="37"/>
      <c r="F8086" s="37"/>
      <c r="G8086" s="37"/>
      <c r="H8086" s="37"/>
      <c r="I8086" s="35"/>
      <c r="J8086" s="37"/>
    </row>
    <row r="8087" spans="1:10" ht="15.95" customHeight="1" x14ac:dyDescent="0.2">
      <c r="A8087" s="39"/>
      <c r="B8087" s="36"/>
      <c r="C8087" s="37"/>
      <c r="D8087" s="37"/>
      <c r="E8087" s="37"/>
      <c r="F8087" s="37"/>
      <c r="G8087" s="37"/>
      <c r="H8087" s="37"/>
      <c r="I8087" s="35"/>
      <c r="J8087" s="37"/>
    </row>
    <row r="8088" spans="1:10" ht="15.95" customHeight="1" x14ac:dyDescent="0.2">
      <c r="A8088" s="39"/>
      <c r="B8088" s="36"/>
      <c r="C8088" s="37"/>
      <c r="D8088" s="37"/>
      <c r="E8088" s="37"/>
      <c r="F8088" s="37"/>
      <c r="G8088" s="37"/>
      <c r="H8088" s="37"/>
      <c r="I8088" s="35"/>
      <c r="J8088" s="37"/>
    </row>
    <row r="8089" spans="1:10" ht="15.95" customHeight="1" x14ac:dyDescent="0.2">
      <c r="A8089" s="39"/>
      <c r="B8089" s="36"/>
      <c r="C8089" s="37"/>
      <c r="D8089" s="37"/>
      <c r="E8089" s="37"/>
      <c r="F8089" s="37"/>
      <c r="G8089" s="37"/>
      <c r="H8089" s="37"/>
      <c r="I8089" s="35"/>
      <c r="J8089" s="37"/>
    </row>
    <row r="8090" spans="1:10" ht="15.95" customHeight="1" x14ac:dyDescent="0.2">
      <c r="A8090" s="39"/>
      <c r="B8090" s="36"/>
      <c r="C8090" s="37"/>
      <c r="D8090" s="37"/>
      <c r="E8090" s="37"/>
      <c r="F8090" s="37"/>
      <c r="G8090" s="37"/>
      <c r="H8090" s="37"/>
      <c r="I8090" s="35"/>
      <c r="J8090" s="37"/>
    </row>
    <row r="8091" spans="1:10" ht="15.95" customHeight="1" x14ac:dyDescent="0.2">
      <c r="A8091" s="39"/>
      <c r="B8091" s="36"/>
      <c r="C8091" s="37"/>
      <c r="D8091" s="37"/>
      <c r="E8091" s="37"/>
      <c r="F8091" s="37"/>
      <c r="G8091" s="37"/>
      <c r="H8091" s="37"/>
      <c r="I8091" s="35"/>
      <c r="J8091" s="37"/>
    </row>
    <row r="8092" spans="1:10" ht="15.95" customHeight="1" x14ac:dyDescent="0.2">
      <c r="A8092" s="39"/>
      <c r="B8092" s="36"/>
      <c r="C8092" s="37"/>
      <c r="D8092" s="37"/>
      <c r="E8092" s="37"/>
      <c r="F8092" s="37"/>
      <c r="G8092" s="37"/>
      <c r="H8092" s="37"/>
      <c r="I8092" s="35"/>
      <c r="J8092" s="37"/>
    </row>
    <row r="8093" spans="1:10" ht="15.95" customHeight="1" x14ac:dyDescent="0.2">
      <c r="A8093" s="39"/>
      <c r="B8093" s="36"/>
      <c r="C8093" s="37"/>
      <c r="D8093" s="37"/>
      <c r="E8093" s="37"/>
      <c r="F8093" s="37"/>
      <c r="G8093" s="37"/>
      <c r="H8093" s="37"/>
      <c r="I8093" s="35"/>
      <c r="J8093" s="37"/>
    </row>
    <row r="8094" spans="1:10" ht="15.95" customHeight="1" x14ac:dyDescent="0.2">
      <c r="A8094" s="39"/>
      <c r="B8094" s="36"/>
      <c r="C8094" s="37"/>
      <c r="D8094" s="37"/>
      <c r="E8094" s="37"/>
      <c r="F8094" s="37"/>
      <c r="G8094" s="37"/>
      <c r="H8094" s="37"/>
      <c r="I8094" s="35"/>
      <c r="J8094" s="37"/>
    </row>
    <row r="8095" spans="1:10" ht="15.95" customHeight="1" x14ac:dyDescent="0.2">
      <c r="A8095" s="39"/>
      <c r="B8095" s="36"/>
      <c r="C8095" s="37"/>
      <c r="D8095" s="37"/>
      <c r="E8095" s="37"/>
      <c r="F8095" s="37"/>
      <c r="G8095" s="37"/>
      <c r="H8095" s="37"/>
      <c r="I8095" s="35"/>
      <c r="J8095" s="37"/>
    </row>
    <row r="8096" spans="1:10" ht="15.95" customHeight="1" x14ac:dyDescent="0.2">
      <c r="A8096" s="39"/>
      <c r="B8096" s="36"/>
      <c r="C8096" s="37"/>
      <c r="D8096" s="37"/>
      <c r="E8096" s="37"/>
      <c r="F8096" s="37"/>
      <c r="G8096" s="37"/>
      <c r="H8096" s="37"/>
      <c r="I8096" s="35"/>
      <c r="J8096" s="37"/>
    </row>
    <row r="8097" spans="1:10" ht="15.95" customHeight="1" x14ac:dyDescent="0.2">
      <c r="A8097" s="39"/>
      <c r="B8097" s="36"/>
      <c r="C8097" s="37"/>
      <c r="D8097" s="37"/>
      <c r="E8097" s="37"/>
      <c r="F8097" s="37"/>
      <c r="G8097" s="37"/>
      <c r="H8097" s="37"/>
      <c r="I8097" s="35"/>
      <c r="J8097" s="37"/>
    </row>
    <row r="8098" spans="1:10" ht="15.95" customHeight="1" x14ac:dyDescent="0.2">
      <c r="A8098" s="39"/>
      <c r="B8098" s="36"/>
      <c r="C8098" s="37"/>
      <c r="D8098" s="37"/>
      <c r="E8098" s="37"/>
      <c r="F8098" s="37"/>
      <c r="G8098" s="37"/>
      <c r="H8098" s="37"/>
      <c r="I8098" s="35"/>
      <c r="J8098" s="37"/>
    </row>
    <row r="8099" spans="1:10" ht="15.95" customHeight="1" x14ac:dyDescent="0.2">
      <c r="A8099" s="39"/>
      <c r="B8099" s="36"/>
      <c r="C8099" s="37"/>
      <c r="D8099" s="37"/>
      <c r="E8099" s="37"/>
      <c r="F8099" s="37"/>
      <c r="G8099" s="37"/>
      <c r="H8099" s="37"/>
      <c r="I8099" s="35"/>
      <c r="J8099" s="37"/>
    </row>
    <row r="8100" spans="1:10" ht="15.95" customHeight="1" x14ac:dyDescent="0.2">
      <c r="A8100" s="39"/>
      <c r="B8100" s="36"/>
      <c r="C8100" s="37"/>
      <c r="D8100" s="37"/>
      <c r="E8100" s="37"/>
      <c r="F8100" s="37"/>
      <c r="G8100" s="37"/>
      <c r="H8100" s="37"/>
      <c r="I8100" s="35"/>
      <c r="J8100" s="37"/>
    </row>
    <row r="8101" spans="1:10" ht="15.95" customHeight="1" x14ac:dyDescent="0.2">
      <c r="A8101" s="39"/>
      <c r="B8101" s="36"/>
      <c r="C8101" s="37"/>
      <c r="D8101" s="37"/>
      <c r="E8101" s="37"/>
      <c r="F8101" s="37"/>
      <c r="G8101" s="37"/>
      <c r="H8101" s="37"/>
      <c r="I8101" s="35"/>
      <c r="J8101" s="37"/>
    </row>
    <row r="8102" spans="1:10" ht="15.95" customHeight="1" x14ac:dyDescent="0.2">
      <c r="A8102" s="39"/>
      <c r="B8102" s="36"/>
      <c r="C8102" s="37"/>
      <c r="D8102" s="37"/>
      <c r="E8102" s="37"/>
      <c r="F8102" s="37"/>
      <c r="G8102" s="37"/>
      <c r="H8102" s="37"/>
      <c r="I8102" s="35"/>
      <c r="J8102" s="37"/>
    </row>
    <row r="8103" spans="1:10" ht="15.95" customHeight="1" x14ac:dyDescent="0.2">
      <c r="A8103" s="39"/>
      <c r="B8103" s="36"/>
      <c r="C8103" s="37"/>
      <c r="D8103" s="37"/>
      <c r="E8103" s="37"/>
      <c r="F8103" s="37"/>
      <c r="G8103" s="37"/>
      <c r="H8103" s="37"/>
      <c r="I8103" s="35"/>
      <c r="J8103" s="37"/>
    </row>
    <row r="8104" spans="1:10" ht="15.95" customHeight="1" x14ac:dyDescent="0.2">
      <c r="A8104" s="39"/>
      <c r="B8104" s="36"/>
      <c r="C8104" s="37"/>
      <c r="D8104" s="37"/>
      <c r="E8104" s="37"/>
      <c r="F8104" s="37"/>
      <c r="G8104" s="37"/>
      <c r="H8104" s="37"/>
      <c r="I8104" s="35"/>
      <c r="J8104" s="37"/>
    </row>
    <row r="8105" spans="1:10" ht="15.95" customHeight="1" x14ac:dyDescent="0.2">
      <c r="A8105" s="39"/>
      <c r="B8105" s="36"/>
      <c r="C8105" s="37"/>
      <c r="D8105" s="37"/>
      <c r="E8105" s="37"/>
      <c r="F8105" s="37"/>
      <c r="G8105" s="37"/>
      <c r="H8105" s="37"/>
      <c r="I8105" s="35"/>
      <c r="J8105" s="37"/>
    </row>
    <row r="8106" spans="1:10" ht="15.95" customHeight="1" x14ac:dyDescent="0.2">
      <c r="A8106" s="39"/>
      <c r="B8106" s="36"/>
      <c r="C8106" s="37"/>
      <c r="D8106" s="37"/>
      <c r="E8106" s="37"/>
      <c r="F8106" s="37"/>
      <c r="G8106" s="37"/>
      <c r="H8106" s="37"/>
      <c r="I8106" s="35"/>
      <c r="J8106" s="37"/>
    </row>
    <row r="8107" spans="1:10" ht="15.95" customHeight="1" x14ac:dyDescent="0.2">
      <c r="A8107" s="39"/>
      <c r="B8107" s="36"/>
      <c r="C8107" s="37"/>
      <c r="D8107" s="37"/>
      <c r="E8107" s="37"/>
      <c r="F8107" s="37"/>
      <c r="G8107" s="37"/>
      <c r="H8107" s="37"/>
      <c r="I8107" s="35"/>
      <c r="J8107" s="37"/>
    </row>
    <row r="8108" spans="1:10" ht="15.95" customHeight="1" x14ac:dyDescent="0.2">
      <c r="A8108" s="39"/>
      <c r="B8108" s="36"/>
      <c r="C8108" s="37"/>
      <c r="D8108" s="37"/>
      <c r="E8108" s="37"/>
      <c r="F8108" s="37"/>
      <c r="G8108" s="37"/>
      <c r="H8108" s="37"/>
      <c r="I8108" s="35"/>
      <c r="J8108" s="37"/>
    </row>
    <row r="8109" spans="1:10" ht="15.95" customHeight="1" x14ac:dyDescent="0.2">
      <c r="A8109" s="39"/>
      <c r="B8109" s="36"/>
      <c r="C8109" s="37"/>
      <c r="D8109" s="37"/>
      <c r="E8109" s="37"/>
      <c r="F8109" s="37"/>
      <c r="G8109" s="37"/>
      <c r="H8109" s="37"/>
      <c r="I8109" s="35"/>
      <c r="J8109" s="37"/>
    </row>
    <row r="8110" spans="1:10" ht="15.95" customHeight="1" x14ac:dyDescent="0.2">
      <c r="A8110" s="39"/>
      <c r="B8110" s="36"/>
      <c r="C8110" s="37"/>
      <c r="D8110" s="37"/>
      <c r="E8110" s="37"/>
      <c r="F8110" s="37"/>
      <c r="G8110" s="37"/>
      <c r="H8110" s="37"/>
      <c r="I8110" s="35"/>
      <c r="J8110" s="37"/>
    </row>
    <row r="8111" spans="1:10" ht="15.95" customHeight="1" x14ac:dyDescent="0.2">
      <c r="A8111" s="39"/>
      <c r="B8111" s="36"/>
      <c r="C8111" s="37"/>
      <c r="D8111" s="37"/>
      <c r="E8111" s="37"/>
      <c r="F8111" s="37"/>
      <c r="G8111" s="37"/>
      <c r="H8111" s="37"/>
      <c r="I8111" s="35"/>
      <c r="J8111" s="37"/>
    </row>
    <row r="8112" spans="1:10" ht="15.95" customHeight="1" x14ac:dyDescent="0.2">
      <c r="A8112" s="39"/>
      <c r="B8112" s="36"/>
      <c r="C8112" s="37"/>
      <c r="D8112" s="37"/>
      <c r="E8112" s="37"/>
      <c r="F8112" s="37"/>
      <c r="G8112" s="37"/>
      <c r="H8112" s="37"/>
      <c r="I8112" s="35"/>
      <c r="J8112" s="37"/>
    </row>
    <row r="8113" spans="1:10" ht="15.95" customHeight="1" x14ac:dyDescent="0.2">
      <c r="A8113" s="39"/>
      <c r="B8113" s="36"/>
      <c r="C8113" s="37"/>
      <c r="D8113" s="37"/>
      <c r="E8113" s="37"/>
      <c r="F8113" s="37"/>
      <c r="G8113" s="37"/>
      <c r="H8113" s="37"/>
      <c r="I8113" s="35"/>
      <c r="J8113" s="37"/>
    </row>
    <row r="8114" spans="1:10" ht="15.95" customHeight="1" x14ac:dyDescent="0.2">
      <c r="A8114" s="39"/>
      <c r="B8114" s="36"/>
      <c r="C8114" s="37"/>
      <c r="D8114" s="37"/>
      <c r="E8114" s="37"/>
      <c r="F8114" s="37"/>
      <c r="G8114" s="37"/>
      <c r="H8114" s="37"/>
      <c r="I8114" s="35"/>
      <c r="J8114" s="37"/>
    </row>
    <row r="8115" spans="1:10" ht="15.95" customHeight="1" x14ac:dyDescent="0.2">
      <c r="A8115" s="39"/>
      <c r="B8115" s="36"/>
      <c r="C8115" s="37"/>
      <c r="D8115" s="37"/>
      <c r="E8115" s="37"/>
      <c r="F8115" s="37"/>
      <c r="G8115" s="37"/>
      <c r="H8115" s="37"/>
      <c r="I8115" s="35"/>
      <c r="J8115" s="37"/>
    </row>
    <row r="8116" spans="1:10" ht="15.95" customHeight="1" x14ac:dyDescent="0.2">
      <c r="A8116" s="39"/>
      <c r="B8116" s="36"/>
      <c r="C8116" s="37"/>
      <c r="D8116" s="37"/>
      <c r="E8116" s="37"/>
      <c r="F8116" s="37"/>
      <c r="G8116" s="37"/>
      <c r="H8116" s="37"/>
      <c r="I8116" s="35"/>
      <c r="J8116" s="37"/>
    </row>
    <row r="8117" spans="1:10" ht="15.95" customHeight="1" x14ac:dyDescent="0.2">
      <c r="A8117" s="39"/>
      <c r="B8117" s="36"/>
      <c r="C8117" s="37"/>
      <c r="D8117" s="37"/>
      <c r="E8117" s="37"/>
      <c r="F8117" s="37"/>
      <c r="G8117" s="37"/>
      <c r="H8117" s="37"/>
      <c r="I8117" s="35"/>
      <c r="J8117" s="37"/>
    </row>
    <row r="8118" spans="1:10" ht="15.95" customHeight="1" x14ac:dyDescent="0.2">
      <c r="A8118" s="39"/>
      <c r="B8118" s="36"/>
      <c r="C8118" s="37"/>
      <c r="D8118" s="37"/>
      <c r="E8118" s="37"/>
      <c r="F8118" s="37"/>
      <c r="G8118" s="37"/>
      <c r="H8118" s="37"/>
      <c r="I8118" s="35"/>
      <c r="J8118" s="37"/>
    </row>
    <row r="8119" spans="1:10" ht="15.95" customHeight="1" x14ac:dyDescent="0.2">
      <c r="A8119" s="39"/>
      <c r="B8119" s="36"/>
      <c r="C8119" s="37"/>
      <c r="D8119" s="37"/>
      <c r="E8119" s="37"/>
      <c r="F8119" s="37"/>
      <c r="G8119" s="37"/>
      <c r="H8119" s="37"/>
      <c r="I8119" s="35"/>
      <c r="J8119" s="37"/>
    </row>
    <row r="8120" spans="1:10" ht="15.95" customHeight="1" x14ac:dyDescent="0.2">
      <c r="A8120" s="39"/>
      <c r="B8120" s="36"/>
      <c r="C8120" s="37"/>
      <c r="D8120" s="37"/>
      <c r="E8120" s="37"/>
      <c r="F8120" s="37"/>
      <c r="G8120" s="37"/>
      <c r="H8120" s="37"/>
      <c r="I8120" s="35"/>
      <c r="J8120" s="37"/>
    </row>
    <row r="8121" spans="1:10" ht="15.95" customHeight="1" x14ac:dyDescent="0.2">
      <c r="A8121" s="39"/>
      <c r="B8121" s="36"/>
      <c r="C8121" s="37"/>
      <c r="D8121" s="37"/>
      <c r="E8121" s="37"/>
      <c r="F8121" s="37"/>
      <c r="G8121" s="37"/>
      <c r="H8121" s="37"/>
      <c r="I8121" s="35"/>
      <c r="J8121" s="37"/>
    </row>
    <row r="8122" spans="1:10" ht="15.95" customHeight="1" x14ac:dyDescent="0.2">
      <c r="A8122" s="39"/>
      <c r="B8122" s="36"/>
      <c r="C8122" s="37"/>
      <c r="D8122" s="37"/>
      <c r="E8122" s="37"/>
      <c r="F8122" s="37"/>
      <c r="G8122" s="37"/>
      <c r="H8122" s="37"/>
      <c r="I8122" s="35"/>
      <c r="J8122" s="37"/>
    </row>
    <row r="8123" spans="1:10" ht="15.95" customHeight="1" x14ac:dyDescent="0.2">
      <c r="A8123" s="39"/>
      <c r="B8123" s="36"/>
      <c r="C8123" s="37"/>
      <c r="D8123" s="37"/>
      <c r="E8123" s="37"/>
      <c r="F8123" s="37"/>
      <c r="G8123" s="37"/>
      <c r="H8123" s="37"/>
      <c r="I8123" s="35"/>
      <c r="J8123" s="37"/>
    </row>
    <row r="8124" spans="1:10" ht="15.95" customHeight="1" x14ac:dyDescent="0.2">
      <c r="A8124" s="39"/>
      <c r="B8124" s="36"/>
      <c r="C8124" s="37"/>
      <c r="D8124" s="37"/>
      <c r="E8124" s="37"/>
      <c r="F8124" s="37"/>
      <c r="G8124" s="37"/>
      <c r="H8124" s="37"/>
      <c r="I8124" s="35"/>
      <c r="J8124" s="37"/>
    </row>
    <row r="8125" spans="1:10" ht="15.95" customHeight="1" x14ac:dyDescent="0.2">
      <c r="A8125" s="39"/>
      <c r="B8125" s="36"/>
      <c r="C8125" s="37"/>
      <c r="D8125" s="37"/>
      <c r="E8125" s="37"/>
      <c r="F8125" s="37"/>
      <c r="G8125" s="37"/>
      <c r="H8125" s="37"/>
      <c r="I8125" s="35"/>
      <c r="J8125" s="37"/>
    </row>
    <row r="8126" spans="1:10" ht="15.95" customHeight="1" x14ac:dyDescent="0.2">
      <c r="A8126" s="39"/>
      <c r="B8126" s="36"/>
      <c r="C8126" s="37"/>
      <c r="D8126" s="37"/>
      <c r="E8126" s="37"/>
      <c r="F8126" s="37"/>
      <c r="G8126" s="37"/>
      <c r="H8126" s="37"/>
      <c r="I8126" s="35"/>
      <c r="J8126" s="37"/>
    </row>
    <row r="8127" spans="1:10" ht="15.95" customHeight="1" x14ac:dyDescent="0.2">
      <c r="A8127" s="39"/>
      <c r="B8127" s="36"/>
      <c r="C8127" s="37"/>
      <c r="D8127" s="37"/>
      <c r="E8127" s="37"/>
      <c r="F8127" s="37"/>
      <c r="G8127" s="37"/>
      <c r="H8127" s="37"/>
      <c r="I8127" s="35"/>
      <c r="J8127" s="37"/>
    </row>
    <row r="8128" spans="1:10" ht="15.95" customHeight="1" x14ac:dyDescent="0.2">
      <c r="A8128" s="39"/>
      <c r="B8128" s="36"/>
      <c r="C8128" s="37"/>
      <c r="D8128" s="37"/>
      <c r="E8128" s="37"/>
      <c r="F8128" s="37"/>
      <c r="G8128" s="37"/>
      <c r="H8128" s="37"/>
      <c r="I8128" s="35"/>
      <c r="J8128" s="37"/>
    </row>
    <row r="8129" spans="1:10" ht="15.95" customHeight="1" x14ac:dyDescent="0.2">
      <c r="A8129" s="39"/>
      <c r="B8129" s="36"/>
      <c r="C8129" s="37"/>
      <c r="D8129" s="37"/>
      <c r="E8129" s="37"/>
      <c r="F8129" s="37"/>
      <c r="G8129" s="37"/>
      <c r="H8129" s="37"/>
      <c r="I8129" s="35"/>
      <c r="J8129" s="37"/>
    </row>
    <row r="8130" spans="1:10" ht="15.95" customHeight="1" x14ac:dyDescent="0.2">
      <c r="A8130" s="39"/>
      <c r="B8130" s="36"/>
      <c r="C8130" s="37"/>
      <c r="D8130" s="37"/>
      <c r="E8130" s="37"/>
      <c r="F8130" s="37"/>
      <c r="G8130" s="37"/>
      <c r="H8130" s="37"/>
      <c r="I8130" s="35"/>
      <c r="J8130" s="37"/>
    </row>
    <row r="8131" spans="1:10" ht="15.95" customHeight="1" x14ac:dyDescent="0.2">
      <c r="A8131" s="39"/>
      <c r="B8131" s="36"/>
      <c r="C8131" s="37"/>
      <c r="D8131" s="37"/>
      <c r="E8131" s="37"/>
      <c r="F8131" s="37"/>
      <c r="G8131" s="37"/>
      <c r="H8131" s="37"/>
      <c r="I8131" s="35"/>
      <c r="J8131" s="37"/>
    </row>
    <row r="8132" spans="1:10" ht="15.95" customHeight="1" x14ac:dyDescent="0.2">
      <c r="A8132" s="39"/>
      <c r="B8132" s="36"/>
      <c r="C8132" s="37"/>
      <c r="D8132" s="37"/>
      <c r="E8132" s="37"/>
      <c r="F8132" s="37"/>
      <c r="G8132" s="37"/>
      <c r="H8132" s="37"/>
      <c r="I8132" s="35"/>
      <c r="J8132" s="37"/>
    </row>
    <row r="8133" spans="1:10" ht="15.95" customHeight="1" x14ac:dyDescent="0.2">
      <c r="A8133" s="39"/>
      <c r="B8133" s="36"/>
      <c r="C8133" s="37"/>
      <c r="D8133" s="37"/>
      <c r="E8133" s="37"/>
      <c r="F8133" s="37"/>
      <c r="G8133" s="37"/>
      <c r="H8133" s="37"/>
      <c r="I8133" s="35"/>
      <c r="J8133" s="37"/>
    </row>
    <row r="8134" spans="1:10" ht="15.95" customHeight="1" x14ac:dyDescent="0.2">
      <c r="A8134" s="39"/>
      <c r="B8134" s="36"/>
      <c r="C8134" s="37"/>
      <c r="D8134" s="37"/>
      <c r="E8134" s="37"/>
      <c r="F8134" s="37"/>
      <c r="G8134" s="37"/>
      <c r="H8134" s="37"/>
      <c r="I8134" s="35"/>
      <c r="J8134" s="37"/>
    </row>
    <row r="8135" spans="1:10" ht="15.95" customHeight="1" x14ac:dyDescent="0.2">
      <c r="A8135" s="39"/>
      <c r="B8135" s="36"/>
      <c r="C8135" s="37"/>
      <c r="D8135" s="37"/>
      <c r="E8135" s="37"/>
      <c r="F8135" s="37"/>
      <c r="G8135" s="37"/>
      <c r="H8135" s="37"/>
      <c r="I8135" s="35"/>
      <c r="J8135" s="37"/>
    </row>
    <row r="8136" spans="1:10" ht="15.95" customHeight="1" x14ac:dyDescent="0.2">
      <c r="A8136" s="39"/>
      <c r="B8136" s="36"/>
      <c r="C8136" s="37"/>
      <c r="D8136" s="37"/>
      <c r="E8136" s="37"/>
      <c r="F8136" s="37"/>
      <c r="G8136" s="37"/>
      <c r="H8136" s="37"/>
      <c r="I8136" s="35"/>
      <c r="J8136" s="37"/>
    </row>
    <row r="8137" spans="1:10" ht="15.95" customHeight="1" x14ac:dyDescent="0.2">
      <c r="A8137" s="39"/>
      <c r="B8137" s="36"/>
      <c r="C8137" s="37"/>
      <c r="D8137" s="37"/>
      <c r="E8137" s="37"/>
      <c r="F8137" s="37"/>
      <c r="G8137" s="37"/>
      <c r="H8137" s="37"/>
      <c r="I8137" s="35"/>
      <c r="J8137" s="37"/>
    </row>
    <row r="8138" spans="1:10" ht="15.95" customHeight="1" x14ac:dyDescent="0.2">
      <c r="A8138" s="39"/>
      <c r="B8138" s="36"/>
      <c r="C8138" s="37"/>
      <c r="D8138" s="37"/>
      <c r="E8138" s="37"/>
      <c r="F8138" s="37"/>
      <c r="G8138" s="37"/>
      <c r="H8138" s="37"/>
      <c r="I8138" s="35"/>
      <c r="J8138" s="37"/>
    </row>
    <row r="8139" spans="1:10" ht="15.95" customHeight="1" x14ac:dyDescent="0.2">
      <c r="A8139" s="39"/>
      <c r="B8139" s="36"/>
      <c r="C8139" s="37"/>
      <c r="D8139" s="37"/>
      <c r="E8139" s="37"/>
      <c r="F8139" s="37"/>
      <c r="G8139" s="37"/>
      <c r="H8139" s="37"/>
      <c r="I8139" s="35"/>
      <c r="J8139" s="37"/>
    </row>
    <row r="8140" spans="1:10" ht="15.95" customHeight="1" x14ac:dyDescent="0.2">
      <c r="A8140" s="39"/>
      <c r="B8140" s="36"/>
      <c r="C8140" s="37"/>
      <c r="D8140" s="37"/>
      <c r="E8140" s="37"/>
      <c r="F8140" s="37"/>
      <c r="G8140" s="37"/>
      <c r="H8140" s="37"/>
      <c r="I8140" s="35"/>
      <c r="J8140" s="37"/>
    </row>
    <row r="8141" spans="1:10" ht="15.95" customHeight="1" x14ac:dyDescent="0.2">
      <c r="A8141" s="39"/>
      <c r="B8141" s="36"/>
      <c r="C8141" s="37"/>
      <c r="D8141" s="37"/>
      <c r="E8141" s="37"/>
      <c r="F8141" s="37"/>
      <c r="G8141" s="37"/>
      <c r="H8141" s="37"/>
      <c r="I8141" s="35"/>
      <c r="J8141" s="37"/>
    </row>
    <row r="8142" spans="1:10" ht="15.95" customHeight="1" x14ac:dyDescent="0.2">
      <c r="A8142" s="39"/>
      <c r="B8142" s="36"/>
      <c r="C8142" s="37"/>
      <c r="D8142" s="37"/>
      <c r="E8142" s="37"/>
      <c r="F8142" s="37"/>
      <c r="G8142" s="37"/>
      <c r="H8142" s="37"/>
      <c r="I8142" s="35"/>
      <c r="J8142" s="37"/>
    </row>
    <row r="8143" spans="1:10" ht="15.95" customHeight="1" x14ac:dyDescent="0.2">
      <c r="A8143" s="39"/>
      <c r="B8143" s="36"/>
      <c r="C8143" s="37"/>
      <c r="D8143" s="37"/>
      <c r="E8143" s="37"/>
      <c r="F8143" s="37"/>
      <c r="G8143" s="37"/>
      <c r="H8143" s="37"/>
      <c r="I8143" s="35"/>
      <c r="J8143" s="37"/>
    </row>
    <row r="8144" spans="1:10" ht="15.95" customHeight="1" x14ac:dyDescent="0.2">
      <c r="A8144" s="39"/>
      <c r="B8144" s="36"/>
      <c r="C8144" s="37"/>
      <c r="D8144" s="37"/>
      <c r="E8144" s="37"/>
      <c r="F8144" s="37"/>
      <c r="G8144" s="37"/>
      <c r="H8144" s="37"/>
      <c r="I8144" s="35"/>
      <c r="J8144" s="37"/>
    </row>
    <row r="8145" spans="1:10" ht="15.95" customHeight="1" x14ac:dyDescent="0.2">
      <c r="A8145" s="39"/>
      <c r="B8145" s="36"/>
      <c r="C8145" s="37"/>
      <c r="D8145" s="37"/>
      <c r="E8145" s="37"/>
      <c r="F8145" s="37"/>
      <c r="G8145" s="37"/>
      <c r="H8145" s="37"/>
      <c r="I8145" s="35"/>
      <c r="J8145" s="37"/>
    </row>
    <row r="8146" spans="1:10" ht="15.95" customHeight="1" x14ac:dyDescent="0.2">
      <c r="A8146" s="39"/>
      <c r="B8146" s="36"/>
      <c r="C8146" s="37"/>
      <c r="D8146" s="37"/>
      <c r="E8146" s="37"/>
      <c r="F8146" s="37"/>
      <c r="G8146" s="37"/>
      <c r="H8146" s="37"/>
      <c r="I8146" s="35"/>
      <c r="J8146" s="37"/>
    </row>
    <row r="8147" spans="1:10" ht="15.95" customHeight="1" x14ac:dyDescent="0.2">
      <c r="A8147" s="39"/>
      <c r="B8147" s="36"/>
      <c r="C8147" s="37"/>
      <c r="D8147" s="37"/>
      <c r="E8147" s="37"/>
      <c r="F8147" s="37"/>
      <c r="G8147" s="37"/>
      <c r="H8147" s="37"/>
      <c r="I8147" s="35"/>
      <c r="J8147" s="37"/>
    </row>
    <row r="8148" spans="1:10" ht="15.95" customHeight="1" x14ac:dyDescent="0.2">
      <c r="A8148" s="39"/>
      <c r="B8148" s="36"/>
      <c r="C8148" s="37"/>
      <c r="D8148" s="37"/>
      <c r="E8148" s="37"/>
      <c r="F8148" s="37"/>
      <c r="G8148" s="37"/>
      <c r="H8148" s="37"/>
      <c r="I8148" s="35"/>
      <c r="J8148" s="37"/>
    </row>
    <row r="8149" spans="1:10" ht="15.95" customHeight="1" x14ac:dyDescent="0.2">
      <c r="A8149" s="39"/>
      <c r="B8149" s="36"/>
      <c r="C8149" s="37"/>
      <c r="D8149" s="37"/>
      <c r="E8149" s="37"/>
      <c r="F8149" s="37"/>
      <c r="G8149" s="37"/>
      <c r="H8149" s="37"/>
      <c r="I8149" s="35"/>
      <c r="J8149" s="37"/>
    </row>
    <row r="8150" spans="1:10" ht="15.95" customHeight="1" x14ac:dyDescent="0.2">
      <c r="A8150" s="39"/>
      <c r="B8150" s="36"/>
      <c r="C8150" s="37"/>
      <c r="D8150" s="37"/>
      <c r="E8150" s="37"/>
      <c r="F8150" s="37"/>
      <c r="G8150" s="37"/>
      <c r="H8150" s="37"/>
      <c r="I8150" s="35"/>
      <c r="J8150" s="37"/>
    </row>
    <row r="8151" spans="1:10" ht="15.95" customHeight="1" x14ac:dyDescent="0.2">
      <c r="A8151" s="39"/>
      <c r="B8151" s="36"/>
      <c r="C8151" s="37"/>
      <c r="D8151" s="37"/>
      <c r="E8151" s="37"/>
      <c r="F8151" s="37"/>
      <c r="G8151" s="37"/>
      <c r="H8151" s="37"/>
      <c r="I8151" s="35"/>
      <c r="J8151" s="37"/>
    </row>
    <row r="8152" spans="1:10" ht="15.95" customHeight="1" x14ac:dyDescent="0.2">
      <c r="A8152" s="39"/>
      <c r="B8152" s="36"/>
      <c r="C8152" s="37"/>
      <c r="D8152" s="37"/>
      <c r="E8152" s="37"/>
      <c r="F8152" s="37"/>
      <c r="G8152" s="37"/>
      <c r="H8152" s="37"/>
      <c r="I8152" s="35"/>
      <c r="J8152" s="37"/>
    </row>
    <row r="8153" spans="1:10" ht="15.95" customHeight="1" x14ac:dyDescent="0.2">
      <c r="A8153" s="39"/>
      <c r="B8153" s="36"/>
      <c r="C8153" s="37"/>
      <c r="D8153" s="37"/>
      <c r="E8153" s="37"/>
      <c r="F8153" s="37"/>
      <c r="G8153" s="37"/>
      <c r="H8153" s="37"/>
      <c r="I8153" s="35"/>
      <c r="J8153" s="37"/>
    </row>
    <row r="8154" spans="1:10" ht="15.95" customHeight="1" x14ac:dyDescent="0.2">
      <c r="A8154" s="39"/>
      <c r="B8154" s="36"/>
      <c r="C8154" s="37"/>
      <c r="D8154" s="37"/>
      <c r="E8154" s="37"/>
      <c r="F8154" s="37"/>
      <c r="G8154" s="37"/>
      <c r="H8154" s="37"/>
      <c r="I8154" s="35"/>
      <c r="J8154" s="37"/>
    </row>
    <row r="8155" spans="1:10" ht="15.95" customHeight="1" x14ac:dyDescent="0.2">
      <c r="A8155" s="39"/>
      <c r="B8155" s="36"/>
      <c r="C8155" s="37"/>
      <c r="D8155" s="37"/>
      <c r="E8155" s="37"/>
      <c r="F8155" s="37"/>
      <c r="G8155" s="37"/>
      <c r="H8155" s="37"/>
      <c r="I8155" s="35"/>
      <c r="J8155" s="37"/>
    </row>
    <row r="8156" spans="1:10" ht="15.95" customHeight="1" x14ac:dyDescent="0.2">
      <c r="A8156" s="39"/>
      <c r="B8156" s="36"/>
      <c r="C8156" s="37"/>
      <c r="D8156" s="37"/>
      <c r="E8156" s="37"/>
      <c r="F8156" s="37"/>
      <c r="G8156" s="37"/>
      <c r="H8156" s="37"/>
      <c r="I8156" s="35"/>
      <c r="J8156" s="37"/>
    </row>
    <row r="8157" spans="1:10" ht="15.95" customHeight="1" x14ac:dyDescent="0.2">
      <c r="A8157" s="39"/>
      <c r="B8157" s="36"/>
      <c r="C8157" s="37"/>
      <c r="D8157" s="37"/>
      <c r="E8157" s="37"/>
      <c r="F8157" s="37"/>
      <c r="G8157" s="37"/>
      <c r="H8157" s="37"/>
      <c r="I8157" s="35"/>
      <c r="J8157" s="37"/>
    </row>
    <row r="8158" spans="1:10" ht="15.95" customHeight="1" x14ac:dyDescent="0.2">
      <c r="A8158" s="39"/>
      <c r="B8158" s="36"/>
      <c r="C8158" s="37"/>
      <c r="D8158" s="37"/>
      <c r="E8158" s="37"/>
      <c r="F8158" s="37"/>
      <c r="G8158" s="37"/>
      <c r="H8158" s="37"/>
      <c r="I8158" s="35"/>
      <c r="J8158" s="37"/>
    </row>
    <row r="8159" spans="1:10" ht="15.95" customHeight="1" x14ac:dyDescent="0.2">
      <c r="A8159" s="39"/>
      <c r="B8159" s="36"/>
      <c r="C8159" s="37"/>
      <c r="D8159" s="37"/>
      <c r="E8159" s="37"/>
      <c r="F8159" s="37"/>
      <c r="G8159" s="37"/>
      <c r="H8159" s="37"/>
      <c r="I8159" s="35"/>
      <c r="J8159" s="37"/>
    </row>
    <row r="8160" spans="1:10" ht="15.95" customHeight="1" x14ac:dyDescent="0.2">
      <c r="A8160" s="39"/>
      <c r="B8160" s="36"/>
      <c r="C8160" s="37"/>
      <c r="D8160" s="37"/>
      <c r="E8160" s="37"/>
      <c r="F8160" s="37"/>
      <c r="G8160" s="37"/>
      <c r="H8160" s="37"/>
      <c r="I8160" s="35"/>
      <c r="J8160" s="37"/>
    </row>
    <row r="8161" spans="1:10" ht="15.95" customHeight="1" x14ac:dyDescent="0.2">
      <c r="A8161" s="39"/>
      <c r="B8161" s="36"/>
      <c r="C8161" s="37"/>
      <c r="D8161" s="37"/>
      <c r="E8161" s="37"/>
      <c r="F8161" s="37"/>
      <c r="G8161" s="37"/>
      <c r="H8161" s="37"/>
      <c r="I8161" s="35"/>
      <c r="J8161" s="37"/>
    </row>
    <row r="8162" spans="1:10" ht="15.95" customHeight="1" x14ac:dyDescent="0.2">
      <c r="A8162" s="39"/>
      <c r="B8162" s="36"/>
      <c r="C8162" s="37"/>
      <c r="D8162" s="37"/>
      <c r="E8162" s="37"/>
      <c r="F8162" s="37"/>
      <c r="G8162" s="37"/>
      <c r="H8162" s="37"/>
      <c r="I8162" s="35"/>
      <c r="J8162" s="37"/>
    </row>
    <row r="8163" spans="1:10" ht="15.95" customHeight="1" x14ac:dyDescent="0.2">
      <c r="A8163" s="39"/>
      <c r="B8163" s="36"/>
      <c r="C8163" s="37"/>
      <c r="D8163" s="37"/>
      <c r="E8163" s="37"/>
      <c r="F8163" s="37"/>
      <c r="G8163" s="37"/>
      <c r="H8163" s="37"/>
      <c r="I8163" s="35"/>
      <c r="J8163" s="37"/>
    </row>
    <row r="8164" spans="1:10" ht="15.95" customHeight="1" x14ac:dyDescent="0.2">
      <c r="A8164" s="39"/>
      <c r="B8164" s="36"/>
      <c r="C8164" s="37"/>
      <c r="D8164" s="37"/>
      <c r="E8164" s="37"/>
      <c r="F8164" s="37"/>
      <c r="G8164" s="37"/>
      <c r="H8164" s="37"/>
      <c r="I8164" s="35"/>
      <c r="J8164" s="37"/>
    </row>
    <row r="8165" spans="1:10" ht="15.95" customHeight="1" x14ac:dyDescent="0.2">
      <c r="A8165" s="39"/>
      <c r="B8165" s="36"/>
      <c r="C8165" s="37"/>
      <c r="D8165" s="37"/>
      <c r="E8165" s="37"/>
      <c r="F8165" s="37"/>
      <c r="G8165" s="37"/>
      <c r="H8165" s="37"/>
      <c r="I8165" s="35"/>
      <c r="J8165" s="37"/>
    </row>
    <row r="8166" spans="1:10" ht="15.95" customHeight="1" x14ac:dyDescent="0.2">
      <c r="A8166" s="39"/>
      <c r="B8166" s="36"/>
      <c r="C8166" s="37"/>
      <c r="D8166" s="37"/>
      <c r="E8166" s="37"/>
      <c r="F8166" s="37"/>
      <c r="G8166" s="37"/>
      <c r="H8166" s="37"/>
      <c r="I8166" s="35"/>
      <c r="J8166" s="37"/>
    </row>
    <row r="8167" spans="1:10" ht="15.95" customHeight="1" x14ac:dyDescent="0.2">
      <c r="A8167" s="39"/>
      <c r="B8167" s="36"/>
      <c r="C8167" s="37"/>
      <c r="D8167" s="37"/>
      <c r="E8167" s="37"/>
      <c r="F8167" s="37"/>
      <c r="G8167" s="37"/>
      <c r="H8167" s="37"/>
      <c r="I8167" s="35"/>
      <c r="J8167" s="37"/>
    </row>
    <row r="8168" spans="1:10" ht="15.95" customHeight="1" x14ac:dyDescent="0.2">
      <c r="A8168" s="39"/>
      <c r="B8168" s="36"/>
      <c r="C8168" s="37"/>
      <c r="D8168" s="37"/>
      <c r="E8168" s="37"/>
      <c r="F8168" s="37"/>
      <c r="G8168" s="37"/>
      <c r="H8168" s="37"/>
      <c r="I8168" s="35"/>
      <c r="J8168" s="37"/>
    </row>
    <row r="8169" spans="1:10" ht="15.95" customHeight="1" x14ac:dyDescent="0.2">
      <c r="A8169" s="39"/>
      <c r="B8169" s="36"/>
      <c r="C8169" s="37"/>
      <c r="D8169" s="37"/>
      <c r="E8169" s="37"/>
      <c r="F8169" s="37"/>
      <c r="G8169" s="37"/>
      <c r="H8169" s="37"/>
      <c r="I8169" s="35"/>
      <c r="J8169" s="37"/>
    </row>
    <row r="8170" spans="1:10" ht="15.95" customHeight="1" x14ac:dyDescent="0.2">
      <c r="A8170" s="39"/>
      <c r="B8170" s="36"/>
      <c r="C8170" s="37"/>
      <c r="D8170" s="37"/>
      <c r="E8170" s="37"/>
      <c r="F8170" s="37"/>
      <c r="G8170" s="37"/>
      <c r="H8170" s="37"/>
      <c r="I8170" s="35"/>
      <c r="J8170" s="37"/>
    </row>
    <row r="8171" spans="1:10" ht="15.95" customHeight="1" x14ac:dyDescent="0.2">
      <c r="A8171" s="39"/>
      <c r="B8171" s="36"/>
      <c r="C8171" s="37"/>
      <c r="D8171" s="37"/>
      <c r="E8171" s="37"/>
      <c r="F8171" s="37"/>
      <c r="G8171" s="37"/>
      <c r="H8171" s="37"/>
      <c r="I8171" s="35"/>
      <c r="J8171" s="37"/>
    </row>
    <row r="8172" spans="1:10" ht="15.95" customHeight="1" x14ac:dyDescent="0.2">
      <c r="A8172" s="39"/>
      <c r="B8172" s="36"/>
      <c r="C8172" s="37"/>
      <c r="D8172" s="37"/>
      <c r="E8172" s="37"/>
      <c r="F8172" s="37"/>
      <c r="G8172" s="37"/>
      <c r="H8172" s="37"/>
      <c r="I8172" s="35"/>
      <c r="J8172" s="37"/>
    </row>
    <row r="8173" spans="1:10" ht="15.95" customHeight="1" x14ac:dyDescent="0.2">
      <c r="A8173" s="39"/>
      <c r="B8173" s="36"/>
      <c r="C8173" s="37"/>
      <c r="D8173" s="37"/>
      <c r="E8173" s="37"/>
      <c r="F8173" s="37"/>
      <c r="G8173" s="37"/>
      <c r="H8173" s="37"/>
      <c r="I8173" s="35"/>
      <c r="J8173" s="37"/>
    </row>
    <row r="8174" spans="1:10" ht="15.95" customHeight="1" x14ac:dyDescent="0.2">
      <c r="A8174" s="39"/>
      <c r="B8174" s="36"/>
      <c r="C8174" s="37"/>
      <c r="D8174" s="37"/>
      <c r="E8174" s="37"/>
      <c r="F8174" s="37"/>
      <c r="G8174" s="37"/>
      <c r="H8174" s="37"/>
      <c r="I8174" s="35"/>
      <c r="J8174" s="37"/>
    </row>
    <row r="8175" spans="1:10" ht="15.95" customHeight="1" x14ac:dyDescent="0.2">
      <c r="A8175" s="39"/>
      <c r="B8175" s="36"/>
      <c r="C8175" s="37"/>
      <c r="D8175" s="37"/>
      <c r="E8175" s="37"/>
      <c r="F8175" s="37"/>
      <c r="G8175" s="37"/>
      <c r="H8175" s="37"/>
      <c r="I8175" s="35"/>
      <c r="J8175" s="37"/>
    </row>
    <row r="8176" spans="1:10" ht="15.95" customHeight="1" x14ac:dyDescent="0.2">
      <c r="A8176" s="39"/>
      <c r="B8176" s="36"/>
      <c r="C8176" s="37"/>
      <c r="D8176" s="37"/>
      <c r="E8176" s="37"/>
      <c r="F8176" s="37"/>
      <c r="G8176" s="37"/>
      <c r="H8176" s="37"/>
      <c r="I8176" s="35"/>
      <c r="J8176" s="37"/>
    </row>
    <row r="8177" spans="1:10" ht="15.95" customHeight="1" x14ac:dyDescent="0.2">
      <c r="A8177" s="39"/>
      <c r="B8177" s="36"/>
      <c r="C8177" s="37"/>
      <c r="D8177" s="37"/>
      <c r="E8177" s="37"/>
      <c r="F8177" s="37"/>
      <c r="G8177" s="37"/>
      <c r="H8177" s="37"/>
      <c r="I8177" s="35"/>
      <c r="J8177" s="37"/>
    </row>
    <row r="8178" spans="1:10" ht="15.95" customHeight="1" x14ac:dyDescent="0.2">
      <c r="A8178" s="39"/>
      <c r="B8178" s="36"/>
      <c r="C8178" s="37"/>
      <c r="D8178" s="37"/>
      <c r="E8178" s="37"/>
      <c r="F8178" s="37"/>
      <c r="G8178" s="37"/>
      <c r="H8178" s="37"/>
      <c r="I8178" s="35"/>
      <c r="J8178" s="37"/>
    </row>
    <row r="8179" spans="1:10" ht="15.95" customHeight="1" x14ac:dyDescent="0.2">
      <c r="A8179" s="39"/>
      <c r="B8179" s="36"/>
      <c r="C8179" s="37"/>
      <c r="D8179" s="37"/>
      <c r="E8179" s="37"/>
      <c r="F8179" s="37"/>
      <c r="G8179" s="37"/>
      <c r="H8179" s="37"/>
      <c r="I8179" s="35"/>
      <c r="J8179" s="37"/>
    </row>
    <row r="8180" spans="1:10" ht="15.95" customHeight="1" x14ac:dyDescent="0.2">
      <c r="A8180" s="39"/>
      <c r="B8180" s="36"/>
      <c r="C8180" s="37"/>
      <c r="D8180" s="37"/>
      <c r="E8180" s="37"/>
      <c r="F8180" s="37"/>
      <c r="G8180" s="37"/>
      <c r="H8180" s="37"/>
      <c r="I8180" s="35"/>
      <c r="J8180" s="37"/>
    </row>
    <row r="8181" spans="1:10" ht="15.95" customHeight="1" x14ac:dyDescent="0.2">
      <c r="A8181" s="39"/>
      <c r="B8181" s="36"/>
      <c r="C8181" s="37"/>
      <c r="D8181" s="37"/>
      <c r="E8181" s="37"/>
      <c r="F8181" s="37"/>
      <c r="G8181" s="37"/>
      <c r="H8181" s="37"/>
      <c r="I8181" s="35"/>
      <c r="J8181" s="37"/>
    </row>
    <row r="8182" spans="1:10" ht="15.95" customHeight="1" x14ac:dyDescent="0.2">
      <c r="A8182" s="39"/>
      <c r="B8182" s="36"/>
      <c r="C8182" s="37"/>
      <c r="D8182" s="37"/>
      <c r="E8182" s="37"/>
      <c r="F8182" s="37"/>
      <c r="G8182" s="37"/>
      <c r="H8182" s="37"/>
      <c r="I8182" s="35"/>
      <c r="J8182" s="37"/>
    </row>
    <row r="8183" spans="1:10" ht="15.95" customHeight="1" x14ac:dyDescent="0.2">
      <c r="A8183" s="39"/>
      <c r="B8183" s="36"/>
      <c r="C8183" s="37"/>
      <c r="D8183" s="37"/>
      <c r="E8183" s="37"/>
      <c r="F8183" s="37"/>
      <c r="G8183" s="37"/>
      <c r="H8183" s="37"/>
      <c r="I8183" s="35"/>
      <c r="J8183" s="37"/>
    </row>
    <row r="8184" spans="1:10" ht="15.95" customHeight="1" x14ac:dyDescent="0.2">
      <c r="A8184" s="39"/>
      <c r="B8184" s="36"/>
      <c r="C8184" s="37"/>
      <c r="D8184" s="37"/>
      <c r="E8184" s="37"/>
      <c r="F8184" s="37"/>
      <c r="G8184" s="37"/>
      <c r="H8184" s="37"/>
      <c r="I8184" s="35"/>
      <c r="J8184" s="37"/>
    </row>
    <row r="8185" spans="1:10" ht="15.95" customHeight="1" x14ac:dyDescent="0.2">
      <c r="A8185" s="39"/>
      <c r="B8185" s="36"/>
      <c r="C8185" s="37"/>
      <c r="D8185" s="37"/>
      <c r="E8185" s="37"/>
      <c r="F8185" s="37"/>
      <c r="G8185" s="37"/>
      <c r="H8185" s="37"/>
      <c r="I8185" s="35"/>
      <c r="J8185" s="37"/>
    </row>
    <row r="8186" spans="1:10" ht="15.95" customHeight="1" x14ac:dyDescent="0.2">
      <c r="A8186" s="39"/>
      <c r="B8186" s="36"/>
      <c r="C8186" s="37"/>
      <c r="D8186" s="37"/>
      <c r="E8186" s="37"/>
      <c r="F8186" s="37"/>
      <c r="G8186" s="37"/>
      <c r="H8186" s="37"/>
      <c r="I8186" s="35"/>
      <c r="J8186" s="37"/>
    </row>
    <row r="8187" spans="1:10" ht="15.95" customHeight="1" x14ac:dyDescent="0.2">
      <c r="A8187" s="39"/>
      <c r="B8187" s="36"/>
      <c r="C8187" s="37"/>
      <c r="D8187" s="37"/>
      <c r="E8187" s="37"/>
      <c r="F8187" s="37"/>
      <c r="G8187" s="37"/>
      <c r="H8187" s="37"/>
      <c r="I8187" s="35"/>
      <c r="J8187" s="37"/>
    </row>
    <row r="8188" spans="1:10" ht="15.95" customHeight="1" x14ac:dyDescent="0.2">
      <c r="A8188" s="39"/>
      <c r="B8188" s="36"/>
      <c r="C8188" s="37"/>
      <c r="D8188" s="37"/>
      <c r="E8188" s="37"/>
      <c r="F8188" s="37"/>
      <c r="G8188" s="37"/>
      <c r="H8188" s="37"/>
      <c r="I8188" s="35"/>
      <c r="J8188" s="37"/>
    </row>
    <row r="8189" spans="1:10" ht="15.95" customHeight="1" x14ac:dyDescent="0.2">
      <c r="A8189" s="39"/>
      <c r="B8189" s="36"/>
      <c r="C8189" s="37"/>
      <c r="D8189" s="37"/>
      <c r="E8189" s="37"/>
      <c r="F8189" s="37"/>
      <c r="G8189" s="37"/>
      <c r="H8189" s="37"/>
      <c r="I8189" s="35"/>
      <c r="J8189" s="37"/>
    </row>
    <row r="8190" spans="1:10" ht="15.95" customHeight="1" x14ac:dyDescent="0.2">
      <c r="A8190" s="39"/>
      <c r="B8190" s="36"/>
      <c r="C8190" s="37"/>
      <c r="D8190" s="37"/>
      <c r="E8190" s="37"/>
      <c r="F8190" s="37"/>
      <c r="G8190" s="37"/>
      <c r="H8190" s="37"/>
      <c r="I8190" s="35"/>
      <c r="J8190" s="37"/>
    </row>
    <row r="8191" spans="1:10" ht="15.95" customHeight="1" x14ac:dyDescent="0.2">
      <c r="A8191" s="39"/>
      <c r="B8191" s="36"/>
      <c r="C8191" s="37"/>
      <c r="D8191" s="37"/>
      <c r="E8191" s="37"/>
      <c r="F8191" s="37"/>
      <c r="G8191" s="37"/>
      <c r="H8191" s="37"/>
      <c r="I8191" s="35"/>
      <c r="J8191" s="37"/>
    </row>
    <row r="8192" spans="1:10" ht="15.95" customHeight="1" x14ac:dyDescent="0.2">
      <c r="A8192" s="39"/>
      <c r="B8192" s="36"/>
      <c r="C8192" s="37"/>
      <c r="D8192" s="37"/>
      <c r="E8192" s="37"/>
      <c r="F8192" s="37"/>
      <c r="G8192" s="37"/>
      <c r="H8192" s="37"/>
      <c r="I8192" s="35"/>
      <c r="J8192" s="37"/>
    </row>
    <row r="8193" spans="1:10" ht="15.95" customHeight="1" x14ac:dyDescent="0.2">
      <c r="A8193" s="39"/>
      <c r="B8193" s="36"/>
      <c r="C8193" s="37"/>
      <c r="D8193" s="37"/>
      <c r="E8193" s="37"/>
      <c r="F8193" s="37"/>
      <c r="G8193" s="37"/>
      <c r="H8193" s="37"/>
      <c r="I8193" s="35"/>
      <c r="J8193" s="37"/>
    </row>
    <row r="8194" spans="1:10" ht="15.95" customHeight="1" x14ac:dyDescent="0.2">
      <c r="A8194" s="39"/>
      <c r="B8194" s="36"/>
      <c r="C8194" s="37"/>
      <c r="D8194" s="37"/>
      <c r="E8194" s="37"/>
      <c r="F8194" s="37"/>
      <c r="G8194" s="37"/>
      <c r="H8194" s="37"/>
      <c r="I8194" s="35"/>
      <c r="J8194" s="37"/>
    </row>
    <row r="8195" spans="1:10" ht="15.95" customHeight="1" x14ac:dyDescent="0.2">
      <c r="A8195" s="39"/>
      <c r="B8195" s="36"/>
      <c r="C8195" s="37"/>
      <c r="D8195" s="37"/>
      <c r="E8195" s="37"/>
      <c r="F8195" s="37"/>
      <c r="G8195" s="37"/>
      <c r="H8195" s="37"/>
      <c r="I8195" s="35"/>
      <c r="J8195" s="37"/>
    </row>
    <row r="8196" spans="1:10" ht="15.95" customHeight="1" x14ac:dyDescent="0.2">
      <c r="A8196" s="39"/>
      <c r="B8196" s="36"/>
      <c r="C8196" s="37"/>
      <c r="D8196" s="37"/>
      <c r="E8196" s="37"/>
      <c r="F8196" s="37"/>
      <c r="G8196" s="37"/>
      <c r="H8196" s="37"/>
      <c r="I8196" s="35"/>
      <c r="J8196" s="37"/>
    </row>
    <row r="8197" spans="1:10" ht="15.95" customHeight="1" x14ac:dyDescent="0.2">
      <c r="A8197" s="39"/>
      <c r="B8197" s="36"/>
      <c r="C8197" s="37"/>
      <c r="D8197" s="37"/>
      <c r="E8197" s="37"/>
      <c r="F8197" s="37"/>
      <c r="G8197" s="37"/>
      <c r="H8197" s="37"/>
      <c r="I8197" s="35"/>
      <c r="J8197" s="37"/>
    </row>
    <row r="8198" spans="1:10" ht="15.95" customHeight="1" x14ac:dyDescent="0.2">
      <c r="A8198" s="39"/>
      <c r="B8198" s="36"/>
      <c r="C8198" s="37"/>
      <c r="D8198" s="37"/>
      <c r="E8198" s="37"/>
      <c r="F8198" s="37"/>
      <c r="G8198" s="37"/>
      <c r="H8198" s="37"/>
      <c r="I8198" s="35"/>
      <c r="J8198" s="37"/>
    </row>
    <row r="8199" spans="1:10" ht="15.95" customHeight="1" x14ac:dyDescent="0.2">
      <c r="A8199" s="39"/>
      <c r="B8199" s="36"/>
      <c r="C8199" s="37"/>
      <c r="D8199" s="37"/>
      <c r="E8199" s="37"/>
      <c r="F8199" s="37"/>
      <c r="G8199" s="37"/>
      <c r="H8199" s="37"/>
      <c r="I8199" s="35"/>
      <c r="J8199" s="37"/>
    </row>
    <row r="8200" spans="1:10" ht="15.95" customHeight="1" x14ac:dyDescent="0.2">
      <c r="A8200" s="39"/>
      <c r="B8200" s="36"/>
      <c r="C8200" s="37"/>
      <c r="D8200" s="37"/>
      <c r="E8200" s="37"/>
      <c r="F8200" s="37"/>
      <c r="G8200" s="37"/>
      <c r="H8200" s="37"/>
      <c r="I8200" s="35"/>
      <c r="J8200" s="37"/>
    </row>
    <row r="8201" spans="1:10" ht="15.95" customHeight="1" x14ac:dyDescent="0.2">
      <c r="A8201" s="39"/>
      <c r="B8201" s="36"/>
      <c r="C8201" s="37"/>
      <c r="D8201" s="37"/>
      <c r="E8201" s="37"/>
      <c r="F8201" s="37"/>
      <c r="G8201" s="37"/>
      <c r="H8201" s="37"/>
      <c r="I8201" s="35"/>
      <c r="J8201" s="37"/>
    </row>
    <row r="8202" spans="1:10" ht="15.95" customHeight="1" x14ac:dyDescent="0.2">
      <c r="A8202" s="39"/>
      <c r="B8202" s="36"/>
      <c r="C8202" s="37"/>
      <c r="D8202" s="37"/>
      <c r="E8202" s="37"/>
      <c r="F8202" s="37"/>
      <c r="G8202" s="37"/>
      <c r="H8202" s="37"/>
      <c r="I8202" s="35"/>
      <c r="J8202" s="37"/>
    </row>
    <row r="8203" spans="1:10" ht="15.95" customHeight="1" x14ac:dyDescent="0.2">
      <c r="A8203" s="39"/>
      <c r="B8203" s="36"/>
      <c r="C8203" s="37"/>
      <c r="D8203" s="37"/>
      <c r="E8203" s="37"/>
      <c r="F8203" s="37"/>
      <c r="G8203" s="37"/>
      <c r="H8203" s="37"/>
      <c r="I8203" s="35"/>
      <c r="J8203" s="37"/>
    </row>
    <row r="8204" spans="1:10" ht="15.95" customHeight="1" x14ac:dyDescent="0.2">
      <c r="A8204" s="39"/>
      <c r="B8204" s="36"/>
      <c r="C8204" s="37"/>
      <c r="D8204" s="37"/>
      <c r="E8204" s="37"/>
      <c r="F8204" s="37"/>
      <c r="G8204" s="37"/>
      <c r="H8204" s="37"/>
      <c r="I8204" s="35"/>
      <c r="J8204" s="37"/>
    </row>
    <row r="8205" spans="1:10" ht="15.95" customHeight="1" x14ac:dyDescent="0.2">
      <c r="A8205" s="39"/>
      <c r="B8205" s="36"/>
      <c r="C8205" s="37"/>
      <c r="D8205" s="37"/>
      <c r="E8205" s="37"/>
      <c r="F8205" s="37"/>
      <c r="G8205" s="37"/>
      <c r="H8205" s="37"/>
      <c r="I8205" s="35"/>
      <c r="J8205" s="37"/>
    </row>
    <row r="8206" spans="1:10" ht="15.95" customHeight="1" x14ac:dyDescent="0.2">
      <c r="A8206" s="39"/>
      <c r="B8206" s="36"/>
      <c r="C8206" s="37"/>
      <c r="D8206" s="37"/>
      <c r="E8206" s="37"/>
      <c r="F8206" s="37"/>
      <c r="G8206" s="37"/>
      <c r="H8206" s="37"/>
      <c r="I8206" s="35"/>
      <c r="J8206" s="37"/>
    </row>
    <row r="8207" spans="1:10" ht="15.95" customHeight="1" x14ac:dyDescent="0.2">
      <c r="A8207" s="39"/>
      <c r="B8207" s="36"/>
      <c r="C8207" s="37"/>
      <c r="D8207" s="37"/>
      <c r="E8207" s="37"/>
      <c r="F8207" s="37"/>
      <c r="G8207" s="37"/>
      <c r="H8207" s="37"/>
      <c r="I8207" s="35"/>
      <c r="J8207" s="37"/>
    </row>
    <row r="8208" spans="1:10" ht="15.95" customHeight="1" x14ac:dyDescent="0.2">
      <c r="A8208" s="39"/>
      <c r="B8208" s="36"/>
      <c r="C8208" s="37"/>
      <c r="D8208" s="37"/>
      <c r="E8208" s="37"/>
      <c r="F8208" s="37"/>
      <c r="G8208" s="37"/>
      <c r="H8208" s="37"/>
      <c r="I8208" s="35"/>
      <c r="J8208" s="37"/>
    </row>
    <row r="8209" spans="1:10" ht="15.95" customHeight="1" x14ac:dyDescent="0.2">
      <c r="A8209" s="39"/>
      <c r="B8209" s="36"/>
      <c r="C8209" s="37"/>
      <c r="D8209" s="37"/>
      <c r="E8209" s="37"/>
      <c r="F8209" s="37"/>
      <c r="G8209" s="37"/>
      <c r="H8209" s="37"/>
      <c r="I8209" s="35"/>
      <c r="J8209" s="37"/>
    </row>
    <row r="8210" spans="1:10" ht="15.95" customHeight="1" x14ac:dyDescent="0.2">
      <c r="A8210" s="39"/>
      <c r="B8210" s="36"/>
      <c r="C8210" s="37"/>
      <c r="D8210" s="37"/>
      <c r="E8210" s="37"/>
      <c r="F8210" s="37"/>
      <c r="G8210" s="37"/>
      <c r="H8210" s="37"/>
      <c r="I8210" s="35"/>
      <c r="J8210" s="37"/>
    </row>
    <row r="8211" spans="1:10" ht="15.95" customHeight="1" x14ac:dyDescent="0.2">
      <c r="A8211" s="39"/>
      <c r="B8211" s="36"/>
      <c r="C8211" s="37"/>
      <c r="D8211" s="37"/>
      <c r="E8211" s="37"/>
      <c r="F8211" s="37"/>
      <c r="G8211" s="37"/>
      <c r="H8211" s="37"/>
      <c r="I8211" s="35"/>
      <c r="J8211" s="37"/>
    </row>
    <row r="8212" spans="1:10" ht="15.95" customHeight="1" x14ac:dyDescent="0.2">
      <c r="A8212" s="39"/>
      <c r="B8212" s="36"/>
      <c r="C8212" s="37"/>
      <c r="D8212" s="37"/>
      <c r="E8212" s="37"/>
      <c r="F8212" s="37"/>
      <c r="G8212" s="37"/>
      <c r="H8212" s="37"/>
      <c r="I8212" s="35"/>
      <c r="J8212" s="37"/>
    </row>
    <row r="8213" spans="1:10" ht="15.95" customHeight="1" x14ac:dyDescent="0.2">
      <c r="A8213" s="39"/>
      <c r="B8213" s="36"/>
      <c r="C8213" s="37"/>
      <c r="D8213" s="37"/>
      <c r="E8213" s="37"/>
      <c r="F8213" s="37"/>
      <c r="G8213" s="37"/>
      <c r="H8213" s="37"/>
      <c r="I8213" s="35"/>
      <c r="J8213" s="37"/>
    </row>
    <row r="8214" spans="1:10" ht="15.95" customHeight="1" x14ac:dyDescent="0.2">
      <c r="A8214" s="39"/>
      <c r="B8214" s="36"/>
      <c r="C8214" s="37"/>
      <c r="D8214" s="37"/>
      <c r="E8214" s="37"/>
      <c r="F8214" s="37"/>
      <c r="G8214" s="37"/>
      <c r="H8214" s="37"/>
      <c r="I8214" s="35"/>
      <c r="J8214" s="37"/>
    </row>
    <row r="8215" spans="1:10" ht="15.95" customHeight="1" x14ac:dyDescent="0.2">
      <c r="A8215" s="39"/>
      <c r="B8215" s="36"/>
      <c r="C8215" s="37"/>
      <c r="D8215" s="37"/>
      <c r="E8215" s="37"/>
      <c r="F8215" s="37"/>
      <c r="G8215" s="37"/>
      <c r="H8215" s="37"/>
      <c r="I8215" s="35"/>
      <c r="J8215" s="37"/>
    </row>
    <row r="8216" spans="1:10" ht="15.95" customHeight="1" x14ac:dyDescent="0.2">
      <c r="A8216" s="39"/>
      <c r="B8216" s="36"/>
      <c r="C8216" s="37"/>
      <c r="D8216" s="37"/>
      <c r="E8216" s="37"/>
      <c r="F8216" s="37"/>
      <c r="G8216" s="37"/>
      <c r="H8216" s="37"/>
      <c r="I8216" s="35"/>
      <c r="J8216" s="37"/>
    </row>
    <row r="8217" spans="1:10" ht="15.95" customHeight="1" x14ac:dyDescent="0.2">
      <c r="A8217" s="39"/>
      <c r="B8217" s="36"/>
      <c r="C8217" s="37"/>
      <c r="D8217" s="37"/>
      <c r="E8217" s="37"/>
      <c r="F8217" s="37"/>
      <c r="G8217" s="37"/>
      <c r="H8217" s="37"/>
      <c r="I8217" s="35"/>
      <c r="J8217" s="37"/>
    </row>
    <row r="8218" spans="1:10" ht="15.95" customHeight="1" x14ac:dyDescent="0.2">
      <c r="A8218" s="39"/>
      <c r="B8218" s="36"/>
      <c r="C8218" s="37"/>
      <c r="D8218" s="37"/>
      <c r="E8218" s="37"/>
      <c r="F8218" s="37"/>
      <c r="G8218" s="37"/>
      <c r="H8218" s="37"/>
      <c r="I8218" s="35"/>
      <c r="J8218" s="37"/>
    </row>
    <row r="8219" spans="1:10" ht="15.95" customHeight="1" x14ac:dyDescent="0.2">
      <c r="A8219" s="39"/>
      <c r="B8219" s="36"/>
      <c r="C8219" s="37"/>
      <c r="D8219" s="37"/>
      <c r="E8219" s="37"/>
      <c r="F8219" s="37"/>
      <c r="G8219" s="37"/>
      <c r="H8219" s="37"/>
      <c r="I8219" s="35"/>
      <c r="J8219" s="37"/>
    </row>
    <row r="8220" spans="1:10" ht="15.95" customHeight="1" x14ac:dyDescent="0.2">
      <c r="A8220" s="39"/>
      <c r="B8220" s="36"/>
      <c r="C8220" s="37"/>
      <c r="D8220" s="37"/>
      <c r="E8220" s="37"/>
      <c r="F8220" s="37"/>
      <c r="G8220" s="37"/>
      <c r="H8220" s="37"/>
      <c r="I8220" s="35"/>
      <c r="J8220" s="37"/>
    </row>
    <row r="8221" spans="1:10" ht="15.95" customHeight="1" x14ac:dyDescent="0.2">
      <c r="A8221" s="39"/>
      <c r="B8221" s="36"/>
      <c r="C8221" s="37"/>
      <c r="D8221" s="37"/>
      <c r="E8221" s="37"/>
      <c r="F8221" s="37"/>
      <c r="G8221" s="37"/>
      <c r="H8221" s="37"/>
      <c r="I8221" s="35"/>
      <c r="J8221" s="37"/>
    </row>
    <row r="8222" spans="1:10" ht="15.95" customHeight="1" x14ac:dyDescent="0.2">
      <c r="A8222" s="39"/>
      <c r="B8222" s="36"/>
      <c r="C8222" s="37"/>
      <c r="D8222" s="37"/>
      <c r="E8222" s="37"/>
      <c r="F8222" s="37"/>
      <c r="G8222" s="37"/>
      <c r="H8222" s="37"/>
      <c r="I8222" s="35"/>
      <c r="J8222" s="37"/>
    </row>
    <row r="8223" spans="1:10" ht="15.95" customHeight="1" x14ac:dyDescent="0.2">
      <c r="A8223" s="39"/>
      <c r="B8223" s="36"/>
      <c r="C8223" s="37"/>
      <c r="D8223" s="37"/>
      <c r="E8223" s="37"/>
      <c r="F8223" s="37"/>
      <c r="G8223" s="37"/>
      <c r="H8223" s="37"/>
      <c r="I8223" s="35"/>
      <c r="J8223" s="37"/>
    </row>
    <row r="8224" spans="1:10" ht="15.95" customHeight="1" x14ac:dyDescent="0.2">
      <c r="A8224" s="39"/>
      <c r="B8224" s="36"/>
      <c r="C8224" s="37"/>
      <c r="D8224" s="37"/>
      <c r="E8224" s="37"/>
      <c r="F8224" s="37"/>
      <c r="G8224" s="37"/>
      <c r="H8224" s="37"/>
      <c r="I8224" s="35"/>
      <c r="J8224" s="37"/>
    </row>
    <row r="8225" spans="1:10" ht="15.95" customHeight="1" x14ac:dyDescent="0.2">
      <c r="A8225" s="39"/>
      <c r="B8225" s="36"/>
      <c r="C8225" s="37"/>
      <c r="D8225" s="37"/>
      <c r="E8225" s="37"/>
      <c r="F8225" s="37"/>
      <c r="G8225" s="37"/>
      <c r="H8225" s="37"/>
      <c r="I8225" s="35"/>
      <c r="J8225" s="37"/>
    </row>
    <row r="8226" spans="1:10" ht="15.95" customHeight="1" x14ac:dyDescent="0.2">
      <c r="A8226" s="39"/>
      <c r="B8226" s="36"/>
      <c r="C8226" s="37"/>
      <c r="D8226" s="37"/>
      <c r="E8226" s="37"/>
      <c r="F8226" s="37"/>
      <c r="G8226" s="37"/>
      <c r="H8226" s="37"/>
      <c r="I8226" s="35"/>
      <c r="J8226" s="37"/>
    </row>
    <row r="8227" spans="1:10" ht="15.95" customHeight="1" x14ac:dyDescent="0.2">
      <c r="A8227" s="39"/>
      <c r="B8227" s="36"/>
      <c r="C8227" s="37"/>
      <c r="D8227" s="37"/>
      <c r="E8227" s="37"/>
      <c r="F8227" s="37"/>
      <c r="G8227" s="37"/>
      <c r="H8227" s="37"/>
      <c r="I8227" s="35"/>
      <c r="J8227" s="37"/>
    </row>
    <row r="8228" spans="1:10" ht="15.95" customHeight="1" x14ac:dyDescent="0.2">
      <c r="A8228" s="39"/>
      <c r="B8228" s="36"/>
      <c r="C8228" s="37"/>
      <c r="D8228" s="37"/>
      <c r="E8228" s="37"/>
      <c r="F8228" s="37"/>
      <c r="G8228" s="37"/>
      <c r="H8228" s="37"/>
      <c r="I8228" s="35"/>
      <c r="J8228" s="37"/>
    </row>
    <row r="8229" spans="1:10" ht="15.95" customHeight="1" x14ac:dyDescent="0.2">
      <c r="A8229" s="39"/>
      <c r="B8229" s="36"/>
      <c r="C8229" s="37"/>
      <c r="D8229" s="37"/>
      <c r="E8229" s="37"/>
      <c r="F8229" s="37"/>
      <c r="G8229" s="37"/>
      <c r="H8229" s="37"/>
      <c r="I8229" s="35"/>
      <c r="J8229" s="37"/>
    </row>
    <row r="8230" spans="1:10" ht="15.95" customHeight="1" x14ac:dyDescent="0.2">
      <c r="A8230" s="39"/>
      <c r="B8230" s="36"/>
      <c r="C8230" s="37"/>
      <c r="D8230" s="37"/>
      <c r="E8230" s="37"/>
      <c r="F8230" s="37"/>
      <c r="G8230" s="37"/>
      <c r="H8230" s="37"/>
      <c r="I8230" s="35"/>
      <c r="J8230" s="37"/>
    </row>
    <row r="8231" spans="1:10" ht="15.95" customHeight="1" x14ac:dyDescent="0.2">
      <c r="A8231" s="39"/>
      <c r="B8231" s="36"/>
      <c r="C8231" s="37"/>
      <c r="D8231" s="37"/>
      <c r="E8231" s="37"/>
      <c r="F8231" s="37"/>
      <c r="G8231" s="37"/>
      <c r="H8231" s="37"/>
      <c r="I8231" s="35"/>
      <c r="J8231" s="37"/>
    </row>
    <row r="8232" spans="1:10" ht="15.95" customHeight="1" x14ac:dyDescent="0.2">
      <c r="A8232" s="39"/>
      <c r="B8232" s="36"/>
      <c r="C8232" s="37"/>
      <c r="D8232" s="37"/>
      <c r="E8232" s="37"/>
      <c r="F8232" s="37"/>
      <c r="G8232" s="37"/>
      <c r="H8232" s="37"/>
      <c r="I8232" s="35"/>
      <c r="J8232" s="37"/>
    </row>
    <row r="8233" spans="1:10" ht="15.95" customHeight="1" x14ac:dyDescent="0.2">
      <c r="A8233" s="39"/>
      <c r="B8233" s="36"/>
      <c r="C8233" s="37"/>
      <c r="D8233" s="37"/>
      <c r="E8233" s="37"/>
      <c r="F8233" s="37"/>
      <c r="G8233" s="37"/>
      <c r="H8233" s="37"/>
      <c r="I8233" s="35"/>
      <c r="J8233" s="37"/>
    </row>
    <row r="8234" spans="1:10" ht="15.95" customHeight="1" x14ac:dyDescent="0.2">
      <c r="A8234" s="39"/>
      <c r="B8234" s="36"/>
      <c r="C8234" s="37"/>
      <c r="D8234" s="37"/>
      <c r="E8234" s="37"/>
      <c r="F8234" s="37"/>
      <c r="G8234" s="37"/>
      <c r="H8234" s="37"/>
      <c r="I8234" s="35"/>
      <c r="J8234" s="37"/>
    </row>
    <row r="8235" spans="1:10" ht="15.95" customHeight="1" x14ac:dyDescent="0.2">
      <c r="A8235" s="39"/>
      <c r="B8235" s="36"/>
      <c r="C8235" s="37"/>
      <c r="D8235" s="37"/>
      <c r="E8235" s="37"/>
      <c r="F8235" s="37"/>
      <c r="G8235" s="37"/>
      <c r="H8235" s="37"/>
      <c r="I8235" s="35"/>
      <c r="J8235" s="37"/>
    </row>
    <row r="8236" spans="1:10" ht="15.95" customHeight="1" x14ac:dyDescent="0.2">
      <c r="A8236" s="39"/>
      <c r="B8236" s="36"/>
      <c r="C8236" s="37"/>
      <c r="D8236" s="37"/>
      <c r="E8236" s="37"/>
      <c r="F8236" s="37"/>
      <c r="G8236" s="37"/>
      <c r="H8236" s="37"/>
      <c r="I8236" s="35"/>
      <c r="J8236" s="37"/>
    </row>
    <row r="8237" spans="1:10" ht="15.95" customHeight="1" x14ac:dyDescent="0.2">
      <c r="A8237" s="39"/>
      <c r="B8237" s="36"/>
      <c r="C8237" s="37"/>
      <c r="D8237" s="37"/>
      <c r="E8237" s="37"/>
      <c r="F8237" s="37"/>
      <c r="G8237" s="37"/>
      <c r="H8237" s="37"/>
      <c r="I8237" s="35"/>
      <c r="J8237" s="37"/>
    </row>
    <row r="8238" spans="1:10" ht="15.95" customHeight="1" x14ac:dyDescent="0.2">
      <c r="A8238" s="39"/>
      <c r="B8238" s="36"/>
      <c r="C8238" s="37"/>
      <c r="D8238" s="37"/>
      <c r="E8238" s="37"/>
      <c r="F8238" s="37"/>
      <c r="G8238" s="37"/>
      <c r="H8238" s="37"/>
      <c r="I8238" s="35"/>
      <c r="J8238" s="37"/>
    </row>
    <row r="8239" spans="1:10" ht="15.95" customHeight="1" x14ac:dyDescent="0.2">
      <c r="A8239" s="39"/>
      <c r="B8239" s="36"/>
      <c r="C8239" s="37"/>
      <c r="D8239" s="37"/>
      <c r="E8239" s="37"/>
      <c r="F8239" s="37"/>
      <c r="G8239" s="37"/>
      <c r="H8239" s="37"/>
      <c r="I8239" s="35"/>
      <c r="J8239" s="37"/>
    </row>
    <row r="8240" spans="1:10" ht="15.95" customHeight="1" x14ac:dyDescent="0.2">
      <c r="A8240" s="39"/>
      <c r="B8240" s="36"/>
      <c r="C8240" s="37"/>
      <c r="D8240" s="37"/>
      <c r="E8240" s="37"/>
      <c r="F8240" s="37"/>
      <c r="G8240" s="37"/>
      <c r="H8240" s="37"/>
      <c r="I8240" s="35"/>
      <c r="J8240" s="37"/>
    </row>
    <row r="8241" spans="1:10" ht="15.95" customHeight="1" x14ac:dyDescent="0.2">
      <c r="A8241" s="39"/>
      <c r="B8241" s="36"/>
      <c r="C8241" s="37"/>
      <c r="D8241" s="37"/>
      <c r="E8241" s="37"/>
      <c r="F8241" s="37"/>
      <c r="G8241" s="37"/>
      <c r="H8241" s="37"/>
      <c r="I8241" s="35"/>
      <c r="J8241" s="37"/>
    </row>
    <row r="8242" spans="1:10" ht="15.95" customHeight="1" x14ac:dyDescent="0.2">
      <c r="A8242" s="39"/>
      <c r="B8242" s="36"/>
      <c r="C8242" s="37"/>
      <c r="D8242" s="37"/>
      <c r="E8242" s="37"/>
      <c r="F8242" s="37"/>
      <c r="G8242" s="37"/>
      <c r="H8242" s="37"/>
      <c r="I8242" s="35"/>
      <c r="J8242" s="37"/>
    </row>
    <row r="8243" spans="1:10" ht="15.95" customHeight="1" x14ac:dyDescent="0.2">
      <c r="A8243" s="39"/>
      <c r="B8243" s="36"/>
      <c r="C8243" s="37"/>
      <c r="D8243" s="37"/>
      <c r="E8243" s="37"/>
      <c r="F8243" s="37"/>
      <c r="G8243" s="37"/>
      <c r="H8243" s="37"/>
      <c r="I8243" s="35"/>
      <c r="J8243" s="37"/>
    </row>
    <row r="8244" spans="1:10" ht="15.95" customHeight="1" x14ac:dyDescent="0.2">
      <c r="A8244" s="39"/>
      <c r="B8244" s="36"/>
      <c r="C8244" s="37"/>
      <c r="D8244" s="37"/>
      <c r="E8244" s="37"/>
      <c r="F8244" s="37"/>
      <c r="G8244" s="37"/>
      <c r="H8244" s="37"/>
      <c r="I8244" s="35"/>
      <c r="J8244" s="37"/>
    </row>
    <row r="8245" spans="1:10" ht="15.95" customHeight="1" x14ac:dyDescent="0.2">
      <c r="A8245" s="39"/>
      <c r="B8245" s="36"/>
      <c r="C8245" s="37"/>
      <c r="D8245" s="37"/>
      <c r="E8245" s="37"/>
      <c r="F8245" s="37"/>
      <c r="G8245" s="37"/>
      <c r="H8245" s="37"/>
      <c r="I8245" s="35"/>
      <c r="J8245" s="37"/>
    </row>
    <row r="8246" spans="1:10" ht="15.95" customHeight="1" x14ac:dyDescent="0.2">
      <c r="A8246" s="39"/>
      <c r="B8246" s="36"/>
      <c r="C8246" s="37"/>
      <c r="D8246" s="37"/>
      <c r="E8246" s="37"/>
      <c r="F8246" s="37"/>
      <c r="G8246" s="37"/>
      <c r="H8246" s="37"/>
      <c r="I8246" s="35"/>
      <c r="J8246" s="37"/>
    </row>
    <row r="8247" spans="1:10" ht="15.95" customHeight="1" x14ac:dyDescent="0.2">
      <c r="A8247" s="39"/>
      <c r="B8247" s="36"/>
      <c r="C8247" s="37"/>
      <c r="D8247" s="37"/>
      <c r="E8247" s="37"/>
      <c r="F8247" s="37"/>
      <c r="G8247" s="37"/>
      <c r="H8247" s="37"/>
      <c r="I8247" s="35"/>
      <c r="J8247" s="37"/>
    </row>
    <row r="8248" spans="1:10" ht="15.95" customHeight="1" x14ac:dyDescent="0.2">
      <c r="A8248" s="39"/>
      <c r="B8248" s="36"/>
      <c r="C8248" s="37"/>
      <c r="D8248" s="37"/>
      <c r="E8248" s="37"/>
      <c r="F8248" s="37"/>
      <c r="G8248" s="37"/>
      <c r="H8248" s="37"/>
      <c r="I8248" s="35"/>
      <c r="J8248" s="37"/>
    </row>
    <row r="8249" spans="1:10" ht="15.95" customHeight="1" x14ac:dyDescent="0.2">
      <c r="A8249" s="39"/>
      <c r="B8249" s="36"/>
      <c r="C8249" s="37"/>
      <c r="D8249" s="37"/>
      <c r="E8249" s="37"/>
      <c r="F8249" s="37"/>
      <c r="G8249" s="37"/>
      <c r="H8249" s="37"/>
      <c r="I8249" s="35"/>
      <c r="J8249" s="37"/>
    </row>
    <row r="8250" spans="1:10" ht="15.95" customHeight="1" x14ac:dyDescent="0.2">
      <c r="A8250" s="39"/>
      <c r="B8250" s="36"/>
      <c r="C8250" s="37"/>
      <c r="D8250" s="37"/>
      <c r="E8250" s="37"/>
      <c r="F8250" s="37"/>
      <c r="G8250" s="37"/>
      <c r="H8250" s="37"/>
      <c r="I8250" s="35"/>
      <c r="J8250" s="37"/>
    </row>
    <row r="8251" spans="1:10" ht="15.95" customHeight="1" x14ac:dyDescent="0.2">
      <c r="A8251" s="39"/>
      <c r="B8251" s="36"/>
      <c r="C8251" s="37"/>
      <c r="D8251" s="37"/>
      <c r="E8251" s="37"/>
      <c r="F8251" s="37"/>
      <c r="G8251" s="37"/>
      <c r="H8251" s="37"/>
      <c r="I8251" s="35"/>
      <c r="J8251" s="37"/>
    </row>
    <row r="8252" spans="1:10" ht="15.95" customHeight="1" x14ac:dyDescent="0.2">
      <c r="A8252" s="39"/>
      <c r="B8252" s="36"/>
      <c r="C8252" s="37"/>
      <c r="D8252" s="37"/>
      <c r="E8252" s="37"/>
      <c r="F8252" s="37"/>
      <c r="G8252" s="37"/>
      <c r="H8252" s="37"/>
      <c r="I8252" s="35"/>
      <c r="J8252" s="37"/>
    </row>
    <row r="8253" spans="1:10" ht="15.95" customHeight="1" x14ac:dyDescent="0.2">
      <c r="A8253" s="39"/>
      <c r="B8253" s="36"/>
      <c r="C8253" s="37"/>
      <c r="D8253" s="37"/>
      <c r="E8253" s="37"/>
      <c r="F8253" s="37"/>
      <c r="G8253" s="37"/>
      <c r="H8253" s="37"/>
      <c r="I8253" s="35"/>
      <c r="J8253" s="37"/>
    </row>
    <row r="8254" spans="1:10" ht="15.95" customHeight="1" x14ac:dyDescent="0.2">
      <c r="A8254" s="39"/>
      <c r="B8254" s="36"/>
      <c r="C8254" s="37"/>
      <c r="D8254" s="37"/>
      <c r="E8254" s="37"/>
      <c r="F8254" s="37"/>
      <c r="G8254" s="37"/>
      <c r="H8254" s="37"/>
      <c r="I8254" s="35"/>
      <c r="J8254" s="37"/>
    </row>
    <row r="8255" spans="1:10" ht="15.95" customHeight="1" x14ac:dyDescent="0.2">
      <c r="A8255" s="39"/>
      <c r="B8255" s="36"/>
      <c r="C8255" s="37"/>
      <c r="D8255" s="37"/>
      <c r="E8255" s="37"/>
      <c r="F8255" s="37"/>
      <c r="G8255" s="37"/>
      <c r="H8255" s="37"/>
      <c r="I8255" s="35"/>
      <c r="J8255" s="37"/>
    </row>
    <row r="8256" spans="1:10" ht="15.95" customHeight="1" x14ac:dyDescent="0.2">
      <c r="A8256" s="39"/>
      <c r="B8256" s="36"/>
      <c r="C8256" s="37"/>
      <c r="D8256" s="37"/>
      <c r="E8256" s="37"/>
      <c r="F8256" s="37"/>
      <c r="G8256" s="37"/>
      <c r="H8256" s="37"/>
      <c r="I8256" s="35"/>
      <c r="J8256" s="37"/>
    </row>
    <row r="8257" spans="1:10" ht="15.95" customHeight="1" x14ac:dyDescent="0.2">
      <c r="A8257" s="39"/>
      <c r="B8257" s="36"/>
      <c r="C8257" s="37"/>
      <c r="D8257" s="37"/>
      <c r="E8257" s="37"/>
      <c r="F8257" s="37"/>
      <c r="G8257" s="37"/>
      <c r="H8257" s="37"/>
      <c r="I8257" s="35"/>
      <c r="J8257" s="37"/>
    </row>
    <row r="8258" spans="1:10" ht="15.95" customHeight="1" x14ac:dyDescent="0.2">
      <c r="A8258" s="39"/>
      <c r="B8258" s="36"/>
      <c r="C8258" s="37"/>
      <c r="D8258" s="37"/>
      <c r="E8258" s="37"/>
      <c r="F8258" s="37"/>
      <c r="G8258" s="37"/>
      <c r="H8258" s="37"/>
      <c r="I8258" s="35"/>
      <c r="J8258" s="37"/>
    </row>
    <row r="8259" spans="1:10" ht="15.95" customHeight="1" x14ac:dyDescent="0.2">
      <c r="A8259" s="39"/>
      <c r="B8259" s="36"/>
      <c r="C8259" s="37"/>
      <c r="D8259" s="37"/>
      <c r="E8259" s="37"/>
      <c r="F8259" s="37"/>
      <c r="G8259" s="37"/>
      <c r="H8259" s="37"/>
      <c r="I8259" s="35"/>
      <c r="J8259" s="37"/>
    </row>
    <row r="8260" spans="1:10" ht="15.95" customHeight="1" x14ac:dyDescent="0.2">
      <c r="A8260" s="39"/>
      <c r="B8260" s="36"/>
      <c r="C8260" s="37"/>
      <c r="D8260" s="37"/>
      <c r="E8260" s="37"/>
      <c r="F8260" s="37"/>
      <c r="G8260" s="37"/>
      <c r="H8260" s="37"/>
      <c r="I8260" s="35"/>
      <c r="J8260" s="37"/>
    </row>
    <row r="8261" spans="1:10" ht="15.95" customHeight="1" x14ac:dyDescent="0.2">
      <c r="A8261" s="39"/>
      <c r="B8261" s="36"/>
      <c r="C8261" s="37"/>
      <c r="D8261" s="37"/>
      <c r="E8261" s="37"/>
      <c r="F8261" s="37"/>
      <c r="G8261" s="37"/>
      <c r="H8261" s="37"/>
      <c r="I8261" s="35"/>
      <c r="J8261" s="37"/>
    </row>
    <row r="8262" spans="1:10" ht="15.95" customHeight="1" x14ac:dyDescent="0.2">
      <c r="A8262" s="39"/>
      <c r="B8262" s="36"/>
      <c r="C8262" s="37"/>
      <c r="D8262" s="37"/>
      <c r="E8262" s="37"/>
      <c r="F8262" s="37"/>
      <c r="G8262" s="37"/>
      <c r="H8262" s="37"/>
      <c r="I8262" s="35"/>
      <c r="J8262" s="37"/>
    </row>
    <row r="8263" spans="1:10" ht="15.95" customHeight="1" x14ac:dyDescent="0.2">
      <c r="A8263" s="39"/>
      <c r="B8263" s="36"/>
      <c r="C8263" s="37"/>
      <c r="D8263" s="37"/>
      <c r="E8263" s="37"/>
      <c r="F8263" s="37"/>
      <c r="G8263" s="37"/>
      <c r="H8263" s="37"/>
      <c r="I8263" s="35"/>
      <c r="J8263" s="37"/>
    </row>
    <row r="8264" spans="1:10" ht="15.95" customHeight="1" x14ac:dyDescent="0.2">
      <c r="A8264" s="39"/>
      <c r="B8264" s="36"/>
      <c r="C8264" s="37"/>
      <c r="D8264" s="37"/>
      <c r="E8264" s="37"/>
      <c r="F8264" s="37"/>
      <c r="G8264" s="37"/>
      <c r="H8264" s="37"/>
      <c r="I8264" s="35"/>
      <c r="J8264" s="37"/>
    </row>
    <row r="8265" spans="1:10" ht="15.95" customHeight="1" x14ac:dyDescent="0.2">
      <c r="A8265" s="39"/>
      <c r="B8265" s="36"/>
      <c r="C8265" s="37"/>
      <c r="D8265" s="37"/>
      <c r="E8265" s="37"/>
      <c r="F8265" s="37"/>
      <c r="G8265" s="37"/>
      <c r="H8265" s="37"/>
      <c r="I8265" s="35"/>
      <c r="J8265" s="37"/>
    </row>
    <row r="8266" spans="1:10" ht="15.95" customHeight="1" x14ac:dyDescent="0.2">
      <c r="A8266" s="39"/>
      <c r="B8266" s="36"/>
      <c r="C8266" s="37"/>
      <c r="D8266" s="37"/>
      <c r="E8266" s="37"/>
      <c r="F8266" s="37"/>
      <c r="G8266" s="37"/>
      <c r="H8266" s="37"/>
      <c r="I8266" s="35"/>
      <c r="J8266" s="37"/>
    </row>
    <row r="8267" spans="1:10" ht="15.95" customHeight="1" x14ac:dyDescent="0.2">
      <c r="A8267" s="39"/>
      <c r="B8267" s="36"/>
      <c r="C8267" s="37"/>
      <c r="D8267" s="37"/>
      <c r="E8267" s="37"/>
      <c r="F8267" s="37"/>
      <c r="G8267" s="37"/>
      <c r="H8267" s="37"/>
      <c r="I8267" s="35"/>
      <c r="J8267" s="37"/>
    </row>
    <row r="8268" spans="1:10" ht="15.95" customHeight="1" x14ac:dyDescent="0.2">
      <c r="A8268" s="39"/>
      <c r="B8268" s="36"/>
      <c r="C8268" s="37"/>
      <c r="D8268" s="37"/>
      <c r="E8268" s="37"/>
      <c r="F8268" s="37"/>
      <c r="G8268" s="37"/>
      <c r="H8268" s="37"/>
      <c r="I8268" s="35"/>
      <c r="J8268" s="37"/>
    </row>
    <row r="8269" spans="1:10" ht="15.95" customHeight="1" x14ac:dyDescent="0.2">
      <c r="A8269" s="39"/>
      <c r="B8269" s="36"/>
      <c r="C8269" s="37"/>
      <c r="D8269" s="37"/>
      <c r="E8269" s="37"/>
      <c r="F8269" s="37"/>
      <c r="G8269" s="37"/>
      <c r="H8269" s="37"/>
      <c r="I8269" s="35"/>
      <c r="J8269" s="37"/>
    </row>
    <row r="8270" spans="1:10" ht="15.95" customHeight="1" x14ac:dyDescent="0.2">
      <c r="A8270" s="39"/>
      <c r="B8270" s="36"/>
      <c r="C8270" s="37"/>
      <c r="D8270" s="37"/>
      <c r="E8270" s="37"/>
      <c r="F8270" s="37"/>
      <c r="G8270" s="37"/>
      <c r="H8270" s="37"/>
      <c r="I8270" s="35"/>
      <c r="J8270" s="37"/>
    </row>
    <row r="8271" spans="1:10" ht="15.95" customHeight="1" x14ac:dyDescent="0.2">
      <c r="A8271" s="39"/>
      <c r="B8271" s="36"/>
      <c r="C8271" s="37"/>
      <c r="D8271" s="37"/>
      <c r="E8271" s="37"/>
      <c r="F8271" s="37"/>
      <c r="G8271" s="37"/>
      <c r="H8271" s="37"/>
      <c r="I8271" s="35"/>
      <c r="J8271" s="37"/>
    </row>
    <row r="8272" spans="1:10" ht="15.95" customHeight="1" x14ac:dyDescent="0.2">
      <c r="A8272" s="39"/>
      <c r="B8272" s="36"/>
      <c r="C8272" s="37"/>
      <c r="D8272" s="37"/>
      <c r="E8272" s="37"/>
      <c r="F8272" s="37"/>
      <c r="G8272" s="37"/>
      <c r="H8272" s="37"/>
      <c r="I8272" s="35"/>
      <c r="J8272" s="37"/>
    </row>
    <row r="8273" spans="1:10" ht="15.95" customHeight="1" x14ac:dyDescent="0.2">
      <c r="A8273" s="39"/>
      <c r="B8273" s="36"/>
      <c r="C8273" s="37"/>
      <c r="D8273" s="37"/>
      <c r="E8273" s="37"/>
      <c r="F8273" s="37"/>
      <c r="G8273" s="37"/>
      <c r="H8273" s="37"/>
      <c r="I8273" s="35"/>
      <c r="J8273" s="37"/>
    </row>
    <row r="8274" spans="1:10" ht="15.95" customHeight="1" x14ac:dyDescent="0.2">
      <c r="A8274" s="39"/>
      <c r="B8274" s="36"/>
      <c r="C8274" s="37"/>
      <c r="D8274" s="37"/>
      <c r="E8274" s="37"/>
      <c r="F8274" s="37"/>
      <c r="G8274" s="37"/>
      <c r="H8274" s="37"/>
      <c r="I8274" s="35"/>
      <c r="J8274" s="37"/>
    </row>
    <row r="8275" spans="1:10" ht="15.95" customHeight="1" x14ac:dyDescent="0.2">
      <c r="A8275" s="39"/>
      <c r="B8275" s="36"/>
      <c r="C8275" s="37"/>
      <c r="D8275" s="37"/>
      <c r="E8275" s="37"/>
      <c r="F8275" s="37"/>
      <c r="G8275" s="37"/>
      <c r="H8275" s="37"/>
      <c r="I8275" s="35"/>
      <c r="J8275" s="37"/>
    </row>
    <row r="8276" spans="1:10" ht="15.95" customHeight="1" x14ac:dyDescent="0.2">
      <c r="A8276" s="39"/>
      <c r="B8276" s="36"/>
      <c r="C8276" s="37"/>
      <c r="D8276" s="37"/>
      <c r="E8276" s="37"/>
      <c r="F8276" s="37"/>
      <c r="G8276" s="37"/>
      <c r="H8276" s="37"/>
      <c r="I8276" s="35"/>
      <c r="J8276" s="37"/>
    </row>
    <row r="8277" spans="1:10" ht="15.95" customHeight="1" x14ac:dyDescent="0.2">
      <c r="A8277" s="39"/>
      <c r="B8277" s="36"/>
      <c r="C8277" s="37"/>
      <c r="D8277" s="37"/>
      <c r="E8277" s="37"/>
      <c r="F8277" s="37"/>
      <c r="G8277" s="37"/>
      <c r="H8277" s="37"/>
      <c r="I8277" s="35"/>
      <c r="J8277" s="37"/>
    </row>
    <row r="8278" spans="1:10" ht="15.95" customHeight="1" x14ac:dyDescent="0.2">
      <c r="A8278" s="39"/>
      <c r="B8278" s="36"/>
      <c r="C8278" s="37"/>
      <c r="D8278" s="37"/>
      <c r="E8278" s="37"/>
      <c r="F8278" s="37"/>
      <c r="G8278" s="37"/>
      <c r="H8278" s="37"/>
      <c r="I8278" s="35"/>
      <c r="J8278" s="37"/>
    </row>
    <row r="8279" spans="1:10" ht="15.95" customHeight="1" x14ac:dyDescent="0.2">
      <c r="A8279" s="39"/>
      <c r="B8279" s="36"/>
      <c r="C8279" s="37"/>
      <c r="D8279" s="37"/>
      <c r="E8279" s="37"/>
      <c r="F8279" s="37"/>
      <c r="G8279" s="37"/>
      <c r="H8279" s="37"/>
      <c r="I8279" s="35"/>
      <c r="J8279" s="37"/>
    </row>
    <row r="8280" spans="1:10" ht="15.95" customHeight="1" x14ac:dyDescent="0.2">
      <c r="A8280" s="39"/>
      <c r="B8280" s="36"/>
      <c r="C8280" s="37"/>
      <c r="D8280" s="37"/>
      <c r="E8280" s="37"/>
      <c r="F8280" s="37"/>
      <c r="G8280" s="37"/>
      <c r="H8280" s="37"/>
      <c r="I8280" s="35"/>
      <c r="J8280" s="37"/>
    </row>
    <row r="8281" spans="1:10" ht="15.95" customHeight="1" x14ac:dyDescent="0.2">
      <c r="A8281" s="39"/>
      <c r="B8281" s="36"/>
      <c r="C8281" s="37"/>
      <c r="D8281" s="37"/>
      <c r="E8281" s="37"/>
      <c r="F8281" s="37"/>
      <c r="G8281" s="37"/>
      <c r="H8281" s="37"/>
      <c r="I8281" s="35"/>
      <c r="J8281" s="37"/>
    </row>
    <row r="8282" spans="1:10" ht="15.95" customHeight="1" x14ac:dyDescent="0.2">
      <c r="A8282" s="39"/>
      <c r="B8282" s="36"/>
      <c r="C8282" s="37"/>
      <c r="D8282" s="37"/>
      <c r="E8282" s="37"/>
      <c r="F8282" s="37"/>
      <c r="G8282" s="37"/>
      <c r="H8282" s="37"/>
      <c r="I8282" s="35"/>
      <c r="J8282" s="37"/>
    </row>
    <row r="8283" spans="1:10" ht="15.95" customHeight="1" x14ac:dyDescent="0.2">
      <c r="A8283" s="39"/>
      <c r="B8283" s="36"/>
      <c r="C8283" s="37"/>
      <c r="D8283" s="37"/>
      <c r="E8283" s="37"/>
      <c r="F8283" s="37"/>
      <c r="G8283" s="37"/>
      <c r="H8283" s="37"/>
      <c r="I8283" s="35"/>
      <c r="J8283" s="37"/>
    </row>
    <row r="8284" spans="1:10" ht="15.95" customHeight="1" x14ac:dyDescent="0.2">
      <c r="A8284" s="39"/>
      <c r="B8284" s="36"/>
      <c r="C8284" s="37"/>
      <c r="D8284" s="37"/>
      <c r="E8284" s="37"/>
      <c r="F8284" s="37"/>
      <c r="G8284" s="37"/>
      <c r="H8284" s="37"/>
      <c r="I8284" s="35"/>
      <c r="J8284" s="37"/>
    </row>
    <row r="8285" spans="1:10" ht="15.95" customHeight="1" x14ac:dyDescent="0.2">
      <c r="A8285" s="39"/>
      <c r="B8285" s="36"/>
      <c r="C8285" s="37"/>
      <c r="D8285" s="37"/>
      <c r="E8285" s="37"/>
      <c r="F8285" s="37"/>
      <c r="G8285" s="37"/>
      <c r="H8285" s="37"/>
      <c r="I8285" s="35"/>
      <c r="J8285" s="37"/>
    </row>
    <row r="8286" spans="1:10" ht="15.95" customHeight="1" x14ac:dyDescent="0.2">
      <c r="A8286" s="39"/>
      <c r="B8286" s="36"/>
      <c r="C8286" s="37"/>
      <c r="D8286" s="37"/>
      <c r="E8286" s="37"/>
      <c r="F8286" s="37"/>
      <c r="G8286" s="37"/>
      <c r="H8286" s="37"/>
      <c r="I8286" s="35"/>
      <c r="J8286" s="37"/>
    </row>
    <row r="8287" spans="1:10" ht="15.95" customHeight="1" x14ac:dyDescent="0.2">
      <c r="A8287" s="39"/>
      <c r="B8287" s="36"/>
      <c r="C8287" s="37"/>
      <c r="D8287" s="37"/>
      <c r="E8287" s="37"/>
      <c r="F8287" s="37"/>
      <c r="G8287" s="37"/>
      <c r="H8287" s="37"/>
      <c r="I8287" s="35"/>
      <c r="J8287" s="37"/>
    </row>
    <row r="8288" spans="1:10" ht="15.95" customHeight="1" x14ac:dyDescent="0.2">
      <c r="A8288" s="39"/>
      <c r="B8288" s="36"/>
      <c r="C8288" s="37"/>
      <c r="D8288" s="37"/>
      <c r="E8288" s="37"/>
      <c r="F8288" s="37"/>
      <c r="G8288" s="37"/>
      <c r="H8288" s="37"/>
      <c r="I8288" s="35"/>
      <c r="J8288" s="37"/>
    </row>
    <row r="8289" spans="1:10" ht="15.95" customHeight="1" x14ac:dyDescent="0.2">
      <c r="A8289" s="39"/>
      <c r="B8289" s="36"/>
      <c r="C8289" s="37"/>
      <c r="D8289" s="37"/>
      <c r="E8289" s="37"/>
      <c r="F8289" s="37"/>
      <c r="G8289" s="37"/>
      <c r="H8289" s="37"/>
      <c r="I8289" s="35"/>
      <c r="J8289" s="37"/>
    </row>
    <row r="8290" spans="1:10" ht="15.95" customHeight="1" x14ac:dyDescent="0.2">
      <c r="A8290" s="39"/>
      <c r="B8290" s="36"/>
      <c r="C8290" s="37"/>
      <c r="D8290" s="37"/>
      <c r="E8290" s="37"/>
      <c r="F8290" s="37"/>
      <c r="G8290" s="37"/>
      <c r="H8290" s="37"/>
      <c r="I8290" s="35"/>
      <c r="J8290" s="37"/>
    </row>
    <row r="8291" spans="1:10" ht="15.95" customHeight="1" x14ac:dyDescent="0.2">
      <c r="A8291" s="39"/>
      <c r="B8291" s="36"/>
      <c r="C8291" s="37"/>
      <c r="D8291" s="37"/>
      <c r="E8291" s="37"/>
      <c r="F8291" s="37"/>
      <c r="G8291" s="37"/>
      <c r="H8291" s="37"/>
      <c r="I8291" s="35"/>
      <c r="J8291" s="37"/>
    </row>
    <row r="8292" spans="1:10" ht="15.95" customHeight="1" x14ac:dyDescent="0.2">
      <c r="A8292" s="39"/>
      <c r="B8292" s="36"/>
      <c r="C8292" s="37"/>
      <c r="D8292" s="37"/>
      <c r="E8292" s="37"/>
      <c r="F8292" s="37"/>
      <c r="G8292" s="37"/>
      <c r="H8292" s="37"/>
      <c r="I8292" s="35"/>
      <c r="J8292" s="37"/>
    </row>
    <row r="8293" spans="1:10" ht="15.95" customHeight="1" x14ac:dyDescent="0.2">
      <c r="A8293" s="39"/>
      <c r="B8293" s="36"/>
      <c r="C8293" s="37"/>
      <c r="D8293" s="37"/>
      <c r="E8293" s="37"/>
      <c r="F8293" s="37"/>
      <c r="G8293" s="37"/>
      <c r="H8293" s="37"/>
      <c r="I8293" s="35"/>
      <c r="J8293" s="37"/>
    </row>
    <row r="8294" spans="1:10" ht="15.95" customHeight="1" x14ac:dyDescent="0.2">
      <c r="A8294" s="39"/>
      <c r="B8294" s="36"/>
      <c r="C8294" s="37"/>
      <c r="D8294" s="37"/>
      <c r="E8294" s="37"/>
      <c r="F8294" s="37"/>
      <c r="G8294" s="37"/>
      <c r="H8294" s="37"/>
      <c r="I8294" s="35"/>
      <c r="J8294" s="37"/>
    </row>
    <row r="8295" spans="1:10" ht="15.95" customHeight="1" x14ac:dyDescent="0.2">
      <c r="A8295" s="39"/>
      <c r="B8295" s="36"/>
      <c r="C8295" s="37"/>
      <c r="D8295" s="37"/>
      <c r="E8295" s="37"/>
      <c r="F8295" s="37"/>
      <c r="G8295" s="37"/>
      <c r="H8295" s="37"/>
      <c r="I8295" s="35"/>
      <c r="J8295" s="37"/>
    </row>
    <row r="8296" spans="1:10" ht="15.95" customHeight="1" x14ac:dyDescent="0.2">
      <c r="A8296" s="39"/>
      <c r="B8296" s="36"/>
      <c r="C8296" s="37"/>
      <c r="D8296" s="37"/>
      <c r="E8296" s="37"/>
      <c r="F8296" s="37"/>
      <c r="G8296" s="37"/>
      <c r="H8296" s="37"/>
      <c r="I8296" s="35"/>
      <c r="J8296" s="37"/>
    </row>
    <row r="8297" spans="1:10" ht="15.95" customHeight="1" x14ac:dyDescent="0.2">
      <c r="A8297" s="39"/>
      <c r="B8297" s="36"/>
      <c r="C8297" s="37"/>
      <c r="D8297" s="37"/>
      <c r="E8297" s="37"/>
      <c r="F8297" s="37"/>
      <c r="G8297" s="37"/>
      <c r="H8297" s="37"/>
      <c r="I8297" s="35"/>
      <c r="J8297" s="37"/>
    </row>
    <row r="8298" spans="1:10" ht="15.95" customHeight="1" x14ac:dyDescent="0.2">
      <c r="A8298" s="39"/>
      <c r="B8298" s="36"/>
      <c r="C8298" s="37"/>
      <c r="D8298" s="37"/>
      <c r="E8298" s="37"/>
      <c r="F8298" s="37"/>
      <c r="G8298" s="37"/>
      <c r="H8298" s="37"/>
      <c r="I8298" s="35"/>
      <c r="J8298" s="37"/>
    </row>
    <row r="8299" spans="1:10" ht="15.95" customHeight="1" x14ac:dyDescent="0.2">
      <c r="A8299" s="39"/>
      <c r="B8299" s="36"/>
      <c r="C8299" s="37"/>
      <c r="D8299" s="37"/>
      <c r="E8299" s="37"/>
      <c r="F8299" s="37"/>
      <c r="G8299" s="37"/>
      <c r="H8299" s="37"/>
      <c r="I8299" s="35"/>
      <c r="J8299" s="37"/>
    </row>
    <row r="8300" spans="1:10" ht="15.95" customHeight="1" x14ac:dyDescent="0.2">
      <c r="A8300" s="39"/>
      <c r="B8300" s="36"/>
      <c r="C8300" s="37"/>
      <c r="D8300" s="37"/>
      <c r="E8300" s="37"/>
      <c r="F8300" s="37"/>
      <c r="G8300" s="37"/>
      <c r="H8300" s="37"/>
      <c r="I8300" s="35"/>
      <c r="J8300" s="37"/>
    </row>
    <row r="8301" spans="1:10" ht="15.95" customHeight="1" x14ac:dyDescent="0.2">
      <c r="A8301" s="39"/>
      <c r="B8301" s="36"/>
      <c r="C8301" s="37"/>
      <c r="D8301" s="37"/>
      <c r="E8301" s="37"/>
      <c r="F8301" s="37"/>
      <c r="G8301" s="37"/>
      <c r="H8301" s="37"/>
      <c r="I8301" s="35"/>
      <c r="J8301" s="37"/>
    </row>
    <row r="8302" spans="1:10" ht="15.95" customHeight="1" x14ac:dyDescent="0.2">
      <c r="A8302" s="39"/>
      <c r="B8302" s="36"/>
      <c r="C8302" s="37"/>
      <c r="D8302" s="37"/>
      <c r="E8302" s="37"/>
      <c r="F8302" s="37"/>
      <c r="G8302" s="37"/>
      <c r="H8302" s="37"/>
      <c r="I8302" s="35"/>
      <c r="J8302" s="37"/>
    </row>
    <row r="8303" spans="1:10" ht="15.95" customHeight="1" x14ac:dyDescent="0.2">
      <c r="A8303" s="39"/>
      <c r="B8303" s="36"/>
      <c r="C8303" s="37"/>
      <c r="D8303" s="37"/>
      <c r="E8303" s="37"/>
      <c r="F8303" s="37"/>
      <c r="G8303" s="37"/>
      <c r="H8303" s="37"/>
      <c r="I8303" s="35"/>
      <c r="J8303" s="37"/>
    </row>
    <row r="8304" spans="1:10" ht="15.95" customHeight="1" x14ac:dyDescent="0.2">
      <c r="A8304" s="39"/>
      <c r="B8304" s="36"/>
      <c r="C8304" s="37"/>
      <c r="D8304" s="37"/>
      <c r="E8304" s="37"/>
      <c r="F8304" s="37"/>
      <c r="G8304" s="37"/>
      <c r="H8304" s="37"/>
      <c r="I8304" s="35"/>
      <c r="J8304" s="37"/>
    </row>
    <row r="8305" spans="1:10" ht="15.95" customHeight="1" x14ac:dyDescent="0.2">
      <c r="A8305" s="39"/>
      <c r="B8305" s="36"/>
      <c r="C8305" s="37"/>
      <c r="D8305" s="37"/>
      <c r="E8305" s="37"/>
      <c r="F8305" s="37"/>
      <c r="G8305" s="37"/>
      <c r="H8305" s="37"/>
      <c r="I8305" s="35"/>
      <c r="J8305" s="37"/>
    </row>
    <row r="8306" spans="1:10" ht="15.95" customHeight="1" x14ac:dyDescent="0.2">
      <c r="A8306" s="39"/>
      <c r="B8306" s="36"/>
      <c r="C8306" s="37"/>
      <c r="D8306" s="37"/>
      <c r="E8306" s="37"/>
      <c r="F8306" s="37"/>
      <c r="G8306" s="37"/>
      <c r="H8306" s="37"/>
      <c r="I8306" s="35"/>
      <c r="J8306" s="37"/>
    </row>
    <row r="8307" spans="1:10" ht="15.95" customHeight="1" x14ac:dyDescent="0.2">
      <c r="A8307" s="39"/>
      <c r="B8307" s="36"/>
      <c r="C8307" s="37"/>
      <c r="D8307" s="37"/>
      <c r="E8307" s="37"/>
      <c r="F8307" s="37"/>
      <c r="G8307" s="37"/>
      <c r="H8307" s="37"/>
      <c r="I8307" s="35"/>
      <c r="J8307" s="37"/>
    </row>
    <row r="8308" spans="1:10" ht="15.95" customHeight="1" x14ac:dyDescent="0.2">
      <c r="A8308" s="39"/>
      <c r="B8308" s="36"/>
      <c r="C8308" s="37"/>
      <c r="D8308" s="37"/>
      <c r="E8308" s="37"/>
      <c r="F8308" s="37"/>
      <c r="G8308" s="37"/>
      <c r="H8308" s="37"/>
      <c r="I8308" s="35"/>
      <c r="J8308" s="37"/>
    </row>
    <row r="8309" spans="1:10" ht="15.95" customHeight="1" x14ac:dyDescent="0.2">
      <c r="A8309" s="39"/>
      <c r="B8309" s="36"/>
      <c r="C8309" s="37"/>
      <c r="D8309" s="37"/>
      <c r="E8309" s="37"/>
      <c r="F8309" s="37"/>
      <c r="G8309" s="37"/>
      <c r="H8309" s="37"/>
      <c r="I8309" s="35"/>
      <c r="J8309" s="37"/>
    </row>
    <row r="8310" spans="1:10" ht="15.95" customHeight="1" x14ac:dyDescent="0.2">
      <c r="A8310" s="39"/>
      <c r="B8310" s="36"/>
      <c r="C8310" s="37"/>
      <c r="D8310" s="37"/>
      <c r="E8310" s="37"/>
      <c r="F8310" s="37"/>
      <c r="G8310" s="37"/>
      <c r="H8310" s="37"/>
      <c r="I8310" s="35"/>
      <c r="J8310" s="37"/>
    </row>
    <row r="8311" spans="1:10" ht="15.95" customHeight="1" x14ac:dyDescent="0.2">
      <c r="A8311" s="39"/>
      <c r="B8311" s="36"/>
      <c r="C8311" s="37"/>
      <c r="D8311" s="37"/>
      <c r="E8311" s="37"/>
      <c r="F8311" s="37"/>
      <c r="G8311" s="37"/>
      <c r="H8311" s="37"/>
      <c r="I8311" s="35"/>
      <c r="J8311" s="37"/>
    </row>
    <row r="8312" spans="1:10" ht="15.95" customHeight="1" x14ac:dyDescent="0.2">
      <c r="A8312" s="39"/>
      <c r="B8312" s="36"/>
      <c r="C8312" s="37"/>
      <c r="D8312" s="37"/>
      <c r="E8312" s="37"/>
      <c r="F8312" s="37"/>
      <c r="G8312" s="37"/>
      <c r="H8312" s="37"/>
      <c r="I8312" s="35"/>
      <c r="J8312" s="37"/>
    </row>
    <row r="8313" spans="1:10" ht="15.95" customHeight="1" x14ac:dyDescent="0.2">
      <c r="A8313" s="39"/>
      <c r="B8313" s="36"/>
      <c r="C8313" s="37"/>
      <c r="D8313" s="37"/>
      <c r="E8313" s="37"/>
      <c r="F8313" s="37"/>
      <c r="G8313" s="37"/>
      <c r="H8313" s="37"/>
      <c r="I8313" s="35"/>
      <c r="J8313" s="37"/>
    </row>
    <row r="8314" spans="1:10" ht="15.95" customHeight="1" x14ac:dyDescent="0.2">
      <c r="A8314" s="39"/>
      <c r="B8314" s="36"/>
      <c r="C8314" s="37"/>
      <c r="D8314" s="37"/>
      <c r="E8314" s="37"/>
      <c r="F8314" s="37"/>
      <c r="G8314" s="37"/>
      <c r="H8314" s="37"/>
      <c r="I8314" s="35"/>
      <c r="J8314" s="37"/>
    </row>
    <row r="8315" spans="1:10" ht="15.95" customHeight="1" x14ac:dyDescent="0.2">
      <c r="A8315" s="39"/>
      <c r="B8315" s="36"/>
      <c r="C8315" s="37"/>
      <c r="D8315" s="37"/>
      <c r="E8315" s="37"/>
      <c r="F8315" s="37"/>
      <c r="G8315" s="37"/>
      <c r="H8315" s="37"/>
      <c r="I8315" s="35"/>
      <c r="J8315" s="37"/>
    </row>
    <row r="8316" spans="1:10" ht="15.95" customHeight="1" x14ac:dyDescent="0.2">
      <c r="A8316" s="39"/>
      <c r="B8316" s="36"/>
      <c r="C8316" s="37"/>
      <c r="D8316" s="37"/>
      <c r="E8316" s="37"/>
      <c r="F8316" s="37"/>
      <c r="G8316" s="37"/>
      <c r="H8316" s="37"/>
      <c r="I8316" s="35"/>
      <c r="J8316" s="37"/>
    </row>
    <row r="8317" spans="1:10" ht="15.95" customHeight="1" x14ac:dyDescent="0.2">
      <c r="A8317" s="39"/>
      <c r="B8317" s="36"/>
      <c r="C8317" s="37"/>
      <c r="D8317" s="37"/>
      <c r="E8317" s="37"/>
      <c r="F8317" s="37"/>
      <c r="G8317" s="37"/>
      <c r="H8317" s="37"/>
      <c r="I8317" s="35"/>
      <c r="J8317" s="37"/>
    </row>
    <row r="8318" spans="1:10" ht="15.95" customHeight="1" x14ac:dyDescent="0.2">
      <c r="A8318" s="39"/>
      <c r="B8318" s="36"/>
      <c r="C8318" s="37"/>
      <c r="D8318" s="37"/>
      <c r="E8318" s="37"/>
      <c r="F8318" s="37"/>
      <c r="G8318" s="37"/>
      <c r="H8318" s="37"/>
      <c r="I8318" s="35"/>
      <c r="J8318" s="37"/>
    </row>
    <row r="8319" spans="1:10" ht="15.95" customHeight="1" x14ac:dyDescent="0.2">
      <c r="A8319" s="39"/>
      <c r="B8319" s="36"/>
      <c r="C8319" s="37"/>
      <c r="D8319" s="37"/>
      <c r="E8319" s="37"/>
      <c r="F8319" s="37"/>
      <c r="G8319" s="37"/>
      <c r="H8319" s="37"/>
      <c r="I8319" s="35"/>
      <c r="J8319" s="37"/>
    </row>
    <row r="8320" spans="1:10" ht="15.95" customHeight="1" x14ac:dyDescent="0.2">
      <c r="A8320" s="39"/>
      <c r="B8320" s="36"/>
      <c r="C8320" s="37"/>
      <c r="D8320" s="37"/>
      <c r="E8320" s="37"/>
      <c r="F8320" s="37"/>
      <c r="G8320" s="37"/>
      <c r="H8320" s="37"/>
      <c r="I8320" s="35"/>
      <c r="J8320" s="37"/>
    </row>
    <row r="8321" spans="1:10" ht="15.95" customHeight="1" x14ac:dyDescent="0.2">
      <c r="A8321" s="39"/>
      <c r="B8321" s="36"/>
      <c r="C8321" s="37"/>
      <c r="D8321" s="37"/>
      <c r="E8321" s="37"/>
      <c r="F8321" s="37"/>
      <c r="G8321" s="37"/>
      <c r="H8321" s="37"/>
      <c r="I8321" s="35"/>
      <c r="J8321" s="37"/>
    </row>
    <row r="8322" spans="1:10" ht="15.95" customHeight="1" x14ac:dyDescent="0.2">
      <c r="A8322" s="39"/>
      <c r="B8322" s="36"/>
      <c r="C8322" s="37"/>
      <c r="D8322" s="37"/>
      <c r="E8322" s="37"/>
      <c r="F8322" s="37"/>
      <c r="G8322" s="37"/>
      <c r="H8322" s="37"/>
      <c r="I8322" s="35"/>
      <c r="J8322" s="37"/>
    </row>
    <row r="8323" spans="1:10" ht="15.95" customHeight="1" x14ac:dyDescent="0.2">
      <c r="A8323" s="39"/>
      <c r="B8323" s="36"/>
      <c r="C8323" s="37"/>
      <c r="D8323" s="37"/>
      <c r="E8323" s="37"/>
      <c r="F8323" s="37"/>
      <c r="G8323" s="37"/>
      <c r="H8323" s="37"/>
      <c r="I8323" s="35"/>
      <c r="J8323" s="37"/>
    </row>
    <row r="8324" spans="1:10" ht="15.95" customHeight="1" x14ac:dyDescent="0.2">
      <c r="A8324" s="39"/>
      <c r="B8324" s="36"/>
      <c r="C8324" s="37"/>
      <c r="D8324" s="37"/>
      <c r="E8324" s="37"/>
      <c r="F8324" s="37"/>
      <c r="G8324" s="37"/>
      <c r="H8324" s="37"/>
      <c r="I8324" s="35"/>
      <c r="J8324" s="37"/>
    </row>
    <row r="8325" spans="1:10" ht="15.95" customHeight="1" x14ac:dyDescent="0.2">
      <c r="A8325" s="39"/>
      <c r="B8325" s="36"/>
      <c r="C8325" s="37"/>
      <c r="D8325" s="37"/>
      <c r="E8325" s="37"/>
      <c r="F8325" s="37"/>
      <c r="G8325" s="37"/>
      <c r="H8325" s="37"/>
      <c r="I8325" s="35"/>
      <c r="J8325" s="37"/>
    </row>
    <row r="8326" spans="1:10" ht="15.95" customHeight="1" x14ac:dyDescent="0.2">
      <c r="A8326" s="39"/>
      <c r="B8326" s="36"/>
      <c r="C8326" s="37"/>
      <c r="D8326" s="37"/>
      <c r="E8326" s="37"/>
      <c r="F8326" s="37"/>
      <c r="G8326" s="37"/>
      <c r="H8326" s="37"/>
      <c r="I8326" s="35"/>
      <c r="J8326" s="37"/>
    </row>
    <row r="8327" spans="1:10" ht="15.95" customHeight="1" x14ac:dyDescent="0.2">
      <c r="A8327" s="39"/>
      <c r="B8327" s="36"/>
      <c r="C8327" s="37"/>
      <c r="D8327" s="37"/>
      <c r="E8327" s="37"/>
      <c r="F8327" s="37"/>
      <c r="G8327" s="37"/>
      <c r="H8327" s="37"/>
      <c r="I8327" s="35"/>
      <c r="J8327" s="37"/>
    </row>
    <row r="8328" spans="1:10" ht="15.95" customHeight="1" x14ac:dyDescent="0.2">
      <c r="A8328" s="39"/>
      <c r="B8328" s="36"/>
      <c r="C8328" s="37"/>
      <c r="D8328" s="37"/>
      <c r="E8328" s="37"/>
      <c r="F8328" s="37"/>
      <c r="G8328" s="37"/>
      <c r="H8328" s="37"/>
      <c r="I8328" s="35"/>
      <c r="J8328" s="37"/>
    </row>
    <row r="8329" spans="1:10" ht="15.95" customHeight="1" x14ac:dyDescent="0.2">
      <c r="A8329" s="39"/>
      <c r="B8329" s="36"/>
      <c r="C8329" s="37"/>
      <c r="D8329" s="37"/>
      <c r="E8329" s="37"/>
      <c r="F8329" s="37"/>
      <c r="G8329" s="37"/>
      <c r="H8329" s="37"/>
      <c r="I8329" s="35"/>
      <c r="J8329" s="37"/>
    </row>
    <row r="8330" spans="1:10" ht="15.95" customHeight="1" x14ac:dyDescent="0.2">
      <c r="A8330" s="39"/>
      <c r="B8330" s="36"/>
      <c r="C8330" s="37"/>
      <c r="D8330" s="37"/>
      <c r="E8330" s="37"/>
      <c r="F8330" s="37"/>
      <c r="G8330" s="37"/>
      <c r="H8330" s="37"/>
      <c r="I8330" s="35"/>
      <c r="J8330" s="37"/>
    </row>
    <row r="8331" spans="1:10" ht="15.95" customHeight="1" x14ac:dyDescent="0.2">
      <c r="A8331" s="39"/>
      <c r="B8331" s="36"/>
      <c r="C8331" s="37"/>
      <c r="D8331" s="37"/>
      <c r="E8331" s="37"/>
      <c r="F8331" s="37"/>
      <c r="G8331" s="37"/>
      <c r="H8331" s="37"/>
      <c r="I8331" s="35"/>
      <c r="J8331" s="37"/>
    </row>
    <row r="8332" spans="1:10" ht="15.95" customHeight="1" x14ac:dyDescent="0.2">
      <c r="A8332" s="39"/>
      <c r="B8332" s="36"/>
      <c r="C8332" s="37"/>
      <c r="D8332" s="37"/>
      <c r="E8332" s="37"/>
      <c r="F8332" s="37"/>
      <c r="G8332" s="37"/>
      <c r="H8332" s="37"/>
      <c r="I8332" s="35"/>
      <c r="J8332" s="37"/>
    </row>
    <row r="8333" spans="1:10" ht="15.95" customHeight="1" x14ac:dyDescent="0.2">
      <c r="A8333" s="39"/>
      <c r="B8333" s="36"/>
      <c r="C8333" s="37"/>
      <c r="D8333" s="37"/>
      <c r="E8333" s="37"/>
      <c r="F8333" s="37"/>
      <c r="G8333" s="37"/>
      <c r="H8333" s="37"/>
      <c r="I8333" s="35"/>
      <c r="J8333" s="37"/>
    </row>
    <row r="8334" spans="1:10" ht="15.95" customHeight="1" x14ac:dyDescent="0.2">
      <c r="A8334" s="39"/>
      <c r="B8334" s="36"/>
      <c r="C8334" s="37"/>
      <c r="D8334" s="37"/>
      <c r="E8334" s="37"/>
      <c r="F8334" s="37"/>
      <c r="G8334" s="37"/>
      <c r="H8334" s="37"/>
      <c r="I8334" s="35"/>
      <c r="J8334" s="37"/>
    </row>
    <row r="8335" spans="1:10" ht="15.95" customHeight="1" x14ac:dyDescent="0.2">
      <c r="A8335" s="39"/>
      <c r="B8335" s="36"/>
      <c r="C8335" s="37"/>
      <c r="D8335" s="37"/>
      <c r="E8335" s="37"/>
      <c r="F8335" s="37"/>
      <c r="G8335" s="37"/>
      <c r="H8335" s="37"/>
      <c r="I8335" s="35"/>
      <c r="J8335" s="37"/>
    </row>
    <row r="8336" spans="1:10" ht="15.95" customHeight="1" x14ac:dyDescent="0.2">
      <c r="A8336" s="39"/>
      <c r="B8336" s="36"/>
      <c r="C8336" s="37"/>
      <c r="D8336" s="37"/>
      <c r="E8336" s="37"/>
      <c r="F8336" s="37"/>
      <c r="G8336" s="37"/>
      <c r="H8336" s="37"/>
      <c r="I8336" s="35"/>
      <c r="J8336" s="37"/>
    </row>
    <row r="8337" spans="1:10" ht="15.95" customHeight="1" x14ac:dyDescent="0.2">
      <c r="A8337" s="39"/>
      <c r="B8337" s="36"/>
      <c r="C8337" s="37"/>
      <c r="D8337" s="37"/>
      <c r="E8337" s="37"/>
      <c r="F8337" s="37"/>
      <c r="G8337" s="37"/>
      <c r="H8337" s="37"/>
      <c r="I8337" s="35"/>
      <c r="J8337" s="37"/>
    </row>
    <row r="8338" spans="1:10" ht="15.95" customHeight="1" x14ac:dyDescent="0.2">
      <c r="A8338" s="39"/>
      <c r="B8338" s="36"/>
      <c r="C8338" s="37"/>
      <c r="D8338" s="37"/>
      <c r="E8338" s="37"/>
      <c r="F8338" s="37"/>
      <c r="G8338" s="37"/>
      <c r="H8338" s="37"/>
      <c r="I8338" s="35"/>
      <c r="J8338" s="37"/>
    </row>
    <row r="8339" spans="1:10" ht="15.95" customHeight="1" x14ac:dyDescent="0.2">
      <c r="A8339" s="39"/>
      <c r="B8339" s="36"/>
      <c r="C8339" s="37"/>
      <c r="D8339" s="37"/>
      <c r="E8339" s="37"/>
      <c r="F8339" s="37"/>
      <c r="G8339" s="37"/>
      <c r="H8339" s="37"/>
      <c r="I8339" s="35"/>
      <c r="J8339" s="37"/>
    </row>
    <row r="8340" spans="1:10" ht="15.95" customHeight="1" x14ac:dyDescent="0.2">
      <c r="A8340" s="39"/>
      <c r="B8340" s="36"/>
      <c r="C8340" s="37"/>
      <c r="D8340" s="37"/>
      <c r="E8340" s="37"/>
      <c r="F8340" s="37"/>
      <c r="G8340" s="37"/>
      <c r="H8340" s="37"/>
      <c r="I8340" s="35"/>
      <c r="J8340" s="37"/>
    </row>
    <row r="8341" spans="1:10" ht="15.95" customHeight="1" x14ac:dyDescent="0.2">
      <c r="A8341" s="39"/>
      <c r="B8341" s="36"/>
      <c r="C8341" s="37"/>
      <c r="D8341" s="37"/>
      <c r="E8341" s="37"/>
      <c r="F8341" s="37"/>
      <c r="G8341" s="37"/>
      <c r="H8341" s="37"/>
      <c r="I8341" s="35"/>
      <c r="J8341" s="37"/>
    </row>
    <row r="8342" spans="1:10" ht="15.95" customHeight="1" x14ac:dyDescent="0.2">
      <c r="A8342" s="39"/>
      <c r="B8342" s="36"/>
      <c r="C8342" s="37"/>
      <c r="D8342" s="37"/>
      <c r="E8342" s="37"/>
      <c r="F8342" s="37"/>
      <c r="G8342" s="37"/>
      <c r="H8342" s="37"/>
      <c r="I8342" s="35"/>
      <c r="J8342" s="37"/>
    </row>
    <row r="8343" spans="1:10" ht="15.95" customHeight="1" x14ac:dyDescent="0.2">
      <c r="A8343" s="39"/>
      <c r="B8343" s="36"/>
      <c r="C8343" s="37"/>
      <c r="D8343" s="37"/>
      <c r="E8343" s="37"/>
      <c r="F8343" s="37"/>
      <c r="G8343" s="37"/>
      <c r="H8343" s="37"/>
      <c r="I8343" s="35"/>
      <c r="J8343" s="37"/>
    </row>
    <row r="8344" spans="1:10" ht="15.95" customHeight="1" x14ac:dyDescent="0.2">
      <c r="A8344" s="39"/>
      <c r="B8344" s="36"/>
      <c r="C8344" s="37"/>
      <c r="D8344" s="37"/>
      <c r="E8344" s="37"/>
      <c r="F8344" s="37"/>
      <c r="G8344" s="37"/>
      <c r="H8344" s="37"/>
      <c r="I8344" s="35"/>
      <c r="J8344" s="37"/>
    </row>
    <row r="8345" spans="1:10" ht="15.95" customHeight="1" x14ac:dyDescent="0.2">
      <c r="A8345" s="39"/>
      <c r="B8345" s="36"/>
      <c r="C8345" s="37"/>
      <c r="D8345" s="37"/>
      <c r="E8345" s="37"/>
      <c r="F8345" s="37"/>
      <c r="G8345" s="37"/>
      <c r="H8345" s="37"/>
      <c r="I8345" s="35"/>
      <c r="J8345" s="37"/>
    </row>
    <row r="8346" spans="1:10" ht="15.95" customHeight="1" x14ac:dyDescent="0.2">
      <c r="A8346" s="39"/>
      <c r="B8346" s="36"/>
      <c r="C8346" s="37"/>
      <c r="D8346" s="37"/>
      <c r="E8346" s="37"/>
      <c r="F8346" s="37"/>
      <c r="G8346" s="37"/>
      <c r="H8346" s="37"/>
      <c r="I8346" s="35"/>
      <c r="J8346" s="37"/>
    </row>
    <row r="8347" spans="1:10" ht="15.95" customHeight="1" x14ac:dyDescent="0.2">
      <c r="A8347" s="39"/>
      <c r="B8347" s="36"/>
      <c r="C8347" s="37"/>
      <c r="D8347" s="37"/>
      <c r="E8347" s="37"/>
      <c r="F8347" s="37"/>
      <c r="G8347" s="37"/>
      <c r="H8347" s="37"/>
      <c r="I8347" s="35"/>
      <c r="J8347" s="37"/>
    </row>
    <row r="8348" spans="1:10" ht="15.95" customHeight="1" x14ac:dyDescent="0.2">
      <c r="A8348" s="39"/>
      <c r="B8348" s="36"/>
      <c r="C8348" s="37"/>
      <c r="D8348" s="37"/>
      <c r="E8348" s="37"/>
      <c r="F8348" s="37"/>
      <c r="G8348" s="37"/>
      <c r="H8348" s="37"/>
      <c r="I8348" s="35"/>
      <c r="J8348" s="37"/>
    </row>
    <row r="8349" spans="1:10" ht="15.95" customHeight="1" x14ac:dyDescent="0.2">
      <c r="A8349" s="39"/>
      <c r="B8349" s="36"/>
      <c r="C8349" s="37"/>
      <c r="D8349" s="37"/>
      <c r="E8349" s="37"/>
      <c r="F8349" s="37"/>
      <c r="G8349" s="37"/>
      <c r="H8349" s="37"/>
      <c r="I8349" s="35"/>
      <c r="J8349" s="37"/>
    </row>
    <row r="8350" spans="1:10" ht="15.95" customHeight="1" x14ac:dyDescent="0.2">
      <c r="A8350" s="39"/>
      <c r="B8350" s="36"/>
      <c r="C8350" s="37"/>
      <c r="D8350" s="37"/>
      <c r="E8350" s="37"/>
      <c r="F8350" s="37"/>
      <c r="G8350" s="37"/>
      <c r="H8350" s="37"/>
      <c r="I8350" s="35"/>
      <c r="J8350" s="37"/>
    </row>
    <row r="8351" spans="1:10" ht="15.95" customHeight="1" x14ac:dyDescent="0.2">
      <c r="A8351" s="39"/>
      <c r="B8351" s="36"/>
      <c r="C8351" s="37"/>
      <c r="D8351" s="37"/>
      <c r="E8351" s="37"/>
      <c r="F8351" s="37"/>
      <c r="G8351" s="37"/>
      <c r="H8351" s="37"/>
      <c r="I8351" s="35"/>
      <c r="J8351" s="37"/>
    </row>
    <row r="8352" spans="1:10" ht="15.95" customHeight="1" x14ac:dyDescent="0.2">
      <c r="A8352" s="39"/>
      <c r="B8352" s="36"/>
      <c r="C8352" s="37"/>
      <c r="D8352" s="37"/>
      <c r="E8352" s="37"/>
      <c r="F8352" s="37"/>
      <c r="G8352" s="37"/>
      <c r="H8352" s="37"/>
      <c r="I8352" s="35"/>
      <c r="J8352" s="37"/>
    </row>
    <row r="8353" spans="1:10" ht="15.95" customHeight="1" x14ac:dyDescent="0.2">
      <c r="A8353" s="39"/>
      <c r="B8353" s="36"/>
      <c r="C8353" s="37"/>
      <c r="D8353" s="37"/>
      <c r="E8353" s="37"/>
      <c r="F8353" s="37"/>
      <c r="G8353" s="37"/>
      <c r="H8353" s="37"/>
      <c r="I8353" s="35"/>
      <c r="J8353" s="37"/>
    </row>
    <row r="8354" spans="1:10" ht="15.95" customHeight="1" x14ac:dyDescent="0.2">
      <c r="A8354" s="39"/>
      <c r="B8354" s="36"/>
      <c r="C8354" s="37"/>
      <c r="D8354" s="37"/>
      <c r="E8354" s="37"/>
      <c r="F8354" s="37"/>
      <c r="G8354" s="37"/>
      <c r="H8354" s="37"/>
      <c r="I8354" s="35"/>
      <c r="J8354" s="37"/>
    </row>
    <row r="8355" spans="1:10" ht="15.95" customHeight="1" x14ac:dyDescent="0.2">
      <c r="A8355" s="39"/>
      <c r="B8355" s="36"/>
      <c r="C8355" s="37"/>
      <c r="D8355" s="37"/>
      <c r="E8355" s="37"/>
      <c r="F8355" s="37"/>
      <c r="G8355" s="37"/>
      <c r="H8355" s="37"/>
      <c r="I8355" s="35"/>
      <c r="J8355" s="37"/>
    </row>
    <row r="8356" spans="1:10" ht="15.95" customHeight="1" x14ac:dyDescent="0.2">
      <c r="A8356" s="39"/>
      <c r="B8356" s="36"/>
      <c r="C8356" s="37"/>
      <c r="D8356" s="37"/>
      <c r="E8356" s="37"/>
      <c r="F8356" s="37"/>
      <c r="G8356" s="37"/>
      <c r="H8356" s="37"/>
      <c r="I8356" s="35"/>
      <c r="J8356" s="37"/>
    </row>
    <row r="8357" spans="1:10" ht="15.95" customHeight="1" x14ac:dyDescent="0.2">
      <c r="A8357" s="39"/>
      <c r="B8357" s="36"/>
      <c r="C8357" s="37"/>
      <c r="D8357" s="37"/>
      <c r="E8357" s="37"/>
      <c r="F8357" s="37"/>
      <c r="G8357" s="37"/>
      <c r="H8357" s="37"/>
      <c r="I8357" s="35"/>
      <c r="J8357" s="37"/>
    </row>
    <row r="8358" spans="1:10" ht="15.95" customHeight="1" x14ac:dyDescent="0.2">
      <c r="A8358" s="39"/>
      <c r="B8358" s="36"/>
      <c r="C8358" s="37"/>
      <c r="D8358" s="37"/>
      <c r="E8358" s="37"/>
      <c r="F8358" s="37"/>
      <c r="G8358" s="37"/>
      <c r="H8358" s="37"/>
      <c r="I8358" s="35"/>
      <c r="J8358" s="37"/>
    </row>
    <row r="8359" spans="1:10" ht="15.95" customHeight="1" x14ac:dyDescent="0.2">
      <c r="A8359" s="39"/>
      <c r="B8359" s="36"/>
      <c r="C8359" s="37"/>
      <c r="D8359" s="37"/>
      <c r="E8359" s="37"/>
      <c r="F8359" s="37"/>
      <c r="G8359" s="37"/>
      <c r="H8359" s="37"/>
      <c r="I8359" s="35"/>
      <c r="J8359" s="37"/>
    </row>
    <row r="8360" spans="1:10" ht="15.95" customHeight="1" x14ac:dyDescent="0.2">
      <c r="A8360" s="39"/>
      <c r="B8360" s="36"/>
      <c r="C8360" s="37"/>
      <c r="D8360" s="37"/>
      <c r="E8360" s="37"/>
      <c r="F8360" s="37"/>
      <c r="G8360" s="37"/>
      <c r="H8360" s="37"/>
      <c r="I8360" s="35"/>
      <c r="J8360" s="37"/>
    </row>
    <row r="8361" spans="1:10" ht="15.95" customHeight="1" x14ac:dyDescent="0.2">
      <c r="A8361" s="39"/>
      <c r="B8361" s="36"/>
      <c r="C8361" s="37"/>
      <c r="D8361" s="37"/>
      <c r="E8361" s="37"/>
      <c r="F8361" s="37"/>
      <c r="G8361" s="37"/>
      <c r="H8361" s="37"/>
      <c r="I8361" s="35"/>
      <c r="J8361" s="37"/>
    </row>
    <row r="8362" spans="1:10" ht="15.95" customHeight="1" x14ac:dyDescent="0.2">
      <c r="A8362" s="39"/>
      <c r="B8362" s="36"/>
      <c r="C8362" s="37"/>
      <c r="D8362" s="37"/>
      <c r="E8362" s="37"/>
      <c r="F8362" s="37"/>
      <c r="G8362" s="37"/>
      <c r="H8362" s="37"/>
      <c r="I8362" s="35"/>
      <c r="J8362" s="37"/>
    </row>
    <row r="8363" spans="1:10" ht="15.95" customHeight="1" x14ac:dyDescent="0.2">
      <c r="A8363" s="39"/>
      <c r="B8363" s="36"/>
      <c r="C8363" s="37"/>
      <c r="D8363" s="37"/>
      <c r="E8363" s="37"/>
      <c r="F8363" s="37"/>
      <c r="G8363" s="37"/>
      <c r="H8363" s="37"/>
      <c r="I8363" s="35"/>
      <c r="J8363" s="37"/>
    </row>
    <row r="8364" spans="1:10" ht="15.95" customHeight="1" x14ac:dyDescent="0.2">
      <c r="A8364" s="39"/>
      <c r="B8364" s="36"/>
      <c r="C8364" s="37"/>
      <c r="D8364" s="37"/>
      <c r="E8364" s="37"/>
      <c r="F8364" s="37"/>
      <c r="G8364" s="37"/>
      <c r="H8364" s="37"/>
      <c r="I8364" s="35"/>
      <c r="J8364" s="37"/>
    </row>
    <row r="8365" spans="1:10" ht="15.95" customHeight="1" x14ac:dyDescent="0.2">
      <c r="A8365" s="39"/>
      <c r="B8365" s="36"/>
      <c r="C8365" s="37"/>
      <c r="D8365" s="37"/>
      <c r="E8365" s="37"/>
      <c r="F8365" s="37"/>
      <c r="G8365" s="37"/>
      <c r="H8365" s="37"/>
      <c r="I8365" s="35"/>
      <c r="J8365" s="37"/>
    </row>
    <row r="8366" spans="1:10" ht="15.95" customHeight="1" x14ac:dyDescent="0.2">
      <c r="A8366" s="39"/>
      <c r="B8366" s="36"/>
      <c r="C8366" s="37"/>
      <c r="D8366" s="37"/>
      <c r="E8366" s="37"/>
      <c r="F8366" s="37"/>
      <c r="G8366" s="37"/>
      <c r="H8366" s="37"/>
      <c r="I8366" s="35"/>
      <c r="J8366" s="37"/>
    </row>
    <row r="8367" spans="1:10" ht="15.95" customHeight="1" x14ac:dyDescent="0.2">
      <c r="A8367" s="39"/>
      <c r="B8367" s="36"/>
      <c r="C8367" s="37"/>
      <c r="D8367" s="37"/>
      <c r="E8367" s="37"/>
      <c r="F8367" s="37"/>
      <c r="G8367" s="37"/>
      <c r="H8367" s="37"/>
      <c r="I8367" s="35"/>
      <c r="J8367" s="37"/>
    </row>
    <row r="8368" spans="1:10" ht="15.95" customHeight="1" x14ac:dyDescent="0.2">
      <c r="A8368" s="39"/>
      <c r="B8368" s="36"/>
      <c r="C8368" s="37"/>
      <c r="D8368" s="37"/>
      <c r="E8368" s="37"/>
      <c r="F8368" s="37"/>
      <c r="G8368" s="37"/>
      <c r="H8368" s="37"/>
      <c r="I8368" s="35"/>
      <c r="J8368" s="37"/>
    </row>
    <row r="8369" spans="1:10" ht="15.95" customHeight="1" x14ac:dyDescent="0.2">
      <c r="A8369" s="39"/>
      <c r="B8369" s="36"/>
      <c r="C8369" s="37"/>
      <c r="D8369" s="37"/>
      <c r="E8369" s="37"/>
      <c r="F8369" s="37"/>
      <c r="G8369" s="37"/>
      <c r="H8369" s="37"/>
      <c r="I8369" s="35"/>
      <c r="J8369" s="37"/>
    </row>
    <row r="8370" spans="1:10" ht="15.95" customHeight="1" x14ac:dyDescent="0.2">
      <c r="A8370" s="39"/>
      <c r="B8370" s="36"/>
      <c r="C8370" s="37"/>
      <c r="D8370" s="37"/>
      <c r="E8370" s="37"/>
      <c r="F8370" s="37"/>
      <c r="G8370" s="37"/>
      <c r="H8370" s="37"/>
      <c r="I8370" s="35"/>
      <c r="J8370" s="37"/>
    </row>
    <row r="8371" spans="1:10" ht="15.95" customHeight="1" x14ac:dyDescent="0.2">
      <c r="A8371" s="39"/>
      <c r="B8371" s="36"/>
      <c r="C8371" s="37"/>
      <c r="D8371" s="37"/>
      <c r="E8371" s="37"/>
      <c r="F8371" s="37"/>
      <c r="G8371" s="37"/>
      <c r="H8371" s="37"/>
      <c r="I8371" s="35"/>
      <c r="J8371" s="37"/>
    </row>
    <row r="8372" spans="1:10" ht="15.95" customHeight="1" x14ac:dyDescent="0.2">
      <c r="A8372" s="39"/>
      <c r="B8372" s="36"/>
      <c r="C8372" s="37"/>
      <c r="D8372" s="37"/>
      <c r="E8372" s="37"/>
      <c r="F8372" s="37"/>
      <c r="G8372" s="37"/>
      <c r="H8372" s="37"/>
      <c r="I8372" s="35"/>
      <c r="J8372" s="37"/>
    </row>
    <row r="8373" spans="1:10" ht="15.95" customHeight="1" x14ac:dyDescent="0.2">
      <c r="A8373" s="39"/>
      <c r="B8373" s="36"/>
      <c r="C8373" s="37"/>
      <c r="D8373" s="37"/>
      <c r="E8373" s="37"/>
      <c r="F8373" s="37"/>
      <c r="G8373" s="37"/>
      <c r="H8373" s="37"/>
      <c r="I8373" s="35"/>
      <c r="J8373" s="37"/>
    </row>
    <row r="8374" spans="1:10" ht="15.95" customHeight="1" x14ac:dyDescent="0.2">
      <c r="A8374" s="39"/>
      <c r="B8374" s="36"/>
      <c r="C8374" s="37"/>
      <c r="D8374" s="37"/>
      <c r="E8374" s="37"/>
      <c r="F8374" s="37"/>
      <c r="G8374" s="37"/>
      <c r="H8374" s="37"/>
      <c r="I8374" s="35"/>
      <c r="J8374" s="37"/>
    </row>
    <row r="8375" spans="1:10" ht="15.95" customHeight="1" x14ac:dyDescent="0.2">
      <c r="A8375" s="39"/>
      <c r="B8375" s="36"/>
      <c r="C8375" s="37"/>
      <c r="D8375" s="37"/>
      <c r="E8375" s="37"/>
      <c r="F8375" s="37"/>
      <c r="G8375" s="37"/>
      <c r="H8375" s="37"/>
      <c r="I8375" s="35"/>
      <c r="J8375" s="37"/>
    </row>
    <row r="8376" spans="1:10" ht="15.95" customHeight="1" x14ac:dyDescent="0.2">
      <c r="A8376" s="39"/>
      <c r="B8376" s="36"/>
      <c r="C8376" s="37"/>
      <c r="D8376" s="37"/>
      <c r="E8376" s="37"/>
      <c r="F8376" s="37"/>
      <c r="G8376" s="37"/>
      <c r="H8376" s="37"/>
      <c r="I8376" s="35"/>
      <c r="J8376" s="37"/>
    </row>
    <row r="8377" spans="1:10" ht="15.95" customHeight="1" x14ac:dyDescent="0.2">
      <c r="A8377" s="39"/>
      <c r="B8377" s="36"/>
      <c r="C8377" s="37"/>
      <c r="D8377" s="37"/>
      <c r="E8377" s="37"/>
      <c r="F8377" s="37"/>
      <c r="G8377" s="37"/>
      <c r="H8377" s="37"/>
      <c r="I8377" s="35"/>
      <c r="J8377" s="37"/>
    </row>
    <row r="8378" spans="1:10" ht="15.95" customHeight="1" x14ac:dyDescent="0.2">
      <c r="A8378" s="39"/>
      <c r="B8378" s="36"/>
      <c r="C8378" s="37"/>
      <c r="D8378" s="37"/>
      <c r="E8378" s="37"/>
      <c r="F8378" s="37"/>
      <c r="G8378" s="37"/>
      <c r="H8378" s="37"/>
      <c r="I8378" s="35"/>
      <c r="J8378" s="37"/>
    </row>
    <row r="8379" spans="1:10" ht="15.95" customHeight="1" x14ac:dyDescent="0.2">
      <c r="A8379" s="39"/>
      <c r="B8379" s="36"/>
      <c r="C8379" s="37"/>
      <c r="D8379" s="37"/>
      <c r="E8379" s="37"/>
      <c r="F8379" s="37"/>
      <c r="G8379" s="37"/>
      <c r="H8379" s="37"/>
      <c r="I8379" s="35"/>
      <c r="J8379" s="37"/>
    </row>
    <row r="8380" spans="1:10" ht="15.95" customHeight="1" x14ac:dyDescent="0.2">
      <c r="A8380" s="39"/>
      <c r="B8380" s="36"/>
      <c r="C8380" s="37"/>
      <c r="D8380" s="37"/>
      <c r="E8380" s="37"/>
      <c r="F8380" s="37"/>
      <c r="G8380" s="37"/>
      <c r="H8380" s="37"/>
      <c r="I8380" s="35"/>
      <c r="J8380" s="37"/>
    </row>
    <row r="8381" spans="1:10" ht="15.95" customHeight="1" x14ac:dyDescent="0.2">
      <c r="A8381" s="39"/>
      <c r="B8381" s="36"/>
      <c r="C8381" s="37"/>
      <c r="D8381" s="37"/>
      <c r="E8381" s="37"/>
      <c r="F8381" s="37"/>
      <c r="G8381" s="37"/>
      <c r="H8381" s="37"/>
      <c r="I8381" s="35"/>
      <c r="J8381" s="37"/>
    </row>
    <row r="8382" spans="1:10" ht="15.95" customHeight="1" x14ac:dyDescent="0.2">
      <c r="A8382" s="39"/>
      <c r="B8382" s="36"/>
      <c r="C8382" s="37"/>
      <c r="D8382" s="37"/>
      <c r="E8382" s="37"/>
      <c r="F8382" s="37"/>
      <c r="G8382" s="37"/>
      <c r="H8382" s="37"/>
      <c r="I8382" s="35"/>
      <c r="J8382" s="37"/>
    </row>
    <row r="8383" spans="1:10" ht="15.95" customHeight="1" x14ac:dyDescent="0.2">
      <c r="A8383" s="39"/>
      <c r="B8383" s="36"/>
      <c r="C8383" s="37"/>
      <c r="D8383" s="37"/>
      <c r="E8383" s="37"/>
      <c r="F8383" s="37"/>
      <c r="G8383" s="37"/>
      <c r="H8383" s="37"/>
      <c r="I8383" s="35"/>
      <c r="J8383" s="37"/>
    </row>
    <row r="8384" spans="1:10" ht="15.95" customHeight="1" x14ac:dyDescent="0.2">
      <c r="A8384" s="39"/>
      <c r="B8384" s="36"/>
      <c r="C8384" s="37"/>
      <c r="D8384" s="37"/>
      <c r="E8384" s="37"/>
      <c r="F8384" s="37"/>
      <c r="G8384" s="37"/>
      <c r="H8384" s="37"/>
      <c r="I8384" s="35"/>
      <c r="J8384" s="37"/>
    </row>
    <row r="8385" spans="1:10" ht="15.95" customHeight="1" x14ac:dyDescent="0.2">
      <c r="A8385" s="39"/>
      <c r="B8385" s="36"/>
      <c r="C8385" s="37"/>
      <c r="D8385" s="37"/>
      <c r="E8385" s="37"/>
      <c r="F8385" s="37"/>
      <c r="G8385" s="37"/>
      <c r="H8385" s="37"/>
      <c r="I8385" s="35"/>
      <c r="J8385" s="37"/>
    </row>
    <row r="8386" spans="1:10" ht="15.95" customHeight="1" x14ac:dyDescent="0.2">
      <c r="A8386" s="39"/>
      <c r="B8386" s="36"/>
      <c r="C8386" s="37"/>
      <c r="D8386" s="37"/>
      <c r="E8386" s="37"/>
      <c r="F8386" s="37"/>
      <c r="G8386" s="37"/>
      <c r="H8386" s="37"/>
      <c r="I8386" s="35"/>
      <c r="J8386" s="37"/>
    </row>
    <row r="8387" spans="1:10" ht="15.95" customHeight="1" x14ac:dyDescent="0.2">
      <c r="A8387" s="39"/>
      <c r="B8387" s="36"/>
      <c r="C8387" s="37"/>
      <c r="D8387" s="37"/>
      <c r="E8387" s="37"/>
      <c r="F8387" s="37"/>
      <c r="G8387" s="37"/>
      <c r="H8387" s="37"/>
      <c r="I8387" s="35"/>
      <c r="J8387" s="37"/>
    </row>
    <row r="8388" spans="1:10" ht="15.95" customHeight="1" x14ac:dyDescent="0.2">
      <c r="A8388" s="39"/>
      <c r="B8388" s="36"/>
      <c r="C8388" s="37"/>
      <c r="D8388" s="37"/>
      <c r="E8388" s="37"/>
      <c r="F8388" s="37"/>
      <c r="G8388" s="37"/>
      <c r="H8388" s="37"/>
      <c r="I8388" s="35"/>
      <c r="J8388" s="37"/>
    </row>
    <row r="8389" spans="1:10" ht="15.95" customHeight="1" x14ac:dyDescent="0.2">
      <c r="A8389" s="39"/>
      <c r="B8389" s="36"/>
      <c r="C8389" s="37"/>
      <c r="D8389" s="37"/>
      <c r="E8389" s="37"/>
      <c r="F8389" s="37"/>
      <c r="G8389" s="37"/>
      <c r="H8389" s="37"/>
      <c r="I8389" s="35"/>
      <c r="J8389" s="37"/>
    </row>
    <row r="8390" spans="1:10" ht="15.95" customHeight="1" x14ac:dyDescent="0.2">
      <c r="A8390" s="39"/>
      <c r="B8390" s="36"/>
      <c r="C8390" s="37"/>
      <c r="D8390" s="37"/>
      <c r="E8390" s="37"/>
      <c r="F8390" s="37"/>
      <c r="G8390" s="37"/>
      <c r="H8390" s="37"/>
      <c r="I8390" s="35"/>
      <c r="J8390" s="37"/>
    </row>
    <row r="8391" spans="1:10" ht="15.95" customHeight="1" x14ac:dyDescent="0.2">
      <c r="A8391" s="39"/>
      <c r="B8391" s="36"/>
      <c r="C8391" s="37"/>
      <c r="D8391" s="37"/>
      <c r="E8391" s="37"/>
      <c r="F8391" s="37"/>
      <c r="G8391" s="37"/>
      <c r="H8391" s="37"/>
      <c r="I8391" s="35"/>
      <c r="J8391" s="37"/>
    </row>
    <row r="8392" spans="1:10" ht="15.95" customHeight="1" x14ac:dyDescent="0.2">
      <c r="A8392" s="39"/>
      <c r="B8392" s="36"/>
      <c r="C8392" s="37"/>
      <c r="D8392" s="37"/>
      <c r="E8392" s="37"/>
      <c r="F8392" s="37"/>
      <c r="G8392" s="37"/>
      <c r="H8392" s="37"/>
      <c r="I8392" s="35"/>
      <c r="J8392" s="37"/>
    </row>
    <row r="8393" spans="1:10" ht="15.95" customHeight="1" x14ac:dyDescent="0.2">
      <c r="A8393" s="39"/>
      <c r="B8393" s="36"/>
      <c r="C8393" s="37"/>
      <c r="D8393" s="37"/>
      <c r="E8393" s="37"/>
      <c r="F8393" s="37"/>
      <c r="G8393" s="37"/>
      <c r="H8393" s="37"/>
      <c r="I8393" s="35"/>
      <c r="J8393" s="37"/>
    </row>
    <row r="8394" spans="1:10" ht="15.95" customHeight="1" x14ac:dyDescent="0.2">
      <c r="A8394" s="39"/>
      <c r="B8394" s="36"/>
      <c r="C8394" s="37"/>
      <c r="D8394" s="37"/>
      <c r="E8394" s="37"/>
      <c r="F8394" s="37"/>
      <c r="G8394" s="37"/>
      <c r="H8394" s="37"/>
      <c r="I8394" s="35"/>
      <c r="J8394" s="37"/>
    </row>
    <row r="8395" spans="1:10" ht="15.95" customHeight="1" x14ac:dyDescent="0.2">
      <c r="A8395" s="39"/>
      <c r="B8395" s="36"/>
      <c r="C8395" s="37"/>
      <c r="D8395" s="37"/>
      <c r="E8395" s="37"/>
      <c r="F8395" s="37"/>
      <c r="G8395" s="37"/>
      <c r="H8395" s="37"/>
      <c r="I8395" s="35"/>
      <c r="J8395" s="37"/>
    </row>
    <row r="8396" spans="1:10" ht="15.95" customHeight="1" x14ac:dyDescent="0.2">
      <c r="A8396" s="39"/>
      <c r="B8396" s="36"/>
      <c r="C8396" s="37"/>
      <c r="D8396" s="37"/>
      <c r="E8396" s="37"/>
      <c r="F8396" s="37"/>
      <c r="G8396" s="37"/>
      <c r="H8396" s="37"/>
      <c r="I8396" s="35"/>
      <c r="J8396" s="37"/>
    </row>
    <row r="8397" spans="1:10" ht="15.95" customHeight="1" x14ac:dyDescent="0.2">
      <c r="A8397" s="39"/>
      <c r="B8397" s="36"/>
      <c r="C8397" s="37"/>
      <c r="D8397" s="37"/>
      <c r="E8397" s="37"/>
      <c r="F8397" s="37"/>
      <c r="G8397" s="37"/>
      <c r="H8397" s="37"/>
      <c r="I8397" s="35"/>
      <c r="J8397" s="37"/>
    </row>
    <row r="8398" spans="1:10" ht="15.95" customHeight="1" x14ac:dyDescent="0.2">
      <c r="A8398" s="39"/>
      <c r="B8398" s="36"/>
      <c r="C8398" s="37"/>
      <c r="D8398" s="37"/>
      <c r="E8398" s="37"/>
      <c r="F8398" s="37"/>
      <c r="G8398" s="37"/>
      <c r="H8398" s="37"/>
      <c r="I8398" s="35"/>
      <c r="J8398" s="37"/>
    </row>
    <row r="8399" spans="1:10" ht="15.95" customHeight="1" x14ac:dyDescent="0.2">
      <c r="A8399" s="39"/>
      <c r="B8399" s="36"/>
      <c r="C8399" s="37"/>
      <c r="D8399" s="37"/>
      <c r="E8399" s="37"/>
      <c r="F8399" s="37"/>
      <c r="G8399" s="37"/>
      <c r="H8399" s="37"/>
      <c r="I8399" s="35"/>
      <c r="J8399" s="37"/>
    </row>
    <row r="8400" spans="1:10" ht="15.95" customHeight="1" x14ac:dyDescent="0.2">
      <c r="A8400" s="39"/>
      <c r="B8400" s="36"/>
      <c r="C8400" s="37"/>
      <c r="D8400" s="37"/>
      <c r="E8400" s="37"/>
      <c r="F8400" s="37"/>
      <c r="G8400" s="37"/>
      <c r="H8400" s="37"/>
      <c r="I8400" s="35"/>
      <c r="J8400" s="37"/>
    </row>
    <row r="8401" spans="1:10" ht="15.95" customHeight="1" x14ac:dyDescent="0.2">
      <c r="A8401" s="39"/>
      <c r="B8401" s="36"/>
      <c r="C8401" s="37"/>
      <c r="D8401" s="37"/>
      <c r="E8401" s="37"/>
      <c r="F8401" s="37"/>
      <c r="G8401" s="37"/>
      <c r="H8401" s="37"/>
      <c r="I8401" s="35"/>
      <c r="J8401" s="37"/>
    </row>
    <row r="8402" spans="1:10" ht="15.95" customHeight="1" x14ac:dyDescent="0.2">
      <c r="A8402" s="39"/>
      <c r="B8402" s="36"/>
      <c r="C8402" s="37"/>
      <c r="D8402" s="37"/>
      <c r="E8402" s="37"/>
      <c r="F8402" s="37"/>
      <c r="G8402" s="37"/>
      <c r="H8402" s="37"/>
      <c r="I8402" s="35"/>
      <c r="J8402" s="37"/>
    </row>
    <row r="8403" spans="1:10" ht="15.95" customHeight="1" x14ac:dyDescent="0.2">
      <c r="A8403" s="39"/>
      <c r="B8403" s="36"/>
      <c r="C8403" s="37"/>
      <c r="D8403" s="37"/>
      <c r="E8403" s="37"/>
      <c r="F8403" s="37"/>
      <c r="G8403" s="37"/>
      <c r="H8403" s="37"/>
      <c r="I8403" s="35"/>
      <c r="J8403" s="37"/>
    </row>
    <row r="8404" spans="1:10" ht="15.95" customHeight="1" x14ac:dyDescent="0.2">
      <c r="A8404" s="39"/>
      <c r="B8404" s="36"/>
      <c r="C8404" s="37"/>
      <c r="D8404" s="37"/>
      <c r="E8404" s="37"/>
      <c r="F8404" s="37"/>
      <c r="G8404" s="37"/>
      <c r="H8404" s="37"/>
      <c r="I8404" s="35"/>
      <c r="J8404" s="37"/>
    </row>
    <row r="8405" spans="1:10" ht="15.95" customHeight="1" x14ac:dyDescent="0.2">
      <c r="A8405" s="39"/>
      <c r="B8405" s="36"/>
      <c r="C8405" s="37"/>
      <c r="D8405" s="37"/>
      <c r="E8405" s="37"/>
      <c r="F8405" s="37"/>
      <c r="G8405" s="37"/>
      <c r="H8405" s="37"/>
      <c r="I8405" s="35"/>
      <c r="J8405" s="37"/>
    </row>
    <row r="8406" spans="1:10" ht="15.95" customHeight="1" x14ac:dyDescent="0.2">
      <c r="A8406" s="39"/>
      <c r="B8406" s="36"/>
      <c r="C8406" s="37"/>
      <c r="D8406" s="37"/>
      <c r="E8406" s="37"/>
      <c r="F8406" s="37"/>
      <c r="G8406" s="37"/>
      <c r="H8406" s="37"/>
      <c r="I8406" s="35"/>
      <c r="J8406" s="37"/>
    </row>
    <row r="8407" spans="1:10" ht="15.95" customHeight="1" x14ac:dyDescent="0.2">
      <c r="A8407" s="39"/>
      <c r="B8407" s="36"/>
      <c r="C8407" s="37"/>
      <c r="D8407" s="37"/>
      <c r="E8407" s="37"/>
      <c r="F8407" s="37"/>
      <c r="G8407" s="37"/>
      <c r="H8407" s="37"/>
      <c r="I8407" s="35"/>
      <c r="J8407" s="37"/>
    </row>
    <row r="8408" spans="1:10" ht="15.95" customHeight="1" x14ac:dyDescent="0.2">
      <c r="A8408" s="39"/>
      <c r="B8408" s="36"/>
      <c r="C8408" s="37"/>
      <c r="D8408" s="37"/>
      <c r="E8408" s="37"/>
      <c r="F8408" s="37"/>
      <c r="G8408" s="37"/>
      <c r="H8408" s="37"/>
      <c r="I8408" s="35"/>
      <c r="J8408" s="37"/>
    </row>
    <row r="8409" spans="1:10" ht="15.95" customHeight="1" x14ac:dyDescent="0.2">
      <c r="A8409" s="39"/>
      <c r="B8409" s="36"/>
      <c r="C8409" s="37"/>
      <c r="D8409" s="37"/>
      <c r="E8409" s="37"/>
      <c r="F8409" s="37"/>
      <c r="G8409" s="37"/>
      <c r="H8409" s="37"/>
      <c r="I8409" s="35"/>
      <c r="J8409" s="37"/>
    </row>
    <row r="8410" spans="1:10" ht="15.95" customHeight="1" x14ac:dyDescent="0.2">
      <c r="A8410" s="39"/>
      <c r="B8410" s="36"/>
      <c r="C8410" s="37"/>
      <c r="D8410" s="37"/>
      <c r="E8410" s="37"/>
      <c r="F8410" s="37"/>
      <c r="G8410" s="37"/>
      <c r="H8410" s="37"/>
      <c r="I8410" s="35"/>
      <c r="J8410" s="37"/>
    </row>
    <row r="8411" spans="1:10" ht="15.95" customHeight="1" x14ac:dyDescent="0.2">
      <c r="A8411" s="39"/>
      <c r="B8411" s="36"/>
      <c r="C8411" s="37"/>
      <c r="D8411" s="37"/>
      <c r="E8411" s="37"/>
      <c r="F8411" s="37"/>
      <c r="G8411" s="37"/>
      <c r="H8411" s="37"/>
      <c r="I8411" s="35"/>
      <c r="J8411" s="37"/>
    </row>
    <row r="8412" spans="1:10" ht="15.95" customHeight="1" x14ac:dyDescent="0.2">
      <c r="A8412" s="39"/>
      <c r="B8412" s="36"/>
      <c r="C8412" s="37"/>
      <c r="D8412" s="37"/>
      <c r="E8412" s="37"/>
      <c r="F8412" s="37"/>
      <c r="G8412" s="37"/>
      <c r="H8412" s="37"/>
      <c r="I8412" s="35"/>
      <c r="J8412" s="37"/>
    </row>
    <row r="8413" spans="1:10" ht="15.95" customHeight="1" x14ac:dyDescent="0.2">
      <c r="A8413" s="39"/>
      <c r="B8413" s="36"/>
      <c r="C8413" s="37"/>
      <c r="D8413" s="37"/>
      <c r="E8413" s="37"/>
      <c r="F8413" s="37"/>
      <c r="G8413" s="37"/>
      <c r="H8413" s="37"/>
      <c r="I8413" s="35"/>
      <c r="J8413" s="37"/>
    </row>
    <row r="8414" spans="1:10" ht="15.95" customHeight="1" x14ac:dyDescent="0.2">
      <c r="A8414" s="39"/>
      <c r="B8414" s="36"/>
      <c r="C8414" s="37"/>
      <c r="D8414" s="37"/>
      <c r="E8414" s="37"/>
      <c r="F8414" s="37"/>
      <c r="G8414" s="37"/>
      <c r="H8414" s="37"/>
      <c r="I8414" s="35"/>
      <c r="J8414" s="37"/>
    </row>
    <row r="8415" spans="1:10" ht="15.95" customHeight="1" x14ac:dyDescent="0.2">
      <c r="A8415" s="39"/>
      <c r="B8415" s="36"/>
      <c r="C8415" s="37"/>
      <c r="D8415" s="37"/>
      <c r="E8415" s="37"/>
      <c r="F8415" s="37"/>
      <c r="G8415" s="37"/>
      <c r="H8415" s="37"/>
      <c r="I8415" s="35"/>
      <c r="J8415" s="37"/>
    </row>
    <row r="8416" spans="1:10" ht="15.95" customHeight="1" x14ac:dyDescent="0.2">
      <c r="A8416" s="39"/>
      <c r="B8416" s="36"/>
      <c r="C8416" s="37"/>
      <c r="D8416" s="37"/>
      <c r="E8416" s="37"/>
      <c r="F8416" s="37"/>
      <c r="G8416" s="37"/>
      <c r="H8416" s="37"/>
      <c r="I8416" s="35"/>
      <c r="J8416" s="37"/>
    </row>
    <row r="8417" spans="1:10" ht="15.95" customHeight="1" x14ac:dyDescent="0.2">
      <c r="A8417" s="39"/>
      <c r="B8417" s="36"/>
      <c r="C8417" s="37"/>
      <c r="D8417" s="37"/>
      <c r="E8417" s="37"/>
      <c r="F8417" s="37"/>
      <c r="G8417" s="37"/>
      <c r="H8417" s="37"/>
      <c r="I8417" s="35"/>
      <c r="J8417" s="37"/>
    </row>
    <row r="8418" spans="1:10" ht="15.95" customHeight="1" x14ac:dyDescent="0.2">
      <c r="A8418" s="39"/>
      <c r="B8418" s="36"/>
      <c r="C8418" s="37"/>
      <c r="D8418" s="37"/>
      <c r="E8418" s="37"/>
      <c r="F8418" s="37"/>
      <c r="G8418" s="37"/>
      <c r="H8418" s="37"/>
      <c r="I8418" s="35"/>
      <c r="J8418" s="37"/>
    </row>
    <row r="8419" spans="1:10" ht="15.95" customHeight="1" x14ac:dyDescent="0.2">
      <c r="A8419" s="39"/>
      <c r="B8419" s="36"/>
      <c r="C8419" s="37"/>
      <c r="D8419" s="37"/>
      <c r="E8419" s="37"/>
      <c r="F8419" s="37"/>
      <c r="G8419" s="37"/>
      <c r="H8419" s="37"/>
      <c r="I8419" s="35"/>
      <c r="J8419" s="37"/>
    </row>
    <row r="8420" spans="1:10" ht="15.95" customHeight="1" x14ac:dyDescent="0.2">
      <c r="A8420" s="39"/>
      <c r="B8420" s="36"/>
      <c r="C8420" s="37"/>
      <c r="D8420" s="37"/>
      <c r="E8420" s="37"/>
      <c r="F8420" s="37"/>
      <c r="G8420" s="37"/>
      <c r="H8420" s="37"/>
      <c r="I8420" s="35"/>
      <c r="J8420" s="37"/>
    </row>
    <row r="8421" spans="1:10" ht="15.95" customHeight="1" x14ac:dyDescent="0.2">
      <c r="A8421" s="39"/>
      <c r="B8421" s="36"/>
      <c r="C8421" s="37"/>
      <c r="D8421" s="37"/>
      <c r="E8421" s="37"/>
      <c r="F8421" s="37"/>
      <c r="G8421" s="37"/>
      <c r="H8421" s="37"/>
      <c r="I8421" s="35"/>
      <c r="J8421" s="37"/>
    </row>
    <row r="8422" spans="1:10" ht="15.95" customHeight="1" x14ac:dyDescent="0.2">
      <c r="A8422" s="39"/>
      <c r="B8422" s="36"/>
      <c r="C8422" s="37"/>
      <c r="D8422" s="37"/>
      <c r="E8422" s="37"/>
      <c r="F8422" s="37"/>
      <c r="G8422" s="37"/>
      <c r="H8422" s="37"/>
      <c r="I8422" s="35"/>
      <c r="J8422" s="37"/>
    </row>
    <row r="8423" spans="1:10" ht="15.95" customHeight="1" x14ac:dyDescent="0.2">
      <c r="A8423" s="39"/>
      <c r="B8423" s="36"/>
      <c r="C8423" s="37"/>
      <c r="D8423" s="37"/>
      <c r="E8423" s="37"/>
      <c r="F8423" s="37"/>
      <c r="G8423" s="37"/>
      <c r="H8423" s="37"/>
      <c r="I8423" s="35"/>
      <c r="J8423" s="37"/>
    </row>
    <row r="8424" spans="1:10" ht="15.95" customHeight="1" x14ac:dyDescent="0.2">
      <c r="A8424" s="39"/>
      <c r="B8424" s="36"/>
      <c r="C8424" s="37"/>
      <c r="D8424" s="37"/>
      <c r="E8424" s="37"/>
      <c r="F8424" s="37"/>
      <c r="G8424" s="37"/>
      <c r="H8424" s="37"/>
      <c r="I8424" s="35"/>
      <c r="J8424" s="37"/>
    </row>
    <row r="8425" spans="1:10" ht="15.95" customHeight="1" x14ac:dyDescent="0.2">
      <c r="A8425" s="39"/>
      <c r="B8425" s="36"/>
      <c r="C8425" s="37"/>
      <c r="D8425" s="37"/>
      <c r="E8425" s="37"/>
      <c r="F8425" s="37"/>
      <c r="G8425" s="37"/>
      <c r="H8425" s="37"/>
      <c r="I8425" s="35"/>
      <c r="J8425" s="37"/>
    </row>
    <row r="8426" spans="1:10" ht="15.95" customHeight="1" x14ac:dyDescent="0.2">
      <c r="A8426" s="39"/>
      <c r="B8426" s="36"/>
      <c r="C8426" s="37"/>
      <c r="D8426" s="37"/>
      <c r="E8426" s="37"/>
      <c r="F8426" s="37"/>
      <c r="G8426" s="37"/>
      <c r="H8426" s="37"/>
      <c r="I8426" s="35"/>
      <c r="J8426" s="37"/>
    </row>
    <row r="8427" spans="1:10" ht="15.95" customHeight="1" x14ac:dyDescent="0.2">
      <c r="A8427" s="39"/>
      <c r="B8427" s="36"/>
      <c r="C8427" s="37"/>
      <c r="D8427" s="37"/>
      <c r="E8427" s="37"/>
      <c r="F8427" s="37"/>
      <c r="G8427" s="37"/>
      <c r="H8427" s="37"/>
      <c r="I8427" s="35"/>
      <c r="J8427" s="37"/>
    </row>
    <row r="8428" spans="1:10" ht="15.95" customHeight="1" x14ac:dyDescent="0.2">
      <c r="A8428" s="39"/>
      <c r="B8428" s="36"/>
      <c r="C8428" s="37"/>
      <c r="D8428" s="37"/>
      <c r="E8428" s="37"/>
      <c r="F8428" s="37"/>
      <c r="G8428" s="37"/>
      <c r="H8428" s="37"/>
      <c r="I8428" s="35"/>
      <c r="J8428" s="37"/>
    </row>
    <row r="8429" spans="1:10" ht="15.95" customHeight="1" x14ac:dyDescent="0.2">
      <c r="A8429" s="39"/>
      <c r="B8429" s="36"/>
      <c r="C8429" s="37"/>
      <c r="D8429" s="37"/>
      <c r="E8429" s="37"/>
      <c r="F8429" s="37"/>
      <c r="G8429" s="37"/>
      <c r="H8429" s="37"/>
      <c r="I8429" s="35"/>
      <c r="J8429" s="37"/>
    </row>
    <row r="8430" spans="1:10" ht="15.95" customHeight="1" x14ac:dyDescent="0.2">
      <c r="A8430" s="39"/>
      <c r="B8430" s="36"/>
      <c r="C8430" s="37"/>
      <c r="D8430" s="37"/>
      <c r="E8430" s="37"/>
      <c r="F8430" s="37"/>
      <c r="G8430" s="37"/>
      <c r="H8430" s="37"/>
      <c r="I8430" s="35"/>
      <c r="J8430" s="37"/>
    </row>
    <row r="8431" spans="1:10" ht="15.95" customHeight="1" x14ac:dyDescent="0.2">
      <c r="A8431" s="39"/>
      <c r="B8431" s="36"/>
      <c r="C8431" s="37"/>
      <c r="D8431" s="37"/>
      <c r="E8431" s="37"/>
      <c r="F8431" s="37"/>
      <c r="G8431" s="37"/>
      <c r="H8431" s="37"/>
      <c r="I8431" s="35"/>
      <c r="J8431" s="37"/>
    </row>
    <row r="8432" spans="1:10" ht="15.95" customHeight="1" x14ac:dyDescent="0.2">
      <c r="A8432" s="39"/>
      <c r="B8432" s="36"/>
      <c r="C8432" s="37"/>
      <c r="D8432" s="37"/>
      <c r="E8432" s="37"/>
      <c r="F8432" s="37"/>
      <c r="G8432" s="37"/>
      <c r="H8432" s="37"/>
      <c r="I8432" s="35"/>
      <c r="J8432" s="37"/>
    </row>
    <row r="8433" spans="1:10" ht="15.95" customHeight="1" x14ac:dyDescent="0.2">
      <c r="A8433" s="39"/>
      <c r="B8433" s="36"/>
      <c r="C8433" s="37"/>
      <c r="D8433" s="37"/>
      <c r="E8433" s="37"/>
      <c r="F8433" s="37"/>
      <c r="G8433" s="37"/>
      <c r="H8433" s="37"/>
      <c r="I8433" s="35"/>
      <c r="J8433" s="37"/>
    </row>
    <row r="8434" spans="1:10" ht="15.95" customHeight="1" x14ac:dyDescent="0.2">
      <c r="A8434" s="39"/>
      <c r="B8434" s="36"/>
      <c r="C8434" s="37"/>
      <c r="D8434" s="37"/>
      <c r="E8434" s="37"/>
      <c r="F8434" s="37"/>
      <c r="G8434" s="37"/>
      <c r="H8434" s="37"/>
      <c r="I8434" s="35"/>
      <c r="J8434" s="37"/>
    </row>
    <row r="8435" spans="1:10" ht="15.95" customHeight="1" x14ac:dyDescent="0.2">
      <c r="A8435" s="39"/>
      <c r="B8435" s="36"/>
      <c r="C8435" s="37"/>
      <c r="D8435" s="37"/>
      <c r="E8435" s="37"/>
      <c r="F8435" s="37"/>
      <c r="G8435" s="37"/>
      <c r="H8435" s="37"/>
      <c r="I8435" s="35"/>
      <c r="J8435" s="37"/>
    </row>
    <row r="8436" spans="1:10" ht="15.95" customHeight="1" x14ac:dyDescent="0.2">
      <c r="A8436" s="39"/>
      <c r="B8436" s="36"/>
      <c r="C8436" s="37"/>
      <c r="D8436" s="37"/>
      <c r="E8436" s="37"/>
      <c r="F8436" s="37"/>
      <c r="G8436" s="37"/>
      <c r="H8436" s="37"/>
      <c r="I8436" s="35"/>
      <c r="J8436" s="37"/>
    </row>
    <row r="8437" spans="1:10" ht="15.95" customHeight="1" x14ac:dyDescent="0.2">
      <c r="A8437" s="39"/>
      <c r="B8437" s="36"/>
      <c r="C8437" s="37"/>
      <c r="D8437" s="37"/>
      <c r="E8437" s="37"/>
      <c r="F8437" s="37"/>
      <c r="G8437" s="37"/>
      <c r="H8437" s="37"/>
      <c r="I8437" s="35"/>
      <c r="J8437" s="37"/>
    </row>
    <row r="8438" spans="1:10" ht="15.95" customHeight="1" x14ac:dyDescent="0.2">
      <c r="A8438" s="39"/>
      <c r="B8438" s="36"/>
      <c r="C8438" s="37"/>
      <c r="D8438" s="37"/>
      <c r="E8438" s="37"/>
      <c r="F8438" s="37"/>
      <c r="G8438" s="37"/>
      <c r="H8438" s="37"/>
      <c r="I8438" s="35"/>
      <c r="J8438" s="37"/>
    </row>
    <row r="8439" spans="1:10" ht="15.95" customHeight="1" x14ac:dyDescent="0.2">
      <c r="A8439" s="39"/>
      <c r="B8439" s="36"/>
      <c r="C8439" s="37"/>
      <c r="D8439" s="37"/>
      <c r="E8439" s="37"/>
      <c r="F8439" s="37"/>
      <c r="G8439" s="37"/>
      <c r="H8439" s="37"/>
      <c r="I8439" s="35"/>
      <c r="J8439" s="37"/>
    </row>
    <row r="8440" spans="1:10" ht="15.95" customHeight="1" x14ac:dyDescent="0.2">
      <c r="A8440" s="39"/>
      <c r="B8440" s="36"/>
      <c r="C8440" s="37"/>
      <c r="D8440" s="37"/>
      <c r="E8440" s="37"/>
      <c r="F8440" s="37"/>
      <c r="G8440" s="37"/>
      <c r="H8440" s="37"/>
      <c r="I8440" s="35"/>
      <c r="J8440" s="37"/>
    </row>
    <row r="8441" spans="1:10" ht="15.95" customHeight="1" x14ac:dyDescent="0.2">
      <c r="A8441" s="39"/>
      <c r="B8441" s="36"/>
      <c r="C8441" s="37"/>
      <c r="D8441" s="37"/>
      <c r="E8441" s="37"/>
      <c r="F8441" s="37"/>
      <c r="G8441" s="37"/>
      <c r="H8441" s="37"/>
      <c r="I8441" s="35"/>
      <c r="J8441" s="37"/>
    </row>
    <row r="8442" spans="1:10" ht="15.95" customHeight="1" x14ac:dyDescent="0.2">
      <c r="A8442" s="39"/>
      <c r="B8442" s="36"/>
      <c r="C8442" s="37"/>
      <c r="D8442" s="37"/>
      <c r="E8442" s="37"/>
      <c r="F8442" s="37"/>
      <c r="G8442" s="37"/>
      <c r="H8442" s="37"/>
      <c r="I8442" s="35"/>
      <c r="J8442" s="37"/>
    </row>
    <row r="8443" spans="1:10" ht="15.95" customHeight="1" x14ac:dyDescent="0.2">
      <c r="A8443" s="39"/>
      <c r="B8443" s="36"/>
      <c r="C8443" s="37"/>
      <c r="D8443" s="37"/>
      <c r="E8443" s="37"/>
      <c r="F8443" s="37"/>
      <c r="G8443" s="37"/>
      <c r="H8443" s="37"/>
      <c r="I8443" s="35"/>
      <c r="J8443" s="37"/>
    </row>
    <row r="8444" spans="1:10" ht="15.95" customHeight="1" x14ac:dyDescent="0.2">
      <c r="A8444" s="39"/>
      <c r="B8444" s="36"/>
      <c r="C8444" s="37"/>
      <c r="D8444" s="37"/>
      <c r="E8444" s="37"/>
      <c r="F8444" s="37"/>
      <c r="G8444" s="37"/>
      <c r="H8444" s="37"/>
      <c r="I8444" s="35"/>
      <c r="J8444" s="37"/>
    </row>
    <row r="8445" spans="1:10" ht="15.95" customHeight="1" x14ac:dyDescent="0.2">
      <c r="A8445" s="39"/>
      <c r="B8445" s="36"/>
      <c r="C8445" s="37"/>
      <c r="D8445" s="37"/>
      <c r="E8445" s="37"/>
      <c r="F8445" s="37"/>
      <c r="G8445" s="37"/>
      <c r="H8445" s="37"/>
      <c r="I8445" s="35"/>
      <c r="J8445" s="37"/>
    </row>
    <row r="8446" spans="1:10" ht="15.95" customHeight="1" x14ac:dyDescent="0.2">
      <c r="A8446" s="39"/>
      <c r="B8446" s="36"/>
      <c r="C8446" s="37"/>
      <c r="D8446" s="37"/>
      <c r="E8446" s="37"/>
      <c r="F8446" s="37"/>
      <c r="G8446" s="37"/>
      <c r="H8446" s="37"/>
      <c r="I8446" s="35"/>
      <c r="J8446" s="37"/>
    </row>
    <row r="8447" spans="1:10" ht="15.95" customHeight="1" x14ac:dyDescent="0.2">
      <c r="A8447" s="39"/>
      <c r="B8447" s="36"/>
      <c r="C8447" s="37"/>
      <c r="D8447" s="37"/>
      <c r="E8447" s="37"/>
      <c r="F8447" s="37"/>
      <c r="G8447" s="37"/>
      <c r="H8447" s="37"/>
      <c r="I8447" s="35"/>
      <c r="J8447" s="37"/>
    </row>
    <row r="8448" spans="1:10" ht="15.95" customHeight="1" x14ac:dyDescent="0.2">
      <c r="A8448" s="39"/>
      <c r="B8448" s="36"/>
      <c r="C8448" s="37"/>
      <c r="D8448" s="37"/>
      <c r="E8448" s="37"/>
      <c r="F8448" s="37"/>
      <c r="G8448" s="37"/>
      <c r="H8448" s="37"/>
      <c r="I8448" s="35"/>
      <c r="J8448" s="37"/>
    </row>
    <row r="8449" spans="1:10" ht="15.95" customHeight="1" x14ac:dyDescent="0.2">
      <c r="A8449" s="39"/>
      <c r="B8449" s="36"/>
      <c r="C8449" s="37"/>
      <c r="D8449" s="37"/>
      <c r="E8449" s="37"/>
      <c r="F8449" s="37"/>
      <c r="G8449" s="37"/>
      <c r="H8449" s="37"/>
      <c r="I8449" s="35"/>
      <c r="J8449" s="37"/>
    </row>
    <row r="8450" spans="1:10" ht="15.95" customHeight="1" x14ac:dyDescent="0.2">
      <c r="A8450" s="39"/>
      <c r="B8450" s="36"/>
      <c r="C8450" s="37"/>
      <c r="D8450" s="37"/>
      <c r="E8450" s="37"/>
      <c r="F8450" s="37"/>
      <c r="G8450" s="37"/>
      <c r="H8450" s="37"/>
      <c r="I8450" s="35"/>
      <c r="J8450" s="37"/>
    </row>
    <row r="8451" spans="1:10" ht="15.95" customHeight="1" x14ac:dyDescent="0.2">
      <c r="A8451" s="39"/>
      <c r="B8451" s="36"/>
      <c r="C8451" s="37"/>
      <c r="D8451" s="37"/>
      <c r="E8451" s="37"/>
      <c r="F8451" s="37"/>
      <c r="G8451" s="37"/>
      <c r="H8451" s="37"/>
      <c r="I8451" s="35"/>
      <c r="J8451" s="37"/>
    </row>
    <row r="8452" spans="1:10" ht="15.95" customHeight="1" x14ac:dyDescent="0.2">
      <c r="A8452" s="39"/>
      <c r="B8452" s="36"/>
      <c r="C8452" s="37"/>
      <c r="D8452" s="37"/>
      <c r="E8452" s="37"/>
      <c r="F8452" s="37"/>
      <c r="G8452" s="37"/>
      <c r="H8452" s="37"/>
      <c r="I8452" s="35"/>
      <c r="J8452" s="37"/>
    </row>
    <row r="8453" spans="1:10" ht="15.95" customHeight="1" x14ac:dyDescent="0.2">
      <c r="A8453" s="39"/>
      <c r="B8453" s="36"/>
      <c r="C8453" s="37"/>
      <c r="D8453" s="37"/>
      <c r="E8453" s="37"/>
      <c r="F8453" s="37"/>
      <c r="G8453" s="37"/>
      <c r="H8453" s="37"/>
      <c r="I8453" s="35"/>
      <c r="J8453" s="37"/>
    </row>
    <row r="8454" spans="1:10" ht="15.95" customHeight="1" x14ac:dyDescent="0.2">
      <c r="A8454" s="39"/>
      <c r="B8454" s="36"/>
      <c r="C8454" s="37"/>
      <c r="D8454" s="37"/>
      <c r="E8454" s="37"/>
      <c r="F8454" s="37"/>
      <c r="G8454" s="37"/>
      <c r="H8454" s="37"/>
      <c r="I8454" s="35"/>
      <c r="J8454" s="37"/>
    </row>
    <row r="8455" spans="1:10" ht="15.95" customHeight="1" x14ac:dyDescent="0.2">
      <c r="A8455" s="39"/>
      <c r="B8455" s="36"/>
      <c r="C8455" s="37"/>
      <c r="D8455" s="37"/>
      <c r="E8455" s="37"/>
      <c r="F8455" s="37"/>
      <c r="G8455" s="37"/>
      <c r="H8455" s="37"/>
      <c r="I8455" s="35"/>
      <c r="J8455" s="37"/>
    </row>
    <row r="8456" spans="1:10" ht="15.95" customHeight="1" x14ac:dyDescent="0.2">
      <c r="A8456" s="39"/>
      <c r="B8456" s="36"/>
      <c r="C8456" s="37"/>
      <c r="D8456" s="37"/>
      <c r="E8456" s="37"/>
      <c r="F8456" s="37"/>
      <c r="G8456" s="37"/>
      <c r="H8456" s="37"/>
      <c r="I8456" s="35"/>
      <c r="J8456" s="37"/>
    </row>
    <row r="8457" spans="1:10" ht="15.95" customHeight="1" x14ac:dyDescent="0.2">
      <c r="A8457" s="39"/>
      <c r="B8457" s="36"/>
      <c r="C8457" s="37"/>
      <c r="D8457" s="37"/>
      <c r="E8457" s="37"/>
      <c r="F8457" s="37"/>
      <c r="G8457" s="37"/>
      <c r="H8457" s="37"/>
      <c r="I8457" s="35"/>
      <c r="J8457" s="37"/>
    </row>
    <row r="8458" spans="1:10" ht="15.95" customHeight="1" x14ac:dyDescent="0.2">
      <c r="A8458" s="39"/>
      <c r="B8458" s="36"/>
      <c r="C8458" s="37"/>
      <c r="D8458" s="37"/>
      <c r="E8458" s="37"/>
      <c r="F8458" s="37"/>
      <c r="G8458" s="37"/>
      <c r="H8458" s="37"/>
      <c r="I8458" s="35"/>
      <c r="J8458" s="37"/>
    </row>
    <row r="8459" spans="1:10" ht="15.95" customHeight="1" x14ac:dyDescent="0.2">
      <c r="A8459" s="39"/>
      <c r="B8459" s="36"/>
      <c r="C8459" s="37"/>
      <c r="D8459" s="37"/>
      <c r="E8459" s="37"/>
      <c r="F8459" s="37"/>
      <c r="G8459" s="37"/>
      <c r="H8459" s="37"/>
      <c r="I8459" s="35"/>
      <c r="J8459" s="37"/>
    </row>
    <row r="8460" spans="1:10" ht="15.95" customHeight="1" x14ac:dyDescent="0.2">
      <c r="A8460" s="39"/>
      <c r="B8460" s="36"/>
      <c r="C8460" s="37"/>
      <c r="D8460" s="37"/>
      <c r="E8460" s="37"/>
      <c r="F8460" s="37"/>
      <c r="G8460" s="37"/>
      <c r="H8460" s="37"/>
      <c r="I8460" s="35"/>
      <c r="J8460" s="37"/>
    </row>
    <row r="8461" spans="1:10" ht="15.95" customHeight="1" x14ac:dyDescent="0.2">
      <c r="A8461" s="39"/>
      <c r="B8461" s="36"/>
      <c r="C8461" s="37"/>
      <c r="D8461" s="37"/>
      <c r="E8461" s="37"/>
      <c r="F8461" s="37"/>
      <c r="G8461" s="37"/>
      <c r="H8461" s="37"/>
      <c r="I8461" s="35"/>
      <c r="J8461" s="37"/>
    </row>
    <row r="8462" spans="1:10" ht="15.95" customHeight="1" x14ac:dyDescent="0.2">
      <c r="A8462" s="39"/>
      <c r="B8462" s="36"/>
      <c r="C8462" s="37"/>
      <c r="D8462" s="37"/>
      <c r="E8462" s="37"/>
      <c r="F8462" s="37"/>
      <c r="G8462" s="37"/>
      <c r="H8462" s="37"/>
      <c r="I8462" s="35"/>
      <c r="J8462" s="37"/>
    </row>
    <row r="8463" spans="1:10" ht="15.95" customHeight="1" x14ac:dyDescent="0.2">
      <c r="A8463" s="39"/>
      <c r="B8463" s="36"/>
      <c r="C8463" s="37"/>
      <c r="D8463" s="37"/>
      <c r="E8463" s="37"/>
      <c r="F8463" s="37"/>
      <c r="G8463" s="37"/>
      <c r="H8463" s="37"/>
      <c r="I8463" s="35"/>
      <c r="J8463" s="37"/>
    </row>
    <row r="8464" spans="1:10" ht="15.95" customHeight="1" x14ac:dyDescent="0.2">
      <c r="A8464" s="39"/>
      <c r="B8464" s="36"/>
      <c r="C8464" s="37"/>
      <c r="D8464" s="37"/>
      <c r="E8464" s="37"/>
      <c r="F8464" s="37"/>
      <c r="G8464" s="37"/>
      <c r="H8464" s="37"/>
      <c r="I8464" s="35"/>
      <c r="J8464" s="37"/>
    </row>
    <row r="8465" spans="1:10" ht="15.95" customHeight="1" x14ac:dyDescent="0.2">
      <c r="A8465" s="39"/>
      <c r="B8465" s="36"/>
      <c r="C8465" s="37"/>
      <c r="D8465" s="37"/>
      <c r="E8465" s="37"/>
      <c r="F8465" s="37"/>
      <c r="G8465" s="37"/>
      <c r="H8465" s="37"/>
      <c r="I8465" s="35"/>
      <c r="J8465" s="37"/>
    </row>
    <row r="8466" spans="1:10" ht="15.95" customHeight="1" x14ac:dyDescent="0.2">
      <c r="A8466" s="39"/>
      <c r="B8466" s="36"/>
      <c r="C8466" s="37"/>
      <c r="D8466" s="37"/>
      <c r="E8466" s="37"/>
      <c r="F8466" s="37"/>
      <c r="G8466" s="37"/>
      <c r="H8466" s="37"/>
      <c r="I8466" s="35"/>
      <c r="J8466" s="37"/>
    </row>
    <row r="8467" spans="1:10" ht="15.95" customHeight="1" x14ac:dyDescent="0.2">
      <c r="A8467" s="39"/>
      <c r="B8467" s="36"/>
      <c r="C8467" s="37"/>
      <c r="D8467" s="37"/>
      <c r="E8467" s="37"/>
      <c r="F8467" s="37"/>
      <c r="G8467" s="37"/>
      <c r="H8467" s="37"/>
      <c r="I8467" s="35"/>
      <c r="J8467" s="37"/>
    </row>
    <row r="8468" spans="1:10" ht="15.95" customHeight="1" x14ac:dyDescent="0.2">
      <c r="A8468" s="39"/>
      <c r="B8468" s="36"/>
      <c r="C8468" s="37"/>
      <c r="D8468" s="37"/>
      <c r="E8468" s="37"/>
      <c r="F8468" s="37"/>
      <c r="G8468" s="37"/>
      <c r="H8468" s="37"/>
      <c r="I8468" s="35"/>
      <c r="J8468" s="37"/>
    </row>
    <row r="8469" spans="1:10" ht="15.95" customHeight="1" x14ac:dyDescent="0.2">
      <c r="A8469" s="39"/>
      <c r="B8469" s="36"/>
      <c r="C8469" s="37"/>
      <c r="D8469" s="37"/>
      <c r="E8469" s="37"/>
      <c r="F8469" s="37"/>
      <c r="G8469" s="37"/>
      <c r="H8469" s="37"/>
      <c r="I8469" s="35"/>
      <c r="J8469" s="37"/>
    </row>
    <row r="8470" spans="1:10" ht="15.95" customHeight="1" x14ac:dyDescent="0.2">
      <c r="A8470" s="39"/>
      <c r="B8470" s="36"/>
      <c r="C8470" s="37"/>
      <c r="D8470" s="37"/>
      <c r="E8470" s="37"/>
      <c r="F8470" s="37"/>
      <c r="G8470" s="37"/>
      <c r="H8470" s="37"/>
      <c r="I8470" s="35"/>
      <c r="J8470" s="37"/>
    </row>
    <row r="8471" spans="1:10" ht="15.95" customHeight="1" x14ac:dyDescent="0.2">
      <c r="A8471" s="39"/>
      <c r="B8471" s="36"/>
      <c r="C8471" s="37"/>
      <c r="D8471" s="37"/>
      <c r="E8471" s="37"/>
      <c r="F8471" s="37"/>
      <c r="G8471" s="37"/>
      <c r="H8471" s="37"/>
      <c r="I8471" s="35"/>
      <c r="J8471" s="37"/>
    </row>
    <row r="8472" spans="1:10" ht="15.95" customHeight="1" x14ac:dyDescent="0.2">
      <c r="A8472" s="39"/>
      <c r="B8472" s="36"/>
      <c r="C8472" s="37"/>
      <c r="D8472" s="37"/>
      <c r="E8472" s="37"/>
      <c r="F8472" s="37"/>
      <c r="G8472" s="37"/>
      <c r="H8472" s="37"/>
      <c r="I8472" s="35"/>
      <c r="J8472" s="37"/>
    </row>
    <row r="8473" spans="1:10" ht="15.95" customHeight="1" x14ac:dyDescent="0.2">
      <c r="A8473" s="39"/>
      <c r="B8473" s="36"/>
      <c r="C8473" s="37"/>
      <c r="D8473" s="37"/>
      <c r="E8473" s="37"/>
      <c r="F8473" s="37"/>
      <c r="G8473" s="37"/>
      <c r="H8473" s="37"/>
      <c r="I8473" s="35"/>
      <c r="J8473" s="37"/>
    </row>
    <row r="8474" spans="1:10" ht="15.95" customHeight="1" x14ac:dyDescent="0.2">
      <c r="A8474" s="39"/>
      <c r="B8474" s="36"/>
      <c r="C8474" s="37"/>
      <c r="D8474" s="37"/>
      <c r="E8474" s="37"/>
      <c r="F8474" s="37"/>
      <c r="G8474" s="37"/>
      <c r="H8474" s="37"/>
      <c r="I8474" s="35"/>
      <c r="J8474" s="37"/>
    </row>
    <row r="8475" spans="1:10" ht="15.95" customHeight="1" x14ac:dyDescent="0.2">
      <c r="A8475" s="39"/>
      <c r="B8475" s="36"/>
      <c r="C8475" s="37"/>
      <c r="D8475" s="37"/>
      <c r="E8475" s="37"/>
      <c r="F8475" s="37"/>
      <c r="G8475" s="37"/>
      <c r="H8475" s="37"/>
      <c r="I8475" s="35"/>
      <c r="J8475" s="37"/>
    </row>
    <row r="8476" spans="1:10" ht="15.95" customHeight="1" x14ac:dyDescent="0.2">
      <c r="A8476" s="39"/>
      <c r="B8476" s="36"/>
      <c r="C8476" s="37"/>
      <c r="D8476" s="37"/>
      <c r="E8476" s="37"/>
      <c r="F8476" s="37"/>
      <c r="G8476" s="37"/>
      <c r="H8476" s="37"/>
      <c r="I8476" s="35"/>
      <c r="J8476" s="37"/>
    </row>
    <row r="8477" spans="1:10" ht="15.95" customHeight="1" x14ac:dyDescent="0.2">
      <c r="A8477" s="39"/>
      <c r="B8477" s="36"/>
      <c r="C8477" s="37"/>
      <c r="D8477" s="37"/>
      <c r="E8477" s="37"/>
      <c r="F8477" s="37"/>
      <c r="G8477" s="37"/>
      <c r="H8477" s="37"/>
      <c r="I8477" s="35"/>
      <c r="J8477" s="37"/>
    </row>
    <row r="8478" spans="1:10" ht="15.95" customHeight="1" x14ac:dyDescent="0.2">
      <c r="A8478" s="39"/>
      <c r="B8478" s="36"/>
      <c r="C8478" s="37"/>
      <c r="D8478" s="37"/>
      <c r="E8478" s="37"/>
      <c r="F8478" s="37"/>
      <c r="G8478" s="37"/>
      <c r="H8478" s="37"/>
      <c r="I8478" s="35"/>
      <c r="J8478" s="37"/>
    </row>
    <row r="8479" spans="1:10" ht="15.95" customHeight="1" x14ac:dyDescent="0.2">
      <c r="A8479" s="39"/>
      <c r="B8479" s="36"/>
      <c r="C8479" s="37"/>
      <c r="D8479" s="37"/>
      <c r="E8479" s="37"/>
      <c r="F8479" s="37"/>
      <c r="G8479" s="37"/>
      <c r="H8479" s="37"/>
      <c r="I8479" s="35"/>
      <c r="J8479" s="37"/>
    </row>
    <row r="8480" spans="1:10" ht="15.95" customHeight="1" x14ac:dyDescent="0.2">
      <c r="A8480" s="39"/>
      <c r="B8480" s="36"/>
      <c r="C8480" s="37"/>
      <c r="D8480" s="37"/>
      <c r="E8480" s="37"/>
      <c r="F8480" s="37"/>
      <c r="G8480" s="37"/>
      <c r="H8480" s="37"/>
      <c r="I8480" s="35"/>
      <c r="J8480" s="37"/>
    </row>
    <row r="8481" spans="1:10" ht="15.95" customHeight="1" x14ac:dyDescent="0.2">
      <c r="A8481" s="39"/>
      <c r="B8481" s="36"/>
      <c r="C8481" s="37"/>
      <c r="D8481" s="37"/>
      <c r="E8481" s="37"/>
      <c r="F8481" s="37"/>
      <c r="G8481" s="37"/>
      <c r="H8481" s="37"/>
      <c r="I8481" s="35"/>
      <c r="J8481" s="37"/>
    </row>
    <row r="8482" spans="1:10" ht="15.95" customHeight="1" x14ac:dyDescent="0.2">
      <c r="A8482" s="39"/>
      <c r="B8482" s="36"/>
      <c r="C8482" s="37"/>
      <c r="D8482" s="37"/>
      <c r="E8482" s="37"/>
      <c r="F8482" s="37"/>
      <c r="G8482" s="37"/>
      <c r="H8482" s="37"/>
      <c r="I8482" s="35"/>
      <c r="J8482" s="37"/>
    </row>
    <row r="8483" spans="1:10" ht="15.95" customHeight="1" x14ac:dyDescent="0.2">
      <c r="A8483" s="39"/>
      <c r="B8483" s="36"/>
      <c r="C8483" s="37"/>
      <c r="D8483" s="37"/>
      <c r="E8483" s="37"/>
      <c r="F8483" s="37"/>
      <c r="G8483" s="37"/>
      <c r="H8483" s="37"/>
      <c r="I8483" s="35"/>
      <c r="J8483" s="37"/>
    </row>
    <row r="8484" spans="1:10" ht="15.95" customHeight="1" x14ac:dyDescent="0.2">
      <c r="A8484" s="39"/>
      <c r="B8484" s="36"/>
      <c r="C8484" s="37"/>
      <c r="D8484" s="37"/>
      <c r="E8484" s="37"/>
      <c r="F8484" s="37"/>
      <c r="G8484" s="37"/>
      <c r="H8484" s="37"/>
      <c r="I8484" s="35"/>
      <c r="J8484" s="37"/>
    </row>
    <row r="8485" spans="1:10" ht="15.95" customHeight="1" x14ac:dyDescent="0.2">
      <c r="A8485" s="39"/>
      <c r="B8485" s="36"/>
      <c r="C8485" s="37"/>
      <c r="D8485" s="37"/>
      <c r="E8485" s="37"/>
      <c r="F8485" s="37"/>
      <c r="G8485" s="37"/>
      <c r="H8485" s="37"/>
      <c r="I8485" s="35"/>
      <c r="J8485" s="37"/>
    </row>
    <row r="8486" spans="1:10" ht="15.95" customHeight="1" x14ac:dyDescent="0.2">
      <c r="A8486" s="39"/>
      <c r="B8486" s="36"/>
      <c r="C8486" s="37"/>
      <c r="D8486" s="37"/>
      <c r="E8486" s="37"/>
      <c r="F8486" s="37"/>
      <c r="G8486" s="37"/>
      <c r="H8486" s="37"/>
      <c r="I8486" s="35"/>
      <c r="J8486" s="37"/>
    </row>
    <row r="8487" spans="1:10" ht="15.95" customHeight="1" x14ac:dyDescent="0.2">
      <c r="A8487" s="39"/>
      <c r="B8487" s="36"/>
      <c r="C8487" s="37"/>
      <c r="D8487" s="37"/>
      <c r="E8487" s="37"/>
      <c r="F8487" s="37"/>
      <c r="G8487" s="37"/>
      <c r="H8487" s="37"/>
      <c r="I8487" s="35"/>
      <c r="J8487" s="37"/>
    </row>
    <row r="8488" spans="1:10" ht="15.95" customHeight="1" x14ac:dyDescent="0.2">
      <c r="A8488" s="39"/>
      <c r="B8488" s="36"/>
      <c r="C8488" s="37"/>
      <c r="D8488" s="37"/>
      <c r="E8488" s="37"/>
      <c r="F8488" s="37"/>
      <c r="G8488" s="37"/>
      <c r="H8488" s="37"/>
      <c r="I8488" s="35"/>
      <c r="J8488" s="37"/>
    </row>
    <row r="8489" spans="1:10" ht="15.95" customHeight="1" x14ac:dyDescent="0.2">
      <c r="A8489" s="39"/>
      <c r="B8489" s="36"/>
      <c r="C8489" s="37"/>
      <c r="D8489" s="37"/>
      <c r="E8489" s="37"/>
      <c r="F8489" s="37"/>
      <c r="G8489" s="37"/>
      <c r="H8489" s="37"/>
      <c r="I8489" s="35"/>
      <c r="J8489" s="37"/>
    </row>
    <row r="8490" spans="1:10" ht="15.95" customHeight="1" x14ac:dyDescent="0.2">
      <c r="A8490" s="39"/>
      <c r="B8490" s="36"/>
      <c r="C8490" s="37"/>
      <c r="D8490" s="37"/>
      <c r="E8490" s="37"/>
      <c r="F8490" s="37"/>
      <c r="G8490" s="37"/>
      <c r="H8490" s="37"/>
      <c r="I8490" s="35"/>
      <c r="J8490" s="37"/>
    </row>
    <row r="8491" spans="1:10" ht="15.95" customHeight="1" x14ac:dyDescent="0.2">
      <c r="A8491" s="39"/>
      <c r="B8491" s="36"/>
      <c r="C8491" s="37"/>
      <c r="D8491" s="37"/>
      <c r="E8491" s="37"/>
      <c r="F8491" s="37"/>
      <c r="G8491" s="37"/>
      <c r="H8491" s="37"/>
      <c r="I8491" s="35"/>
      <c r="J8491" s="37"/>
    </row>
    <row r="8492" spans="1:10" ht="15.95" customHeight="1" x14ac:dyDescent="0.2">
      <c r="A8492" s="39"/>
      <c r="B8492" s="36"/>
      <c r="C8492" s="37"/>
      <c r="D8492" s="37"/>
      <c r="E8492" s="37"/>
      <c r="F8492" s="37"/>
      <c r="G8492" s="37"/>
      <c r="H8492" s="37"/>
      <c r="I8492" s="35"/>
      <c r="J8492" s="37"/>
    </row>
    <row r="8493" spans="1:10" ht="15.95" customHeight="1" x14ac:dyDescent="0.2">
      <c r="A8493" s="39"/>
      <c r="B8493" s="36"/>
      <c r="C8493" s="37"/>
      <c r="D8493" s="37"/>
      <c r="E8493" s="37"/>
      <c r="F8493" s="37"/>
      <c r="G8493" s="37"/>
      <c r="H8493" s="37"/>
      <c r="I8493" s="35"/>
      <c r="J8493" s="37"/>
    </row>
    <row r="8494" spans="1:10" ht="15.95" customHeight="1" x14ac:dyDescent="0.2">
      <c r="A8494" s="39"/>
      <c r="B8494" s="36"/>
      <c r="C8494" s="37"/>
      <c r="D8494" s="37"/>
      <c r="E8494" s="37"/>
      <c r="F8494" s="37"/>
      <c r="G8494" s="37"/>
      <c r="H8494" s="37"/>
      <c r="I8494" s="35"/>
      <c r="J8494" s="37"/>
    </row>
    <row r="8495" spans="1:10" ht="15.95" customHeight="1" x14ac:dyDescent="0.2">
      <c r="A8495" s="39"/>
      <c r="B8495" s="36"/>
      <c r="C8495" s="37"/>
      <c r="D8495" s="37"/>
      <c r="E8495" s="37"/>
      <c r="F8495" s="37"/>
      <c r="G8495" s="37"/>
      <c r="H8495" s="37"/>
      <c r="I8495" s="35"/>
      <c r="J8495" s="37"/>
    </row>
    <row r="8496" spans="1:10" ht="15.95" customHeight="1" x14ac:dyDescent="0.2">
      <c r="A8496" s="39"/>
      <c r="B8496" s="36"/>
      <c r="C8496" s="37"/>
      <c r="D8496" s="37"/>
      <c r="E8496" s="37"/>
      <c r="F8496" s="37"/>
      <c r="G8496" s="37"/>
      <c r="H8496" s="37"/>
      <c r="I8496" s="35"/>
      <c r="J8496" s="37"/>
    </row>
    <row r="8497" spans="1:10" ht="15.95" customHeight="1" x14ac:dyDescent="0.2">
      <c r="A8497" s="39"/>
      <c r="B8497" s="36"/>
      <c r="C8497" s="37"/>
      <c r="D8497" s="37"/>
      <c r="E8497" s="37"/>
      <c r="F8497" s="37"/>
      <c r="G8497" s="37"/>
      <c r="H8497" s="37"/>
      <c r="I8497" s="35"/>
      <c r="J8497" s="37"/>
    </row>
    <row r="8498" spans="1:10" ht="15.95" customHeight="1" x14ac:dyDescent="0.2">
      <c r="A8498" s="39"/>
      <c r="B8498" s="36"/>
      <c r="C8498" s="37"/>
      <c r="D8498" s="37"/>
      <c r="E8498" s="37"/>
      <c r="F8498" s="37"/>
      <c r="G8498" s="37"/>
      <c r="H8498" s="37"/>
      <c r="I8498" s="35"/>
      <c r="J8498" s="37"/>
    </row>
    <row r="8499" spans="1:10" ht="15.95" customHeight="1" x14ac:dyDescent="0.2">
      <c r="A8499" s="39"/>
      <c r="B8499" s="36"/>
      <c r="C8499" s="37"/>
      <c r="D8499" s="37"/>
      <c r="E8499" s="37"/>
      <c r="F8499" s="37"/>
      <c r="G8499" s="37"/>
      <c r="H8499" s="37"/>
      <c r="I8499" s="35"/>
      <c r="J8499" s="37"/>
    </row>
    <row r="8500" spans="1:10" ht="15.95" customHeight="1" x14ac:dyDescent="0.2">
      <c r="A8500" s="39"/>
      <c r="B8500" s="36"/>
      <c r="C8500" s="37"/>
      <c r="D8500" s="37"/>
      <c r="E8500" s="37"/>
      <c r="F8500" s="37"/>
      <c r="G8500" s="37"/>
      <c r="H8500" s="37"/>
      <c r="I8500" s="35"/>
      <c r="J8500" s="37"/>
    </row>
    <row r="8501" spans="1:10" ht="15.95" customHeight="1" x14ac:dyDescent="0.2">
      <c r="A8501" s="39"/>
      <c r="B8501" s="36"/>
      <c r="C8501" s="37"/>
      <c r="D8501" s="37"/>
      <c r="E8501" s="37"/>
      <c r="F8501" s="37"/>
      <c r="G8501" s="37"/>
      <c r="H8501" s="37"/>
      <c r="I8501" s="35"/>
      <c r="J8501" s="37"/>
    </row>
    <row r="8502" spans="1:10" ht="15.95" customHeight="1" x14ac:dyDescent="0.2">
      <c r="A8502" s="39"/>
      <c r="B8502" s="36"/>
      <c r="C8502" s="37"/>
      <c r="D8502" s="37"/>
      <c r="E8502" s="37"/>
      <c r="F8502" s="37"/>
      <c r="G8502" s="37"/>
      <c r="H8502" s="37"/>
      <c r="I8502" s="35"/>
      <c r="J8502" s="37"/>
    </row>
    <row r="8503" spans="1:10" ht="15.95" customHeight="1" x14ac:dyDescent="0.2">
      <c r="A8503" s="39"/>
      <c r="B8503" s="36"/>
      <c r="C8503" s="37"/>
      <c r="D8503" s="37"/>
      <c r="E8503" s="37"/>
      <c r="F8503" s="37"/>
      <c r="G8503" s="37"/>
      <c r="H8503" s="37"/>
      <c r="I8503" s="35"/>
      <c r="J8503" s="37"/>
    </row>
    <row r="8504" spans="1:10" ht="15.95" customHeight="1" x14ac:dyDescent="0.2">
      <c r="A8504" s="39"/>
      <c r="B8504" s="36"/>
      <c r="C8504" s="37"/>
      <c r="D8504" s="37"/>
      <c r="E8504" s="37"/>
      <c r="F8504" s="37"/>
      <c r="G8504" s="37"/>
      <c r="H8504" s="37"/>
      <c r="I8504" s="35"/>
      <c r="J8504" s="37"/>
    </row>
    <row r="8505" spans="1:10" ht="15.95" customHeight="1" x14ac:dyDescent="0.2">
      <c r="A8505" s="39"/>
      <c r="B8505" s="36"/>
      <c r="C8505" s="37"/>
      <c r="D8505" s="37"/>
      <c r="E8505" s="37"/>
      <c r="F8505" s="37"/>
      <c r="G8505" s="37"/>
      <c r="H8505" s="37"/>
      <c r="I8505" s="35"/>
      <c r="J8505" s="37"/>
    </row>
    <row r="8506" spans="1:10" ht="15.95" customHeight="1" x14ac:dyDescent="0.2">
      <c r="A8506" s="39"/>
      <c r="B8506" s="36"/>
      <c r="C8506" s="37"/>
      <c r="D8506" s="37"/>
      <c r="E8506" s="37"/>
      <c r="F8506" s="37"/>
      <c r="G8506" s="37"/>
      <c r="H8506" s="37"/>
      <c r="I8506" s="35"/>
      <c r="J8506" s="37"/>
    </row>
    <row r="8507" spans="1:10" ht="15.95" customHeight="1" x14ac:dyDescent="0.2">
      <c r="A8507" s="39"/>
      <c r="B8507" s="36"/>
      <c r="C8507" s="37"/>
      <c r="D8507" s="37"/>
      <c r="E8507" s="37"/>
      <c r="F8507" s="37"/>
      <c r="G8507" s="37"/>
      <c r="H8507" s="37"/>
      <c r="I8507" s="35"/>
      <c r="J8507" s="37"/>
    </row>
    <row r="8508" spans="1:10" ht="15.95" customHeight="1" x14ac:dyDescent="0.2">
      <c r="A8508" s="39"/>
      <c r="B8508" s="36"/>
      <c r="C8508" s="37"/>
      <c r="D8508" s="37"/>
      <c r="E8508" s="37"/>
      <c r="F8508" s="37"/>
      <c r="G8508" s="37"/>
      <c r="H8508" s="37"/>
      <c r="I8508" s="35"/>
      <c r="J8508" s="37"/>
    </row>
    <row r="8509" spans="1:10" ht="15.95" customHeight="1" x14ac:dyDescent="0.2">
      <c r="A8509" s="39"/>
      <c r="B8509" s="36"/>
      <c r="C8509" s="37"/>
      <c r="D8509" s="37"/>
      <c r="E8509" s="37"/>
      <c r="F8509" s="37"/>
      <c r="G8509" s="37"/>
      <c r="H8509" s="37"/>
      <c r="I8509" s="35"/>
      <c r="J8509" s="37"/>
    </row>
    <row r="8510" spans="1:10" ht="15.95" customHeight="1" x14ac:dyDescent="0.2">
      <c r="A8510" s="39"/>
      <c r="B8510" s="36"/>
      <c r="C8510" s="37"/>
      <c r="D8510" s="37"/>
      <c r="E8510" s="37"/>
      <c r="F8510" s="37"/>
      <c r="G8510" s="37"/>
      <c r="H8510" s="37"/>
      <c r="I8510" s="35"/>
      <c r="J8510" s="37"/>
    </row>
    <row r="8511" spans="1:10" ht="15.95" customHeight="1" x14ac:dyDescent="0.2">
      <c r="A8511" s="39"/>
      <c r="B8511" s="36"/>
      <c r="C8511" s="37"/>
      <c r="D8511" s="37"/>
      <c r="E8511" s="37"/>
      <c r="F8511" s="37"/>
      <c r="G8511" s="37"/>
      <c r="H8511" s="37"/>
      <c r="I8511" s="35"/>
      <c r="J8511" s="37"/>
    </row>
    <row r="8512" spans="1:10" ht="15.95" customHeight="1" x14ac:dyDescent="0.2">
      <c r="A8512" s="39"/>
      <c r="B8512" s="36"/>
      <c r="C8512" s="37"/>
      <c r="D8512" s="37"/>
      <c r="E8512" s="37"/>
      <c r="F8512" s="37"/>
      <c r="G8512" s="37"/>
      <c r="H8512" s="37"/>
      <c r="I8512" s="35"/>
      <c r="J8512" s="37"/>
    </row>
    <row r="8513" spans="1:10" ht="15.95" customHeight="1" x14ac:dyDescent="0.2">
      <c r="A8513" s="39"/>
      <c r="B8513" s="36"/>
      <c r="C8513" s="37"/>
      <c r="D8513" s="37"/>
      <c r="E8513" s="37"/>
      <c r="F8513" s="37"/>
      <c r="G8513" s="37"/>
      <c r="H8513" s="37"/>
      <c r="I8513" s="35"/>
      <c r="J8513" s="37"/>
    </row>
    <row r="8514" spans="1:10" ht="15.95" customHeight="1" x14ac:dyDescent="0.2">
      <c r="A8514" s="39"/>
      <c r="B8514" s="36"/>
      <c r="C8514" s="37"/>
      <c r="D8514" s="37"/>
      <c r="E8514" s="37"/>
      <c r="F8514" s="37"/>
      <c r="G8514" s="37"/>
      <c r="H8514" s="37"/>
      <c r="I8514" s="35"/>
      <c r="J8514" s="37"/>
    </row>
    <row r="8515" spans="1:10" ht="15.95" customHeight="1" x14ac:dyDescent="0.2">
      <c r="A8515" s="39"/>
      <c r="B8515" s="36"/>
      <c r="C8515" s="37"/>
      <c r="D8515" s="37"/>
      <c r="E8515" s="37"/>
      <c r="F8515" s="37"/>
      <c r="G8515" s="37"/>
      <c r="H8515" s="37"/>
      <c r="I8515" s="35"/>
      <c r="J8515" s="37"/>
    </row>
    <row r="8516" spans="1:10" ht="15.95" customHeight="1" x14ac:dyDescent="0.2">
      <c r="A8516" s="39"/>
      <c r="B8516" s="36"/>
      <c r="C8516" s="37"/>
      <c r="D8516" s="37"/>
      <c r="E8516" s="37"/>
      <c r="F8516" s="37"/>
      <c r="G8516" s="37"/>
      <c r="H8516" s="37"/>
      <c r="I8516" s="35"/>
      <c r="J8516" s="37"/>
    </row>
    <row r="8517" spans="1:10" ht="15.95" customHeight="1" x14ac:dyDescent="0.2">
      <c r="A8517" s="39"/>
      <c r="B8517" s="36"/>
      <c r="C8517" s="37"/>
      <c r="D8517" s="37"/>
      <c r="E8517" s="37"/>
      <c r="F8517" s="37"/>
      <c r="G8517" s="37"/>
      <c r="H8517" s="37"/>
      <c r="I8517" s="35"/>
      <c r="J8517" s="37"/>
    </row>
    <row r="8518" spans="1:10" ht="15.95" customHeight="1" x14ac:dyDescent="0.2">
      <c r="A8518" s="39"/>
      <c r="B8518" s="36"/>
      <c r="C8518" s="37"/>
      <c r="D8518" s="37"/>
      <c r="E8518" s="37"/>
      <c r="F8518" s="37"/>
      <c r="G8518" s="37"/>
      <c r="H8518" s="37"/>
      <c r="I8518" s="35"/>
      <c r="J8518" s="37"/>
    </row>
    <row r="8519" spans="1:10" ht="15.95" customHeight="1" x14ac:dyDescent="0.2">
      <c r="A8519" s="39"/>
      <c r="B8519" s="36"/>
      <c r="C8519" s="37"/>
      <c r="D8519" s="37"/>
      <c r="E8519" s="37"/>
      <c r="F8519" s="37"/>
      <c r="G8519" s="37"/>
      <c r="H8519" s="37"/>
      <c r="I8519" s="35"/>
      <c r="J8519" s="37"/>
    </row>
    <row r="8520" spans="1:10" ht="15.95" customHeight="1" x14ac:dyDescent="0.2">
      <c r="A8520" s="39"/>
      <c r="B8520" s="36"/>
      <c r="C8520" s="37"/>
      <c r="D8520" s="37"/>
      <c r="E8520" s="37"/>
      <c r="F8520" s="37"/>
      <c r="G8520" s="37"/>
      <c r="H8520" s="37"/>
      <c r="I8520" s="35"/>
      <c r="J8520" s="37"/>
    </row>
    <row r="8521" spans="1:10" ht="15.95" customHeight="1" x14ac:dyDescent="0.2">
      <c r="A8521" s="39"/>
      <c r="B8521" s="36"/>
      <c r="C8521" s="37"/>
      <c r="D8521" s="37"/>
      <c r="E8521" s="37"/>
      <c r="F8521" s="37"/>
      <c r="G8521" s="37"/>
      <c r="H8521" s="37"/>
      <c r="I8521" s="35"/>
      <c r="J8521" s="37"/>
    </row>
    <row r="8522" spans="1:10" ht="15.95" customHeight="1" x14ac:dyDescent="0.2">
      <c r="A8522" s="39"/>
      <c r="B8522" s="36"/>
      <c r="C8522" s="37"/>
      <c r="D8522" s="37"/>
      <c r="E8522" s="37"/>
      <c r="F8522" s="37"/>
      <c r="G8522" s="37"/>
      <c r="H8522" s="37"/>
      <c r="I8522" s="35"/>
      <c r="J8522" s="37"/>
    </row>
    <row r="8523" spans="1:10" ht="15.95" customHeight="1" x14ac:dyDescent="0.2">
      <c r="A8523" s="39"/>
      <c r="B8523" s="36"/>
      <c r="C8523" s="37"/>
      <c r="D8523" s="37"/>
      <c r="E8523" s="37"/>
      <c r="F8523" s="37"/>
      <c r="G8523" s="37"/>
      <c r="H8523" s="37"/>
      <c r="I8523" s="35"/>
      <c r="J8523" s="37"/>
    </row>
    <row r="8524" spans="1:10" ht="15.95" customHeight="1" x14ac:dyDescent="0.2">
      <c r="A8524" s="39"/>
      <c r="B8524" s="36"/>
      <c r="C8524" s="37"/>
      <c r="D8524" s="37"/>
      <c r="E8524" s="37"/>
      <c r="F8524" s="37"/>
      <c r="G8524" s="37"/>
      <c r="H8524" s="37"/>
      <c r="I8524" s="35"/>
      <c r="J8524" s="37"/>
    </row>
    <row r="8525" spans="1:10" ht="15.95" customHeight="1" x14ac:dyDescent="0.2">
      <c r="A8525" s="39"/>
      <c r="B8525" s="36"/>
      <c r="C8525" s="37"/>
      <c r="D8525" s="37"/>
      <c r="E8525" s="37"/>
      <c r="F8525" s="37"/>
      <c r="G8525" s="37"/>
      <c r="H8525" s="37"/>
      <c r="I8525" s="35"/>
      <c r="J8525" s="37"/>
    </row>
    <row r="8526" spans="1:10" ht="15.95" customHeight="1" x14ac:dyDescent="0.2">
      <c r="A8526" s="39"/>
      <c r="B8526" s="36"/>
      <c r="C8526" s="37"/>
      <c r="D8526" s="37"/>
      <c r="E8526" s="37"/>
      <c r="F8526" s="37"/>
      <c r="G8526" s="37"/>
      <c r="H8526" s="37"/>
      <c r="I8526" s="35"/>
      <c r="J8526" s="37"/>
    </row>
    <row r="8527" spans="1:10" ht="15.95" customHeight="1" x14ac:dyDescent="0.2">
      <c r="A8527" s="39"/>
      <c r="B8527" s="36"/>
      <c r="C8527" s="37"/>
      <c r="D8527" s="37"/>
      <c r="E8527" s="37"/>
      <c r="F8527" s="37"/>
      <c r="G8527" s="37"/>
      <c r="H8527" s="37"/>
      <c r="I8527" s="35"/>
      <c r="J8527" s="37"/>
    </row>
    <row r="8528" spans="1:10" ht="15.95" customHeight="1" x14ac:dyDescent="0.2">
      <c r="A8528" s="39"/>
      <c r="B8528" s="36"/>
      <c r="C8528" s="37"/>
      <c r="D8528" s="37"/>
      <c r="E8528" s="37"/>
      <c r="F8528" s="37"/>
      <c r="G8528" s="37"/>
      <c r="H8528" s="37"/>
      <c r="I8528" s="35"/>
      <c r="J8528" s="37"/>
    </row>
    <row r="8529" spans="1:10" ht="15.95" customHeight="1" x14ac:dyDescent="0.2">
      <c r="A8529" s="39"/>
      <c r="B8529" s="36"/>
      <c r="C8529" s="37"/>
      <c r="D8529" s="37"/>
      <c r="E8529" s="37"/>
      <c r="F8529" s="37"/>
      <c r="G8529" s="37"/>
      <c r="H8529" s="37"/>
      <c r="I8529" s="35"/>
      <c r="J8529" s="37"/>
    </row>
    <row r="8530" spans="1:10" ht="15.95" customHeight="1" x14ac:dyDescent="0.2">
      <c r="A8530" s="39"/>
      <c r="B8530" s="36"/>
      <c r="C8530" s="37"/>
      <c r="D8530" s="37"/>
      <c r="E8530" s="37"/>
      <c r="F8530" s="37"/>
      <c r="G8530" s="37"/>
      <c r="H8530" s="37"/>
      <c r="I8530" s="35"/>
      <c r="J8530" s="37"/>
    </row>
    <row r="8531" spans="1:10" ht="15.95" customHeight="1" x14ac:dyDescent="0.2">
      <c r="A8531" s="39"/>
      <c r="B8531" s="36"/>
      <c r="C8531" s="37"/>
      <c r="D8531" s="37"/>
      <c r="E8531" s="37"/>
      <c r="F8531" s="37"/>
      <c r="G8531" s="37"/>
      <c r="H8531" s="37"/>
      <c r="I8531" s="35"/>
      <c r="J8531" s="37"/>
    </row>
    <row r="8532" spans="1:10" ht="15.95" customHeight="1" x14ac:dyDescent="0.2">
      <c r="A8532" s="39"/>
      <c r="B8532" s="36"/>
      <c r="C8532" s="37"/>
      <c r="D8532" s="37"/>
      <c r="E8532" s="37"/>
      <c r="F8532" s="37"/>
      <c r="G8532" s="37"/>
      <c r="H8532" s="37"/>
      <c r="I8532" s="35"/>
      <c r="J8532" s="37"/>
    </row>
    <row r="8533" spans="1:10" ht="15.95" customHeight="1" x14ac:dyDescent="0.2">
      <c r="A8533" s="39"/>
      <c r="B8533" s="36"/>
      <c r="C8533" s="37"/>
      <c r="D8533" s="37"/>
      <c r="E8533" s="37"/>
      <c r="F8533" s="37"/>
      <c r="G8533" s="37"/>
      <c r="H8533" s="37"/>
      <c r="I8533" s="35"/>
      <c r="J8533" s="37"/>
    </row>
    <row r="8534" spans="1:10" ht="15.95" customHeight="1" x14ac:dyDescent="0.2">
      <c r="A8534" s="39"/>
      <c r="B8534" s="36"/>
      <c r="C8534" s="37"/>
      <c r="D8534" s="37"/>
      <c r="E8534" s="37"/>
      <c r="F8534" s="37"/>
      <c r="G8534" s="37"/>
      <c r="H8534" s="37"/>
      <c r="I8534" s="35"/>
      <c r="J8534" s="37"/>
    </row>
    <row r="8535" spans="1:10" ht="15.95" customHeight="1" x14ac:dyDescent="0.2">
      <c r="A8535" s="39"/>
      <c r="B8535" s="36"/>
      <c r="C8535" s="37"/>
      <c r="D8535" s="37"/>
      <c r="E8535" s="37"/>
      <c r="F8535" s="37"/>
      <c r="G8535" s="37"/>
      <c r="H8535" s="37"/>
      <c r="I8535" s="35"/>
      <c r="J8535" s="37"/>
    </row>
    <row r="8536" spans="1:10" ht="15.95" customHeight="1" x14ac:dyDescent="0.2">
      <c r="A8536" s="39"/>
      <c r="B8536" s="36"/>
      <c r="C8536" s="37"/>
      <c r="D8536" s="37"/>
      <c r="E8536" s="37"/>
      <c r="F8536" s="37"/>
      <c r="G8536" s="37"/>
      <c r="H8536" s="37"/>
      <c r="I8536" s="35"/>
      <c r="J8536" s="37"/>
    </row>
    <row r="8537" spans="1:10" ht="15.95" customHeight="1" x14ac:dyDescent="0.2">
      <c r="A8537" s="39"/>
      <c r="B8537" s="36"/>
      <c r="C8537" s="37"/>
      <c r="D8537" s="37"/>
      <c r="E8537" s="37"/>
      <c r="F8537" s="37"/>
      <c r="G8537" s="37"/>
      <c r="H8537" s="37"/>
      <c r="I8537" s="35"/>
      <c r="J8537" s="37"/>
    </row>
    <row r="8538" spans="1:10" ht="15.95" customHeight="1" x14ac:dyDescent="0.2">
      <c r="A8538" s="39"/>
      <c r="B8538" s="36"/>
      <c r="C8538" s="37"/>
      <c r="D8538" s="37"/>
      <c r="E8538" s="37"/>
      <c r="F8538" s="37"/>
      <c r="G8538" s="37"/>
      <c r="H8538" s="37"/>
      <c r="I8538" s="35"/>
      <c r="J8538" s="37"/>
    </row>
    <row r="8539" spans="1:10" ht="15.95" customHeight="1" x14ac:dyDescent="0.2">
      <c r="A8539" s="39"/>
      <c r="B8539" s="36"/>
      <c r="C8539" s="37"/>
      <c r="D8539" s="37"/>
      <c r="E8539" s="37"/>
      <c r="F8539" s="37"/>
      <c r="G8539" s="37"/>
      <c r="H8539" s="37"/>
      <c r="I8539" s="35"/>
      <c r="J8539" s="37"/>
    </row>
    <row r="8540" spans="1:10" ht="15.95" customHeight="1" x14ac:dyDescent="0.2">
      <c r="A8540" s="39"/>
      <c r="B8540" s="36"/>
      <c r="C8540" s="37"/>
      <c r="D8540" s="37"/>
      <c r="E8540" s="37"/>
      <c r="F8540" s="37"/>
      <c r="G8540" s="37"/>
      <c r="H8540" s="37"/>
      <c r="I8540" s="35"/>
      <c r="J8540" s="37"/>
    </row>
    <row r="8541" spans="1:10" ht="15.95" customHeight="1" x14ac:dyDescent="0.2">
      <c r="A8541" s="39"/>
      <c r="B8541" s="36"/>
      <c r="C8541" s="37"/>
      <c r="D8541" s="37"/>
      <c r="E8541" s="37"/>
      <c r="F8541" s="37"/>
      <c r="G8541" s="37"/>
      <c r="H8541" s="37"/>
      <c r="I8541" s="35"/>
      <c r="J8541" s="37"/>
    </row>
    <row r="8542" spans="1:10" ht="15.95" customHeight="1" x14ac:dyDescent="0.2">
      <c r="A8542" s="39"/>
      <c r="B8542" s="36"/>
      <c r="C8542" s="37"/>
      <c r="D8542" s="37"/>
      <c r="E8542" s="37"/>
      <c r="F8542" s="37"/>
      <c r="G8542" s="37"/>
      <c r="H8542" s="37"/>
      <c r="I8542" s="35"/>
      <c r="J8542" s="37"/>
    </row>
    <row r="8543" spans="1:10" ht="15.95" customHeight="1" x14ac:dyDescent="0.2">
      <c r="A8543" s="39"/>
      <c r="B8543" s="36"/>
      <c r="C8543" s="37"/>
      <c r="D8543" s="37"/>
      <c r="E8543" s="37"/>
      <c r="F8543" s="37"/>
      <c r="G8543" s="37"/>
      <c r="H8543" s="37"/>
      <c r="I8543" s="35"/>
      <c r="J8543" s="37"/>
    </row>
    <row r="8544" spans="1:10" ht="15.95" customHeight="1" x14ac:dyDescent="0.2">
      <c r="A8544" s="39"/>
      <c r="B8544" s="36"/>
      <c r="C8544" s="37"/>
      <c r="D8544" s="37"/>
      <c r="E8544" s="37"/>
      <c r="F8544" s="37"/>
      <c r="G8544" s="37"/>
      <c r="H8544" s="37"/>
      <c r="I8544" s="35"/>
      <c r="J8544" s="37"/>
    </row>
    <row r="8545" spans="1:10" ht="15.95" customHeight="1" x14ac:dyDescent="0.2">
      <c r="A8545" s="39"/>
      <c r="B8545" s="36"/>
      <c r="C8545" s="37"/>
      <c r="D8545" s="37"/>
      <c r="E8545" s="37"/>
      <c r="F8545" s="37"/>
      <c r="G8545" s="37"/>
      <c r="H8545" s="37"/>
      <c r="I8545" s="35"/>
      <c r="J8545" s="37"/>
    </row>
    <row r="8546" spans="1:10" ht="15.95" customHeight="1" x14ac:dyDescent="0.2">
      <c r="A8546" s="39"/>
      <c r="B8546" s="36"/>
      <c r="C8546" s="37"/>
      <c r="D8546" s="37"/>
      <c r="E8546" s="37"/>
      <c r="F8546" s="37"/>
      <c r="G8546" s="37"/>
      <c r="H8546" s="37"/>
      <c r="I8546" s="35"/>
      <c r="J8546" s="37"/>
    </row>
    <row r="8547" spans="1:10" ht="15.95" customHeight="1" x14ac:dyDescent="0.2">
      <c r="A8547" s="39"/>
      <c r="B8547" s="36"/>
      <c r="C8547" s="37"/>
      <c r="D8547" s="37"/>
      <c r="E8547" s="37"/>
      <c r="F8547" s="37"/>
      <c r="G8547" s="37"/>
      <c r="H8547" s="37"/>
      <c r="I8547" s="35"/>
      <c r="J8547" s="37"/>
    </row>
    <row r="8548" spans="1:10" ht="15.95" customHeight="1" x14ac:dyDescent="0.2">
      <c r="A8548" s="39"/>
      <c r="B8548" s="36"/>
      <c r="C8548" s="37"/>
      <c r="D8548" s="37"/>
      <c r="E8548" s="37"/>
      <c r="F8548" s="37"/>
      <c r="G8548" s="37"/>
      <c r="H8548" s="37"/>
      <c r="I8548" s="35"/>
      <c r="J8548" s="37"/>
    </row>
    <row r="8549" spans="1:10" ht="15.95" customHeight="1" x14ac:dyDescent="0.2">
      <c r="A8549" s="39"/>
      <c r="B8549" s="36"/>
      <c r="C8549" s="37"/>
      <c r="D8549" s="37"/>
      <c r="E8549" s="37"/>
      <c r="F8549" s="37"/>
      <c r="G8549" s="37"/>
      <c r="H8549" s="37"/>
      <c r="I8549" s="35"/>
      <c r="J8549" s="37"/>
    </row>
    <row r="8550" spans="1:10" ht="15.95" customHeight="1" x14ac:dyDescent="0.2">
      <c r="A8550" s="39"/>
      <c r="B8550" s="36"/>
      <c r="C8550" s="37"/>
      <c r="D8550" s="37"/>
      <c r="E8550" s="37"/>
      <c r="F8550" s="37"/>
      <c r="G8550" s="37"/>
      <c r="H8550" s="37"/>
      <c r="I8550" s="35"/>
      <c r="J8550" s="37"/>
    </row>
    <row r="8551" spans="1:10" ht="15.95" customHeight="1" x14ac:dyDescent="0.2">
      <c r="A8551" s="39"/>
      <c r="B8551" s="36"/>
      <c r="C8551" s="37"/>
      <c r="D8551" s="37"/>
      <c r="E8551" s="37"/>
      <c r="F8551" s="37"/>
      <c r="G8551" s="37"/>
      <c r="H8551" s="37"/>
      <c r="I8551" s="35"/>
      <c r="J8551" s="37"/>
    </row>
    <row r="8552" spans="1:10" ht="15.95" customHeight="1" x14ac:dyDescent="0.2">
      <c r="A8552" s="39"/>
      <c r="B8552" s="36"/>
      <c r="C8552" s="37"/>
      <c r="D8552" s="37"/>
      <c r="E8552" s="37"/>
      <c r="F8552" s="37"/>
      <c r="G8552" s="37"/>
      <c r="H8552" s="37"/>
      <c r="I8552" s="35"/>
      <c r="J8552" s="37"/>
    </row>
    <row r="8553" spans="1:10" ht="15.95" customHeight="1" x14ac:dyDescent="0.2">
      <c r="A8553" s="39"/>
      <c r="B8553" s="36"/>
      <c r="C8553" s="37"/>
      <c r="D8553" s="37"/>
      <c r="E8553" s="37"/>
      <c r="F8553" s="37"/>
      <c r="G8553" s="37"/>
      <c r="H8553" s="37"/>
      <c r="I8553" s="35"/>
      <c r="J8553" s="37"/>
    </row>
    <row r="8554" spans="1:10" ht="15.95" customHeight="1" x14ac:dyDescent="0.2">
      <c r="A8554" s="39"/>
      <c r="B8554" s="36"/>
      <c r="C8554" s="37"/>
      <c r="D8554" s="37"/>
      <c r="E8554" s="37"/>
      <c r="F8554" s="37"/>
      <c r="G8554" s="37"/>
      <c r="H8554" s="37"/>
      <c r="I8554" s="35"/>
      <c r="J8554" s="37"/>
    </row>
    <row r="8555" spans="1:10" ht="15.95" customHeight="1" x14ac:dyDescent="0.2">
      <c r="A8555" s="39"/>
      <c r="B8555" s="36"/>
      <c r="C8555" s="37"/>
      <c r="D8555" s="37"/>
      <c r="E8555" s="37"/>
      <c r="F8555" s="37"/>
      <c r="G8555" s="37"/>
      <c r="H8555" s="37"/>
      <c r="I8555" s="35"/>
      <c r="J8555" s="37"/>
    </row>
    <row r="8556" spans="1:10" ht="15.95" customHeight="1" x14ac:dyDescent="0.2">
      <c r="A8556" s="39"/>
      <c r="B8556" s="36"/>
      <c r="C8556" s="37"/>
      <c r="D8556" s="37"/>
      <c r="E8556" s="37"/>
      <c r="F8556" s="37"/>
      <c r="G8556" s="37"/>
      <c r="H8556" s="37"/>
      <c r="I8556" s="35"/>
      <c r="J8556" s="37"/>
    </row>
    <row r="8557" spans="1:10" ht="15.95" customHeight="1" x14ac:dyDescent="0.2">
      <c r="A8557" s="39"/>
      <c r="B8557" s="36"/>
      <c r="C8557" s="37"/>
      <c r="D8557" s="37"/>
      <c r="E8557" s="37"/>
      <c r="F8557" s="37"/>
      <c r="G8557" s="37"/>
      <c r="H8557" s="37"/>
      <c r="I8557" s="35"/>
      <c r="J8557" s="37"/>
    </row>
    <row r="8558" spans="1:10" ht="15.95" customHeight="1" x14ac:dyDescent="0.2">
      <c r="A8558" s="39"/>
      <c r="B8558" s="36"/>
      <c r="C8558" s="37"/>
      <c r="D8558" s="37"/>
      <c r="E8558" s="37"/>
      <c r="F8558" s="37"/>
      <c r="G8558" s="37"/>
      <c r="H8558" s="37"/>
      <c r="I8558" s="35"/>
      <c r="J8558" s="37"/>
    </row>
    <row r="8559" spans="1:10" ht="15.95" customHeight="1" x14ac:dyDescent="0.2">
      <c r="A8559" s="39"/>
      <c r="B8559" s="36"/>
      <c r="C8559" s="37"/>
      <c r="D8559" s="37"/>
      <c r="E8559" s="37"/>
      <c r="F8559" s="37"/>
      <c r="G8559" s="37"/>
      <c r="H8559" s="37"/>
      <c r="I8559" s="35"/>
      <c r="J8559" s="37"/>
    </row>
    <row r="8560" spans="1:10" ht="15.95" customHeight="1" x14ac:dyDescent="0.2">
      <c r="A8560" s="39"/>
      <c r="B8560" s="36"/>
      <c r="C8560" s="37"/>
      <c r="D8560" s="37"/>
      <c r="E8560" s="37"/>
      <c r="F8560" s="37"/>
      <c r="G8560" s="37"/>
      <c r="H8560" s="37"/>
      <c r="I8560" s="35"/>
      <c r="J8560" s="37"/>
    </row>
    <row r="8561" spans="1:10" ht="15.95" customHeight="1" x14ac:dyDescent="0.2">
      <c r="A8561" s="39"/>
      <c r="B8561" s="36"/>
      <c r="C8561" s="37"/>
      <c r="D8561" s="37"/>
      <c r="E8561" s="37"/>
      <c r="F8561" s="37"/>
      <c r="G8561" s="37"/>
      <c r="H8561" s="37"/>
      <c r="I8561" s="35"/>
      <c r="J8561" s="37"/>
    </row>
    <row r="8562" spans="1:10" ht="15.95" customHeight="1" x14ac:dyDescent="0.2">
      <c r="A8562" s="39"/>
      <c r="B8562" s="36"/>
      <c r="C8562" s="37"/>
      <c r="D8562" s="37"/>
      <c r="E8562" s="37"/>
      <c r="F8562" s="37"/>
      <c r="G8562" s="37"/>
      <c r="H8562" s="37"/>
      <c r="I8562" s="35"/>
      <c r="J8562" s="37"/>
    </row>
    <row r="8563" spans="1:10" ht="15.95" customHeight="1" x14ac:dyDescent="0.2">
      <c r="A8563" s="39"/>
      <c r="B8563" s="36"/>
      <c r="C8563" s="37"/>
      <c r="D8563" s="37"/>
      <c r="E8563" s="37"/>
      <c r="F8563" s="37"/>
      <c r="G8563" s="37"/>
      <c r="H8563" s="37"/>
      <c r="I8563" s="35"/>
      <c r="J8563" s="37"/>
    </row>
    <row r="8564" spans="1:10" ht="15.95" customHeight="1" x14ac:dyDescent="0.2">
      <c r="A8564" s="39"/>
      <c r="B8564" s="36"/>
      <c r="C8564" s="37"/>
      <c r="D8564" s="37"/>
      <c r="E8564" s="37"/>
      <c r="F8564" s="37"/>
      <c r="G8564" s="37"/>
      <c r="H8564" s="37"/>
      <c r="I8564" s="35"/>
      <c r="J8564" s="37"/>
    </row>
    <row r="8565" spans="1:10" ht="15.95" customHeight="1" x14ac:dyDescent="0.2">
      <c r="A8565" s="39"/>
      <c r="B8565" s="36"/>
      <c r="C8565" s="37"/>
      <c r="D8565" s="37"/>
      <c r="E8565" s="37"/>
      <c r="F8565" s="37"/>
      <c r="G8565" s="37"/>
      <c r="H8565" s="37"/>
      <c r="I8565" s="35"/>
      <c r="J8565" s="37"/>
    </row>
    <row r="8566" spans="1:10" ht="15.95" customHeight="1" x14ac:dyDescent="0.2">
      <c r="A8566" s="39"/>
      <c r="B8566" s="36"/>
      <c r="C8566" s="37"/>
      <c r="D8566" s="37"/>
      <c r="E8566" s="37"/>
      <c r="F8566" s="37"/>
      <c r="G8566" s="37"/>
      <c r="H8566" s="37"/>
      <c r="I8566" s="35"/>
      <c r="J8566" s="37"/>
    </row>
    <row r="8567" spans="1:10" ht="15.95" customHeight="1" x14ac:dyDescent="0.2">
      <c r="A8567" s="39"/>
      <c r="B8567" s="36"/>
      <c r="C8567" s="37"/>
      <c r="D8567" s="37"/>
      <c r="E8567" s="37"/>
      <c r="F8567" s="37"/>
      <c r="G8567" s="37"/>
      <c r="H8567" s="37"/>
      <c r="I8567" s="35"/>
      <c r="J8567" s="37"/>
    </row>
    <row r="8568" spans="1:10" ht="15.95" customHeight="1" x14ac:dyDescent="0.2">
      <c r="A8568" s="39"/>
      <c r="B8568" s="36"/>
      <c r="C8568" s="37"/>
      <c r="D8568" s="37"/>
      <c r="E8568" s="37"/>
      <c r="F8568" s="37"/>
      <c r="G8568" s="37"/>
      <c r="H8568" s="37"/>
      <c r="I8568" s="35"/>
      <c r="J8568" s="37"/>
    </row>
    <row r="8569" spans="1:10" ht="15.95" customHeight="1" x14ac:dyDescent="0.2">
      <c r="A8569" s="39"/>
      <c r="B8569" s="36"/>
      <c r="C8569" s="37"/>
      <c r="D8569" s="37"/>
      <c r="E8569" s="37"/>
      <c r="F8569" s="37"/>
      <c r="G8569" s="37"/>
      <c r="H8569" s="37"/>
      <c r="I8569" s="35"/>
      <c r="J8569" s="37"/>
    </row>
    <row r="8570" spans="1:10" ht="15.95" customHeight="1" x14ac:dyDescent="0.2">
      <c r="A8570" s="39"/>
      <c r="B8570" s="36"/>
      <c r="C8570" s="37"/>
      <c r="D8570" s="37"/>
      <c r="E8570" s="37"/>
      <c r="F8570" s="37"/>
      <c r="G8570" s="37"/>
      <c r="H8570" s="37"/>
      <c r="I8570" s="35"/>
      <c r="J8570" s="37"/>
    </row>
    <row r="8571" spans="1:10" ht="15.95" customHeight="1" x14ac:dyDescent="0.2">
      <c r="A8571" s="39"/>
      <c r="B8571" s="36"/>
      <c r="C8571" s="37"/>
      <c r="D8571" s="37"/>
      <c r="E8571" s="37"/>
      <c r="F8571" s="37"/>
      <c r="G8571" s="37"/>
      <c r="H8571" s="37"/>
      <c r="I8571" s="35"/>
      <c r="J8571" s="37"/>
    </row>
    <row r="8572" spans="1:10" ht="15.95" customHeight="1" x14ac:dyDescent="0.2">
      <c r="A8572" s="39"/>
      <c r="B8572" s="36"/>
      <c r="C8572" s="37"/>
      <c r="D8572" s="37"/>
      <c r="E8572" s="37"/>
      <c r="F8572" s="37"/>
      <c r="G8572" s="37"/>
      <c r="H8572" s="37"/>
      <c r="I8572" s="35"/>
      <c r="J8572" s="37"/>
    </row>
    <row r="8573" spans="1:10" ht="15.95" customHeight="1" x14ac:dyDescent="0.2">
      <c r="A8573" s="39"/>
      <c r="B8573" s="36"/>
      <c r="C8573" s="37"/>
      <c r="D8573" s="37"/>
      <c r="E8573" s="37"/>
      <c r="F8573" s="37"/>
      <c r="G8573" s="37"/>
      <c r="H8573" s="37"/>
      <c r="I8573" s="35"/>
      <c r="J8573" s="37"/>
    </row>
    <row r="8574" spans="1:10" ht="15.95" customHeight="1" x14ac:dyDescent="0.2">
      <c r="A8574" s="39"/>
      <c r="B8574" s="36"/>
      <c r="C8574" s="37"/>
      <c r="D8574" s="37"/>
      <c r="E8574" s="37"/>
      <c r="F8574" s="37"/>
      <c r="G8574" s="37"/>
      <c r="H8574" s="37"/>
      <c r="I8574" s="35"/>
      <c r="J8574" s="37"/>
    </row>
    <row r="8575" spans="1:10" ht="15.95" customHeight="1" x14ac:dyDescent="0.2">
      <c r="A8575" s="39"/>
      <c r="B8575" s="36"/>
      <c r="C8575" s="37"/>
      <c r="D8575" s="37"/>
      <c r="E8575" s="37"/>
      <c r="F8575" s="37"/>
      <c r="G8575" s="37"/>
      <c r="H8575" s="37"/>
      <c r="I8575" s="35"/>
      <c r="J8575" s="37"/>
    </row>
    <row r="8576" spans="1:10" ht="15.95" customHeight="1" x14ac:dyDescent="0.2">
      <c r="A8576" s="39"/>
      <c r="B8576" s="36"/>
      <c r="C8576" s="37"/>
      <c r="D8576" s="37"/>
      <c r="E8576" s="37"/>
      <c r="F8576" s="37"/>
      <c r="G8576" s="37"/>
      <c r="H8576" s="37"/>
      <c r="I8576" s="35"/>
      <c r="J8576" s="37"/>
    </row>
    <row r="8577" spans="1:10" ht="15.95" customHeight="1" x14ac:dyDescent="0.2">
      <c r="A8577" s="39"/>
      <c r="B8577" s="36"/>
      <c r="C8577" s="37"/>
      <c r="D8577" s="37"/>
      <c r="E8577" s="37"/>
      <c r="F8577" s="37"/>
      <c r="G8577" s="37"/>
      <c r="H8577" s="37"/>
      <c r="I8577" s="35"/>
      <c r="J8577" s="37"/>
    </row>
    <row r="8578" spans="1:10" ht="15.95" customHeight="1" x14ac:dyDescent="0.2">
      <c r="A8578" s="39"/>
      <c r="B8578" s="36"/>
      <c r="C8578" s="37"/>
      <c r="D8578" s="37"/>
      <c r="E8578" s="37"/>
      <c r="F8578" s="37"/>
      <c r="G8578" s="37"/>
      <c r="H8578" s="37"/>
      <c r="I8578" s="35"/>
      <c r="J8578" s="37"/>
    </row>
    <row r="8579" spans="1:10" ht="15.95" customHeight="1" x14ac:dyDescent="0.2">
      <c r="A8579" s="39"/>
      <c r="B8579" s="36"/>
      <c r="C8579" s="37"/>
      <c r="D8579" s="37"/>
      <c r="E8579" s="37"/>
      <c r="F8579" s="37"/>
      <c r="G8579" s="37"/>
      <c r="H8579" s="37"/>
      <c r="I8579" s="35"/>
      <c r="J8579" s="37"/>
    </row>
    <row r="8580" spans="1:10" ht="15.95" customHeight="1" x14ac:dyDescent="0.2">
      <c r="A8580" s="39"/>
      <c r="B8580" s="36"/>
      <c r="C8580" s="37"/>
      <c r="D8580" s="37"/>
      <c r="E8580" s="37"/>
      <c r="F8580" s="37"/>
      <c r="G8580" s="37"/>
      <c r="H8580" s="37"/>
      <c r="I8580" s="35"/>
      <c r="J8580" s="37"/>
    </row>
    <row r="8581" spans="1:10" ht="15.95" customHeight="1" x14ac:dyDescent="0.2">
      <c r="A8581" s="39"/>
      <c r="B8581" s="36"/>
      <c r="C8581" s="37"/>
      <c r="D8581" s="37"/>
      <c r="E8581" s="37"/>
      <c r="F8581" s="37"/>
      <c r="G8581" s="37"/>
      <c r="H8581" s="37"/>
      <c r="I8581" s="35"/>
      <c r="J8581" s="37"/>
    </row>
    <row r="8582" spans="1:10" ht="15.95" customHeight="1" x14ac:dyDescent="0.2">
      <c r="A8582" s="39"/>
      <c r="B8582" s="36"/>
      <c r="C8582" s="37"/>
      <c r="D8582" s="37"/>
      <c r="E8582" s="37"/>
      <c r="F8582" s="37"/>
      <c r="G8582" s="37"/>
      <c r="H8582" s="37"/>
      <c r="I8582" s="35"/>
      <c r="J8582" s="37"/>
    </row>
    <row r="8583" spans="1:10" ht="15.95" customHeight="1" x14ac:dyDescent="0.2">
      <c r="A8583" s="39"/>
      <c r="B8583" s="36"/>
      <c r="C8583" s="37"/>
      <c r="D8583" s="37"/>
      <c r="E8583" s="37"/>
      <c r="F8583" s="37"/>
      <c r="G8583" s="37"/>
      <c r="H8583" s="37"/>
      <c r="I8583" s="35"/>
      <c r="J8583" s="37"/>
    </row>
    <row r="8584" spans="1:10" ht="15.95" customHeight="1" x14ac:dyDescent="0.2">
      <c r="A8584" s="39"/>
      <c r="B8584" s="36"/>
      <c r="C8584" s="37"/>
      <c r="D8584" s="37"/>
      <c r="E8584" s="37"/>
      <c r="F8584" s="37"/>
      <c r="G8584" s="37"/>
      <c r="H8584" s="37"/>
      <c r="I8584" s="35"/>
      <c r="J8584" s="37"/>
    </row>
    <row r="8585" spans="1:10" ht="15.95" customHeight="1" x14ac:dyDescent="0.2">
      <c r="A8585" s="39"/>
      <c r="B8585" s="36"/>
      <c r="C8585" s="37"/>
      <c r="D8585" s="37"/>
      <c r="E8585" s="37"/>
      <c r="F8585" s="37"/>
      <c r="G8585" s="37"/>
      <c r="H8585" s="37"/>
      <c r="I8585" s="35"/>
      <c r="J8585" s="37"/>
    </row>
    <row r="8586" spans="1:10" ht="15.95" customHeight="1" x14ac:dyDescent="0.2">
      <c r="A8586" s="39"/>
      <c r="B8586" s="36"/>
      <c r="C8586" s="37"/>
      <c r="D8586" s="37"/>
      <c r="E8586" s="37"/>
      <c r="F8586" s="37"/>
      <c r="G8586" s="37"/>
      <c r="H8586" s="37"/>
      <c r="I8586" s="35"/>
      <c r="J8586" s="37"/>
    </row>
    <row r="8587" spans="1:10" ht="15.95" customHeight="1" x14ac:dyDescent="0.2">
      <c r="A8587" s="39"/>
      <c r="B8587" s="36"/>
      <c r="C8587" s="37"/>
      <c r="D8587" s="37"/>
      <c r="E8587" s="37"/>
      <c r="F8587" s="37"/>
      <c r="G8587" s="37"/>
      <c r="H8587" s="37"/>
      <c r="I8587" s="35"/>
      <c r="J8587" s="37"/>
    </row>
    <row r="8588" spans="1:10" ht="15.95" customHeight="1" x14ac:dyDescent="0.2">
      <c r="A8588" s="39"/>
      <c r="B8588" s="36"/>
      <c r="C8588" s="37"/>
      <c r="D8588" s="37"/>
      <c r="E8588" s="37"/>
      <c r="F8588" s="37"/>
      <c r="G8588" s="37"/>
      <c r="H8588" s="37"/>
      <c r="I8588" s="35"/>
      <c r="J8588" s="37"/>
    </row>
    <row r="8589" spans="1:10" ht="15.95" customHeight="1" x14ac:dyDescent="0.2">
      <c r="A8589" s="39"/>
      <c r="B8589" s="36"/>
      <c r="C8589" s="37"/>
      <c r="D8589" s="37"/>
      <c r="E8589" s="37"/>
      <c r="F8589" s="37"/>
      <c r="G8589" s="37"/>
      <c r="H8589" s="37"/>
      <c r="I8589" s="35"/>
      <c r="J8589" s="37"/>
    </row>
    <row r="8590" spans="1:10" ht="15.95" customHeight="1" x14ac:dyDescent="0.2">
      <c r="A8590" s="39"/>
      <c r="B8590" s="36"/>
      <c r="C8590" s="37"/>
      <c r="D8590" s="37"/>
      <c r="E8590" s="37"/>
      <c r="F8590" s="37"/>
      <c r="G8590" s="37"/>
      <c r="H8590" s="37"/>
      <c r="I8590" s="35"/>
      <c r="J8590" s="37"/>
    </row>
    <row r="8591" spans="1:10" ht="15.95" customHeight="1" x14ac:dyDescent="0.2">
      <c r="A8591" s="39"/>
      <c r="B8591" s="36"/>
      <c r="C8591" s="37"/>
      <c r="D8591" s="37"/>
      <c r="E8591" s="37"/>
      <c r="F8591" s="37"/>
      <c r="G8591" s="37"/>
      <c r="H8591" s="37"/>
      <c r="I8591" s="35"/>
      <c r="J8591" s="37"/>
    </row>
    <row r="8592" spans="1:10" ht="15.95" customHeight="1" x14ac:dyDescent="0.2">
      <c r="A8592" s="39"/>
      <c r="B8592" s="36"/>
      <c r="C8592" s="37"/>
      <c r="D8592" s="37"/>
      <c r="E8592" s="37"/>
      <c r="F8592" s="37"/>
      <c r="G8592" s="37"/>
      <c r="H8592" s="37"/>
      <c r="I8592" s="35"/>
      <c r="J8592" s="37"/>
    </row>
    <row r="8593" spans="1:10" ht="15.95" customHeight="1" x14ac:dyDescent="0.2">
      <c r="A8593" s="39"/>
      <c r="B8593" s="36"/>
      <c r="C8593" s="37"/>
      <c r="D8593" s="37"/>
      <c r="E8593" s="37"/>
      <c r="F8593" s="37"/>
      <c r="G8593" s="37"/>
      <c r="H8593" s="37"/>
      <c r="I8593" s="35"/>
      <c r="J8593" s="37"/>
    </row>
    <row r="8594" spans="1:10" ht="15.95" customHeight="1" x14ac:dyDescent="0.2">
      <c r="A8594" s="39"/>
      <c r="B8594" s="36"/>
      <c r="C8594" s="37"/>
      <c r="D8594" s="37"/>
      <c r="E8594" s="37"/>
      <c r="F8594" s="37"/>
      <c r="G8594" s="37"/>
      <c r="H8594" s="37"/>
      <c r="I8594" s="35"/>
      <c r="J8594" s="37"/>
    </row>
    <row r="8595" spans="1:10" ht="15.95" customHeight="1" x14ac:dyDescent="0.2">
      <c r="A8595" s="39"/>
      <c r="B8595" s="36"/>
      <c r="C8595" s="37"/>
      <c r="D8595" s="37"/>
      <c r="E8595" s="37"/>
      <c r="F8595" s="37"/>
      <c r="G8595" s="37"/>
      <c r="H8595" s="37"/>
      <c r="I8595" s="35"/>
      <c r="J8595" s="37"/>
    </row>
    <row r="8596" spans="1:10" ht="15.95" customHeight="1" x14ac:dyDescent="0.2">
      <c r="A8596" s="39"/>
      <c r="B8596" s="36"/>
      <c r="C8596" s="37"/>
      <c r="D8596" s="37"/>
      <c r="E8596" s="37"/>
      <c r="F8596" s="37"/>
      <c r="G8596" s="37"/>
      <c r="H8596" s="37"/>
      <c r="I8596" s="35"/>
      <c r="J8596" s="37"/>
    </row>
    <row r="8597" spans="1:10" ht="15.95" customHeight="1" x14ac:dyDescent="0.2">
      <c r="A8597" s="39"/>
      <c r="B8597" s="36"/>
      <c r="C8597" s="37"/>
      <c r="D8597" s="37"/>
      <c r="E8597" s="37"/>
      <c r="F8597" s="37"/>
      <c r="G8597" s="37"/>
      <c r="H8597" s="37"/>
      <c r="I8597" s="35"/>
      <c r="J8597" s="37"/>
    </row>
    <row r="8598" spans="1:10" ht="15.95" customHeight="1" x14ac:dyDescent="0.2">
      <c r="A8598" s="39"/>
      <c r="B8598" s="36"/>
      <c r="C8598" s="37"/>
      <c r="D8598" s="37"/>
      <c r="E8598" s="37"/>
      <c r="F8598" s="37"/>
      <c r="G8598" s="37"/>
      <c r="H8598" s="37"/>
      <c r="I8598" s="35"/>
      <c r="J8598" s="37"/>
    </row>
    <row r="8599" spans="1:10" ht="15.95" customHeight="1" x14ac:dyDescent="0.2">
      <c r="A8599" s="39"/>
      <c r="B8599" s="36"/>
      <c r="C8599" s="37"/>
      <c r="D8599" s="37"/>
      <c r="E8599" s="37"/>
      <c r="F8599" s="37"/>
      <c r="G8599" s="37"/>
      <c r="H8599" s="37"/>
      <c r="I8599" s="35"/>
      <c r="J8599" s="37"/>
    </row>
    <row r="8600" spans="1:10" ht="15.95" customHeight="1" x14ac:dyDescent="0.2">
      <c r="A8600" s="39"/>
      <c r="B8600" s="36"/>
      <c r="C8600" s="37"/>
      <c r="D8600" s="37"/>
      <c r="E8600" s="37"/>
      <c r="F8600" s="37"/>
      <c r="G8600" s="37"/>
      <c r="H8600" s="37"/>
      <c r="I8600" s="35"/>
      <c r="J8600" s="37"/>
    </row>
    <row r="8601" spans="1:10" ht="15.95" customHeight="1" x14ac:dyDescent="0.2">
      <c r="A8601" s="39"/>
      <c r="B8601" s="36"/>
      <c r="C8601" s="37"/>
      <c r="D8601" s="37"/>
      <c r="E8601" s="37"/>
      <c r="F8601" s="37"/>
      <c r="G8601" s="37"/>
      <c r="H8601" s="37"/>
      <c r="I8601" s="35"/>
      <c r="J8601" s="37"/>
    </row>
    <row r="8602" spans="1:10" ht="15.95" customHeight="1" x14ac:dyDescent="0.2">
      <c r="A8602" s="39"/>
      <c r="B8602" s="36"/>
      <c r="C8602" s="37"/>
      <c r="D8602" s="37"/>
      <c r="E8602" s="37"/>
      <c r="F8602" s="37"/>
      <c r="G8602" s="37"/>
      <c r="H8602" s="37"/>
      <c r="I8602" s="35"/>
      <c r="J8602" s="37"/>
    </row>
    <row r="8603" spans="1:10" ht="15.95" customHeight="1" x14ac:dyDescent="0.2">
      <c r="A8603" s="39"/>
      <c r="B8603" s="36"/>
      <c r="C8603" s="37"/>
      <c r="D8603" s="37"/>
      <c r="E8603" s="37"/>
      <c r="F8603" s="37"/>
      <c r="G8603" s="37"/>
      <c r="H8603" s="37"/>
      <c r="I8603" s="35"/>
      <c r="J8603" s="37"/>
    </row>
    <row r="8604" spans="1:10" ht="15.95" customHeight="1" x14ac:dyDescent="0.2">
      <c r="A8604" s="39"/>
      <c r="B8604" s="36"/>
      <c r="C8604" s="37"/>
      <c r="D8604" s="37"/>
      <c r="E8604" s="37"/>
      <c r="F8604" s="37"/>
      <c r="G8604" s="37"/>
      <c r="H8604" s="37"/>
      <c r="I8604" s="35"/>
      <c r="J8604" s="37"/>
    </row>
    <row r="8605" spans="1:10" ht="15.95" customHeight="1" x14ac:dyDescent="0.2">
      <c r="A8605" s="39"/>
      <c r="B8605" s="36"/>
      <c r="C8605" s="37"/>
      <c r="D8605" s="37"/>
      <c r="E8605" s="37"/>
      <c r="F8605" s="37"/>
      <c r="G8605" s="37"/>
      <c r="H8605" s="37"/>
      <c r="I8605" s="35"/>
      <c r="J8605" s="37"/>
    </row>
    <row r="8606" spans="1:10" ht="15.95" customHeight="1" x14ac:dyDescent="0.2">
      <c r="A8606" s="39"/>
      <c r="B8606" s="36"/>
      <c r="C8606" s="37"/>
      <c r="D8606" s="37"/>
      <c r="E8606" s="37"/>
      <c r="F8606" s="37"/>
      <c r="G8606" s="37"/>
      <c r="H8606" s="37"/>
      <c r="I8606" s="35"/>
      <c r="J8606" s="37"/>
    </row>
    <row r="8607" spans="1:10" ht="15.95" customHeight="1" x14ac:dyDescent="0.2">
      <c r="A8607" s="39"/>
      <c r="B8607" s="36"/>
      <c r="C8607" s="37"/>
      <c r="D8607" s="37"/>
      <c r="E8607" s="37"/>
      <c r="F8607" s="37"/>
      <c r="G8607" s="37"/>
      <c r="H8607" s="37"/>
      <c r="I8607" s="35"/>
      <c r="J8607" s="37"/>
    </row>
    <row r="8608" spans="1:10" ht="15.95" customHeight="1" x14ac:dyDescent="0.2">
      <c r="A8608" s="39"/>
      <c r="B8608" s="36"/>
      <c r="C8608" s="37"/>
      <c r="D8608" s="37"/>
      <c r="E8608" s="37"/>
      <c r="F8608" s="37"/>
      <c r="G8608" s="37"/>
      <c r="H8608" s="37"/>
      <c r="I8608" s="35"/>
      <c r="J8608" s="37"/>
    </row>
    <row r="8609" spans="1:10" ht="15.95" customHeight="1" x14ac:dyDescent="0.2">
      <c r="A8609" s="39"/>
      <c r="B8609" s="36"/>
      <c r="C8609" s="37"/>
      <c r="D8609" s="37"/>
      <c r="E8609" s="37"/>
      <c r="F8609" s="37"/>
      <c r="G8609" s="37"/>
      <c r="H8609" s="37"/>
      <c r="I8609" s="35"/>
      <c r="J8609" s="37"/>
    </row>
    <row r="8610" spans="1:10" ht="15.95" customHeight="1" x14ac:dyDescent="0.2">
      <c r="A8610" s="39"/>
      <c r="B8610" s="36"/>
      <c r="C8610" s="37"/>
      <c r="D8610" s="37"/>
      <c r="E8610" s="37"/>
      <c r="F8610" s="37"/>
      <c r="G8610" s="37"/>
      <c r="H8610" s="37"/>
      <c r="I8610" s="35"/>
      <c r="J8610" s="37"/>
    </row>
    <row r="8611" spans="1:10" ht="15.95" customHeight="1" x14ac:dyDescent="0.2">
      <c r="A8611" s="39"/>
      <c r="B8611" s="36"/>
      <c r="C8611" s="37"/>
      <c r="D8611" s="37"/>
      <c r="E8611" s="37"/>
      <c r="F8611" s="37"/>
      <c r="G8611" s="37"/>
      <c r="H8611" s="37"/>
      <c r="I8611" s="35"/>
      <c r="J8611" s="37"/>
    </row>
    <row r="8612" spans="1:10" ht="15.95" customHeight="1" x14ac:dyDescent="0.2">
      <c r="A8612" s="39"/>
      <c r="B8612" s="36"/>
      <c r="C8612" s="37"/>
      <c r="D8612" s="37"/>
      <c r="E8612" s="37"/>
      <c r="F8612" s="37"/>
      <c r="G8612" s="37"/>
      <c r="H8612" s="37"/>
      <c r="I8612" s="35"/>
      <c r="J8612" s="37"/>
    </row>
    <row r="8613" spans="1:10" ht="15.95" customHeight="1" x14ac:dyDescent="0.2">
      <c r="A8613" s="39"/>
      <c r="B8613" s="36"/>
      <c r="C8613" s="37"/>
      <c r="D8613" s="37"/>
      <c r="E8613" s="37"/>
      <c r="F8613" s="37"/>
      <c r="G8613" s="37"/>
      <c r="H8613" s="37"/>
      <c r="I8613" s="35"/>
      <c r="J8613" s="37"/>
    </row>
    <row r="8614" spans="1:10" ht="15.95" customHeight="1" x14ac:dyDescent="0.2">
      <c r="A8614" s="39"/>
      <c r="B8614" s="36"/>
      <c r="C8614" s="37"/>
      <c r="D8614" s="37"/>
      <c r="E8614" s="37"/>
      <c r="F8614" s="37"/>
      <c r="G8614" s="37"/>
      <c r="H8614" s="37"/>
      <c r="I8614" s="35"/>
      <c r="J8614" s="37"/>
    </row>
    <row r="8615" spans="1:10" ht="15.95" customHeight="1" x14ac:dyDescent="0.2">
      <c r="A8615" s="39"/>
      <c r="B8615" s="36"/>
      <c r="C8615" s="37"/>
      <c r="D8615" s="37"/>
      <c r="E8615" s="37"/>
      <c r="F8615" s="37"/>
      <c r="G8615" s="37"/>
      <c r="H8615" s="37"/>
      <c r="I8615" s="35"/>
      <c r="J8615" s="37"/>
    </row>
    <row r="8616" spans="1:10" ht="15.95" customHeight="1" x14ac:dyDescent="0.2">
      <c r="A8616" s="39"/>
      <c r="B8616" s="36"/>
      <c r="C8616" s="37"/>
      <c r="D8616" s="37"/>
      <c r="E8616" s="37"/>
      <c r="F8616" s="37"/>
      <c r="G8616" s="37"/>
      <c r="H8616" s="37"/>
      <c r="I8616" s="35"/>
      <c r="J8616" s="37"/>
    </row>
    <row r="8617" spans="1:10" ht="15.95" customHeight="1" x14ac:dyDescent="0.2">
      <c r="A8617" s="39"/>
      <c r="B8617" s="36"/>
      <c r="C8617" s="37"/>
      <c r="D8617" s="37"/>
      <c r="E8617" s="37"/>
      <c r="F8617" s="37"/>
      <c r="G8617" s="37"/>
      <c r="H8617" s="37"/>
      <c r="I8617" s="35"/>
      <c r="J8617" s="37"/>
    </row>
    <row r="8618" spans="1:10" ht="15.95" customHeight="1" x14ac:dyDescent="0.2">
      <c r="A8618" s="39"/>
      <c r="B8618" s="36"/>
      <c r="C8618" s="37"/>
      <c r="D8618" s="37"/>
      <c r="E8618" s="37"/>
      <c r="F8618" s="37"/>
      <c r="G8618" s="37"/>
      <c r="H8618" s="37"/>
      <c r="I8618" s="35"/>
      <c r="J8618" s="37"/>
    </row>
    <row r="8619" spans="1:10" ht="15.95" customHeight="1" x14ac:dyDescent="0.2">
      <c r="A8619" s="39"/>
      <c r="B8619" s="36"/>
      <c r="C8619" s="37"/>
      <c r="D8619" s="37"/>
      <c r="E8619" s="37"/>
      <c r="F8619" s="37"/>
      <c r="G8619" s="37"/>
      <c r="H8619" s="37"/>
      <c r="I8619" s="35"/>
      <c r="J8619" s="37"/>
    </row>
    <row r="8620" spans="1:10" ht="15.95" customHeight="1" x14ac:dyDescent="0.2">
      <c r="A8620" s="39"/>
      <c r="B8620" s="36"/>
      <c r="C8620" s="37"/>
      <c r="D8620" s="37"/>
      <c r="E8620" s="37"/>
      <c r="F8620" s="37"/>
      <c r="G8620" s="37"/>
      <c r="H8620" s="37"/>
      <c r="I8620" s="35"/>
      <c r="J8620" s="37"/>
    </row>
    <row r="8621" spans="1:10" ht="15.95" customHeight="1" x14ac:dyDescent="0.2">
      <c r="A8621" s="39"/>
      <c r="B8621" s="36"/>
      <c r="C8621" s="37"/>
      <c r="D8621" s="37"/>
      <c r="E8621" s="37"/>
      <c r="F8621" s="37"/>
      <c r="G8621" s="37"/>
      <c r="H8621" s="37"/>
      <c r="I8621" s="35"/>
      <c r="J8621" s="37"/>
    </row>
    <row r="8622" spans="1:10" ht="15.95" customHeight="1" x14ac:dyDescent="0.2">
      <c r="A8622" s="39"/>
      <c r="B8622" s="36"/>
      <c r="C8622" s="37"/>
      <c r="D8622" s="37"/>
      <c r="E8622" s="37"/>
      <c r="F8622" s="37"/>
      <c r="G8622" s="37"/>
      <c r="H8622" s="37"/>
      <c r="I8622" s="35"/>
      <c r="J8622" s="37"/>
    </row>
    <row r="8623" spans="1:10" ht="15.95" customHeight="1" x14ac:dyDescent="0.2">
      <c r="A8623" s="39"/>
      <c r="B8623" s="36"/>
      <c r="C8623" s="37"/>
      <c r="D8623" s="37"/>
      <c r="E8623" s="37"/>
      <c r="F8623" s="37"/>
      <c r="G8623" s="37"/>
      <c r="H8623" s="37"/>
      <c r="I8623" s="35"/>
      <c r="J8623" s="37"/>
    </row>
    <row r="8624" spans="1:10" ht="15.95" customHeight="1" x14ac:dyDescent="0.2">
      <c r="A8624" s="39"/>
      <c r="B8624" s="36"/>
      <c r="C8624" s="37"/>
      <c r="D8624" s="37"/>
      <c r="E8624" s="37"/>
      <c r="F8624" s="37"/>
      <c r="G8624" s="37"/>
      <c r="H8624" s="37"/>
      <c r="I8624" s="35"/>
      <c r="J8624" s="37"/>
    </row>
    <row r="8625" spans="1:10" ht="15.95" customHeight="1" x14ac:dyDescent="0.2">
      <c r="A8625" s="39"/>
      <c r="B8625" s="36"/>
      <c r="C8625" s="37"/>
      <c r="D8625" s="37"/>
      <c r="E8625" s="37"/>
      <c r="F8625" s="37"/>
      <c r="G8625" s="37"/>
      <c r="H8625" s="37"/>
      <c r="I8625" s="35"/>
      <c r="J8625" s="37"/>
    </row>
    <row r="8626" spans="1:10" ht="15.95" customHeight="1" x14ac:dyDescent="0.2">
      <c r="A8626" s="39"/>
      <c r="B8626" s="36"/>
      <c r="C8626" s="37"/>
      <c r="D8626" s="37"/>
      <c r="E8626" s="37"/>
      <c r="F8626" s="37"/>
      <c r="G8626" s="37"/>
      <c r="H8626" s="37"/>
      <c r="I8626" s="35"/>
      <c r="J8626" s="37"/>
    </row>
    <row r="8627" spans="1:10" ht="15.95" customHeight="1" x14ac:dyDescent="0.2">
      <c r="A8627" s="39"/>
      <c r="B8627" s="36"/>
      <c r="C8627" s="37"/>
      <c r="D8627" s="37"/>
      <c r="E8627" s="37"/>
      <c r="F8627" s="37"/>
      <c r="G8627" s="37"/>
      <c r="H8627" s="37"/>
      <c r="I8627" s="35"/>
      <c r="J8627" s="37"/>
    </row>
    <row r="8628" spans="1:10" ht="15.95" customHeight="1" x14ac:dyDescent="0.2">
      <c r="A8628" s="39"/>
      <c r="B8628" s="36"/>
      <c r="C8628" s="37"/>
      <c r="D8628" s="37"/>
      <c r="E8628" s="37"/>
      <c r="F8628" s="37"/>
      <c r="G8628" s="37"/>
      <c r="H8628" s="37"/>
      <c r="I8628" s="35"/>
      <c r="J8628" s="37"/>
    </row>
    <row r="8629" spans="1:10" ht="15.95" customHeight="1" x14ac:dyDescent="0.2">
      <c r="A8629" s="39"/>
      <c r="B8629" s="36"/>
      <c r="C8629" s="37"/>
      <c r="D8629" s="37"/>
      <c r="E8629" s="37"/>
      <c r="F8629" s="37"/>
      <c r="G8629" s="37"/>
      <c r="H8629" s="37"/>
      <c r="I8629" s="35"/>
      <c r="J8629" s="37"/>
    </row>
    <row r="8630" spans="1:10" ht="15.95" customHeight="1" x14ac:dyDescent="0.2">
      <c r="A8630" s="39"/>
      <c r="B8630" s="36"/>
      <c r="C8630" s="37"/>
      <c r="D8630" s="37"/>
      <c r="E8630" s="37"/>
      <c r="F8630" s="37"/>
      <c r="G8630" s="37"/>
      <c r="H8630" s="37"/>
      <c r="I8630" s="35"/>
      <c r="J8630" s="37"/>
    </row>
    <row r="8631" spans="1:10" ht="15.95" customHeight="1" x14ac:dyDescent="0.2">
      <c r="A8631" s="39"/>
      <c r="B8631" s="36"/>
      <c r="C8631" s="37"/>
      <c r="D8631" s="37"/>
      <c r="E8631" s="37"/>
      <c r="F8631" s="37"/>
      <c r="G8631" s="37"/>
      <c r="H8631" s="37"/>
      <c r="I8631" s="35"/>
      <c r="J8631" s="37"/>
    </row>
    <row r="8632" spans="1:10" ht="15.95" customHeight="1" x14ac:dyDescent="0.2">
      <c r="A8632" s="39"/>
      <c r="B8632" s="36"/>
      <c r="C8632" s="37"/>
      <c r="D8632" s="37"/>
      <c r="E8632" s="37"/>
      <c r="F8632" s="37"/>
      <c r="G8632" s="37"/>
      <c r="H8632" s="37"/>
      <c r="I8632" s="35"/>
      <c r="J8632" s="37"/>
    </row>
    <row r="8633" spans="1:10" ht="15.95" customHeight="1" x14ac:dyDescent="0.2">
      <c r="A8633" s="39"/>
      <c r="B8633" s="36"/>
      <c r="C8633" s="37"/>
      <c r="D8633" s="37"/>
      <c r="E8633" s="37"/>
      <c r="F8633" s="37"/>
      <c r="G8633" s="37"/>
      <c r="H8633" s="37"/>
      <c r="I8633" s="35"/>
      <c r="J8633" s="37"/>
    </row>
    <row r="8634" spans="1:10" ht="15.95" customHeight="1" x14ac:dyDescent="0.2">
      <c r="A8634" s="39"/>
      <c r="B8634" s="36"/>
      <c r="C8634" s="37"/>
      <c r="D8634" s="37"/>
      <c r="E8634" s="37"/>
      <c r="F8634" s="37"/>
      <c r="G8634" s="37"/>
      <c r="H8634" s="37"/>
      <c r="I8634" s="35"/>
      <c r="J8634" s="37"/>
    </row>
    <row r="8635" spans="1:10" ht="15.95" customHeight="1" x14ac:dyDescent="0.2">
      <c r="A8635" s="39"/>
      <c r="B8635" s="36"/>
      <c r="C8635" s="37"/>
      <c r="D8635" s="37"/>
      <c r="E8635" s="37"/>
      <c r="F8635" s="37"/>
      <c r="G8635" s="37"/>
      <c r="H8635" s="37"/>
      <c r="I8635" s="35"/>
      <c r="J8635" s="37"/>
    </row>
    <row r="8636" spans="1:10" ht="15.95" customHeight="1" x14ac:dyDescent="0.2">
      <c r="A8636" s="39"/>
      <c r="B8636" s="36"/>
      <c r="C8636" s="37"/>
      <c r="D8636" s="37"/>
      <c r="E8636" s="37"/>
      <c r="F8636" s="37"/>
      <c r="G8636" s="37"/>
      <c r="H8636" s="37"/>
      <c r="I8636" s="35"/>
      <c r="J8636" s="37"/>
    </row>
    <row r="8637" spans="1:10" ht="15.95" customHeight="1" x14ac:dyDescent="0.2">
      <c r="A8637" s="39"/>
      <c r="B8637" s="36"/>
      <c r="C8637" s="37"/>
      <c r="D8637" s="37"/>
      <c r="E8637" s="37"/>
      <c r="F8637" s="37"/>
      <c r="G8637" s="37"/>
      <c r="H8637" s="37"/>
      <c r="I8637" s="35"/>
      <c r="J8637" s="37"/>
    </row>
    <row r="8638" spans="1:10" ht="15.95" customHeight="1" x14ac:dyDescent="0.2">
      <c r="A8638" s="39"/>
      <c r="B8638" s="36"/>
      <c r="C8638" s="37"/>
      <c r="D8638" s="37"/>
      <c r="E8638" s="37"/>
      <c r="F8638" s="37"/>
      <c r="G8638" s="37"/>
      <c r="H8638" s="37"/>
      <c r="I8638" s="35"/>
      <c r="J8638" s="37"/>
    </row>
    <row r="8639" spans="1:10" ht="15.95" customHeight="1" x14ac:dyDescent="0.2">
      <c r="A8639" s="39"/>
      <c r="B8639" s="36"/>
      <c r="C8639" s="37"/>
      <c r="D8639" s="37"/>
      <c r="E8639" s="37"/>
      <c r="F8639" s="37"/>
      <c r="G8639" s="37"/>
      <c r="H8639" s="37"/>
      <c r="I8639" s="35"/>
      <c r="J8639" s="37"/>
    </row>
    <row r="8640" spans="1:10" ht="15.95" customHeight="1" x14ac:dyDescent="0.2">
      <c r="A8640" s="39"/>
      <c r="B8640" s="36"/>
      <c r="C8640" s="37"/>
      <c r="D8640" s="37"/>
      <c r="E8640" s="37"/>
      <c r="F8640" s="37"/>
      <c r="G8640" s="37"/>
      <c r="H8640" s="37"/>
      <c r="I8640" s="35"/>
      <c r="J8640" s="37"/>
    </row>
    <row r="8641" spans="1:10" ht="15.95" customHeight="1" x14ac:dyDescent="0.2">
      <c r="A8641" s="39"/>
      <c r="B8641" s="36"/>
      <c r="C8641" s="37"/>
      <c r="D8641" s="37"/>
      <c r="E8641" s="37"/>
      <c r="F8641" s="37"/>
      <c r="G8641" s="37"/>
      <c r="H8641" s="37"/>
      <c r="I8641" s="35"/>
      <c r="J8641" s="37"/>
    </row>
    <row r="8642" spans="1:10" ht="15.95" customHeight="1" x14ac:dyDescent="0.2">
      <c r="A8642" s="39"/>
      <c r="B8642" s="36"/>
      <c r="C8642" s="37"/>
      <c r="D8642" s="37"/>
      <c r="E8642" s="37"/>
      <c r="F8642" s="37"/>
      <c r="G8642" s="37"/>
      <c r="H8642" s="37"/>
      <c r="I8642" s="35"/>
      <c r="J8642" s="37"/>
    </row>
    <row r="8643" spans="1:10" ht="15.95" customHeight="1" x14ac:dyDescent="0.2">
      <c r="A8643" s="39"/>
      <c r="B8643" s="36"/>
      <c r="C8643" s="37"/>
      <c r="D8643" s="37"/>
      <c r="E8643" s="37"/>
      <c r="F8643" s="37"/>
      <c r="G8643" s="37"/>
      <c r="H8643" s="37"/>
      <c r="I8643" s="35"/>
      <c r="J8643" s="37"/>
    </row>
    <row r="8644" spans="1:10" ht="15.95" customHeight="1" x14ac:dyDescent="0.2">
      <c r="A8644" s="39"/>
      <c r="B8644" s="36"/>
      <c r="C8644" s="37"/>
      <c r="D8644" s="37"/>
      <c r="E8644" s="37"/>
      <c r="F8644" s="37"/>
      <c r="G8644" s="37"/>
      <c r="H8644" s="37"/>
      <c r="I8644" s="35"/>
      <c r="J8644" s="37"/>
    </row>
    <row r="8645" spans="1:10" ht="15.95" customHeight="1" x14ac:dyDescent="0.2">
      <c r="A8645" s="39"/>
      <c r="B8645" s="36"/>
      <c r="C8645" s="37"/>
      <c r="D8645" s="37"/>
      <c r="E8645" s="37"/>
      <c r="F8645" s="37"/>
      <c r="G8645" s="37"/>
      <c r="H8645" s="37"/>
      <c r="I8645" s="35"/>
      <c r="J8645" s="37"/>
    </row>
    <row r="8646" spans="1:10" ht="15.95" customHeight="1" x14ac:dyDescent="0.2">
      <c r="A8646" s="39"/>
      <c r="B8646" s="36"/>
      <c r="C8646" s="37"/>
      <c r="D8646" s="37"/>
      <c r="E8646" s="37"/>
      <c r="F8646" s="37"/>
      <c r="G8646" s="37"/>
      <c r="H8646" s="37"/>
      <c r="I8646" s="35"/>
      <c r="J8646" s="37"/>
    </row>
    <row r="8647" spans="1:10" ht="15.95" customHeight="1" x14ac:dyDescent="0.2">
      <c r="A8647" s="39"/>
      <c r="B8647" s="36"/>
      <c r="C8647" s="37"/>
      <c r="D8647" s="37"/>
      <c r="E8647" s="37"/>
      <c r="F8647" s="37"/>
      <c r="G8647" s="37"/>
      <c r="H8647" s="37"/>
      <c r="I8647" s="35"/>
      <c r="J8647" s="37"/>
    </row>
    <row r="8648" spans="1:10" ht="15.95" customHeight="1" x14ac:dyDescent="0.2">
      <c r="A8648" s="39"/>
      <c r="B8648" s="36"/>
      <c r="C8648" s="37"/>
      <c r="D8648" s="37"/>
      <c r="E8648" s="37"/>
      <c r="F8648" s="37"/>
      <c r="G8648" s="37"/>
      <c r="H8648" s="37"/>
      <c r="I8648" s="35"/>
      <c r="J8648" s="37"/>
    </row>
    <row r="8649" spans="1:10" ht="15.95" customHeight="1" x14ac:dyDescent="0.2">
      <c r="A8649" s="39"/>
      <c r="B8649" s="36"/>
      <c r="C8649" s="37"/>
      <c r="D8649" s="37"/>
      <c r="E8649" s="37"/>
      <c r="F8649" s="37"/>
      <c r="G8649" s="37"/>
      <c r="H8649" s="37"/>
      <c r="I8649" s="35"/>
      <c r="J8649" s="37"/>
    </row>
    <row r="8650" spans="1:10" ht="15.95" customHeight="1" x14ac:dyDescent="0.2">
      <c r="A8650" s="39"/>
      <c r="B8650" s="36"/>
      <c r="C8650" s="37"/>
      <c r="D8650" s="37"/>
      <c r="E8650" s="37"/>
      <c r="F8650" s="37"/>
      <c r="G8650" s="37"/>
      <c r="H8650" s="37"/>
      <c r="I8650" s="35"/>
      <c r="J8650" s="37"/>
    </row>
    <row r="8651" spans="1:10" ht="15.95" customHeight="1" x14ac:dyDescent="0.2">
      <c r="A8651" s="39"/>
      <c r="B8651" s="36"/>
      <c r="C8651" s="37"/>
      <c r="D8651" s="37"/>
      <c r="E8651" s="37"/>
      <c r="F8651" s="37"/>
      <c r="G8651" s="37"/>
      <c r="H8651" s="37"/>
      <c r="I8651" s="35"/>
      <c r="J8651" s="37"/>
    </row>
    <row r="8652" spans="1:10" ht="15.95" customHeight="1" x14ac:dyDescent="0.2">
      <c r="A8652" s="39"/>
      <c r="B8652" s="36"/>
      <c r="C8652" s="37"/>
      <c r="D8652" s="37"/>
      <c r="E8652" s="37"/>
      <c r="F8652" s="37"/>
      <c r="G8652" s="37"/>
      <c r="H8652" s="37"/>
      <c r="I8652" s="35"/>
      <c r="J8652" s="37"/>
    </row>
    <row r="8653" spans="1:10" ht="15.95" customHeight="1" x14ac:dyDescent="0.2">
      <c r="A8653" s="39"/>
      <c r="B8653" s="36"/>
      <c r="C8653" s="37"/>
      <c r="D8653" s="37"/>
      <c r="E8653" s="37"/>
      <c r="F8653" s="37"/>
      <c r="G8653" s="37"/>
      <c r="H8653" s="37"/>
      <c r="I8653" s="35"/>
      <c r="J8653" s="37"/>
    </row>
    <row r="8654" spans="1:10" ht="15.95" customHeight="1" x14ac:dyDescent="0.2">
      <c r="A8654" s="39"/>
      <c r="B8654" s="36"/>
      <c r="C8654" s="37"/>
      <c r="D8654" s="37"/>
      <c r="E8654" s="37"/>
      <c r="F8654" s="37"/>
      <c r="G8654" s="37"/>
      <c r="H8654" s="37"/>
      <c r="I8654" s="35"/>
      <c r="J8654" s="37"/>
    </row>
    <row r="8655" spans="1:10" ht="15.95" customHeight="1" x14ac:dyDescent="0.2">
      <c r="A8655" s="39"/>
      <c r="B8655" s="36"/>
      <c r="C8655" s="37"/>
      <c r="D8655" s="37"/>
      <c r="E8655" s="37"/>
      <c r="F8655" s="37"/>
      <c r="G8655" s="37"/>
      <c r="H8655" s="37"/>
      <c r="I8655" s="35"/>
      <c r="J8655" s="37"/>
    </row>
    <row r="8656" spans="1:10" ht="15.95" customHeight="1" x14ac:dyDescent="0.2">
      <c r="A8656" s="39"/>
      <c r="B8656" s="36"/>
      <c r="C8656" s="37"/>
      <c r="D8656" s="37"/>
      <c r="E8656" s="37"/>
      <c r="F8656" s="37"/>
      <c r="G8656" s="37"/>
      <c r="H8656" s="37"/>
      <c r="I8656" s="35"/>
      <c r="J8656" s="37"/>
    </row>
    <row r="8657" spans="1:10" ht="15.95" customHeight="1" x14ac:dyDescent="0.2">
      <c r="A8657" s="39"/>
      <c r="B8657" s="36"/>
      <c r="C8657" s="37"/>
      <c r="D8657" s="37"/>
      <c r="E8657" s="37"/>
      <c r="F8657" s="37"/>
      <c r="G8657" s="37"/>
      <c r="H8657" s="37"/>
      <c r="I8657" s="35"/>
      <c r="J8657" s="37"/>
    </row>
    <row r="8658" spans="1:10" ht="15.95" customHeight="1" x14ac:dyDescent="0.2">
      <c r="A8658" s="39"/>
      <c r="B8658" s="36"/>
      <c r="C8658" s="37"/>
      <c r="D8658" s="37"/>
      <c r="E8658" s="37"/>
      <c r="F8658" s="37"/>
      <c r="G8658" s="37"/>
      <c r="H8658" s="37"/>
      <c r="I8658" s="35"/>
      <c r="J8658" s="37"/>
    </row>
    <row r="8659" spans="1:10" ht="15.95" customHeight="1" x14ac:dyDescent="0.2">
      <c r="A8659" s="39"/>
      <c r="B8659" s="36"/>
      <c r="C8659" s="37"/>
      <c r="D8659" s="37"/>
      <c r="E8659" s="37"/>
      <c r="F8659" s="37"/>
      <c r="G8659" s="37"/>
      <c r="H8659" s="37"/>
      <c r="I8659" s="35"/>
      <c r="J8659" s="37"/>
    </row>
    <row r="8660" spans="1:10" ht="15.95" customHeight="1" x14ac:dyDescent="0.2">
      <c r="A8660" s="39"/>
      <c r="B8660" s="36"/>
      <c r="C8660" s="37"/>
      <c r="D8660" s="37"/>
      <c r="E8660" s="37"/>
      <c r="F8660" s="37"/>
      <c r="G8660" s="37"/>
      <c r="H8660" s="37"/>
      <c r="I8660" s="35"/>
      <c r="J8660" s="37"/>
    </row>
    <row r="8661" spans="1:10" ht="15.95" customHeight="1" x14ac:dyDescent="0.2">
      <c r="A8661" s="39"/>
      <c r="B8661" s="36"/>
      <c r="C8661" s="37"/>
      <c r="D8661" s="37"/>
      <c r="E8661" s="37"/>
      <c r="F8661" s="37"/>
      <c r="G8661" s="37"/>
      <c r="H8661" s="37"/>
      <c r="I8661" s="35"/>
      <c r="J8661" s="37"/>
    </row>
    <row r="8662" spans="1:10" ht="15.95" customHeight="1" x14ac:dyDescent="0.2">
      <c r="A8662" s="39"/>
      <c r="B8662" s="36"/>
      <c r="C8662" s="37"/>
      <c r="D8662" s="37"/>
      <c r="E8662" s="37"/>
      <c r="F8662" s="37"/>
      <c r="G8662" s="37"/>
      <c r="H8662" s="37"/>
      <c r="I8662" s="35"/>
      <c r="J8662" s="37"/>
    </row>
    <row r="8663" spans="1:10" ht="15.95" customHeight="1" x14ac:dyDescent="0.2">
      <c r="A8663" s="39"/>
      <c r="B8663" s="36"/>
      <c r="C8663" s="37"/>
      <c r="D8663" s="37"/>
      <c r="E8663" s="37"/>
      <c r="F8663" s="37"/>
      <c r="G8663" s="37"/>
      <c r="H8663" s="37"/>
      <c r="I8663" s="35"/>
      <c r="J8663" s="37"/>
    </row>
    <row r="8664" spans="1:10" ht="15.95" customHeight="1" x14ac:dyDescent="0.2">
      <c r="A8664" s="39"/>
      <c r="B8664" s="36"/>
      <c r="C8664" s="37"/>
      <c r="D8664" s="37"/>
      <c r="E8664" s="37"/>
      <c r="F8664" s="37"/>
      <c r="G8664" s="37"/>
      <c r="H8664" s="37"/>
      <c r="I8664" s="35"/>
      <c r="J8664" s="37"/>
    </row>
    <row r="8665" spans="1:10" ht="15.95" customHeight="1" x14ac:dyDescent="0.2">
      <c r="A8665" s="39"/>
      <c r="B8665" s="36"/>
      <c r="C8665" s="37"/>
      <c r="D8665" s="37"/>
      <c r="E8665" s="37"/>
      <c r="F8665" s="37"/>
      <c r="G8665" s="37"/>
      <c r="H8665" s="37"/>
      <c r="I8665" s="35"/>
      <c r="J8665" s="37"/>
    </row>
    <row r="8666" spans="1:10" ht="15.95" customHeight="1" x14ac:dyDescent="0.2">
      <c r="A8666" s="39"/>
      <c r="B8666" s="36"/>
      <c r="C8666" s="37"/>
      <c r="D8666" s="37"/>
      <c r="E8666" s="37"/>
      <c r="F8666" s="37"/>
      <c r="G8666" s="37"/>
      <c r="H8666" s="37"/>
      <c r="I8666" s="35"/>
      <c r="J8666" s="37"/>
    </row>
    <row r="8667" spans="1:10" ht="15.95" customHeight="1" x14ac:dyDescent="0.2">
      <c r="A8667" s="39"/>
      <c r="B8667" s="36"/>
      <c r="C8667" s="37"/>
      <c r="D8667" s="37"/>
      <c r="E8667" s="37"/>
      <c r="F8667" s="37"/>
      <c r="G8667" s="37"/>
      <c r="H8667" s="37"/>
      <c r="I8667" s="35"/>
      <c r="J8667" s="37"/>
    </row>
    <row r="8668" spans="1:10" ht="15.95" customHeight="1" x14ac:dyDescent="0.2">
      <c r="A8668" s="39"/>
      <c r="B8668" s="36"/>
      <c r="C8668" s="37"/>
      <c r="D8668" s="37"/>
      <c r="E8668" s="37"/>
      <c r="F8668" s="37"/>
      <c r="G8668" s="37"/>
      <c r="H8668" s="37"/>
      <c r="I8668" s="35"/>
      <c r="J8668" s="37"/>
    </row>
    <row r="8669" spans="1:10" ht="15.95" customHeight="1" x14ac:dyDescent="0.2">
      <c r="A8669" s="39"/>
      <c r="B8669" s="36"/>
      <c r="C8669" s="37"/>
      <c r="D8669" s="37"/>
      <c r="E8669" s="37"/>
      <c r="F8669" s="37"/>
      <c r="G8669" s="37"/>
      <c r="H8669" s="37"/>
      <c r="I8669" s="35"/>
      <c r="J8669" s="37"/>
    </row>
    <row r="8670" spans="1:10" ht="15.95" customHeight="1" x14ac:dyDescent="0.2">
      <c r="A8670" s="39"/>
      <c r="B8670" s="36"/>
      <c r="C8670" s="37"/>
      <c r="D8670" s="37"/>
      <c r="E8670" s="37"/>
      <c r="F8670" s="37"/>
      <c r="G8670" s="37"/>
      <c r="H8670" s="37"/>
      <c r="I8670" s="35"/>
      <c r="J8670" s="37"/>
    </row>
    <row r="8671" spans="1:10" ht="15.95" customHeight="1" x14ac:dyDescent="0.2">
      <c r="A8671" s="39"/>
      <c r="B8671" s="36"/>
      <c r="C8671" s="37"/>
      <c r="D8671" s="37"/>
      <c r="E8671" s="37"/>
      <c r="F8671" s="37"/>
      <c r="G8671" s="37"/>
      <c r="H8671" s="37"/>
      <c r="I8671" s="35"/>
      <c r="J8671" s="37"/>
    </row>
    <row r="8672" spans="1:10" ht="15.95" customHeight="1" x14ac:dyDescent="0.2">
      <c r="A8672" s="39"/>
      <c r="B8672" s="36"/>
      <c r="C8672" s="37"/>
      <c r="D8672" s="37"/>
      <c r="E8672" s="37"/>
      <c r="F8672" s="37"/>
      <c r="G8672" s="37"/>
      <c r="H8672" s="37"/>
      <c r="I8672" s="35"/>
      <c r="J8672" s="37"/>
    </row>
    <row r="8673" spans="1:10" ht="15.95" customHeight="1" x14ac:dyDescent="0.2">
      <c r="A8673" s="39"/>
      <c r="B8673" s="36"/>
      <c r="C8673" s="37"/>
      <c r="D8673" s="37"/>
      <c r="E8673" s="37"/>
      <c r="F8673" s="37"/>
      <c r="G8673" s="37"/>
      <c r="H8673" s="37"/>
      <c r="I8673" s="35"/>
      <c r="J8673" s="37"/>
    </row>
    <row r="8674" spans="1:10" ht="15.95" customHeight="1" x14ac:dyDescent="0.2">
      <c r="A8674" s="39"/>
      <c r="B8674" s="36"/>
      <c r="C8674" s="37"/>
      <c r="D8674" s="37"/>
      <c r="E8674" s="37"/>
      <c r="F8674" s="37"/>
      <c r="G8674" s="37"/>
      <c r="H8674" s="37"/>
      <c r="I8674" s="35"/>
      <c r="J8674" s="37"/>
    </row>
    <row r="8675" spans="1:10" ht="15.95" customHeight="1" x14ac:dyDescent="0.2">
      <c r="A8675" s="39"/>
      <c r="B8675" s="36"/>
      <c r="C8675" s="37"/>
      <c r="D8675" s="37"/>
      <c r="E8675" s="37"/>
      <c r="F8675" s="37"/>
      <c r="G8675" s="37"/>
      <c r="H8675" s="37"/>
      <c r="I8675" s="35"/>
      <c r="J8675" s="37"/>
    </row>
    <row r="8676" spans="1:10" ht="15.95" customHeight="1" x14ac:dyDescent="0.2">
      <c r="A8676" s="39"/>
      <c r="B8676" s="36"/>
      <c r="C8676" s="37"/>
      <c r="D8676" s="37"/>
      <c r="E8676" s="37"/>
      <c r="F8676" s="37"/>
      <c r="G8676" s="37"/>
      <c r="H8676" s="37"/>
      <c r="I8676" s="35"/>
      <c r="J8676" s="37"/>
    </row>
    <row r="8677" spans="1:10" ht="15.95" customHeight="1" x14ac:dyDescent="0.2">
      <c r="A8677" s="39"/>
      <c r="B8677" s="36"/>
      <c r="C8677" s="37"/>
      <c r="D8677" s="37"/>
      <c r="E8677" s="37"/>
      <c r="F8677" s="37"/>
      <c r="G8677" s="37"/>
      <c r="H8677" s="37"/>
      <c r="I8677" s="35"/>
      <c r="J8677" s="37"/>
    </row>
    <row r="8678" spans="1:10" ht="15.95" customHeight="1" x14ac:dyDescent="0.2">
      <c r="A8678" s="39"/>
      <c r="B8678" s="36"/>
      <c r="C8678" s="37"/>
      <c r="D8678" s="37"/>
      <c r="E8678" s="37"/>
      <c r="F8678" s="37"/>
      <c r="G8678" s="37"/>
      <c r="H8678" s="37"/>
      <c r="I8678" s="35"/>
      <c r="J8678" s="37"/>
    </row>
    <row r="8679" spans="1:10" ht="15.95" customHeight="1" x14ac:dyDescent="0.2">
      <c r="A8679" s="39"/>
      <c r="B8679" s="36"/>
      <c r="C8679" s="37"/>
      <c r="D8679" s="37"/>
      <c r="E8679" s="37"/>
      <c r="F8679" s="37"/>
      <c r="G8679" s="37"/>
      <c r="H8679" s="37"/>
      <c r="I8679" s="35"/>
      <c r="J8679" s="37"/>
    </row>
    <row r="8680" spans="1:10" ht="15.95" customHeight="1" x14ac:dyDescent="0.2">
      <c r="A8680" s="39"/>
      <c r="B8680" s="36"/>
      <c r="C8680" s="37"/>
      <c r="D8680" s="37"/>
      <c r="E8680" s="37"/>
      <c r="F8680" s="37"/>
      <c r="G8680" s="37"/>
      <c r="H8680" s="37"/>
      <c r="I8680" s="35"/>
      <c r="J8680" s="37"/>
    </row>
    <row r="8681" spans="1:10" ht="15.95" customHeight="1" x14ac:dyDescent="0.2">
      <c r="A8681" s="39"/>
      <c r="B8681" s="36"/>
      <c r="C8681" s="37"/>
      <c r="D8681" s="37"/>
      <c r="E8681" s="37"/>
      <c r="F8681" s="37"/>
      <c r="G8681" s="37"/>
      <c r="H8681" s="37"/>
      <c r="I8681" s="35"/>
      <c r="J8681" s="37"/>
    </row>
    <row r="8682" spans="1:10" ht="15.95" customHeight="1" x14ac:dyDescent="0.2">
      <c r="A8682" s="39"/>
      <c r="B8682" s="36"/>
      <c r="C8682" s="37"/>
      <c r="D8682" s="37"/>
      <c r="E8682" s="37"/>
      <c r="F8682" s="37"/>
      <c r="G8682" s="37"/>
      <c r="H8682" s="37"/>
      <c r="I8682" s="35"/>
      <c r="J8682" s="37"/>
    </row>
    <row r="8683" spans="1:10" ht="15.95" customHeight="1" x14ac:dyDescent="0.2">
      <c r="A8683" s="39"/>
      <c r="B8683" s="36"/>
      <c r="C8683" s="37"/>
      <c r="D8683" s="37"/>
      <c r="E8683" s="37"/>
      <c r="F8683" s="37"/>
      <c r="G8683" s="37"/>
      <c r="H8683" s="37"/>
      <c r="I8683" s="35"/>
      <c r="J8683" s="37"/>
    </row>
    <row r="8684" spans="1:10" ht="15.95" customHeight="1" x14ac:dyDescent="0.2">
      <c r="A8684" s="39"/>
      <c r="B8684" s="36"/>
      <c r="C8684" s="37"/>
      <c r="D8684" s="37"/>
      <c r="E8684" s="37"/>
      <c r="F8684" s="37"/>
      <c r="G8684" s="37"/>
      <c r="H8684" s="37"/>
      <c r="I8684" s="35"/>
      <c r="J8684" s="37"/>
    </row>
    <row r="8685" spans="1:10" ht="15.95" customHeight="1" x14ac:dyDescent="0.2">
      <c r="A8685" s="39"/>
      <c r="B8685" s="36"/>
      <c r="C8685" s="37"/>
      <c r="D8685" s="37"/>
      <c r="E8685" s="37"/>
      <c r="F8685" s="37"/>
      <c r="G8685" s="37"/>
      <c r="H8685" s="37"/>
      <c r="I8685" s="35"/>
      <c r="J8685" s="37"/>
    </row>
    <row r="8686" spans="1:10" ht="15.95" customHeight="1" x14ac:dyDescent="0.2">
      <c r="A8686" s="39"/>
      <c r="B8686" s="36"/>
      <c r="C8686" s="37"/>
      <c r="D8686" s="37"/>
      <c r="E8686" s="37"/>
      <c r="F8686" s="37"/>
      <c r="G8686" s="37"/>
      <c r="H8686" s="37"/>
      <c r="I8686" s="35"/>
      <c r="J8686" s="37"/>
    </row>
    <row r="8687" spans="1:10" ht="15.95" customHeight="1" x14ac:dyDescent="0.2">
      <c r="A8687" s="39"/>
      <c r="B8687" s="36"/>
      <c r="C8687" s="37"/>
      <c r="D8687" s="37"/>
      <c r="E8687" s="37"/>
      <c r="F8687" s="37"/>
      <c r="G8687" s="37"/>
      <c r="H8687" s="37"/>
      <c r="I8687" s="35"/>
      <c r="J8687" s="37"/>
    </row>
    <row r="8688" spans="1:10" ht="15.95" customHeight="1" x14ac:dyDescent="0.2">
      <c r="A8688" s="39"/>
      <c r="B8688" s="36"/>
      <c r="C8688" s="37"/>
      <c r="D8688" s="37"/>
      <c r="E8688" s="37"/>
      <c r="F8688" s="37"/>
      <c r="G8688" s="37"/>
      <c r="H8688" s="37"/>
      <c r="I8688" s="35"/>
      <c r="J8688" s="37"/>
    </row>
    <row r="8689" spans="1:10" ht="15.95" customHeight="1" x14ac:dyDescent="0.2">
      <c r="A8689" s="39"/>
      <c r="B8689" s="36"/>
      <c r="C8689" s="37"/>
      <c r="D8689" s="37"/>
      <c r="E8689" s="37"/>
      <c r="F8689" s="37"/>
      <c r="G8689" s="37"/>
      <c r="H8689" s="37"/>
      <c r="I8689" s="35"/>
      <c r="J8689" s="37"/>
    </row>
    <row r="8690" spans="1:10" ht="15.95" customHeight="1" x14ac:dyDescent="0.2">
      <c r="A8690" s="39"/>
      <c r="B8690" s="36"/>
      <c r="C8690" s="37"/>
      <c r="D8690" s="37"/>
      <c r="E8690" s="37"/>
      <c r="F8690" s="37"/>
      <c r="G8690" s="37"/>
      <c r="H8690" s="37"/>
      <c r="I8690" s="35"/>
      <c r="J8690" s="37"/>
    </row>
    <row r="8691" spans="1:10" ht="15.95" customHeight="1" x14ac:dyDescent="0.2">
      <c r="A8691" s="39"/>
      <c r="B8691" s="36"/>
      <c r="C8691" s="37"/>
      <c r="D8691" s="37"/>
      <c r="E8691" s="37"/>
      <c r="F8691" s="37"/>
      <c r="G8691" s="37"/>
      <c r="H8691" s="37"/>
      <c r="I8691" s="35"/>
      <c r="J8691" s="37"/>
    </row>
    <row r="8692" spans="1:10" ht="15.95" customHeight="1" x14ac:dyDescent="0.2">
      <c r="A8692" s="39"/>
      <c r="B8692" s="36"/>
      <c r="C8692" s="37"/>
      <c r="D8692" s="37"/>
      <c r="E8692" s="37"/>
      <c r="F8692" s="37"/>
      <c r="G8692" s="37"/>
      <c r="H8692" s="37"/>
      <c r="I8692" s="35"/>
      <c r="J8692" s="37"/>
    </row>
    <row r="8693" spans="1:10" ht="15.95" customHeight="1" x14ac:dyDescent="0.2">
      <c r="A8693" s="39"/>
      <c r="B8693" s="36"/>
      <c r="C8693" s="37"/>
      <c r="D8693" s="37"/>
      <c r="E8693" s="37"/>
      <c r="F8693" s="37"/>
      <c r="G8693" s="37"/>
      <c r="H8693" s="37"/>
      <c r="I8693" s="35"/>
      <c r="J8693" s="37"/>
    </row>
    <row r="8694" spans="1:10" ht="15.95" customHeight="1" x14ac:dyDescent="0.2">
      <c r="A8694" s="39"/>
      <c r="B8694" s="36"/>
      <c r="C8694" s="37"/>
      <c r="D8694" s="37"/>
      <c r="E8694" s="37"/>
      <c r="F8694" s="37"/>
      <c r="G8694" s="37"/>
      <c r="H8694" s="37"/>
      <c r="I8694" s="35"/>
      <c r="J8694" s="37"/>
    </row>
    <row r="8695" spans="1:10" ht="15.95" customHeight="1" x14ac:dyDescent="0.2">
      <c r="A8695" s="39"/>
      <c r="B8695" s="36"/>
      <c r="C8695" s="37"/>
      <c r="D8695" s="37"/>
      <c r="E8695" s="37"/>
      <c r="F8695" s="37"/>
      <c r="G8695" s="37"/>
      <c r="H8695" s="37"/>
      <c r="I8695" s="35"/>
      <c r="J8695" s="37"/>
    </row>
    <row r="8696" spans="1:10" ht="15.95" customHeight="1" x14ac:dyDescent="0.2">
      <c r="A8696" s="39"/>
      <c r="B8696" s="36"/>
      <c r="C8696" s="37"/>
      <c r="D8696" s="37"/>
      <c r="E8696" s="37"/>
      <c r="F8696" s="37"/>
      <c r="G8696" s="37"/>
      <c r="H8696" s="37"/>
      <c r="I8696" s="35"/>
      <c r="J8696" s="37"/>
    </row>
    <row r="8697" spans="1:10" ht="15.95" customHeight="1" x14ac:dyDescent="0.2">
      <c r="A8697" s="39"/>
      <c r="B8697" s="36"/>
      <c r="C8697" s="37"/>
      <c r="D8697" s="37"/>
      <c r="E8697" s="37"/>
      <c r="F8697" s="37"/>
      <c r="G8697" s="37"/>
      <c r="H8697" s="37"/>
      <c r="I8697" s="35"/>
      <c r="J8697" s="37"/>
    </row>
    <row r="8698" spans="1:10" ht="15.95" customHeight="1" x14ac:dyDescent="0.2">
      <c r="A8698" s="39"/>
      <c r="B8698" s="36"/>
      <c r="C8698" s="37"/>
      <c r="D8698" s="37"/>
      <c r="E8698" s="37"/>
      <c r="F8698" s="37"/>
      <c r="G8698" s="37"/>
      <c r="H8698" s="37"/>
      <c r="I8698" s="35"/>
      <c r="J8698" s="37"/>
    </row>
    <row r="8699" spans="1:10" ht="15.95" customHeight="1" x14ac:dyDescent="0.2">
      <c r="A8699" s="39"/>
      <c r="B8699" s="36"/>
      <c r="C8699" s="37"/>
      <c r="D8699" s="37"/>
      <c r="E8699" s="37"/>
      <c r="F8699" s="37"/>
      <c r="G8699" s="37"/>
      <c r="H8699" s="37"/>
      <c r="I8699" s="35"/>
      <c r="J8699" s="37"/>
    </row>
    <row r="8700" spans="1:10" ht="15.95" customHeight="1" x14ac:dyDescent="0.2">
      <c r="A8700" s="39"/>
      <c r="B8700" s="36"/>
      <c r="C8700" s="37"/>
      <c r="D8700" s="37"/>
      <c r="E8700" s="37"/>
      <c r="F8700" s="37"/>
      <c r="G8700" s="37"/>
      <c r="H8700" s="37"/>
      <c r="I8700" s="35"/>
      <c r="J8700" s="37"/>
    </row>
    <row r="8701" spans="1:10" ht="15.95" customHeight="1" x14ac:dyDescent="0.2">
      <c r="A8701" s="39"/>
      <c r="B8701" s="36"/>
      <c r="C8701" s="37"/>
      <c r="D8701" s="37"/>
      <c r="E8701" s="37"/>
      <c r="F8701" s="37"/>
      <c r="G8701" s="37"/>
      <c r="H8701" s="37"/>
      <c r="I8701" s="35"/>
      <c r="J8701" s="37"/>
    </row>
    <row r="8702" spans="1:10" ht="15.95" customHeight="1" x14ac:dyDescent="0.2">
      <c r="A8702" s="39"/>
      <c r="B8702" s="36"/>
      <c r="C8702" s="37"/>
      <c r="D8702" s="37"/>
      <c r="E8702" s="37"/>
      <c r="F8702" s="37"/>
      <c r="G8702" s="37"/>
      <c r="H8702" s="37"/>
      <c r="I8702" s="35"/>
      <c r="J8702" s="37"/>
    </row>
    <row r="8703" spans="1:10" ht="15.95" customHeight="1" x14ac:dyDescent="0.2">
      <c r="A8703" s="39"/>
      <c r="B8703" s="36"/>
      <c r="C8703" s="37"/>
      <c r="D8703" s="37"/>
      <c r="E8703" s="37"/>
      <c r="F8703" s="37"/>
      <c r="G8703" s="37"/>
      <c r="H8703" s="37"/>
      <c r="I8703" s="35"/>
      <c r="J8703" s="37"/>
    </row>
    <row r="8704" spans="1:10" ht="15.95" customHeight="1" x14ac:dyDescent="0.2">
      <c r="A8704" s="39"/>
      <c r="B8704" s="36"/>
      <c r="C8704" s="37"/>
      <c r="D8704" s="37"/>
      <c r="E8704" s="37"/>
      <c r="F8704" s="37"/>
      <c r="G8704" s="37"/>
      <c r="H8704" s="37"/>
      <c r="I8704" s="35"/>
      <c r="J8704" s="37"/>
    </row>
    <row r="8705" spans="1:10" ht="15.95" customHeight="1" x14ac:dyDescent="0.2">
      <c r="A8705" s="39"/>
      <c r="B8705" s="36"/>
      <c r="C8705" s="37"/>
      <c r="D8705" s="37"/>
      <c r="E8705" s="37"/>
      <c r="F8705" s="37"/>
      <c r="G8705" s="37"/>
      <c r="H8705" s="37"/>
      <c r="I8705" s="35"/>
      <c r="J8705" s="37"/>
    </row>
    <row r="8706" spans="1:10" ht="15.95" customHeight="1" x14ac:dyDescent="0.2">
      <c r="A8706" s="39"/>
      <c r="B8706" s="36"/>
      <c r="C8706" s="37"/>
      <c r="D8706" s="37"/>
      <c r="E8706" s="37"/>
      <c r="F8706" s="37"/>
      <c r="G8706" s="37"/>
      <c r="H8706" s="37"/>
      <c r="I8706" s="35"/>
      <c r="J8706" s="37"/>
    </row>
    <row r="8707" spans="1:10" ht="15.95" customHeight="1" x14ac:dyDescent="0.2">
      <c r="A8707" s="39"/>
      <c r="B8707" s="36"/>
      <c r="C8707" s="37"/>
      <c r="D8707" s="37"/>
      <c r="E8707" s="37"/>
      <c r="F8707" s="37"/>
      <c r="G8707" s="37"/>
      <c r="H8707" s="37"/>
      <c r="I8707" s="35"/>
      <c r="J8707" s="37"/>
    </row>
    <row r="8708" spans="1:10" ht="15.95" customHeight="1" x14ac:dyDescent="0.2">
      <c r="A8708" s="39"/>
      <c r="B8708" s="36"/>
      <c r="C8708" s="37"/>
      <c r="D8708" s="37"/>
      <c r="E8708" s="37"/>
      <c r="F8708" s="37"/>
      <c r="G8708" s="37"/>
      <c r="H8708" s="37"/>
      <c r="I8708" s="35"/>
      <c r="J8708" s="37"/>
    </row>
    <row r="8709" spans="1:10" ht="15.95" customHeight="1" x14ac:dyDescent="0.2">
      <c r="A8709" s="39"/>
      <c r="B8709" s="36"/>
      <c r="C8709" s="37"/>
      <c r="D8709" s="37"/>
      <c r="E8709" s="37"/>
      <c r="F8709" s="37"/>
      <c r="G8709" s="37"/>
      <c r="H8709" s="37"/>
      <c r="I8709" s="35"/>
      <c r="J8709" s="37"/>
    </row>
    <row r="8710" spans="1:10" ht="15.95" customHeight="1" x14ac:dyDescent="0.2">
      <c r="A8710" s="39"/>
      <c r="B8710" s="36"/>
      <c r="C8710" s="37"/>
      <c r="D8710" s="37"/>
      <c r="E8710" s="37"/>
      <c r="F8710" s="37"/>
      <c r="G8710" s="37"/>
      <c r="H8710" s="37"/>
      <c r="I8710" s="35"/>
      <c r="J8710" s="37"/>
    </row>
    <row r="8711" spans="1:10" ht="15.95" customHeight="1" x14ac:dyDescent="0.2">
      <c r="A8711" s="39"/>
      <c r="B8711" s="36"/>
      <c r="C8711" s="37"/>
      <c r="D8711" s="37"/>
      <c r="E8711" s="37"/>
      <c r="F8711" s="37"/>
      <c r="G8711" s="37"/>
      <c r="H8711" s="37"/>
      <c r="I8711" s="35"/>
      <c r="J8711" s="37"/>
    </row>
    <row r="8712" spans="1:10" ht="15.95" customHeight="1" x14ac:dyDescent="0.2">
      <c r="A8712" s="39"/>
      <c r="B8712" s="36"/>
      <c r="C8712" s="37"/>
      <c r="D8712" s="37"/>
      <c r="E8712" s="37"/>
      <c r="F8712" s="37"/>
      <c r="G8712" s="37"/>
      <c r="H8712" s="37"/>
      <c r="I8712" s="35"/>
      <c r="J8712" s="37"/>
    </row>
    <row r="8713" spans="1:10" ht="15.95" customHeight="1" x14ac:dyDescent="0.2">
      <c r="A8713" s="39"/>
      <c r="B8713" s="36"/>
      <c r="C8713" s="37"/>
      <c r="D8713" s="37"/>
      <c r="E8713" s="37"/>
      <c r="F8713" s="37"/>
      <c r="G8713" s="37"/>
      <c r="H8713" s="37"/>
      <c r="I8713" s="35"/>
      <c r="J8713" s="37"/>
    </row>
    <row r="8714" spans="1:10" ht="15.95" customHeight="1" x14ac:dyDescent="0.2">
      <c r="A8714" s="39"/>
      <c r="B8714" s="36"/>
      <c r="C8714" s="37"/>
      <c r="D8714" s="37"/>
      <c r="E8714" s="37"/>
      <c r="F8714" s="37"/>
      <c r="G8714" s="37"/>
      <c r="H8714" s="37"/>
      <c r="I8714" s="35"/>
      <c r="J8714" s="37"/>
    </row>
    <row r="8715" spans="1:10" ht="15.95" customHeight="1" x14ac:dyDescent="0.2">
      <c r="A8715" s="39"/>
      <c r="B8715" s="36"/>
      <c r="C8715" s="37"/>
      <c r="D8715" s="37"/>
      <c r="E8715" s="37"/>
      <c r="F8715" s="37"/>
      <c r="G8715" s="37"/>
      <c r="H8715" s="37"/>
      <c r="I8715" s="35"/>
      <c r="J8715" s="37"/>
    </row>
    <row r="8716" spans="1:10" ht="15.95" customHeight="1" x14ac:dyDescent="0.2">
      <c r="A8716" s="39"/>
      <c r="B8716" s="36"/>
      <c r="C8716" s="37"/>
      <c r="D8716" s="37"/>
      <c r="E8716" s="37"/>
      <c r="F8716" s="37"/>
      <c r="G8716" s="37"/>
      <c r="H8716" s="37"/>
      <c r="I8716" s="35"/>
      <c r="J8716" s="37"/>
    </row>
    <row r="8717" spans="1:10" ht="15.95" customHeight="1" x14ac:dyDescent="0.2">
      <c r="A8717" s="39"/>
      <c r="B8717" s="36"/>
      <c r="C8717" s="37"/>
      <c r="D8717" s="37"/>
      <c r="E8717" s="37"/>
      <c r="F8717" s="37"/>
      <c r="G8717" s="37"/>
      <c r="H8717" s="37"/>
      <c r="I8717" s="35"/>
      <c r="J8717" s="37"/>
    </row>
    <row r="8718" spans="1:10" ht="15.95" customHeight="1" x14ac:dyDescent="0.2">
      <c r="A8718" s="39"/>
      <c r="B8718" s="36"/>
      <c r="C8718" s="37"/>
      <c r="D8718" s="37"/>
      <c r="E8718" s="37"/>
      <c r="F8718" s="37"/>
      <c r="G8718" s="37"/>
      <c r="H8718" s="37"/>
      <c r="I8718" s="35"/>
      <c r="J8718" s="37"/>
    </row>
    <row r="8719" spans="1:10" ht="15.95" customHeight="1" x14ac:dyDescent="0.2">
      <c r="A8719" s="39"/>
      <c r="B8719" s="36"/>
      <c r="C8719" s="37"/>
      <c r="D8719" s="37"/>
      <c r="E8719" s="37"/>
      <c r="F8719" s="37"/>
      <c r="G8719" s="37"/>
      <c r="H8719" s="37"/>
      <c r="I8719" s="35"/>
      <c r="J8719" s="37"/>
    </row>
    <row r="8720" spans="1:10" ht="15.95" customHeight="1" x14ac:dyDescent="0.2">
      <c r="A8720" s="39"/>
      <c r="B8720" s="36"/>
      <c r="C8720" s="37"/>
      <c r="D8720" s="37"/>
      <c r="E8720" s="37"/>
      <c r="F8720" s="37"/>
      <c r="G8720" s="37"/>
      <c r="H8720" s="37"/>
      <c r="I8720" s="35"/>
      <c r="J8720" s="37"/>
    </row>
    <row r="8721" spans="1:10" ht="15.95" customHeight="1" x14ac:dyDescent="0.2">
      <c r="A8721" s="39"/>
      <c r="B8721" s="36"/>
      <c r="C8721" s="37"/>
      <c r="D8721" s="37"/>
      <c r="E8721" s="37"/>
      <c r="F8721" s="37"/>
      <c r="G8721" s="37"/>
      <c r="H8721" s="37"/>
      <c r="I8721" s="35"/>
      <c r="J8721" s="37"/>
    </row>
    <row r="8722" spans="1:10" ht="15.95" customHeight="1" x14ac:dyDescent="0.2">
      <c r="A8722" s="39"/>
      <c r="B8722" s="36"/>
      <c r="C8722" s="37"/>
      <c r="D8722" s="37"/>
      <c r="E8722" s="37"/>
      <c r="F8722" s="37"/>
      <c r="G8722" s="37"/>
      <c r="H8722" s="37"/>
      <c r="I8722" s="35"/>
      <c r="J8722" s="37"/>
    </row>
    <row r="8723" spans="1:10" ht="15.95" customHeight="1" x14ac:dyDescent="0.2">
      <c r="A8723" s="39"/>
      <c r="B8723" s="36"/>
      <c r="C8723" s="37"/>
      <c r="D8723" s="37"/>
      <c r="E8723" s="37"/>
      <c r="F8723" s="37"/>
      <c r="G8723" s="37"/>
      <c r="H8723" s="37"/>
      <c r="I8723" s="35"/>
      <c r="J8723" s="37"/>
    </row>
    <row r="8724" spans="1:10" ht="15.95" customHeight="1" x14ac:dyDescent="0.2">
      <c r="A8724" s="39"/>
      <c r="B8724" s="36"/>
      <c r="C8724" s="37"/>
      <c r="D8724" s="37"/>
      <c r="E8724" s="37"/>
      <c r="F8724" s="37"/>
      <c r="G8724" s="37"/>
      <c r="H8724" s="37"/>
      <c r="I8724" s="35"/>
      <c r="J8724" s="37"/>
    </row>
    <row r="8725" spans="1:10" ht="15.95" customHeight="1" x14ac:dyDescent="0.2">
      <c r="A8725" s="39"/>
      <c r="B8725" s="36"/>
      <c r="C8725" s="37"/>
      <c r="D8725" s="37"/>
      <c r="E8725" s="37"/>
      <c r="F8725" s="37"/>
      <c r="G8725" s="37"/>
      <c r="H8725" s="37"/>
      <c r="I8725" s="35"/>
      <c r="J8725" s="37"/>
    </row>
    <row r="8726" spans="1:10" ht="15.95" customHeight="1" x14ac:dyDescent="0.2">
      <c r="A8726" s="39"/>
      <c r="B8726" s="36"/>
      <c r="C8726" s="37"/>
      <c r="D8726" s="37"/>
      <c r="E8726" s="37"/>
      <c r="F8726" s="37"/>
      <c r="G8726" s="37"/>
      <c r="H8726" s="37"/>
      <c r="I8726" s="35"/>
      <c r="J8726" s="37"/>
    </row>
    <row r="8727" spans="1:10" ht="15.95" customHeight="1" x14ac:dyDescent="0.2">
      <c r="A8727" s="39"/>
      <c r="B8727" s="36"/>
      <c r="C8727" s="37"/>
      <c r="D8727" s="37"/>
      <c r="E8727" s="37"/>
      <c r="F8727" s="37"/>
      <c r="G8727" s="37"/>
      <c r="H8727" s="37"/>
      <c r="I8727" s="35"/>
      <c r="J8727" s="37"/>
    </row>
    <row r="8728" spans="1:10" ht="15.95" customHeight="1" x14ac:dyDescent="0.2">
      <c r="A8728" s="39"/>
      <c r="B8728" s="36"/>
      <c r="C8728" s="37"/>
      <c r="D8728" s="37"/>
      <c r="E8728" s="37"/>
      <c r="F8728" s="37"/>
      <c r="G8728" s="37"/>
      <c r="H8728" s="37"/>
      <c r="I8728" s="35"/>
      <c r="J8728" s="37"/>
    </row>
    <row r="8729" spans="1:10" ht="15.95" customHeight="1" x14ac:dyDescent="0.2">
      <c r="A8729" s="39"/>
      <c r="B8729" s="36"/>
      <c r="C8729" s="37"/>
      <c r="D8729" s="37"/>
      <c r="E8729" s="37"/>
      <c r="F8729" s="37"/>
      <c r="G8729" s="37"/>
      <c r="H8729" s="37"/>
      <c r="I8729" s="35"/>
      <c r="J8729" s="37"/>
    </row>
    <row r="8730" spans="1:10" ht="15.95" customHeight="1" x14ac:dyDescent="0.2">
      <c r="A8730" s="39"/>
      <c r="B8730" s="36"/>
      <c r="C8730" s="37"/>
      <c r="D8730" s="37"/>
      <c r="E8730" s="37"/>
      <c r="F8730" s="37"/>
      <c r="G8730" s="37"/>
      <c r="H8730" s="37"/>
      <c r="I8730" s="35"/>
      <c r="J8730" s="37"/>
    </row>
    <row r="8731" spans="1:10" ht="15.95" customHeight="1" x14ac:dyDescent="0.2">
      <c r="A8731" s="39"/>
      <c r="B8731" s="36"/>
      <c r="C8731" s="37"/>
      <c r="D8731" s="37"/>
      <c r="E8731" s="37"/>
      <c r="F8731" s="37"/>
      <c r="G8731" s="37"/>
      <c r="H8731" s="37"/>
      <c r="I8731" s="35"/>
      <c r="J8731" s="37"/>
    </row>
    <row r="8732" spans="1:10" ht="15.95" customHeight="1" x14ac:dyDescent="0.2">
      <c r="A8732" s="39"/>
      <c r="B8732" s="36"/>
      <c r="C8732" s="37"/>
      <c r="D8732" s="37"/>
      <c r="E8732" s="37"/>
      <c r="F8732" s="37"/>
      <c r="G8732" s="37"/>
      <c r="H8732" s="37"/>
      <c r="I8732" s="35"/>
      <c r="J8732" s="37"/>
    </row>
    <row r="8733" spans="1:10" ht="15.95" customHeight="1" x14ac:dyDescent="0.2">
      <c r="A8733" s="39"/>
      <c r="B8733" s="36"/>
      <c r="C8733" s="37"/>
      <c r="D8733" s="37"/>
      <c r="E8733" s="37"/>
      <c r="F8733" s="37"/>
      <c r="G8733" s="37"/>
      <c r="H8733" s="37"/>
      <c r="I8733" s="35"/>
      <c r="J8733" s="37"/>
    </row>
    <row r="8734" spans="1:10" ht="15.95" customHeight="1" x14ac:dyDescent="0.2">
      <c r="A8734" s="39"/>
      <c r="B8734" s="36"/>
      <c r="C8734" s="37"/>
      <c r="D8734" s="37"/>
      <c r="E8734" s="37"/>
      <c r="F8734" s="37"/>
      <c r="G8734" s="37"/>
      <c r="H8734" s="37"/>
      <c r="I8734" s="35"/>
      <c r="J8734" s="37"/>
    </row>
    <row r="8735" spans="1:10" ht="15.95" customHeight="1" x14ac:dyDescent="0.2">
      <c r="A8735" s="39"/>
      <c r="B8735" s="36"/>
      <c r="C8735" s="37"/>
      <c r="D8735" s="37"/>
      <c r="E8735" s="37"/>
      <c r="F8735" s="37"/>
      <c r="G8735" s="37"/>
      <c r="H8735" s="37"/>
      <c r="I8735" s="35"/>
      <c r="J8735" s="37"/>
    </row>
    <row r="8736" spans="1:10" ht="15.95" customHeight="1" x14ac:dyDescent="0.2">
      <c r="A8736" s="39"/>
      <c r="B8736" s="36"/>
      <c r="C8736" s="37"/>
      <c r="D8736" s="37"/>
      <c r="E8736" s="37"/>
      <c r="F8736" s="37"/>
      <c r="G8736" s="37"/>
      <c r="H8736" s="37"/>
      <c r="I8736" s="35"/>
      <c r="J8736" s="37"/>
    </row>
    <row r="8737" spans="1:10" ht="15.95" customHeight="1" x14ac:dyDescent="0.2">
      <c r="A8737" s="39"/>
      <c r="B8737" s="36"/>
      <c r="C8737" s="37"/>
      <c r="D8737" s="37"/>
      <c r="E8737" s="37"/>
      <c r="F8737" s="37"/>
      <c r="G8737" s="37"/>
      <c r="H8737" s="37"/>
      <c r="I8737" s="35"/>
      <c r="J8737" s="37"/>
    </row>
    <row r="8738" spans="1:10" ht="15.95" customHeight="1" x14ac:dyDescent="0.2">
      <c r="A8738" s="39"/>
      <c r="B8738" s="36"/>
      <c r="C8738" s="37"/>
      <c r="D8738" s="37"/>
      <c r="E8738" s="37"/>
      <c r="F8738" s="37"/>
      <c r="G8738" s="37"/>
      <c r="H8738" s="37"/>
      <c r="I8738" s="35"/>
      <c r="J8738" s="37"/>
    </row>
    <row r="8739" spans="1:10" ht="15.95" customHeight="1" x14ac:dyDescent="0.2">
      <c r="A8739" s="39"/>
      <c r="B8739" s="36"/>
      <c r="C8739" s="37"/>
      <c r="D8739" s="37"/>
      <c r="E8739" s="37"/>
      <c r="F8739" s="37"/>
      <c r="G8739" s="37"/>
      <c r="H8739" s="37"/>
      <c r="I8739" s="35"/>
      <c r="J8739" s="37"/>
    </row>
    <row r="8740" spans="1:10" ht="15.95" customHeight="1" x14ac:dyDescent="0.2">
      <c r="A8740" s="39"/>
      <c r="B8740" s="36"/>
      <c r="C8740" s="37"/>
      <c r="D8740" s="37"/>
      <c r="E8740" s="37"/>
      <c r="F8740" s="37"/>
      <c r="G8740" s="37"/>
      <c r="H8740" s="37"/>
      <c r="I8740" s="35"/>
      <c r="J8740" s="37"/>
    </row>
    <row r="8741" spans="1:10" ht="15.95" customHeight="1" x14ac:dyDescent="0.2">
      <c r="A8741" s="39"/>
      <c r="B8741" s="36"/>
      <c r="C8741" s="37"/>
      <c r="D8741" s="37"/>
      <c r="E8741" s="37"/>
      <c r="F8741" s="37"/>
      <c r="G8741" s="37"/>
      <c r="H8741" s="37"/>
      <c r="I8741" s="35"/>
      <c r="J8741" s="37"/>
    </row>
    <row r="8742" spans="1:10" ht="15.95" customHeight="1" x14ac:dyDescent="0.2">
      <c r="A8742" s="39"/>
      <c r="B8742" s="36"/>
      <c r="C8742" s="37"/>
      <c r="D8742" s="37"/>
      <c r="E8742" s="37"/>
      <c r="F8742" s="37"/>
      <c r="G8742" s="37"/>
      <c r="H8742" s="37"/>
      <c r="I8742" s="35"/>
      <c r="J8742" s="37"/>
    </row>
    <row r="8743" spans="1:10" ht="15.95" customHeight="1" x14ac:dyDescent="0.2">
      <c r="A8743" s="39"/>
      <c r="B8743" s="36"/>
      <c r="C8743" s="37"/>
      <c r="D8743" s="37"/>
      <c r="E8743" s="37"/>
      <c r="F8743" s="37"/>
      <c r="G8743" s="37"/>
      <c r="H8743" s="37"/>
      <c r="I8743" s="35"/>
      <c r="J8743" s="37"/>
    </row>
    <row r="8744" spans="1:10" ht="15.95" customHeight="1" x14ac:dyDescent="0.2">
      <c r="A8744" s="39"/>
      <c r="B8744" s="36"/>
      <c r="C8744" s="37"/>
      <c r="D8744" s="37"/>
      <c r="E8744" s="37"/>
      <c r="F8744" s="37"/>
      <c r="G8744" s="37"/>
      <c r="H8744" s="37"/>
      <c r="I8744" s="35"/>
      <c r="J8744" s="37"/>
    </row>
    <row r="8745" spans="1:10" ht="15.95" customHeight="1" x14ac:dyDescent="0.2">
      <c r="A8745" s="39"/>
      <c r="B8745" s="36"/>
      <c r="C8745" s="37"/>
      <c r="D8745" s="37"/>
      <c r="E8745" s="37"/>
      <c r="F8745" s="37"/>
      <c r="G8745" s="37"/>
      <c r="H8745" s="37"/>
      <c r="I8745" s="35"/>
      <c r="J8745" s="37"/>
    </row>
    <row r="8746" spans="1:10" ht="15.95" customHeight="1" x14ac:dyDescent="0.2">
      <c r="A8746" s="39"/>
      <c r="B8746" s="36"/>
      <c r="C8746" s="37"/>
      <c r="D8746" s="37"/>
      <c r="E8746" s="37"/>
      <c r="F8746" s="37"/>
      <c r="G8746" s="37"/>
      <c r="H8746" s="37"/>
      <c r="I8746" s="35"/>
      <c r="J8746" s="37"/>
    </row>
    <row r="8747" spans="1:10" ht="15.95" customHeight="1" x14ac:dyDescent="0.2">
      <c r="A8747" s="39"/>
      <c r="B8747" s="36"/>
      <c r="C8747" s="37"/>
      <c r="D8747" s="37"/>
      <c r="E8747" s="37"/>
      <c r="F8747" s="37"/>
      <c r="G8747" s="37"/>
      <c r="H8747" s="37"/>
      <c r="I8747" s="35"/>
      <c r="J8747" s="37"/>
    </row>
    <row r="8748" spans="1:10" ht="15.95" customHeight="1" x14ac:dyDescent="0.2">
      <c r="A8748" s="39"/>
      <c r="B8748" s="36"/>
      <c r="C8748" s="37"/>
      <c r="D8748" s="37"/>
      <c r="E8748" s="37"/>
      <c r="F8748" s="37"/>
      <c r="G8748" s="37"/>
      <c r="H8748" s="37"/>
      <c r="I8748" s="35"/>
      <c r="J8748" s="37"/>
    </row>
    <row r="8749" spans="1:10" ht="15.95" customHeight="1" x14ac:dyDescent="0.2">
      <c r="A8749" s="39"/>
      <c r="B8749" s="36"/>
      <c r="C8749" s="37"/>
      <c r="D8749" s="37"/>
      <c r="E8749" s="37"/>
      <c r="F8749" s="37"/>
      <c r="G8749" s="37"/>
      <c r="H8749" s="37"/>
      <c r="I8749" s="35"/>
      <c r="J8749" s="37"/>
    </row>
    <row r="8750" spans="1:10" ht="15.95" customHeight="1" x14ac:dyDescent="0.2">
      <c r="A8750" s="39"/>
      <c r="B8750" s="36"/>
      <c r="C8750" s="37"/>
      <c r="D8750" s="37"/>
      <c r="E8750" s="37"/>
      <c r="F8750" s="37"/>
      <c r="G8750" s="37"/>
      <c r="H8750" s="37"/>
      <c r="I8750" s="35"/>
      <c r="J8750" s="37"/>
    </row>
    <row r="8751" spans="1:10" ht="15.95" customHeight="1" x14ac:dyDescent="0.2">
      <c r="A8751" s="39"/>
      <c r="B8751" s="36"/>
      <c r="C8751" s="37"/>
      <c r="D8751" s="37"/>
      <c r="E8751" s="37"/>
      <c r="F8751" s="37"/>
      <c r="G8751" s="37"/>
      <c r="H8751" s="37"/>
      <c r="I8751" s="35"/>
      <c r="J8751" s="37"/>
    </row>
    <row r="8752" spans="1:10" ht="15.95" customHeight="1" x14ac:dyDescent="0.2">
      <c r="A8752" s="39"/>
      <c r="B8752" s="36"/>
      <c r="C8752" s="37"/>
      <c r="D8752" s="37"/>
      <c r="E8752" s="37"/>
      <c r="F8752" s="37"/>
      <c r="G8752" s="37"/>
      <c r="H8752" s="37"/>
      <c r="I8752" s="35"/>
      <c r="J8752" s="37"/>
    </row>
    <row r="8753" spans="1:10" ht="15.95" customHeight="1" x14ac:dyDescent="0.2">
      <c r="A8753" s="39"/>
      <c r="B8753" s="36"/>
      <c r="C8753" s="37"/>
      <c r="D8753" s="37"/>
      <c r="E8753" s="37"/>
      <c r="F8753" s="37"/>
      <c r="G8753" s="37"/>
      <c r="H8753" s="37"/>
      <c r="I8753" s="35"/>
      <c r="J8753" s="37"/>
    </row>
    <row r="8754" spans="1:10" ht="15.95" customHeight="1" x14ac:dyDescent="0.2">
      <c r="A8754" s="39"/>
      <c r="B8754" s="36"/>
      <c r="C8754" s="37"/>
      <c r="D8754" s="37"/>
      <c r="E8754" s="37"/>
      <c r="F8754" s="37"/>
      <c r="G8754" s="37"/>
      <c r="H8754" s="37"/>
      <c r="I8754" s="35"/>
      <c r="J8754" s="37"/>
    </row>
    <row r="8755" spans="1:10" ht="15.95" customHeight="1" x14ac:dyDescent="0.2">
      <c r="A8755" s="39"/>
      <c r="B8755" s="36"/>
      <c r="C8755" s="37"/>
      <c r="D8755" s="37"/>
      <c r="E8755" s="37"/>
      <c r="F8755" s="37"/>
      <c r="G8755" s="37"/>
      <c r="H8755" s="37"/>
      <c r="I8755" s="35"/>
      <c r="J8755" s="37"/>
    </row>
    <row r="8756" spans="1:10" ht="15.95" customHeight="1" x14ac:dyDescent="0.2">
      <c r="A8756" s="39"/>
      <c r="B8756" s="36"/>
      <c r="C8756" s="37"/>
      <c r="D8756" s="37"/>
      <c r="E8756" s="37"/>
      <c r="F8756" s="37"/>
      <c r="G8756" s="37"/>
      <c r="H8756" s="37"/>
      <c r="I8756" s="35"/>
      <c r="J8756" s="37"/>
    </row>
    <row r="8757" spans="1:10" ht="15.95" customHeight="1" x14ac:dyDescent="0.2">
      <c r="A8757" s="39"/>
      <c r="B8757" s="36"/>
      <c r="C8757" s="37"/>
      <c r="D8757" s="37"/>
      <c r="E8757" s="37"/>
      <c r="F8757" s="37"/>
      <c r="G8757" s="37"/>
      <c r="H8757" s="37"/>
      <c r="I8757" s="35"/>
      <c r="J8757" s="37"/>
    </row>
    <row r="8758" spans="1:10" ht="15.95" customHeight="1" x14ac:dyDescent="0.2">
      <c r="A8758" s="39"/>
      <c r="B8758" s="36"/>
      <c r="C8758" s="37"/>
      <c r="D8758" s="37"/>
      <c r="E8758" s="37"/>
      <c r="F8758" s="37"/>
      <c r="G8758" s="37"/>
      <c r="H8758" s="37"/>
      <c r="I8758" s="35"/>
      <c r="J8758" s="37"/>
    </row>
    <row r="8759" spans="1:10" ht="15.95" customHeight="1" x14ac:dyDescent="0.2">
      <c r="A8759" s="39"/>
      <c r="B8759" s="36"/>
      <c r="C8759" s="37"/>
      <c r="D8759" s="37"/>
      <c r="E8759" s="37"/>
      <c r="F8759" s="37"/>
      <c r="G8759" s="37"/>
      <c r="H8759" s="37"/>
      <c r="I8759" s="35"/>
      <c r="J8759" s="37"/>
    </row>
    <row r="8760" spans="1:10" ht="15.95" customHeight="1" x14ac:dyDescent="0.2">
      <c r="A8760" s="39"/>
      <c r="B8760" s="36"/>
      <c r="C8760" s="37"/>
      <c r="D8760" s="37"/>
      <c r="E8760" s="37"/>
      <c r="F8760" s="37"/>
      <c r="G8760" s="37"/>
      <c r="H8760" s="37"/>
      <c r="I8760" s="35"/>
      <c r="J8760" s="37"/>
    </row>
    <row r="8761" spans="1:10" ht="15.95" customHeight="1" x14ac:dyDescent="0.2">
      <c r="A8761" s="39"/>
      <c r="B8761" s="36"/>
      <c r="C8761" s="37"/>
      <c r="D8761" s="37"/>
      <c r="E8761" s="37"/>
      <c r="F8761" s="37"/>
      <c r="G8761" s="37"/>
      <c r="H8761" s="37"/>
      <c r="I8761" s="35"/>
      <c r="J8761" s="37"/>
    </row>
    <row r="8762" spans="1:10" ht="15.95" customHeight="1" x14ac:dyDescent="0.2">
      <c r="A8762" s="39"/>
      <c r="B8762" s="36"/>
      <c r="C8762" s="37"/>
      <c r="D8762" s="37"/>
      <c r="E8762" s="37"/>
      <c r="F8762" s="37"/>
      <c r="G8762" s="37"/>
      <c r="H8762" s="37"/>
      <c r="I8762" s="35"/>
      <c r="J8762" s="37"/>
    </row>
    <row r="8763" spans="1:10" ht="15.95" customHeight="1" x14ac:dyDescent="0.2">
      <c r="A8763" s="39"/>
      <c r="B8763" s="36"/>
      <c r="C8763" s="37"/>
      <c r="D8763" s="37"/>
      <c r="E8763" s="37"/>
      <c r="F8763" s="37"/>
      <c r="G8763" s="37"/>
      <c r="H8763" s="37"/>
      <c r="I8763" s="35"/>
      <c r="J8763" s="37"/>
    </row>
    <row r="8764" spans="1:10" ht="15.95" customHeight="1" x14ac:dyDescent="0.2">
      <c r="A8764" s="39"/>
      <c r="B8764" s="36"/>
      <c r="C8764" s="37"/>
      <c r="D8764" s="37"/>
      <c r="E8764" s="37"/>
      <c r="F8764" s="37"/>
      <c r="G8764" s="37"/>
      <c r="H8764" s="37"/>
      <c r="I8764" s="35"/>
      <c r="J8764" s="37"/>
    </row>
    <row r="8765" spans="1:10" ht="15.95" customHeight="1" x14ac:dyDescent="0.2">
      <c r="A8765" s="39"/>
      <c r="B8765" s="36"/>
      <c r="C8765" s="37"/>
      <c r="D8765" s="37"/>
      <c r="E8765" s="37"/>
      <c r="F8765" s="37"/>
      <c r="G8765" s="37"/>
      <c r="H8765" s="37"/>
      <c r="I8765" s="35"/>
      <c r="J8765" s="37"/>
    </row>
    <row r="8766" spans="1:10" ht="15.95" customHeight="1" x14ac:dyDescent="0.2">
      <c r="A8766" s="39"/>
      <c r="B8766" s="36"/>
      <c r="C8766" s="37"/>
      <c r="D8766" s="37"/>
      <c r="E8766" s="37"/>
      <c r="F8766" s="37"/>
      <c r="G8766" s="37"/>
      <c r="H8766" s="37"/>
      <c r="I8766" s="35"/>
      <c r="J8766" s="37"/>
    </row>
    <row r="8767" spans="1:10" ht="15.95" customHeight="1" x14ac:dyDescent="0.2">
      <c r="A8767" s="39"/>
      <c r="B8767" s="36"/>
      <c r="C8767" s="37"/>
      <c r="D8767" s="37"/>
      <c r="E8767" s="37"/>
      <c r="F8767" s="37"/>
      <c r="G8767" s="37"/>
      <c r="H8767" s="37"/>
      <c r="I8767" s="35"/>
      <c r="J8767" s="37"/>
    </row>
    <row r="8768" spans="1:10" ht="15.95" customHeight="1" x14ac:dyDescent="0.2">
      <c r="A8768" s="39"/>
      <c r="B8768" s="36"/>
      <c r="C8768" s="37"/>
      <c r="D8768" s="37"/>
      <c r="E8768" s="37"/>
      <c r="F8768" s="37"/>
      <c r="G8768" s="37"/>
      <c r="H8768" s="37"/>
      <c r="I8768" s="35"/>
      <c r="J8768" s="37"/>
    </row>
    <row r="8769" spans="1:10" ht="15.95" customHeight="1" x14ac:dyDescent="0.2">
      <c r="A8769" s="39"/>
      <c r="B8769" s="36"/>
      <c r="C8769" s="37"/>
      <c r="D8769" s="37"/>
      <c r="E8769" s="37"/>
      <c r="F8769" s="37"/>
      <c r="G8769" s="37"/>
      <c r="H8769" s="37"/>
      <c r="I8769" s="35"/>
      <c r="J8769" s="37"/>
    </row>
    <row r="8770" spans="1:10" ht="15.95" customHeight="1" x14ac:dyDescent="0.2">
      <c r="A8770" s="39"/>
      <c r="B8770" s="36"/>
      <c r="C8770" s="37"/>
      <c r="D8770" s="37"/>
      <c r="E8770" s="37"/>
      <c r="F8770" s="37"/>
      <c r="G8770" s="37"/>
      <c r="H8770" s="37"/>
      <c r="I8770" s="35"/>
      <c r="J8770" s="37"/>
    </row>
    <row r="8771" spans="1:10" ht="15.95" customHeight="1" x14ac:dyDescent="0.2">
      <c r="A8771" s="39"/>
      <c r="B8771" s="36"/>
      <c r="C8771" s="37"/>
      <c r="D8771" s="37"/>
      <c r="E8771" s="37"/>
      <c r="F8771" s="37"/>
      <c r="G8771" s="37"/>
      <c r="H8771" s="37"/>
      <c r="I8771" s="35"/>
      <c r="J8771" s="37"/>
    </row>
    <row r="8772" spans="1:10" ht="15.95" customHeight="1" x14ac:dyDescent="0.2">
      <c r="A8772" s="39"/>
      <c r="B8772" s="36"/>
      <c r="C8772" s="37"/>
      <c r="D8772" s="37"/>
      <c r="E8772" s="37"/>
      <c r="F8772" s="37"/>
      <c r="G8772" s="37"/>
      <c r="H8772" s="37"/>
      <c r="I8772" s="35"/>
      <c r="J8772" s="37"/>
    </row>
    <row r="8773" spans="1:10" ht="15.95" customHeight="1" x14ac:dyDescent="0.2">
      <c r="A8773" s="39"/>
      <c r="B8773" s="36"/>
      <c r="C8773" s="37"/>
      <c r="D8773" s="37"/>
      <c r="E8773" s="37"/>
      <c r="F8773" s="37"/>
      <c r="G8773" s="37"/>
      <c r="H8773" s="37"/>
      <c r="I8773" s="35"/>
      <c r="J8773" s="37"/>
    </row>
    <row r="8774" spans="1:10" ht="15.95" customHeight="1" x14ac:dyDescent="0.2">
      <c r="A8774" s="39"/>
      <c r="B8774" s="36"/>
      <c r="C8774" s="37"/>
      <c r="D8774" s="37"/>
      <c r="E8774" s="37"/>
      <c r="F8774" s="37"/>
      <c r="G8774" s="37"/>
      <c r="H8774" s="37"/>
      <c r="I8774" s="35"/>
      <c r="J8774" s="37"/>
    </row>
    <row r="8775" spans="1:10" ht="15.95" customHeight="1" x14ac:dyDescent="0.2">
      <c r="A8775" s="39"/>
      <c r="B8775" s="36"/>
      <c r="C8775" s="37"/>
      <c r="D8775" s="37"/>
      <c r="E8775" s="37"/>
      <c r="F8775" s="37"/>
      <c r="G8775" s="37"/>
      <c r="H8775" s="37"/>
      <c r="I8775" s="35"/>
      <c r="J8775" s="37"/>
    </row>
    <row r="8776" spans="1:10" ht="15.95" customHeight="1" x14ac:dyDescent="0.2">
      <c r="A8776" s="39"/>
      <c r="B8776" s="36"/>
      <c r="C8776" s="37"/>
      <c r="D8776" s="37"/>
      <c r="E8776" s="37"/>
      <c r="F8776" s="37"/>
      <c r="G8776" s="37"/>
      <c r="H8776" s="37"/>
      <c r="I8776" s="35"/>
      <c r="J8776" s="37"/>
    </row>
    <row r="8777" spans="1:10" ht="15.95" customHeight="1" x14ac:dyDescent="0.2">
      <c r="A8777" s="39"/>
      <c r="B8777" s="36"/>
      <c r="C8777" s="37"/>
      <c r="D8777" s="37"/>
      <c r="E8777" s="37"/>
      <c r="F8777" s="37"/>
      <c r="G8777" s="37"/>
      <c r="H8777" s="37"/>
      <c r="I8777" s="35"/>
      <c r="J8777" s="37"/>
    </row>
  </sheetData>
  <autoFilter ref="A2:J251" xr:uid="{00000000-0009-0000-0000-000002000000}">
    <sortState ref="A3:J251">
      <sortCondition ref="A2:A251"/>
    </sortState>
  </autoFilter>
  <mergeCells count="12">
    <mergeCell ref="AL1:AO1"/>
    <mergeCell ref="AP1:AT1"/>
    <mergeCell ref="AU1:AX1"/>
    <mergeCell ref="AY1:BC1"/>
    <mergeCell ref="B1:E1"/>
    <mergeCell ref="T1:W1"/>
    <mergeCell ref="AG1:AK1"/>
    <mergeCell ref="X1:AB1"/>
    <mergeCell ref="AC1:AF1"/>
    <mergeCell ref="O1:S1"/>
    <mergeCell ref="K1:N1"/>
    <mergeCell ref="F1:J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1066E-941F-44B6-9B79-B99F756F20F6}">
  <sheetPr>
    <tabColor rgb="FF000000"/>
  </sheetPr>
  <dimension ref="A2:N45"/>
  <sheetViews>
    <sheetView tabSelected="1" topLeftCell="A22" workbookViewId="0">
      <selection activeCell="M2" sqref="M2:N41"/>
    </sheetView>
  </sheetViews>
  <sheetFormatPr defaultRowHeight="12.75" x14ac:dyDescent="0.2"/>
  <sheetData>
    <row r="2" spans="1:14" x14ac:dyDescent="0.2">
      <c r="A2" s="146" t="s">
        <v>86</v>
      </c>
      <c r="B2" s="146"/>
      <c r="C2" s="146"/>
      <c r="E2" s="146" t="s">
        <v>87</v>
      </c>
      <c r="F2" s="147"/>
      <c r="G2" s="147"/>
      <c r="I2" s="146" t="s">
        <v>88</v>
      </c>
      <c r="J2" s="147"/>
      <c r="K2" s="147"/>
      <c r="M2" s="146" t="s">
        <v>89</v>
      </c>
      <c r="N2" s="147"/>
    </row>
    <row r="3" spans="1:14" x14ac:dyDescent="0.2">
      <c r="A3" s="148" t="s">
        <v>33</v>
      </c>
      <c r="B3" s="148" t="s">
        <v>90</v>
      </c>
      <c r="C3" s="148" t="s">
        <v>91</v>
      </c>
      <c r="E3" s="148" t="s">
        <v>33</v>
      </c>
      <c r="F3" s="148" t="s">
        <v>90</v>
      </c>
      <c r="G3" s="148" t="s">
        <v>91</v>
      </c>
      <c r="I3" s="148" t="s">
        <v>33</v>
      </c>
      <c r="J3" s="148" t="s">
        <v>90</v>
      </c>
      <c r="K3" s="148" t="s">
        <v>91</v>
      </c>
      <c r="M3" s="148" t="s">
        <v>33</v>
      </c>
      <c r="N3" s="148" t="s">
        <v>92</v>
      </c>
    </row>
    <row r="4" spans="1:14" x14ac:dyDescent="0.2">
      <c r="A4">
        <f ca="1">IF([1]Data!O3&gt;=1,[1]Data!A3,"")</f>
        <v>488</v>
      </c>
      <c r="B4" t="str">
        <f ca="1">IF([1]Data!O3&gt;=1,[1]Data!O3,"")</f>
        <v/>
      </c>
      <c r="C4" t="str">
        <f ca="1">IF([1]Data!O3&gt;=1,[1]Data!AP3,"")</f>
        <v/>
      </c>
      <c r="E4">
        <f ca="1">IF([1]Data!P3&gt;=1,[1]Data!A3,"")</f>
        <v>488</v>
      </c>
      <c r="F4" t="str">
        <f ca="1">IF([1]Data!P3&gt;=1,[1]Data!P3,"")</f>
        <v/>
      </c>
      <c r="G4" t="str">
        <f ca="1">IF([1]Data!P3&gt;=1,[1]Data!AQ3,"")</f>
        <v/>
      </c>
      <c r="I4">
        <f ca="1">IF([1]Data!Q3&gt;=1,[1]Data!A3,"")</f>
        <v>488</v>
      </c>
      <c r="J4" t="str">
        <f ca="1">IF([1]Data!Q3&gt;=1,[1]Data!Q3,"")</f>
        <v/>
      </c>
      <c r="K4" t="str">
        <f ca="1">IF([1]Data!Q3&gt;=1,[1]Data!AR3,"")</f>
        <v/>
      </c>
      <c r="M4" s="62">
        <v>488</v>
      </c>
      <c r="N4" t="e">
        <f ca="1">IF(AND(INDIRECT("'"&amp;M4&amp;"'!O24")&lt;28,INDIRECT("'"&amp;M4&amp;"'!O21")&lt;4),"Yes","No")</f>
        <v>#REF!</v>
      </c>
    </row>
    <row r="5" spans="1:14" x14ac:dyDescent="0.2">
      <c r="A5">
        <f ca="1">IF([1]Data!O4&gt;=1,[1]Data!A4,"")</f>
        <v>568</v>
      </c>
      <c r="B5" t="str">
        <f ca="1">IF([1]Data!O4&gt;=1,[1]Data!O4,"")</f>
        <v/>
      </c>
      <c r="C5" t="str">
        <f ca="1">IF([1]Data!O4&gt;=1,[1]Data!AP4,"")</f>
        <v/>
      </c>
      <c r="E5">
        <f ca="1">IF([1]Data!P4&gt;=1,[1]Data!A4,"")</f>
        <v>568</v>
      </c>
      <c r="F5" t="str">
        <f ca="1">IF([1]Data!P4&gt;=1,[1]Data!P4,"")</f>
        <v/>
      </c>
      <c r="G5" t="str">
        <f ca="1">IF([1]Data!P4&gt;=1,[1]Data!AQ4,"")</f>
        <v/>
      </c>
      <c r="I5">
        <f ca="1">IF([1]Data!Q4&gt;=1,[1]Data!A4,"")</f>
        <v>568</v>
      </c>
      <c r="J5" t="str">
        <f ca="1">IF([1]Data!Q4&gt;=1,[1]Data!Q4,"")</f>
        <v/>
      </c>
      <c r="K5" t="str">
        <f ca="1">IF([1]Data!Q4&gt;=1,[1]Data!AR4,"")</f>
        <v/>
      </c>
      <c r="M5" s="55">
        <v>568</v>
      </c>
      <c r="N5" t="e">
        <f t="shared" ref="N5:N45" ca="1" si="0">IF(AND(INDIRECT("'"&amp;M5&amp;"'!O24")&lt;28,INDIRECT("'"&amp;M5&amp;"'!O21")&lt;4),"Yes","No")</f>
        <v>#REF!</v>
      </c>
    </row>
    <row r="6" spans="1:14" x14ac:dyDescent="0.2">
      <c r="A6">
        <f ca="1">IF([1]Data!O5&gt;=1,[1]Data!A5,"")</f>
        <v>948</v>
      </c>
      <c r="B6" t="str">
        <f ca="1">IF([1]Data!O5&gt;=1,[1]Data!O5,"")</f>
        <v/>
      </c>
      <c r="C6" t="str">
        <f ca="1">IF([1]Data!O5&gt;=1,[1]Data!AP5,"")</f>
        <v/>
      </c>
      <c r="E6">
        <f ca="1">IF([1]Data!P5&gt;=1,[1]Data!A5,"")</f>
        <v>948</v>
      </c>
      <c r="F6" t="str">
        <f ca="1">IF([1]Data!P5&gt;=1,[1]Data!P5,"")</f>
        <v/>
      </c>
      <c r="G6" t="str">
        <f ca="1">IF([1]Data!P5&gt;=1,[1]Data!AQ5,"")</f>
        <v/>
      </c>
      <c r="I6">
        <f ca="1">IF([1]Data!Q5&gt;=1,[1]Data!A5,"")</f>
        <v>948</v>
      </c>
      <c r="J6" t="str">
        <f ca="1">IF([1]Data!Q5&gt;=1,[1]Data!Q5,"")</f>
        <v/>
      </c>
      <c r="K6" t="str">
        <f ca="1">IF([1]Data!Q5&gt;=1,[1]Data!AR5,"")</f>
        <v/>
      </c>
      <c r="M6" s="55">
        <v>948</v>
      </c>
      <c r="N6" t="e">
        <f t="shared" ca="1" si="0"/>
        <v>#REF!</v>
      </c>
    </row>
    <row r="7" spans="1:14" x14ac:dyDescent="0.2">
      <c r="A7">
        <f ca="1">IF([1]Data!O6&gt;=1,[1]Data!A6,"")</f>
        <v>1778</v>
      </c>
      <c r="B7" t="str">
        <f ca="1">IF([1]Data!O6&gt;=1,[1]Data!O6,"")</f>
        <v/>
      </c>
      <c r="C7" t="str">
        <f ca="1">IF([1]Data!O6&gt;=1,[1]Data!AP6,"")</f>
        <v/>
      </c>
      <c r="E7">
        <f ca="1">IF([1]Data!P6&gt;=1,[1]Data!A6,"")</f>
        <v>1778</v>
      </c>
      <c r="F7" t="str">
        <f ca="1">IF([1]Data!P6&gt;=1,[1]Data!P6,"")</f>
        <v/>
      </c>
      <c r="G7" t="str">
        <f ca="1">IF([1]Data!P6&gt;=1,[1]Data!AQ6,"")</f>
        <v/>
      </c>
      <c r="I7">
        <f ca="1">IF([1]Data!Q6&gt;=1,[1]Data!A6,"")</f>
        <v>1778</v>
      </c>
      <c r="J7" t="str">
        <f ca="1">IF([1]Data!Q6&gt;=1,[1]Data!Q6,"")</f>
        <v/>
      </c>
      <c r="K7" t="str">
        <f ca="1">IF([1]Data!Q6&gt;=1,[1]Data!AR6,"")</f>
        <v/>
      </c>
      <c r="M7" s="55">
        <v>1778</v>
      </c>
      <c r="N7" t="e">
        <f t="shared" ca="1" si="0"/>
        <v>#REF!</v>
      </c>
    </row>
    <row r="8" spans="1:14" x14ac:dyDescent="0.2">
      <c r="A8">
        <f ca="1">IF([1]Data!O7&gt;=1,[1]Data!A7,"")</f>
        <v>1983</v>
      </c>
      <c r="B8" t="str">
        <f ca="1">IF([1]Data!O7&gt;=1,[1]Data!O7,"")</f>
        <v/>
      </c>
      <c r="C8" t="str">
        <f ca="1">IF([1]Data!O7&gt;=1,[1]Data!AP7,"")</f>
        <v/>
      </c>
      <c r="E8">
        <f ca="1">IF([1]Data!P7&gt;=1,[1]Data!A7,"")</f>
        <v>1983</v>
      </c>
      <c r="F8" t="str">
        <f ca="1">IF([1]Data!P7&gt;=1,[1]Data!P7,"")</f>
        <v/>
      </c>
      <c r="G8" t="str">
        <f ca="1">IF([1]Data!P7&gt;=1,[1]Data!AQ7,"")</f>
        <v/>
      </c>
      <c r="I8">
        <f ca="1">IF([1]Data!Q7&gt;=1,[1]Data!A7,"")</f>
        <v>1983</v>
      </c>
      <c r="J8" t="str">
        <f ca="1">IF([1]Data!Q7&gt;=1,[1]Data!Q7,"")</f>
        <v/>
      </c>
      <c r="K8" t="str">
        <f ca="1">IF([1]Data!Q7&gt;=1,[1]Data!AR7,"")</f>
        <v/>
      </c>
      <c r="M8" s="55">
        <v>1983</v>
      </c>
      <c r="N8" t="e">
        <f t="shared" ca="1" si="0"/>
        <v>#REF!</v>
      </c>
    </row>
    <row r="9" spans="1:14" x14ac:dyDescent="0.2">
      <c r="A9">
        <f ca="1">IF([1]Data!O8&gt;=1,[1]Data!A8,"")</f>
        <v>2046</v>
      </c>
      <c r="B9" t="str">
        <f ca="1">IF([1]Data!O8&gt;=1,[1]Data!O8,"")</f>
        <v/>
      </c>
      <c r="C9" t="str">
        <f ca="1">IF([1]Data!O8&gt;=1,[1]Data!AP8,"")</f>
        <v/>
      </c>
      <c r="E9">
        <f ca="1">IF([1]Data!P8&gt;=1,[1]Data!A8,"")</f>
        <v>2046</v>
      </c>
      <c r="F9" t="str">
        <f ca="1">IF([1]Data!P8&gt;=1,[1]Data!P8,"")</f>
        <v/>
      </c>
      <c r="G9" t="str">
        <f ca="1">IF([1]Data!P8&gt;=1,[1]Data!AQ8,"")</f>
        <v/>
      </c>
      <c r="I9">
        <f ca="1">IF([1]Data!Q8&gt;=1,[1]Data!A8,"")</f>
        <v>2046</v>
      </c>
      <c r="J9" t="str">
        <f ca="1">IF([1]Data!Q8&gt;=1,[1]Data!Q8,"")</f>
        <v/>
      </c>
      <c r="K9" t="str">
        <f ca="1">IF([1]Data!Q8&gt;=1,[1]Data!AR8,"")</f>
        <v/>
      </c>
      <c r="M9" s="55">
        <v>2046</v>
      </c>
      <c r="N9" t="e">
        <f t="shared" ca="1" si="0"/>
        <v>#REF!</v>
      </c>
    </row>
    <row r="10" spans="1:14" x14ac:dyDescent="0.2">
      <c r="A10">
        <f ca="1">IF([1]Data!O9&gt;=1,[1]Data!A9,"")</f>
        <v>2412</v>
      </c>
      <c r="B10" t="str">
        <f ca="1">IF([1]Data!O9&gt;=1,[1]Data!O9,"")</f>
        <v/>
      </c>
      <c r="C10" t="str">
        <f ca="1">IF([1]Data!O9&gt;=1,[1]Data!AP9,"")</f>
        <v/>
      </c>
      <c r="E10">
        <f ca="1">IF([1]Data!P9&gt;=1,[1]Data!A9,"")</f>
        <v>2412</v>
      </c>
      <c r="F10" t="str">
        <f ca="1">IF([1]Data!P9&gt;=1,[1]Data!P9,"")</f>
        <v/>
      </c>
      <c r="G10" t="str">
        <f ca="1">IF([1]Data!P9&gt;=1,[1]Data!AQ9,"")</f>
        <v/>
      </c>
      <c r="I10">
        <f ca="1">IF([1]Data!Q9&gt;=1,[1]Data!A9,"")</f>
        <v>2412</v>
      </c>
      <c r="J10" t="str">
        <f ca="1">IF([1]Data!Q9&gt;=1,[1]Data!Q9,"")</f>
        <v/>
      </c>
      <c r="K10" t="str">
        <f ca="1">IF([1]Data!Q9&gt;=1,[1]Data!AR9,"")</f>
        <v/>
      </c>
      <c r="M10" s="55">
        <v>2412</v>
      </c>
      <c r="N10" t="e">
        <f t="shared" ca="1" si="0"/>
        <v>#REF!</v>
      </c>
    </row>
    <row r="11" spans="1:14" x14ac:dyDescent="0.2">
      <c r="A11">
        <f ca="1">IF([1]Data!O10&gt;=1,[1]Data!A10,"")</f>
        <v>2555</v>
      </c>
      <c r="B11" t="str">
        <f ca="1">IF([1]Data!O10&gt;=1,[1]Data!O10,"")</f>
        <v/>
      </c>
      <c r="C11" t="str">
        <f ca="1">IF([1]Data!O10&gt;=1,[1]Data!AP10,"")</f>
        <v/>
      </c>
      <c r="E11">
        <f ca="1">IF([1]Data!P10&gt;=1,[1]Data!A10,"")</f>
        <v>2555</v>
      </c>
      <c r="F11" t="str">
        <f ca="1">IF([1]Data!P10&gt;=1,[1]Data!P10,"")</f>
        <v/>
      </c>
      <c r="G11" t="str">
        <f ca="1">IF([1]Data!P10&gt;=1,[1]Data!AQ10,"")</f>
        <v/>
      </c>
      <c r="I11">
        <f ca="1">IF([1]Data!Q10&gt;=1,[1]Data!A10,"")</f>
        <v>2555</v>
      </c>
      <c r="J11" t="str">
        <f ca="1">IF([1]Data!Q10&gt;=1,[1]Data!Q10,"")</f>
        <v/>
      </c>
      <c r="K11" t="str">
        <f ca="1">IF([1]Data!Q10&gt;=1,[1]Data!AR10,"")</f>
        <v/>
      </c>
      <c r="M11" s="55">
        <v>2555</v>
      </c>
      <c r="N11" t="e">
        <f t="shared" ca="1" si="0"/>
        <v>#REF!</v>
      </c>
    </row>
    <row r="12" spans="1:14" x14ac:dyDescent="0.2">
      <c r="A12">
        <f ca="1">IF([1]Data!O11&gt;=1,[1]Data!A11,"")</f>
        <v>2557</v>
      </c>
      <c r="B12" t="str">
        <f ca="1">IF([1]Data!O11&gt;=1,[1]Data!O11,"")</f>
        <v/>
      </c>
      <c r="C12" t="str">
        <f ca="1">IF([1]Data!O11&gt;=1,[1]Data!AP11,"")</f>
        <v/>
      </c>
      <c r="E12">
        <f ca="1">IF([1]Data!P11&gt;=1,[1]Data!A11,"")</f>
        <v>2557</v>
      </c>
      <c r="F12" t="str">
        <f ca="1">IF([1]Data!P11&gt;=1,[1]Data!P11,"")</f>
        <v/>
      </c>
      <c r="G12" t="str">
        <f ca="1">IF([1]Data!P11&gt;=1,[1]Data!AQ11,"")</f>
        <v/>
      </c>
      <c r="I12">
        <f ca="1">IF([1]Data!Q11&gt;=1,[1]Data!A11,"")</f>
        <v>2557</v>
      </c>
      <c r="J12" t="str">
        <f ca="1">IF([1]Data!Q11&gt;=1,[1]Data!Q11,"")</f>
        <v/>
      </c>
      <c r="K12" t="str">
        <f ca="1">IF([1]Data!Q11&gt;=1,[1]Data!AR11,"")</f>
        <v/>
      </c>
      <c r="M12" s="55">
        <v>2557</v>
      </c>
      <c r="N12" t="e">
        <f t="shared" ca="1" si="0"/>
        <v>#REF!</v>
      </c>
    </row>
    <row r="13" spans="1:14" x14ac:dyDescent="0.2">
      <c r="A13">
        <f ca="1">IF([1]Data!O12&gt;=1,[1]Data!A12,"")</f>
        <v>2605</v>
      </c>
      <c r="B13" t="str">
        <f ca="1">IF([1]Data!O12&gt;=1,[1]Data!O12,"")</f>
        <v/>
      </c>
      <c r="C13" t="str">
        <f ca="1">IF([1]Data!O12&gt;=1,[1]Data!AP12,"")</f>
        <v/>
      </c>
      <c r="E13">
        <f ca="1">IF([1]Data!P12&gt;=1,[1]Data!A12,"")</f>
        <v>2605</v>
      </c>
      <c r="F13" t="str">
        <f ca="1">IF([1]Data!P12&gt;=1,[1]Data!P12,"")</f>
        <v/>
      </c>
      <c r="G13" t="str">
        <f ca="1">IF([1]Data!P12&gt;=1,[1]Data!AQ12,"")</f>
        <v/>
      </c>
      <c r="I13">
        <f ca="1">IF([1]Data!Q12&gt;=1,[1]Data!A12,"")</f>
        <v>2605</v>
      </c>
      <c r="J13" t="str">
        <f ca="1">IF([1]Data!Q12&gt;=1,[1]Data!Q12,"")</f>
        <v/>
      </c>
      <c r="K13" t="str">
        <f ca="1">IF([1]Data!Q12&gt;=1,[1]Data!AR12,"")</f>
        <v/>
      </c>
      <c r="M13" s="55">
        <v>2605</v>
      </c>
      <c r="N13" t="e">
        <f t="shared" ca="1" si="0"/>
        <v>#REF!</v>
      </c>
    </row>
    <row r="14" spans="1:14" x14ac:dyDescent="0.2">
      <c r="A14">
        <f ca="1">IF([1]Data!O13&gt;=1,[1]Data!A13,"")</f>
        <v>2906</v>
      </c>
      <c r="B14" t="str">
        <f ca="1">IF([1]Data!O13&gt;=1,[1]Data!O13,"")</f>
        <v/>
      </c>
      <c r="C14" t="str">
        <f ca="1">IF([1]Data!O13&gt;=1,[1]Data!AP13,"")</f>
        <v/>
      </c>
      <c r="E14">
        <f ca="1">IF([1]Data!P13&gt;=1,[1]Data!A13,"")</f>
        <v>2906</v>
      </c>
      <c r="F14" t="str">
        <f ca="1">IF([1]Data!P13&gt;=1,[1]Data!P13,"")</f>
        <v/>
      </c>
      <c r="G14" t="str">
        <f ca="1">IF([1]Data!P13&gt;=1,[1]Data!AQ13,"")</f>
        <v/>
      </c>
      <c r="I14">
        <f ca="1">IF([1]Data!Q13&gt;=1,[1]Data!A13,"")</f>
        <v>2906</v>
      </c>
      <c r="J14" t="str">
        <f ca="1">IF([1]Data!Q13&gt;=1,[1]Data!Q13,"")</f>
        <v/>
      </c>
      <c r="K14" t="str">
        <f ca="1">IF([1]Data!Q13&gt;=1,[1]Data!AR13,"")</f>
        <v/>
      </c>
      <c r="M14" s="55">
        <v>2906</v>
      </c>
      <c r="N14" t="e">
        <f t="shared" ca="1" si="0"/>
        <v>#REF!</v>
      </c>
    </row>
    <row r="15" spans="1:14" x14ac:dyDescent="0.2">
      <c r="A15">
        <f ca="1">IF([1]Data!O14&gt;=1,[1]Data!A14,"")</f>
        <v>2907</v>
      </c>
      <c r="B15" t="str">
        <f ca="1">IF([1]Data!O14&gt;=1,[1]Data!O14,"")</f>
        <v/>
      </c>
      <c r="C15" t="str">
        <f ca="1">IF([1]Data!O14&gt;=1,[1]Data!AP14,"")</f>
        <v/>
      </c>
      <c r="E15">
        <f ca="1">IF([1]Data!P14&gt;=1,[1]Data!A14,"")</f>
        <v>2907</v>
      </c>
      <c r="F15" t="str">
        <f ca="1">IF([1]Data!P14&gt;=1,[1]Data!P14,"")</f>
        <v/>
      </c>
      <c r="G15" t="str">
        <f ca="1">IF([1]Data!P14&gt;=1,[1]Data!AQ14,"")</f>
        <v/>
      </c>
      <c r="I15">
        <f ca="1">IF([1]Data!Q14&gt;=1,[1]Data!A14,"")</f>
        <v>2907</v>
      </c>
      <c r="J15" t="str">
        <f ca="1">IF([1]Data!Q14&gt;=1,[1]Data!Q14,"")</f>
        <v/>
      </c>
      <c r="K15" t="str">
        <f ca="1">IF([1]Data!Q14&gt;=1,[1]Data!AR14,"")</f>
        <v/>
      </c>
      <c r="M15" s="55">
        <v>2907</v>
      </c>
      <c r="N15" t="e">
        <f t="shared" ca="1" si="0"/>
        <v>#REF!</v>
      </c>
    </row>
    <row r="16" spans="1:14" x14ac:dyDescent="0.2">
      <c r="A16">
        <f ca="1">IF([1]Data!O15&gt;=1,[1]Data!A15,"")</f>
        <v>2927</v>
      </c>
      <c r="B16" t="str">
        <f ca="1">IF([1]Data!O15&gt;=1,[1]Data!O15,"")</f>
        <v/>
      </c>
      <c r="C16" t="str">
        <f ca="1">IF([1]Data!O15&gt;=1,[1]Data!AP15,"")</f>
        <v/>
      </c>
      <c r="E16">
        <f ca="1">IF([1]Data!P15&gt;=1,[1]Data!A15,"")</f>
        <v>2927</v>
      </c>
      <c r="F16" t="str">
        <f ca="1">IF([1]Data!P15&gt;=1,[1]Data!P15,"")</f>
        <v/>
      </c>
      <c r="G16" t="str">
        <f ca="1">IF([1]Data!P15&gt;=1,[1]Data!AQ15,"")</f>
        <v/>
      </c>
      <c r="I16">
        <f ca="1">IF([1]Data!Q15&gt;=1,[1]Data!A15,"")</f>
        <v>2927</v>
      </c>
      <c r="J16" t="str">
        <f ca="1">IF([1]Data!Q15&gt;=1,[1]Data!Q15,"")</f>
        <v/>
      </c>
      <c r="K16" t="str">
        <f ca="1">IF([1]Data!Q15&gt;=1,[1]Data!AR15,"")</f>
        <v/>
      </c>
      <c r="M16" s="55">
        <v>2927</v>
      </c>
      <c r="N16" t="e">
        <f t="shared" ca="1" si="0"/>
        <v>#REF!</v>
      </c>
    </row>
    <row r="17" spans="1:14" x14ac:dyDescent="0.2">
      <c r="A17">
        <f ca="1">IF([1]Data!O16&gt;=1,[1]Data!A16,"")</f>
        <v>2928</v>
      </c>
      <c r="B17" t="str">
        <f ca="1">IF([1]Data!O16&gt;=1,[1]Data!O16,"")</f>
        <v/>
      </c>
      <c r="C17" t="str">
        <f ca="1">IF([1]Data!O16&gt;=1,[1]Data!AP16,"")</f>
        <v/>
      </c>
      <c r="E17">
        <f ca="1">IF([1]Data!P16&gt;=1,[1]Data!A16,"")</f>
        <v>2928</v>
      </c>
      <c r="F17" t="str">
        <f ca="1">IF([1]Data!P16&gt;=1,[1]Data!P16,"")</f>
        <v/>
      </c>
      <c r="G17" t="str">
        <f ca="1">IF([1]Data!P16&gt;=1,[1]Data!AQ16,"")</f>
        <v/>
      </c>
      <c r="I17">
        <f ca="1">IF([1]Data!Q16&gt;=1,[1]Data!A16,"")</f>
        <v>2928</v>
      </c>
      <c r="J17" t="str">
        <f ca="1">IF([1]Data!Q16&gt;=1,[1]Data!Q16,"")</f>
        <v/>
      </c>
      <c r="K17" t="str">
        <f ca="1">IF([1]Data!Q16&gt;=1,[1]Data!AR16,"")</f>
        <v/>
      </c>
      <c r="M17" s="55">
        <v>2928</v>
      </c>
      <c r="N17" t="e">
        <f t="shared" ca="1" si="0"/>
        <v>#REF!</v>
      </c>
    </row>
    <row r="18" spans="1:14" x14ac:dyDescent="0.2">
      <c r="A18">
        <f ca="1">IF([1]Data!O17&gt;=1,[1]Data!A17,"")</f>
        <v>2929</v>
      </c>
      <c r="B18" t="str">
        <f ca="1">IF([1]Data!O17&gt;=1,[1]Data!O17,"")</f>
        <v/>
      </c>
      <c r="C18" t="str">
        <f ca="1">IF([1]Data!O17&gt;=1,[1]Data!AP17,"")</f>
        <v/>
      </c>
      <c r="E18">
        <f ca="1">IF([1]Data!P17&gt;=1,[1]Data!A17,"")</f>
        <v>2929</v>
      </c>
      <c r="F18" t="str">
        <f ca="1">IF([1]Data!P17&gt;=1,[1]Data!P17,"")</f>
        <v/>
      </c>
      <c r="G18" t="str">
        <f ca="1">IF([1]Data!P17&gt;=1,[1]Data!AQ17,"")</f>
        <v/>
      </c>
      <c r="I18">
        <f ca="1">IF([1]Data!Q17&gt;=1,[1]Data!A17,"")</f>
        <v>2929</v>
      </c>
      <c r="J18" t="str">
        <f ca="1">IF([1]Data!Q17&gt;=1,[1]Data!Q17,"")</f>
        <v/>
      </c>
      <c r="K18" t="str">
        <f ca="1">IF([1]Data!Q17&gt;=1,[1]Data!AR17,"")</f>
        <v/>
      </c>
      <c r="M18" s="55">
        <v>2929</v>
      </c>
      <c r="N18" t="e">
        <f t="shared" ca="1" si="0"/>
        <v>#REF!</v>
      </c>
    </row>
    <row r="19" spans="1:14" x14ac:dyDescent="0.2">
      <c r="A19">
        <f ca="1">IF([1]Data!O18&gt;=1,[1]Data!A18,"")</f>
        <v>2942</v>
      </c>
      <c r="B19" t="str">
        <f ca="1">IF([1]Data!O18&gt;=1,[1]Data!O18,"")</f>
        <v/>
      </c>
      <c r="C19" t="str">
        <f ca="1">IF([1]Data!O18&gt;=1,[1]Data!AP18,"")</f>
        <v/>
      </c>
      <c r="E19">
        <f ca="1">IF([1]Data!P18&gt;=1,[1]Data!A18,"")</f>
        <v>2942</v>
      </c>
      <c r="F19" t="str">
        <f ca="1">IF([1]Data!P18&gt;=1,[1]Data!P18,"")</f>
        <v/>
      </c>
      <c r="G19" t="str">
        <f ca="1">IF([1]Data!P18&gt;=1,[1]Data!AQ18,"")</f>
        <v/>
      </c>
      <c r="I19">
        <f ca="1">IF([1]Data!Q18&gt;=1,[1]Data!A18,"")</f>
        <v>2942</v>
      </c>
      <c r="J19" t="str">
        <f ca="1">IF([1]Data!Q18&gt;=1,[1]Data!Q18,"")</f>
        <v/>
      </c>
      <c r="K19" t="str">
        <f ca="1">IF([1]Data!Q18&gt;=1,[1]Data!AR18,"")</f>
        <v/>
      </c>
      <c r="M19" s="55">
        <v>2942</v>
      </c>
      <c r="N19" t="e">
        <f t="shared" ca="1" si="0"/>
        <v>#REF!</v>
      </c>
    </row>
    <row r="20" spans="1:14" x14ac:dyDescent="0.2">
      <c r="A20">
        <f ca="1">IF([1]Data!O19&gt;=1,[1]Data!A19,"")</f>
        <v>3049</v>
      </c>
      <c r="B20" t="str">
        <f ca="1">IF([1]Data!O19&gt;=1,[1]Data!O19,"")</f>
        <v/>
      </c>
      <c r="C20" t="str">
        <f ca="1">IF([1]Data!O19&gt;=1,[1]Data!AP19,"")</f>
        <v/>
      </c>
      <c r="E20">
        <f ca="1">IF([1]Data!P19&gt;=1,[1]Data!A19,"")</f>
        <v>3049</v>
      </c>
      <c r="F20" t="str">
        <f ca="1">IF([1]Data!P19&gt;=1,[1]Data!P19,"")</f>
        <v/>
      </c>
      <c r="G20" t="str">
        <f ca="1">IF([1]Data!P19&gt;=1,[1]Data!AQ19,"")</f>
        <v/>
      </c>
      <c r="I20">
        <f ca="1">IF([1]Data!Q19&gt;=1,[1]Data!A19,"")</f>
        <v>3049</v>
      </c>
      <c r="J20" t="str">
        <f ca="1">IF([1]Data!Q19&gt;=1,[1]Data!Q19,"")</f>
        <v/>
      </c>
      <c r="K20" t="str">
        <f ca="1">IF([1]Data!Q19&gt;=1,[1]Data!AR19,"")</f>
        <v/>
      </c>
      <c r="M20" s="55">
        <v>3049</v>
      </c>
      <c r="N20" t="e">
        <f t="shared" ca="1" si="0"/>
        <v>#REF!</v>
      </c>
    </row>
    <row r="21" spans="1:14" x14ac:dyDescent="0.2">
      <c r="A21">
        <f ca="1">IF([1]Data!O20&gt;=1,[1]Data!A20,"")</f>
        <v>3219</v>
      </c>
      <c r="B21" t="str">
        <f ca="1">IF([1]Data!O20&gt;=1,[1]Data!O20,"")</f>
        <v/>
      </c>
      <c r="C21" t="str">
        <f ca="1">IF([1]Data!O20&gt;=1,[1]Data!AP20,"")</f>
        <v/>
      </c>
      <c r="E21">
        <f ca="1">IF([1]Data!P20&gt;=1,[1]Data!A20,"")</f>
        <v>3219</v>
      </c>
      <c r="F21" t="str">
        <f ca="1">IF([1]Data!P20&gt;=1,[1]Data!P20,"")</f>
        <v/>
      </c>
      <c r="G21" t="str">
        <f ca="1">IF([1]Data!P20&gt;=1,[1]Data!AQ20,"")</f>
        <v/>
      </c>
      <c r="I21">
        <f ca="1">IF([1]Data!Q20&gt;=1,[1]Data!A20,"")</f>
        <v>3219</v>
      </c>
      <c r="J21" t="str">
        <f ca="1">IF([1]Data!Q20&gt;=1,[1]Data!Q20,"")</f>
        <v/>
      </c>
      <c r="K21" t="str">
        <f ca="1">IF([1]Data!Q20&gt;=1,[1]Data!AR20,"")</f>
        <v/>
      </c>
      <c r="M21" s="55">
        <v>3219</v>
      </c>
      <c r="N21" t="e">
        <f t="shared" ca="1" si="0"/>
        <v>#REF!</v>
      </c>
    </row>
    <row r="22" spans="1:14" x14ac:dyDescent="0.2">
      <c r="A22">
        <f ca="1">IF([1]Data!O21&gt;=1,[1]Data!A21,"")</f>
        <v>3237</v>
      </c>
      <c r="B22" t="str">
        <f ca="1">IF([1]Data!O21&gt;=1,[1]Data!O21,"")</f>
        <v/>
      </c>
      <c r="C22" t="str">
        <f ca="1">IF([1]Data!O21&gt;=1,[1]Data!AP21,"")</f>
        <v/>
      </c>
      <c r="E22">
        <f ca="1">IF([1]Data!P21&gt;=1,[1]Data!A21,"")</f>
        <v>3237</v>
      </c>
      <c r="F22" t="str">
        <f ca="1">IF([1]Data!P21&gt;=1,[1]Data!P21,"")</f>
        <v/>
      </c>
      <c r="G22" t="str">
        <f ca="1">IF([1]Data!P21&gt;=1,[1]Data!AQ21,"")</f>
        <v/>
      </c>
      <c r="I22">
        <f ca="1">IF([1]Data!Q21&gt;=1,[1]Data!A21,"")</f>
        <v>3237</v>
      </c>
      <c r="J22" t="str">
        <f ca="1">IF([1]Data!Q21&gt;=1,[1]Data!Q21,"")</f>
        <v/>
      </c>
      <c r="K22" t="str">
        <f ca="1">IF([1]Data!Q21&gt;=1,[1]Data!AR21,"")</f>
        <v/>
      </c>
      <c r="M22" s="55">
        <v>3237</v>
      </c>
      <c r="N22" t="e">
        <f t="shared" ca="1" si="0"/>
        <v>#REF!</v>
      </c>
    </row>
    <row r="23" spans="1:14" x14ac:dyDescent="0.2">
      <c r="A23">
        <f ca="1">IF([1]Data!O22&gt;=1,[1]Data!A22,"")</f>
        <v>3238</v>
      </c>
      <c r="B23" t="str">
        <f ca="1">IF([1]Data!O22&gt;=1,[1]Data!O22,"")</f>
        <v/>
      </c>
      <c r="C23" t="str">
        <f ca="1">IF([1]Data!O22&gt;=1,[1]Data!AP22,"")</f>
        <v/>
      </c>
      <c r="E23">
        <f ca="1">IF([1]Data!P22&gt;=1,[1]Data!A22,"")</f>
        <v>3238</v>
      </c>
      <c r="F23" t="str">
        <f ca="1">IF([1]Data!P22&gt;=1,[1]Data!P22,"")</f>
        <v/>
      </c>
      <c r="G23" t="str">
        <f ca="1">IF([1]Data!P22&gt;=1,[1]Data!AQ22,"")</f>
        <v/>
      </c>
      <c r="I23">
        <f ca="1">IF([1]Data!Q22&gt;=1,[1]Data!A22,"")</f>
        <v>3238</v>
      </c>
      <c r="J23" t="str">
        <f ca="1">IF([1]Data!Q22&gt;=1,[1]Data!Q22,"")</f>
        <v/>
      </c>
      <c r="K23" t="str">
        <f ca="1">IF([1]Data!Q22&gt;=1,[1]Data!AR22,"")</f>
        <v/>
      </c>
      <c r="M23" s="55">
        <v>3238</v>
      </c>
      <c r="N23" t="e">
        <f t="shared" ca="1" si="0"/>
        <v>#REF!</v>
      </c>
    </row>
    <row r="24" spans="1:14" x14ac:dyDescent="0.2">
      <c r="A24">
        <f ca="1">IF([1]Data!O23&gt;=1,[1]Data!A23,"")</f>
        <v>3393</v>
      </c>
      <c r="B24" t="str">
        <f ca="1">IF([1]Data!O23&gt;=1,[1]Data!O23,"")</f>
        <v/>
      </c>
      <c r="C24" t="str">
        <f ca="1">IF([1]Data!O23&gt;=1,[1]Data!AP23,"")</f>
        <v/>
      </c>
      <c r="E24">
        <f ca="1">IF([1]Data!P23&gt;=1,[1]Data!A23,"")</f>
        <v>3393</v>
      </c>
      <c r="F24" t="str">
        <f ca="1">IF([1]Data!P23&gt;=1,[1]Data!P23,"")</f>
        <v/>
      </c>
      <c r="G24" t="str">
        <f ca="1">IF([1]Data!P23&gt;=1,[1]Data!AQ23,"")</f>
        <v/>
      </c>
      <c r="I24">
        <f ca="1">IF([1]Data!Q23&gt;=1,[1]Data!A23,"")</f>
        <v>3393</v>
      </c>
      <c r="J24" t="str">
        <f ca="1">IF([1]Data!Q23&gt;=1,[1]Data!Q23,"")</f>
        <v/>
      </c>
      <c r="K24" t="str">
        <f ca="1">IF([1]Data!Q23&gt;=1,[1]Data!AR23,"")</f>
        <v/>
      </c>
      <c r="M24" s="55">
        <v>3393</v>
      </c>
      <c r="N24" t="e">
        <f t="shared" ca="1" si="0"/>
        <v>#REF!</v>
      </c>
    </row>
    <row r="25" spans="1:14" x14ac:dyDescent="0.2">
      <c r="A25">
        <f ca="1">IF([1]Data!O24&gt;=1,[1]Data!A24,"")</f>
        <v>3574</v>
      </c>
      <c r="B25" t="str">
        <f ca="1">IF([1]Data!O24&gt;=1,[1]Data!O24,"")</f>
        <v/>
      </c>
      <c r="C25" t="str">
        <f ca="1">IF([1]Data!O24&gt;=1,[1]Data!AP24,"")</f>
        <v/>
      </c>
      <c r="E25">
        <f ca="1">IF([1]Data!P24&gt;=1,[1]Data!A24,"")</f>
        <v>3574</v>
      </c>
      <c r="F25" t="str">
        <f ca="1">IF([1]Data!P24&gt;=1,[1]Data!P24,"")</f>
        <v/>
      </c>
      <c r="G25" t="str">
        <f ca="1">IF([1]Data!P24&gt;=1,[1]Data!AQ24,"")</f>
        <v/>
      </c>
      <c r="I25">
        <f ca="1">IF([1]Data!Q24&gt;=1,[1]Data!A24,"")</f>
        <v>3574</v>
      </c>
      <c r="J25" t="str">
        <f ca="1">IF([1]Data!Q24&gt;=1,[1]Data!Q24,"")</f>
        <v/>
      </c>
      <c r="K25" t="str">
        <f ca="1">IF([1]Data!Q24&gt;=1,[1]Data!AR24,"")</f>
        <v/>
      </c>
      <c r="M25" s="55">
        <v>3574</v>
      </c>
      <c r="N25" t="e">
        <f t="shared" ca="1" si="0"/>
        <v>#REF!</v>
      </c>
    </row>
    <row r="26" spans="1:14" x14ac:dyDescent="0.2">
      <c r="A26">
        <f ca="1">IF([1]Data!O25&gt;=1,[1]Data!A25,"")</f>
        <v>3684</v>
      </c>
      <c r="B26" t="str">
        <f ca="1">IF([1]Data!O25&gt;=1,[1]Data!O25,"")</f>
        <v/>
      </c>
      <c r="C26" t="str">
        <f ca="1">IF([1]Data!O25&gt;=1,[1]Data!AP25,"")</f>
        <v/>
      </c>
      <c r="E26">
        <f ca="1">IF([1]Data!P25&gt;=1,[1]Data!A25,"")</f>
        <v>3684</v>
      </c>
      <c r="F26" t="str">
        <f ca="1">IF([1]Data!P25&gt;=1,[1]Data!P25,"")</f>
        <v/>
      </c>
      <c r="G26" t="str">
        <f ca="1">IF([1]Data!P25&gt;=1,[1]Data!AQ25,"")</f>
        <v/>
      </c>
      <c r="I26">
        <f ca="1">IF([1]Data!Q25&gt;=1,[1]Data!A25,"")</f>
        <v>3684</v>
      </c>
      <c r="J26" t="str">
        <f ca="1">IF([1]Data!Q25&gt;=1,[1]Data!Q25,"")</f>
        <v/>
      </c>
      <c r="K26" t="str">
        <f ca="1">IF([1]Data!Q25&gt;=1,[1]Data!AR25,"")</f>
        <v/>
      </c>
      <c r="M26" s="55">
        <v>3684</v>
      </c>
      <c r="N26" t="e">
        <f t="shared" ca="1" si="0"/>
        <v>#REF!</v>
      </c>
    </row>
    <row r="27" spans="1:14" x14ac:dyDescent="0.2">
      <c r="A27">
        <f ca="1">IF([1]Data!O26&gt;=1,[1]Data!A26,"")</f>
        <v>3876</v>
      </c>
      <c r="B27" t="str">
        <f ca="1">IF([1]Data!O26&gt;=1,[1]Data!O26,"")</f>
        <v/>
      </c>
      <c r="C27" t="str">
        <f ca="1">IF([1]Data!O26&gt;=1,[1]Data!AP26,"")</f>
        <v/>
      </c>
      <c r="E27">
        <f ca="1">IF([1]Data!P26&gt;=1,[1]Data!A26,"")</f>
        <v>3876</v>
      </c>
      <c r="F27" t="str">
        <f ca="1">IF([1]Data!P26&gt;=1,[1]Data!P26,"")</f>
        <v/>
      </c>
      <c r="G27" t="str">
        <f ca="1">IF([1]Data!P26&gt;=1,[1]Data!AQ26,"")</f>
        <v/>
      </c>
      <c r="I27">
        <f ca="1">IF([1]Data!Q26&gt;=1,[1]Data!A26,"")</f>
        <v>3876</v>
      </c>
      <c r="J27" t="str">
        <f ca="1">IF([1]Data!Q26&gt;=1,[1]Data!Q26,"")</f>
        <v/>
      </c>
      <c r="K27" t="str">
        <f ca="1">IF([1]Data!Q26&gt;=1,[1]Data!AR26,"")</f>
        <v/>
      </c>
      <c r="M27" s="55">
        <v>3876</v>
      </c>
      <c r="N27" t="e">
        <f t="shared" ca="1" si="0"/>
        <v>#REF!</v>
      </c>
    </row>
    <row r="28" spans="1:14" x14ac:dyDescent="0.2">
      <c r="A28">
        <f ca="1">IF([1]Data!O27&gt;=1,[1]Data!A27,"")</f>
        <v>4060</v>
      </c>
      <c r="B28" t="str">
        <f ca="1">IF([1]Data!O27&gt;=1,[1]Data!O27,"")</f>
        <v/>
      </c>
      <c r="C28" t="str">
        <f ca="1">IF([1]Data!O27&gt;=1,[1]Data!AP27,"")</f>
        <v/>
      </c>
      <c r="E28">
        <f ca="1">IF([1]Data!P27&gt;=1,[1]Data!A27,"")</f>
        <v>4060</v>
      </c>
      <c r="F28" t="str">
        <f ca="1">IF([1]Data!P27&gt;=1,[1]Data!P27,"")</f>
        <v/>
      </c>
      <c r="G28" t="str">
        <f ca="1">IF([1]Data!P27&gt;=1,[1]Data!AQ27,"")</f>
        <v/>
      </c>
      <c r="I28">
        <f ca="1">IF([1]Data!Q27&gt;=1,[1]Data!A27,"")</f>
        <v>4060</v>
      </c>
      <c r="J28" t="str">
        <f ca="1">IF([1]Data!Q27&gt;=1,[1]Data!Q27,"")</f>
        <v/>
      </c>
      <c r="K28" t="str">
        <f ca="1">IF([1]Data!Q27&gt;=1,[1]Data!AR27,"")</f>
        <v/>
      </c>
      <c r="M28" s="55">
        <v>4060</v>
      </c>
      <c r="N28" t="e">
        <f t="shared" ca="1" si="0"/>
        <v>#REF!</v>
      </c>
    </row>
    <row r="29" spans="1:14" x14ac:dyDescent="0.2">
      <c r="A29">
        <f ca="1">IF([1]Data!O28&gt;=1,[1]Data!A28,"")</f>
        <v>4131</v>
      </c>
      <c r="B29" t="str">
        <f ca="1">IF([1]Data!O28&gt;=1,[1]Data!O28,"")</f>
        <v/>
      </c>
      <c r="C29" t="str">
        <f ca="1">IF([1]Data!O28&gt;=1,[1]Data!AP28,"")</f>
        <v/>
      </c>
      <c r="E29">
        <f ca="1">IF([1]Data!P28&gt;=1,[1]Data!A28,"")</f>
        <v>4131</v>
      </c>
      <c r="F29" t="str">
        <f ca="1">IF([1]Data!P28&gt;=1,[1]Data!P28,"")</f>
        <v/>
      </c>
      <c r="G29" t="str">
        <f ca="1">IF([1]Data!P28&gt;=1,[1]Data!AQ28,"")</f>
        <v/>
      </c>
      <c r="I29">
        <f ca="1">IF([1]Data!Q28&gt;=1,[1]Data!A28,"")</f>
        <v>4131</v>
      </c>
      <c r="J29" t="str">
        <f ca="1">IF([1]Data!Q28&gt;=1,[1]Data!Q28,"")</f>
        <v/>
      </c>
      <c r="K29" t="str">
        <f ca="1">IF([1]Data!Q28&gt;=1,[1]Data!AR28,"")</f>
        <v/>
      </c>
      <c r="M29" s="55">
        <v>4131</v>
      </c>
      <c r="N29" t="e">
        <f t="shared" ca="1" si="0"/>
        <v>#REF!</v>
      </c>
    </row>
    <row r="30" spans="1:14" x14ac:dyDescent="0.2">
      <c r="A30">
        <f ca="1">IF([1]Data!O29&gt;=1,[1]Data!A29,"")</f>
        <v>4461</v>
      </c>
      <c r="B30" t="str">
        <f ca="1">IF([1]Data!O29&gt;=1,[1]Data!O29,"")</f>
        <v/>
      </c>
      <c r="C30" t="str">
        <f ca="1">IF([1]Data!O29&gt;=1,[1]Data!AP29,"")</f>
        <v/>
      </c>
      <c r="E30">
        <f ca="1">IF([1]Data!P29&gt;=1,[1]Data!A29,"")</f>
        <v>4461</v>
      </c>
      <c r="F30" t="str">
        <f ca="1">IF([1]Data!P29&gt;=1,[1]Data!P29,"")</f>
        <v/>
      </c>
      <c r="G30" t="str">
        <f ca="1">IF([1]Data!P29&gt;=1,[1]Data!AQ29,"")</f>
        <v/>
      </c>
      <c r="I30">
        <f ca="1">IF([1]Data!Q29&gt;=1,[1]Data!A29,"")</f>
        <v>4461</v>
      </c>
      <c r="J30" t="str">
        <f ca="1">IF([1]Data!Q29&gt;=1,[1]Data!Q29,"")</f>
        <v/>
      </c>
      <c r="K30" t="str">
        <f ca="1">IF([1]Data!Q29&gt;=1,[1]Data!AR29,"")</f>
        <v/>
      </c>
      <c r="M30" s="55">
        <v>4461</v>
      </c>
      <c r="N30" t="e">
        <f t="shared" ca="1" si="0"/>
        <v>#REF!</v>
      </c>
    </row>
    <row r="31" spans="1:14" x14ac:dyDescent="0.2">
      <c r="A31">
        <f ca="1">IF([1]Data!O30&gt;=1,[1]Data!A30,"")</f>
        <v>4469</v>
      </c>
      <c r="B31" t="str">
        <f ca="1">IF([1]Data!O30&gt;=1,[1]Data!O30,"")</f>
        <v/>
      </c>
      <c r="C31" t="str">
        <f ca="1">IF([1]Data!O30&gt;=1,[1]Data!AP30,"")</f>
        <v/>
      </c>
      <c r="E31">
        <f ca="1">IF([1]Data!P30&gt;=1,[1]Data!A30,"")</f>
        <v>4469</v>
      </c>
      <c r="F31" t="str">
        <f ca="1">IF([1]Data!P30&gt;=1,[1]Data!P30,"")</f>
        <v/>
      </c>
      <c r="G31" t="str">
        <f ca="1">IF([1]Data!P30&gt;=1,[1]Data!AQ30,"")</f>
        <v/>
      </c>
      <c r="I31">
        <f ca="1">IF([1]Data!Q30&gt;=1,[1]Data!A30,"")</f>
        <v>4469</v>
      </c>
      <c r="J31" t="str">
        <f ca="1">IF([1]Data!Q30&gt;=1,[1]Data!Q30,"")</f>
        <v/>
      </c>
      <c r="K31" t="str">
        <f ca="1">IF([1]Data!Q30&gt;=1,[1]Data!AR30,"")</f>
        <v/>
      </c>
      <c r="M31" s="55">
        <v>4469</v>
      </c>
      <c r="N31" t="e">
        <f t="shared" ca="1" si="0"/>
        <v>#REF!</v>
      </c>
    </row>
    <row r="32" spans="1:14" x14ac:dyDescent="0.2">
      <c r="A32">
        <f ca="1">IF([1]Data!O31&gt;=1,[1]Data!A31,"")</f>
        <v>4579</v>
      </c>
      <c r="B32" t="str">
        <f ca="1">IF([1]Data!O31&gt;=1,[1]Data!O31,"")</f>
        <v/>
      </c>
      <c r="C32" t="str">
        <f ca="1">IF([1]Data!O31&gt;=1,[1]Data!AP31,"")</f>
        <v/>
      </c>
      <c r="E32">
        <f ca="1">IF([1]Data!P31&gt;=1,[1]Data!A31,"")</f>
        <v>4579</v>
      </c>
      <c r="F32" t="str">
        <f ca="1">IF([1]Data!P31&gt;=1,[1]Data!P31,"")</f>
        <v/>
      </c>
      <c r="G32" t="str">
        <f ca="1">IF([1]Data!P31&gt;=1,[1]Data!AQ31,"")</f>
        <v/>
      </c>
      <c r="I32">
        <f ca="1">IF([1]Data!Q31&gt;=1,[1]Data!A31,"")</f>
        <v>4579</v>
      </c>
      <c r="J32" t="str">
        <f ca="1">IF([1]Data!Q31&gt;=1,[1]Data!Q31,"")</f>
        <v/>
      </c>
      <c r="K32" t="str">
        <f ca="1">IF([1]Data!Q31&gt;=1,[1]Data!AR31,"")</f>
        <v/>
      </c>
      <c r="M32" s="55">
        <v>4579</v>
      </c>
      <c r="N32" t="e">
        <f t="shared" ca="1" si="0"/>
        <v>#REF!</v>
      </c>
    </row>
    <row r="33" spans="1:14" x14ac:dyDescent="0.2">
      <c r="A33">
        <f ca="1">IF([1]Data!O32&gt;=1,[1]Data!A32,"")</f>
        <v>5588</v>
      </c>
      <c r="B33" t="str">
        <f ca="1">IF([1]Data!O32&gt;=1,[1]Data!O32,"")</f>
        <v/>
      </c>
      <c r="C33" t="str">
        <f ca="1">IF([1]Data!O32&gt;=1,[1]Data!AP32,"")</f>
        <v/>
      </c>
      <c r="E33">
        <f ca="1">IF([1]Data!P32&gt;=1,[1]Data!A32,"")</f>
        <v>5588</v>
      </c>
      <c r="F33" t="str">
        <f ca="1">IF([1]Data!P32&gt;=1,[1]Data!P32,"")</f>
        <v/>
      </c>
      <c r="G33" t="str">
        <f ca="1">IF([1]Data!P32&gt;=1,[1]Data!AQ32,"")</f>
        <v/>
      </c>
      <c r="I33">
        <f ca="1">IF([1]Data!Q32&gt;=1,[1]Data!A32,"")</f>
        <v>5588</v>
      </c>
      <c r="J33" t="str">
        <f ca="1">IF([1]Data!Q32&gt;=1,[1]Data!Q32,"")</f>
        <v/>
      </c>
      <c r="K33" t="str">
        <f ca="1">IF([1]Data!Q32&gt;=1,[1]Data!AR32,"")</f>
        <v/>
      </c>
      <c r="M33" s="55">
        <v>5588</v>
      </c>
      <c r="N33" t="e">
        <f t="shared" ca="1" si="0"/>
        <v>#REF!</v>
      </c>
    </row>
    <row r="34" spans="1:14" x14ac:dyDescent="0.2">
      <c r="A34">
        <f ca="1">IF([1]Data!O33&gt;=1,[1]Data!A33,"")</f>
        <v>5683</v>
      </c>
      <c r="B34" t="str">
        <f ca="1">IF([1]Data!O33&gt;=1,[1]Data!O33,"")</f>
        <v/>
      </c>
      <c r="C34" t="str">
        <f ca="1">IF([1]Data!O33&gt;=1,[1]Data!AP33,"")</f>
        <v/>
      </c>
      <c r="E34">
        <f ca="1">IF([1]Data!P33&gt;=1,[1]Data!A33,"")</f>
        <v>5683</v>
      </c>
      <c r="F34" t="str">
        <f ca="1">IF([1]Data!P33&gt;=1,[1]Data!P33,"")</f>
        <v/>
      </c>
      <c r="G34" t="str">
        <f ca="1">IF([1]Data!P33&gt;=1,[1]Data!AQ33,"")</f>
        <v/>
      </c>
      <c r="I34">
        <f ca="1">IF([1]Data!Q33&gt;=1,[1]Data!A33,"")</f>
        <v>5683</v>
      </c>
      <c r="J34" t="str">
        <f ca="1">IF([1]Data!Q33&gt;=1,[1]Data!Q33,"")</f>
        <v/>
      </c>
      <c r="K34" t="str">
        <f ca="1">IF([1]Data!Q33&gt;=1,[1]Data!AR33,"")</f>
        <v/>
      </c>
      <c r="M34" s="55">
        <v>5683</v>
      </c>
      <c r="N34" t="e">
        <f t="shared" ca="1" si="0"/>
        <v>#REF!</v>
      </c>
    </row>
    <row r="35" spans="1:14" x14ac:dyDescent="0.2">
      <c r="A35">
        <f ca="1">IF([1]Data!O34&gt;=1,[1]Data!A34,"")</f>
        <v>5803</v>
      </c>
      <c r="B35" t="str">
        <f ca="1">IF([1]Data!O34&gt;=1,[1]Data!O34,"")</f>
        <v/>
      </c>
      <c r="C35" t="str">
        <f ca="1">IF([1]Data!O34&gt;=1,[1]Data!AP34,"")</f>
        <v/>
      </c>
      <c r="E35">
        <f ca="1">IF([1]Data!P34&gt;=1,[1]Data!A34,"")</f>
        <v>5803</v>
      </c>
      <c r="F35" t="str">
        <f ca="1">IF([1]Data!P34&gt;=1,[1]Data!P34,"")</f>
        <v/>
      </c>
      <c r="G35" t="str">
        <f ca="1">IF([1]Data!P34&gt;=1,[1]Data!AQ34,"")</f>
        <v/>
      </c>
      <c r="I35">
        <f ca="1">IF([1]Data!Q34&gt;=1,[1]Data!A34,"")</f>
        <v>5803</v>
      </c>
      <c r="J35" t="str">
        <f ca="1">IF([1]Data!Q34&gt;=1,[1]Data!Q34,"")</f>
        <v/>
      </c>
      <c r="K35" t="str">
        <f ca="1">IF([1]Data!Q34&gt;=1,[1]Data!AR34,"")</f>
        <v/>
      </c>
      <c r="M35" s="55">
        <v>5803</v>
      </c>
      <c r="N35" t="e">
        <f t="shared" ca="1" si="0"/>
        <v>#REF!</v>
      </c>
    </row>
    <row r="36" spans="1:14" x14ac:dyDescent="0.2">
      <c r="A36">
        <f ca="1">IF([1]Data!O35&gt;=1,[1]Data!A35,"")</f>
        <v>5937</v>
      </c>
      <c r="B36" t="str">
        <f ca="1">IF([1]Data!O35&gt;=1,[1]Data!O35,"")</f>
        <v/>
      </c>
      <c r="C36" t="str">
        <f ca="1">IF([1]Data!O35&gt;=1,[1]Data!AP35,"")</f>
        <v/>
      </c>
      <c r="E36">
        <f ca="1">IF([1]Data!P35&gt;=1,[1]Data!A35,"")</f>
        <v>5937</v>
      </c>
      <c r="F36" t="str">
        <f ca="1">IF([1]Data!P35&gt;=1,[1]Data!P35,"")</f>
        <v/>
      </c>
      <c r="G36" t="str">
        <f ca="1">IF([1]Data!P35&gt;=1,[1]Data!AQ35,"")</f>
        <v/>
      </c>
      <c r="I36">
        <f ca="1">IF([1]Data!Q35&gt;=1,[1]Data!A35,"")</f>
        <v>5937</v>
      </c>
      <c r="J36" t="str">
        <f ca="1">IF([1]Data!Q35&gt;=1,[1]Data!Q35,"")</f>
        <v/>
      </c>
      <c r="K36" t="str">
        <f ca="1">IF([1]Data!Q35&gt;=1,[1]Data!AR35,"")</f>
        <v/>
      </c>
      <c r="M36" s="55">
        <v>5937</v>
      </c>
      <c r="N36" t="e">
        <f t="shared" ca="1" si="0"/>
        <v>#REF!</v>
      </c>
    </row>
    <row r="37" spans="1:14" x14ac:dyDescent="0.2">
      <c r="A37">
        <f ca="1">IF([1]Data!O36&gt;=1,[1]Data!A36,"")</f>
        <v>5941</v>
      </c>
      <c r="B37" t="str">
        <f ca="1">IF([1]Data!O36&gt;=1,[1]Data!O36,"")</f>
        <v/>
      </c>
      <c r="C37" t="str">
        <f ca="1">IF([1]Data!O36&gt;=1,[1]Data!AP36,"")</f>
        <v/>
      </c>
      <c r="E37">
        <f ca="1">IF([1]Data!P36&gt;=1,[1]Data!A36,"")</f>
        <v>5941</v>
      </c>
      <c r="F37" t="str">
        <f ca="1">IF([1]Data!P36&gt;=1,[1]Data!P36,"")</f>
        <v/>
      </c>
      <c r="G37" t="str">
        <f ca="1">IF([1]Data!P36&gt;=1,[1]Data!AQ36,"")</f>
        <v/>
      </c>
      <c r="I37">
        <f ca="1">IF([1]Data!Q36&gt;=1,[1]Data!A36,"")</f>
        <v>5941</v>
      </c>
      <c r="J37" t="str">
        <f ca="1">IF([1]Data!Q36&gt;=1,[1]Data!Q36,"")</f>
        <v/>
      </c>
      <c r="K37" t="str">
        <f ca="1">IF([1]Data!Q36&gt;=1,[1]Data!AR36,"")</f>
        <v/>
      </c>
      <c r="M37" s="55">
        <v>5941</v>
      </c>
      <c r="N37" t="e">
        <f t="shared" ca="1" si="0"/>
        <v>#REF!</v>
      </c>
    </row>
    <row r="38" spans="1:14" x14ac:dyDescent="0.2">
      <c r="A38">
        <f ca="1">IF([1]Data!O37&gt;=1,[1]Data!A37,"")</f>
        <v>6350</v>
      </c>
      <c r="B38" t="str">
        <f ca="1">IF([1]Data!O37&gt;=1,[1]Data!O37,"")</f>
        <v/>
      </c>
      <c r="C38" t="str">
        <f ca="1">IF([1]Data!O37&gt;=1,[1]Data!AP37,"")</f>
        <v/>
      </c>
      <c r="E38">
        <f ca="1">IF([1]Data!P37&gt;=1,[1]Data!A37,"")</f>
        <v>6350</v>
      </c>
      <c r="F38" t="str">
        <f ca="1">IF([1]Data!P37&gt;=1,[1]Data!P37,"")</f>
        <v/>
      </c>
      <c r="G38" t="str">
        <f ca="1">IF([1]Data!P37&gt;=1,[1]Data!AQ37,"")</f>
        <v/>
      </c>
      <c r="I38">
        <f ca="1">IF([1]Data!Q37&gt;=1,[1]Data!A37,"")</f>
        <v>6350</v>
      </c>
      <c r="J38" t="str">
        <f ca="1">IF([1]Data!Q37&gt;=1,[1]Data!Q37,"")</f>
        <v/>
      </c>
      <c r="K38" t="str">
        <f ca="1">IF([1]Data!Q37&gt;=1,[1]Data!AR37,"")</f>
        <v/>
      </c>
      <c r="M38" s="55">
        <v>6350</v>
      </c>
      <c r="N38" t="e">
        <f t="shared" ca="1" si="0"/>
        <v>#REF!</v>
      </c>
    </row>
    <row r="39" spans="1:14" x14ac:dyDescent="0.2">
      <c r="A39">
        <f ca="1">IF([1]Data!O38&gt;=1,[1]Data!A38,"")</f>
        <v>6503</v>
      </c>
      <c r="B39" t="str">
        <f ca="1">IF([1]Data!O38&gt;=1,[1]Data!O38,"")</f>
        <v/>
      </c>
      <c r="C39" t="str">
        <f ca="1">IF([1]Data!O38&gt;=1,[1]Data!AP38,"")</f>
        <v/>
      </c>
      <c r="E39">
        <f ca="1">IF([1]Data!P38&gt;=1,[1]Data!A38,"")</f>
        <v>6503</v>
      </c>
      <c r="F39" t="str">
        <f ca="1">IF([1]Data!P38&gt;=1,[1]Data!P38,"")</f>
        <v/>
      </c>
      <c r="G39" t="str">
        <f ca="1">IF([1]Data!P38&gt;=1,[1]Data!AQ38,"")</f>
        <v/>
      </c>
      <c r="I39">
        <f ca="1">IF([1]Data!Q38&gt;=1,[1]Data!A38,"")</f>
        <v>6503</v>
      </c>
      <c r="J39" t="str">
        <f ca="1">IF([1]Data!Q38&gt;=1,[1]Data!Q38,"")</f>
        <v/>
      </c>
      <c r="K39" t="str">
        <f ca="1">IF([1]Data!Q38&gt;=1,[1]Data!AR38,"")</f>
        <v/>
      </c>
      <c r="M39" s="55">
        <v>6503</v>
      </c>
      <c r="N39" t="e">
        <f t="shared" ca="1" si="0"/>
        <v>#REF!</v>
      </c>
    </row>
    <row r="40" spans="1:14" x14ac:dyDescent="0.2">
      <c r="A40">
        <f ca="1">IF([1]Data!O39&gt;=1,[1]Data!A39,"")</f>
        <v>6959</v>
      </c>
      <c r="B40" t="str">
        <f ca="1">IF([1]Data!O39&gt;=1,[1]Data!O39,"")</f>
        <v/>
      </c>
      <c r="C40" t="str">
        <f ca="1">IF([1]Data!O39&gt;=1,[1]Data!AP39,"")</f>
        <v/>
      </c>
      <c r="E40">
        <f ca="1">IF([1]Data!P39&gt;=1,[1]Data!A39,"")</f>
        <v>6959</v>
      </c>
      <c r="F40" t="str">
        <f ca="1">IF([1]Data!P39&gt;=1,[1]Data!P39,"")</f>
        <v/>
      </c>
      <c r="G40" t="str">
        <f ca="1">IF([1]Data!P39&gt;=1,[1]Data!AQ39,"")</f>
        <v/>
      </c>
      <c r="I40">
        <f ca="1">IF([1]Data!Q39&gt;=1,[1]Data!A39,"")</f>
        <v>6959</v>
      </c>
      <c r="J40" t="str">
        <f ca="1">IF([1]Data!Q39&gt;=1,[1]Data!Q39,"")</f>
        <v/>
      </c>
      <c r="K40" t="str">
        <f ca="1">IF([1]Data!Q39&gt;=1,[1]Data!AR39,"")</f>
        <v/>
      </c>
      <c r="M40" s="55">
        <v>6959</v>
      </c>
      <c r="N40" t="e">
        <f t="shared" ca="1" si="0"/>
        <v>#REF!</v>
      </c>
    </row>
    <row r="41" spans="1:14" x14ac:dyDescent="0.2">
      <c r="A41" t="str">
        <f ca="1">IF([1]Data!O40&gt;=1,[1]Data!A40,"")</f>
        <v>#6959</v>
      </c>
      <c r="B41" t="str">
        <f ca="1">IF([1]Data!O40&gt;=1,[1]Data!O40,"")</f>
        <v/>
      </c>
      <c r="C41" t="str">
        <f ca="1">IF([1]Data!O40&gt;=1,[1]Data!AP40,"")</f>
        <v/>
      </c>
      <c r="E41" t="str">
        <f ca="1">IF([1]Data!P40&gt;=1,[1]Data!A40,"")</f>
        <v>#6959</v>
      </c>
      <c r="F41" t="str">
        <f ca="1">IF([1]Data!P40&gt;=1,[1]Data!P40,"")</f>
        <v/>
      </c>
      <c r="G41" t="str">
        <f ca="1">IF([1]Data!P40&gt;=1,[1]Data!AQ40,"")</f>
        <v/>
      </c>
      <c r="I41" t="str">
        <f ca="1">IF([1]Data!Q40&gt;=1,[1]Data!A40,"")</f>
        <v>#6959</v>
      </c>
      <c r="J41" t="str">
        <f ca="1">IF([1]Data!Q40&gt;=1,[1]Data!Q40,"")</f>
        <v/>
      </c>
      <c r="K41" t="str">
        <f ca="1">IF([1]Data!Q40&gt;=1,[1]Data!AR40,"")</f>
        <v/>
      </c>
      <c r="M41" s="55" t="s">
        <v>93</v>
      </c>
      <c r="N41" t="e">
        <f t="shared" ca="1" si="0"/>
        <v>#REF!</v>
      </c>
    </row>
    <row r="42" spans="1:14" x14ac:dyDescent="0.2">
      <c r="A42" t="str">
        <f ca="1">IF([1]Data!O41&gt;=1,[1]Data!A41,"")</f>
        <v/>
      </c>
      <c r="E42" t="str">
        <f ca="1">IF([1]Data!P41&gt;=1,[1]Data!A41,"")</f>
        <v/>
      </c>
      <c r="F42" t="str">
        <f ca="1">IF([1]Data!P41&gt;=1,[1]Data!P41,"")</f>
        <v/>
      </c>
      <c r="G42" t="str">
        <f ca="1">IF([1]Data!P41&gt;=1,[1]Data!AQ41,"")</f>
        <v/>
      </c>
      <c r="I42" t="str">
        <f ca="1">IF([1]Data!Q41&gt;=1,[1]Data!A41,"")</f>
        <v/>
      </c>
      <c r="J42" t="str">
        <f ca="1">IF([1]Data!Q41&gt;=1,[1]Data!Q41,"")</f>
        <v/>
      </c>
      <c r="K42" t="str">
        <f ca="1">IF([1]Data!Q41&gt;=1,[1]Data!AR41,"")</f>
        <v/>
      </c>
      <c r="N42" t="e">
        <f t="shared" ca="1" si="0"/>
        <v>#REF!</v>
      </c>
    </row>
    <row r="43" spans="1:14" x14ac:dyDescent="0.2">
      <c r="A43" t="str">
        <f ca="1">IF([1]Data!O42&gt;=1,[1]Data!A42,"")</f>
        <v/>
      </c>
      <c r="E43" t="str">
        <f ca="1">IF([1]Data!P42&gt;=1,[1]Data!A42,"")</f>
        <v/>
      </c>
      <c r="F43" t="str">
        <f ca="1">IF([1]Data!P42&gt;=1,[1]Data!P42,"")</f>
        <v/>
      </c>
      <c r="G43" t="str">
        <f ca="1">IF([1]Data!P42&gt;=1,[1]Data!AQ42,"")</f>
        <v/>
      </c>
      <c r="I43" t="str">
        <f ca="1">IF([1]Data!Q42&gt;=1,[1]Data!A42,"")</f>
        <v/>
      </c>
      <c r="J43" t="str">
        <f ca="1">IF([1]Data!Q42&gt;=1,[1]Data!Q42,"")</f>
        <v/>
      </c>
      <c r="K43" t="str">
        <f ca="1">IF([1]Data!Q42&gt;=1,[1]Data!AR42,"")</f>
        <v/>
      </c>
      <c r="N43" t="e">
        <f t="shared" ca="1" si="0"/>
        <v>#REF!</v>
      </c>
    </row>
    <row r="44" spans="1:14" x14ac:dyDescent="0.2">
      <c r="A44" t="str">
        <f ca="1">IF([1]Data!O43&gt;=1,[1]Data!A43,"")</f>
        <v/>
      </c>
      <c r="E44" t="str">
        <f ca="1">IF([1]Data!P43&gt;=1,[1]Data!A43)</f>
        <v/>
      </c>
      <c r="F44" t="str">
        <f ca="1">IF([1]Data!P43&gt;=1,[1]Data!P43,"")</f>
        <v/>
      </c>
      <c r="G44" t="str">
        <f ca="1">IF([1]Data!P43&gt;=1,[1]Data!AQ43,"")</f>
        <v/>
      </c>
      <c r="I44" t="str">
        <f ca="1">IF([1]Data!Q43&gt;=1,[1]Data!A43,"")</f>
        <v/>
      </c>
      <c r="J44" t="str">
        <f ca="1">IF([1]Data!Q43&gt;=1,[1]Data!Q43,"")</f>
        <v/>
      </c>
      <c r="K44" t="str">
        <f ca="1">IF([1]Data!Q43&gt;=1,[1]Data!AR43,"")</f>
        <v/>
      </c>
      <c r="N44" t="e">
        <f t="shared" ca="1" si="0"/>
        <v>#REF!</v>
      </c>
    </row>
    <row r="45" spans="1:14" x14ac:dyDescent="0.2">
      <c r="N45" t="e">
        <f t="shared" ca="1" si="0"/>
        <v>#REF!</v>
      </c>
    </row>
  </sheetData>
  <mergeCells count="4">
    <mergeCell ref="A2:C2"/>
    <mergeCell ref="E2:G2"/>
    <mergeCell ref="I2:K2"/>
    <mergeCell ref="M2:N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K995"/>
  <sheetViews>
    <sheetView topLeftCell="M13" zoomScaleNormal="100" workbookViewId="0">
      <selection activeCell="O21" sqref="O21"/>
    </sheetView>
  </sheetViews>
  <sheetFormatPr defaultColWidth="14.42578125" defaultRowHeight="15.95" customHeight="1" x14ac:dyDescent="0.2"/>
  <cols>
    <col min="1" max="1" width="15.42578125" style="44" customWidth="1"/>
    <col min="2" max="2" width="8.5703125" style="44" customWidth="1"/>
    <col min="3" max="3" width="10.42578125" style="44" customWidth="1"/>
    <col min="4" max="4" width="20.42578125" style="44" customWidth="1"/>
    <col min="5" max="5" width="17.140625" style="44" customWidth="1"/>
    <col min="6" max="6" width="10.7109375" style="44" hidden="1" customWidth="1"/>
    <col min="7" max="7" width="15" style="44" customWidth="1"/>
    <col min="8" max="8" width="16.140625" style="44" customWidth="1"/>
    <col min="9" max="9" width="11.5703125" style="44" customWidth="1"/>
    <col min="10" max="10" width="11.28515625" style="44" customWidth="1"/>
    <col min="11" max="11" width="19.7109375" style="44" customWidth="1"/>
    <col min="12" max="13" width="14.42578125" style="44"/>
    <col min="14" max="14" width="22.140625" style="44" customWidth="1"/>
    <col min="15" max="15" width="11.28515625" style="44" customWidth="1"/>
    <col min="16" max="16" width="16.28515625" style="44" customWidth="1"/>
    <col min="17" max="17" width="18.42578125" style="44" customWidth="1"/>
    <col min="18" max="18" width="5.7109375" style="44" hidden="1" customWidth="1"/>
    <col min="19" max="19" width="18" style="44" customWidth="1"/>
    <col min="20" max="20" width="16.28515625" style="44" customWidth="1"/>
    <col min="21" max="21" width="11.140625" style="44" customWidth="1"/>
    <col min="22" max="22" width="10.5703125" style="44" customWidth="1"/>
    <col min="23" max="23" width="20.7109375" style="44" customWidth="1"/>
    <col min="24" max="24" width="14.5703125" style="44" customWidth="1"/>
    <col min="25" max="25" width="15.42578125" style="44" customWidth="1"/>
    <col min="26" max="26" width="17.140625" style="44" customWidth="1"/>
    <col min="27" max="27" width="11.5703125" style="44" hidden="1" customWidth="1"/>
    <col min="28" max="28" width="14.42578125" style="44" customWidth="1"/>
    <col min="29" max="29" width="16.5703125" style="44" customWidth="1"/>
    <col min="30" max="31" width="11.5703125" style="44" customWidth="1"/>
    <col min="32" max="32" width="20.140625" style="44" customWidth="1"/>
    <col min="33" max="33" width="11.42578125" style="44" customWidth="1"/>
    <col min="34" max="34" width="11.7109375" style="44" customWidth="1"/>
    <col min="35" max="36" width="9.28515625" style="44" customWidth="1"/>
    <col min="37" max="16384" width="14.42578125" style="44"/>
  </cols>
  <sheetData>
    <row r="1" spans="1:37" ht="15.95" customHeight="1" x14ac:dyDescent="0.2">
      <c r="A1" s="42"/>
      <c r="B1" s="43"/>
      <c r="C1" s="145" t="s">
        <v>52</v>
      </c>
      <c r="D1" s="145"/>
      <c r="E1" s="145"/>
      <c r="F1" s="43"/>
      <c r="G1" s="145" t="s">
        <v>17</v>
      </c>
      <c r="H1" s="145"/>
      <c r="I1" s="145"/>
      <c r="J1" s="145"/>
      <c r="K1" s="145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</row>
    <row r="2" spans="1:37" ht="15.95" customHeight="1" x14ac:dyDescent="0.2">
      <c r="A2" s="43"/>
      <c r="B2" s="45" t="s">
        <v>41</v>
      </c>
      <c r="C2" s="45" t="s">
        <v>4</v>
      </c>
      <c r="D2" s="71" t="s">
        <v>47</v>
      </c>
      <c r="E2" s="71" t="s">
        <v>48</v>
      </c>
      <c r="F2" s="71" t="s">
        <v>49</v>
      </c>
      <c r="G2" s="71" t="s">
        <v>47</v>
      </c>
      <c r="H2" s="71" t="s">
        <v>53</v>
      </c>
      <c r="I2" s="71" t="s">
        <v>49</v>
      </c>
      <c r="J2" s="45" t="s">
        <v>5</v>
      </c>
      <c r="K2" s="71" t="s">
        <v>51</v>
      </c>
      <c r="L2" s="45" t="s">
        <v>36</v>
      </c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</row>
    <row r="3" spans="1:37" ht="15.95" customHeight="1" x14ac:dyDescent="0.2">
      <c r="A3" s="43"/>
      <c r="B3" s="45">
        <v>1</v>
      </c>
      <c r="C3" s="46">
        <f>IF($A$1='Data Entry'!$C4,'Data Entry'!D4,"")</f>
        <v>0</v>
      </c>
      <c r="D3" s="46">
        <f>IF($A$1='Data Entry'!$C4,'Data Entry'!E4,"")</f>
        <v>0</v>
      </c>
      <c r="E3" s="46">
        <f>IF($A$1='Data Entry'!$C4,'Data Entry'!F4,"")</f>
        <v>0</v>
      </c>
      <c r="F3" s="46">
        <f>IF($A$1='Data Entry'!$C4,'Data Entry'!G4,"")</f>
        <v>0</v>
      </c>
      <c r="G3" s="46">
        <f>IF($A$1='Data Entry'!$C4,'Data Entry'!H4,"")</f>
        <v>0</v>
      </c>
      <c r="H3" s="46">
        <f>IF($A$1='Data Entry'!$C4,'Data Entry'!I4,"")</f>
        <v>0</v>
      </c>
      <c r="I3" s="46">
        <f>IF($A$1='Data Entry'!$C4,'Data Entry'!J4,"")</f>
        <v>0</v>
      </c>
      <c r="J3" s="46">
        <f>IF($A$1='Data Entry'!$C4,'Data Entry'!K4,"")</f>
        <v>0</v>
      </c>
      <c r="K3" s="46">
        <f>IF($A$1='Data Entry'!$C4,'Data Entry'!L4,"")</f>
        <v>0</v>
      </c>
      <c r="L3" s="46">
        <f>IF($A$1='Data Entry'!$C4,'Data Entry'!M4,"")</f>
        <v>0</v>
      </c>
      <c r="M3" s="43"/>
      <c r="N3" s="135" t="s">
        <v>61</v>
      </c>
      <c r="O3" s="138"/>
      <c r="P3" s="138"/>
      <c r="Q3" s="139"/>
      <c r="R3" s="104"/>
      <c r="S3" s="140" t="s">
        <v>60</v>
      </c>
      <c r="T3" s="141"/>
      <c r="U3" s="141"/>
      <c r="V3" s="141"/>
      <c r="W3" s="142"/>
      <c r="X3" s="140" t="s">
        <v>59</v>
      </c>
      <c r="Y3" s="143"/>
      <c r="Z3" s="143"/>
      <c r="AA3" s="144"/>
      <c r="AB3" s="140" t="s">
        <v>63</v>
      </c>
      <c r="AC3" s="143"/>
      <c r="AD3" s="143"/>
      <c r="AE3" s="143"/>
      <c r="AF3" s="144"/>
      <c r="AG3" s="135" t="s">
        <v>65</v>
      </c>
      <c r="AH3" s="136"/>
      <c r="AI3" s="137"/>
      <c r="AJ3" s="43"/>
      <c r="AK3" s="78"/>
    </row>
    <row r="4" spans="1:37" ht="15.95" customHeight="1" x14ac:dyDescent="0.2">
      <c r="A4" s="43"/>
      <c r="B4" s="45">
        <v>1</v>
      </c>
      <c r="C4" s="46">
        <f>IF($A$1='Data Entry'!$C5,'Data Entry'!D5,"")</f>
        <v>0</v>
      </c>
      <c r="D4" s="46">
        <f>IF($A$1='Data Entry'!$C5,'Data Entry'!E5,"")</f>
        <v>0</v>
      </c>
      <c r="E4" s="46">
        <f>IF($A$1='Data Entry'!$C5,'Data Entry'!F5,"")</f>
        <v>0</v>
      </c>
      <c r="F4" s="46">
        <f>IF($A$1='Data Entry'!$C5,'Data Entry'!G5,"")</f>
        <v>0</v>
      </c>
      <c r="G4" s="46">
        <f>IF($A$1='Data Entry'!$C5,'Data Entry'!H5,"")</f>
        <v>0</v>
      </c>
      <c r="H4" s="46">
        <f>IF($A$1='Data Entry'!$C5,'Data Entry'!I5,"")</f>
        <v>0</v>
      </c>
      <c r="I4" s="46">
        <f>IF($A$1='Data Entry'!$C5,'Data Entry'!J5,"")</f>
        <v>0</v>
      </c>
      <c r="J4" s="46">
        <f>IF($A$1='Data Entry'!$C5,'Data Entry'!K5,"")</f>
        <v>0</v>
      </c>
      <c r="K4" s="46">
        <f>IF($A$1='Data Entry'!$C5,'Data Entry'!L5,"")</f>
        <v>0</v>
      </c>
      <c r="L4" s="46">
        <f>IF($A$1='Data Entry'!$C5,'Data Entry'!M5,"")</f>
        <v>0</v>
      </c>
      <c r="M4" s="43"/>
      <c r="N4" s="47" t="s">
        <v>3</v>
      </c>
      <c r="O4" s="47" t="s">
        <v>4</v>
      </c>
      <c r="P4" s="71" t="s">
        <v>47</v>
      </c>
      <c r="Q4" s="71" t="s">
        <v>48</v>
      </c>
      <c r="R4" s="71" t="s">
        <v>49</v>
      </c>
      <c r="S4" s="71" t="s">
        <v>47</v>
      </c>
      <c r="T4" s="71" t="s">
        <v>48</v>
      </c>
      <c r="U4" s="71" t="s">
        <v>49</v>
      </c>
      <c r="V4" s="47" t="s">
        <v>5</v>
      </c>
      <c r="W4" s="71" t="s">
        <v>51</v>
      </c>
      <c r="X4" s="71" t="s">
        <v>4</v>
      </c>
      <c r="Y4" s="71" t="s">
        <v>47</v>
      </c>
      <c r="Z4" s="71" t="s">
        <v>48</v>
      </c>
      <c r="AA4" s="71" t="s">
        <v>49</v>
      </c>
      <c r="AB4" s="71" t="s">
        <v>47</v>
      </c>
      <c r="AC4" s="71" t="s">
        <v>48</v>
      </c>
      <c r="AD4" s="71" t="s">
        <v>49</v>
      </c>
      <c r="AE4" s="71" t="s">
        <v>5</v>
      </c>
      <c r="AF4" s="71" t="s">
        <v>51</v>
      </c>
      <c r="AG4" s="47" t="s">
        <v>6</v>
      </c>
      <c r="AH4" s="47" t="s">
        <v>7</v>
      </c>
      <c r="AI4" s="48" t="s">
        <v>8</v>
      </c>
      <c r="AJ4" s="49"/>
    </row>
    <row r="5" spans="1:37" ht="15.95" customHeight="1" x14ac:dyDescent="0.2">
      <c r="A5" s="43"/>
      <c r="B5" s="45">
        <v>1</v>
      </c>
      <c r="C5" s="46">
        <f>IF($A$1='Data Entry'!$C6,'Data Entry'!D6,"")</f>
        <v>0</v>
      </c>
      <c r="D5" s="46">
        <f>IF($A$1='Data Entry'!$C6,'Data Entry'!E6,"")</f>
        <v>0</v>
      </c>
      <c r="E5" s="46">
        <f>IF($A$1='Data Entry'!$C6,'Data Entry'!F6,"")</f>
        <v>0</v>
      </c>
      <c r="F5" s="46">
        <f>IF($A$1='Data Entry'!$C6,'Data Entry'!G6,"")</f>
        <v>0</v>
      </c>
      <c r="G5" s="46">
        <f>IF($A$1='Data Entry'!$C6,'Data Entry'!H6,"")</f>
        <v>0</v>
      </c>
      <c r="H5" s="46">
        <f>IF($A$1='Data Entry'!$C6,'Data Entry'!I6,"")</f>
        <v>0</v>
      </c>
      <c r="I5" s="46">
        <f>IF($A$1='Data Entry'!$C6,'Data Entry'!J6,"")</f>
        <v>0</v>
      </c>
      <c r="J5" s="46">
        <f>IF($A$1='Data Entry'!$C6,'Data Entry'!K6,"")</f>
        <v>0</v>
      </c>
      <c r="K5" s="46">
        <f>IF($A$1='Data Entry'!$C6,'Data Entry'!L6,"")</f>
        <v>0</v>
      </c>
      <c r="L5" s="46">
        <f>IF($A$1='Data Entry'!$C6,'Data Entry'!M6,"")</f>
        <v>0</v>
      </c>
      <c r="M5" s="43"/>
      <c r="N5" s="50" t="str">
        <f>IFERROR(AVERAGE(#REF!),"")</f>
        <v/>
      </c>
      <c r="O5" s="50">
        <f>IFERROR(AVERAGEIF($B$2:$B$1000, "&lt;="&amp;Customization!$E$10, C2:C1000),"")</f>
        <v>0</v>
      </c>
      <c r="P5" s="91">
        <f>IFERROR(AVERAGEIF($B$2:$B$1000, "&lt;="&amp;Customization!$E$10, D2:D1000),"")</f>
        <v>0</v>
      </c>
      <c r="Q5" s="91">
        <f>IFERROR(AVERAGEIF($B$2:$B$1000, "&lt;="&amp;Customization!$E$10, E2:E1000),"")</f>
        <v>0</v>
      </c>
      <c r="R5" s="91">
        <f>IFERROR(AVERAGEIF($B$2:$B$1000, "&lt;="&amp;Customization!$E$10, F2:F1000),"")</f>
        <v>0</v>
      </c>
      <c r="S5" s="91">
        <f>IFERROR(AVERAGEIF($B$2:$B$1000, "&lt;="&amp;Customization!$E$10, G2:G1000),"")</f>
        <v>0</v>
      </c>
      <c r="T5" s="91">
        <f>IFERROR(AVERAGEIF($B$2:$B$1000, "&lt;="&amp;Customization!$E$10, H2:H1000),"")</f>
        <v>0</v>
      </c>
      <c r="U5" s="91">
        <f>IFERROR(AVERAGEIF($B$2:$B$1000, "&lt;="&amp;Customization!$E$10, I2:I1000),"")</f>
        <v>0</v>
      </c>
      <c r="V5" s="91">
        <f>IFERROR(AVERAGEIF($B$2:$B$1000, "&lt;="&amp;Customization!$E$10, J2:J1000),"")</f>
        <v>0</v>
      </c>
      <c r="W5" s="91">
        <f>IFERROR(AVERAGEIF($B$2:$B$1000, "&lt;="&amp;Customization!$E$10, K2:K1000),"")</f>
        <v>0</v>
      </c>
      <c r="X5" s="91">
        <f>IFERROR(MEDIAN(IF($B$2:$B$1000 &lt;= Customization!$E$10, C4:C1000, "")),"")</f>
        <v>0</v>
      </c>
      <c r="Y5" s="91">
        <f>IFERROR(MEDIAN(IF($B$2:$B$1000 &lt;= Customization!$E$10, D4:D1000, "")),"")</f>
        <v>0</v>
      </c>
      <c r="Z5" s="91">
        <f>IFERROR(MEDIAN(IF($B$2:$B$1000 &lt;= Customization!$E$10, E4:E1000, "")),"")</f>
        <v>0</v>
      </c>
      <c r="AA5" s="91">
        <f>IFERROR(MEDIAN(IF($B$2:$B$1000 &lt;= Customization!$E$10, F4:F1000, "")),"")</f>
        <v>0</v>
      </c>
      <c r="AB5" s="91">
        <f>IFERROR(MEDIAN(IF($B$2:$B$1000 &lt;= Customization!$E$10, G4:G1000, "")),"")</f>
        <v>0</v>
      </c>
      <c r="AC5" s="91">
        <f>IFERROR(MEDIAN(IF($B$2:$B$1000 &lt;= Customization!$E$10, H4:H1000, "")),"")</f>
        <v>0</v>
      </c>
      <c r="AD5" s="91">
        <f>IFERROR(MEDIAN(IF($B$2:$B$1000 &lt;= Customization!$E$10, I4:I1000, "")),"")</f>
        <v>0</v>
      </c>
      <c r="AE5" s="91">
        <f>IFERROR(MEDIAN(IF($B$2:$B$1000 &lt;= Customization!$E$10, J4:J1000, "")),"")</f>
        <v>0</v>
      </c>
      <c r="AF5" s="91">
        <f>IFERROR(MEDIAN(IF($B$2:$B$1000 &lt;= Customization!$E$10, K4:K1000, "")),"")</f>
        <v>0</v>
      </c>
      <c r="AG5" s="51">
        <f>SUM((5*O5),P5,(Q5/3),(R5*20),)</f>
        <v>0</v>
      </c>
      <c r="AH5" s="67" t="e">
        <f>SUM((S5/3),(T5/9),(V5*50),(U7),(#REF!*20),IF(W5=4,100,0))</f>
        <v>#REF!</v>
      </c>
      <c r="AI5" s="68" t="e">
        <f>SUM(AG5,AH5)</f>
        <v>#REF!</v>
      </c>
      <c r="AJ5" s="52"/>
    </row>
    <row r="6" spans="1:37" ht="15.95" customHeight="1" x14ac:dyDescent="0.2">
      <c r="A6" s="43"/>
      <c r="B6" s="45">
        <v>1</v>
      </c>
      <c r="C6" s="46">
        <f>IF($A$1='Data Entry'!$C7,'Data Entry'!D7,"")</f>
        <v>0</v>
      </c>
      <c r="D6" s="46">
        <f>IF($A$1='Data Entry'!$C7,'Data Entry'!E7,"")</f>
        <v>0</v>
      </c>
      <c r="E6" s="46">
        <f>IF($A$1='Data Entry'!$C7,'Data Entry'!F7,"")</f>
        <v>0</v>
      </c>
      <c r="F6" s="46">
        <f>IF($A$1='Data Entry'!$C7,'Data Entry'!G7,"")</f>
        <v>0</v>
      </c>
      <c r="G6" s="46">
        <f>IF($A$1='Data Entry'!$C7,'Data Entry'!H7,"")</f>
        <v>0</v>
      </c>
      <c r="H6" s="46">
        <f>IF($A$1='Data Entry'!$C7,'Data Entry'!I7,"")</f>
        <v>0</v>
      </c>
      <c r="I6" s="46">
        <f>IF($A$1='Data Entry'!$C7,'Data Entry'!J7,"")</f>
        <v>0</v>
      </c>
      <c r="J6" s="46">
        <f>IF($A$1='Data Entry'!$C7,'Data Entry'!K7,"")</f>
        <v>0</v>
      </c>
      <c r="K6" s="46">
        <f>IF($A$1='Data Entry'!$C7,'Data Entry'!L7,"")</f>
        <v>0</v>
      </c>
      <c r="L6" s="46">
        <f>IF($A$1='Data Entry'!$C7,'Data Entry'!M7,"")</f>
        <v>0</v>
      </c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</row>
    <row r="7" spans="1:37" ht="15.95" customHeight="1" x14ac:dyDescent="0.2">
      <c r="A7" s="43"/>
      <c r="B7" s="45">
        <v>1</v>
      </c>
      <c r="C7" s="46">
        <f>IF($A$1='Data Entry'!$C8,'Data Entry'!D8,"")</f>
        <v>0</v>
      </c>
      <c r="D7" s="46">
        <f>IF($A$1='Data Entry'!$C8,'Data Entry'!E8,"")</f>
        <v>0</v>
      </c>
      <c r="E7" s="46">
        <f>IF($A$1='Data Entry'!$C8,'Data Entry'!F8,"")</f>
        <v>0</v>
      </c>
      <c r="F7" s="46">
        <f>IF($A$1='Data Entry'!$C8,'Data Entry'!G8,"")</f>
        <v>0</v>
      </c>
      <c r="G7" s="46">
        <f>IF($A$1='Data Entry'!$C8,'Data Entry'!H8,"")</f>
        <v>0</v>
      </c>
      <c r="H7" s="46">
        <f>IF($A$1='Data Entry'!$C8,'Data Entry'!I8,"")</f>
        <v>0</v>
      </c>
      <c r="I7" s="46">
        <f>IF($A$1='Data Entry'!$C8,'Data Entry'!J8,"")</f>
        <v>0</v>
      </c>
      <c r="J7" s="46">
        <f>IF($A$1='Data Entry'!$C8,'Data Entry'!K8,"")</f>
        <v>0</v>
      </c>
      <c r="K7" s="46">
        <f>IF($A$1='Data Entry'!$C8,'Data Entry'!L8,"")</f>
        <v>0</v>
      </c>
      <c r="L7" s="46">
        <f>IF($A$1='Data Entry'!$C8,'Data Entry'!M8,"")</f>
        <v>0</v>
      </c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</row>
    <row r="8" spans="1:37" ht="15.95" customHeight="1" x14ac:dyDescent="0.2">
      <c r="A8" s="43"/>
      <c r="B8" s="45">
        <v>1</v>
      </c>
      <c r="C8" s="46">
        <f>IF($A$1='Data Entry'!$C9,'Data Entry'!D9,"")</f>
        <v>0</v>
      </c>
      <c r="D8" s="46">
        <f>IF($A$1='Data Entry'!$C9,'Data Entry'!E9,"")</f>
        <v>0</v>
      </c>
      <c r="E8" s="46">
        <f>IF($A$1='Data Entry'!$C9,'Data Entry'!F9,"")</f>
        <v>0</v>
      </c>
      <c r="F8" s="46">
        <f>IF($A$1='Data Entry'!$C9,'Data Entry'!G9,"")</f>
        <v>0</v>
      </c>
      <c r="G8" s="46">
        <f>IF($A$1='Data Entry'!$C9,'Data Entry'!H9,"")</f>
        <v>0</v>
      </c>
      <c r="H8" s="46">
        <f>IF($A$1='Data Entry'!$C9,'Data Entry'!I9,"")</f>
        <v>0</v>
      </c>
      <c r="I8" s="46">
        <f>IF($A$1='Data Entry'!$C9,'Data Entry'!J9,"")</f>
        <v>0</v>
      </c>
      <c r="J8" s="46">
        <f>IF($A$1='Data Entry'!$C9,'Data Entry'!K9,"")</f>
        <v>0</v>
      </c>
      <c r="K8" s="46">
        <f>IF($A$1='Data Entry'!$C9,'Data Entry'!L9,"")</f>
        <v>0</v>
      </c>
      <c r="L8" s="46">
        <f>IF($A$1='Data Entry'!$C9,'Data Entry'!M9,"")</f>
        <v>0</v>
      </c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</row>
    <row r="9" spans="1:37" ht="15.95" customHeight="1" x14ac:dyDescent="0.2">
      <c r="A9" s="43"/>
      <c r="B9" s="45">
        <v>2</v>
      </c>
      <c r="C9" s="46">
        <f>IF($A$1='Data Entry'!$C10,'Data Entry'!D10,"")</f>
        <v>0</v>
      </c>
      <c r="D9" s="46">
        <f>IF($A$1='Data Entry'!$C10,'Data Entry'!E10,"")</f>
        <v>0</v>
      </c>
      <c r="E9" s="46">
        <f>IF($A$1='Data Entry'!$C10,'Data Entry'!F10,"")</f>
        <v>0</v>
      </c>
      <c r="F9" s="46">
        <f>IF($A$1='Data Entry'!$C10,'Data Entry'!G10,"")</f>
        <v>0</v>
      </c>
      <c r="G9" s="46">
        <f>IF($A$1='Data Entry'!$C10,'Data Entry'!H10,"")</f>
        <v>0</v>
      </c>
      <c r="H9" s="46">
        <f>IF($A$1='Data Entry'!$C10,'Data Entry'!I10,"")</f>
        <v>0</v>
      </c>
      <c r="I9" s="46">
        <f>IF($A$1='Data Entry'!$C10,'Data Entry'!J10,"")</f>
        <v>0</v>
      </c>
      <c r="J9" s="46">
        <f>IF($A$1='Data Entry'!$C10,'Data Entry'!K10,"")</f>
        <v>0</v>
      </c>
      <c r="K9" s="46">
        <f>IF($A$1='Data Entry'!$C10,'Data Entry'!L10,"")</f>
        <v>0</v>
      </c>
      <c r="L9" s="46">
        <f>IF($A$1='Data Entry'!$C10,'Data Entry'!M10,"")</f>
        <v>0</v>
      </c>
      <c r="M9" s="43"/>
      <c r="N9" s="135" t="s">
        <v>45</v>
      </c>
      <c r="O9" s="138"/>
      <c r="P9" s="138"/>
      <c r="Q9" s="139"/>
      <c r="R9" s="103"/>
      <c r="S9" s="140" t="s">
        <v>58</v>
      </c>
      <c r="T9" s="141"/>
      <c r="U9" s="141"/>
      <c r="V9" s="141"/>
      <c r="W9" s="142"/>
      <c r="X9" s="140" t="s">
        <v>62</v>
      </c>
      <c r="Y9" s="143"/>
      <c r="Z9" s="143"/>
      <c r="AA9" s="144"/>
      <c r="AB9" s="140" t="s">
        <v>64</v>
      </c>
      <c r="AC9" s="143"/>
      <c r="AD9" s="143"/>
      <c r="AE9" s="143"/>
      <c r="AF9" s="144"/>
      <c r="AG9" s="135" t="s">
        <v>46</v>
      </c>
      <c r="AH9" s="136"/>
      <c r="AI9" s="137"/>
      <c r="AJ9" s="43"/>
    </row>
    <row r="10" spans="1:37" ht="15.95" customHeight="1" x14ac:dyDescent="0.2">
      <c r="A10" s="54"/>
      <c r="B10" s="45">
        <v>2</v>
      </c>
      <c r="C10" s="46">
        <f>IF($A$1='Data Entry'!$C11,'Data Entry'!D11,"")</f>
        <v>0</v>
      </c>
      <c r="D10" s="46">
        <f>IF($A$1='Data Entry'!$C11,'Data Entry'!E11,"")</f>
        <v>0</v>
      </c>
      <c r="E10" s="46">
        <f>IF($A$1='Data Entry'!$C11,'Data Entry'!F11,"")</f>
        <v>0</v>
      </c>
      <c r="F10" s="46">
        <f>IF($A$1='Data Entry'!$C11,'Data Entry'!G11,"")</f>
        <v>0</v>
      </c>
      <c r="G10" s="46">
        <f>IF($A$1='Data Entry'!$C11,'Data Entry'!H11,"")</f>
        <v>0</v>
      </c>
      <c r="H10" s="46">
        <f>IF($A$1='Data Entry'!$C11,'Data Entry'!I11,"")</f>
        <v>0</v>
      </c>
      <c r="I10" s="46">
        <f>IF($A$1='Data Entry'!$C11,'Data Entry'!J11,"")</f>
        <v>0</v>
      </c>
      <c r="J10" s="46">
        <f>IF($A$1='Data Entry'!$C11,'Data Entry'!K11,"")</f>
        <v>0</v>
      </c>
      <c r="K10" s="46">
        <f>IF($A$1='Data Entry'!$C11,'Data Entry'!L11,"")</f>
        <v>0</v>
      </c>
      <c r="L10" s="46">
        <f>IF($A$1='Data Entry'!$C11,'Data Entry'!M11,"")</f>
        <v>0</v>
      </c>
      <c r="M10" s="43"/>
      <c r="N10" s="47" t="s">
        <v>3</v>
      </c>
      <c r="O10" s="47" t="s">
        <v>4</v>
      </c>
      <c r="P10" s="71" t="s">
        <v>47</v>
      </c>
      <c r="Q10" s="71" t="s">
        <v>48</v>
      </c>
      <c r="R10" s="71" t="s">
        <v>49</v>
      </c>
      <c r="S10" s="71" t="s">
        <v>47</v>
      </c>
      <c r="T10" s="71" t="s">
        <v>48</v>
      </c>
      <c r="U10" s="71" t="s">
        <v>49</v>
      </c>
      <c r="V10" s="47" t="s">
        <v>5</v>
      </c>
      <c r="W10" s="71" t="s">
        <v>51</v>
      </c>
      <c r="X10" s="71" t="s">
        <v>4</v>
      </c>
      <c r="Y10" s="71" t="s">
        <v>47</v>
      </c>
      <c r="Z10" s="71" t="s">
        <v>48</v>
      </c>
      <c r="AA10" s="71" t="s">
        <v>49</v>
      </c>
      <c r="AB10" s="71" t="s">
        <v>47</v>
      </c>
      <c r="AC10" s="71" t="s">
        <v>48</v>
      </c>
      <c r="AD10" s="71" t="s">
        <v>49</v>
      </c>
      <c r="AE10" s="71" t="s">
        <v>5</v>
      </c>
      <c r="AF10" s="71" t="s">
        <v>51</v>
      </c>
      <c r="AG10" s="47" t="s">
        <v>6</v>
      </c>
      <c r="AH10" s="47" t="s">
        <v>7</v>
      </c>
      <c r="AI10" s="66" t="s">
        <v>8</v>
      </c>
      <c r="AJ10" s="43"/>
    </row>
    <row r="11" spans="1:37" ht="15.95" customHeight="1" x14ac:dyDescent="0.2">
      <c r="A11" s="43"/>
      <c r="B11" s="45">
        <v>2</v>
      </c>
      <c r="C11" s="46">
        <f>IF($A$1='Data Entry'!$C12,'Data Entry'!D12,"")</f>
        <v>0</v>
      </c>
      <c r="D11" s="46">
        <f>IF($A$1='Data Entry'!$C12,'Data Entry'!E12,"")</f>
        <v>0</v>
      </c>
      <c r="E11" s="46">
        <f>IF($A$1='Data Entry'!$C12,'Data Entry'!F12,"")</f>
        <v>0</v>
      </c>
      <c r="F11" s="46">
        <f>IF($A$1='Data Entry'!$C12,'Data Entry'!G12,"")</f>
        <v>0</v>
      </c>
      <c r="G11" s="46">
        <f>IF($A$1='Data Entry'!$C12,'Data Entry'!H12,"")</f>
        <v>0</v>
      </c>
      <c r="H11" s="46">
        <f>IF($A$1='Data Entry'!$C12,'Data Entry'!I12,"")</f>
        <v>0</v>
      </c>
      <c r="I11" s="46">
        <f>IF($A$1='Data Entry'!$C12,'Data Entry'!J12,"")</f>
        <v>0</v>
      </c>
      <c r="J11" s="46">
        <f>IF($A$1='Data Entry'!$C12,'Data Entry'!K12,"")</f>
        <v>0</v>
      </c>
      <c r="K11" s="46">
        <f>IF($A$1='Data Entry'!$C12,'Data Entry'!L12,"")</f>
        <v>0</v>
      </c>
      <c r="L11" s="46">
        <f>IF($A$1='Data Entry'!$C12,'Data Entry'!M12,"")</f>
        <v>0</v>
      </c>
      <c r="M11" s="43"/>
      <c r="N11" s="50" t="str">
        <f>IFERROR(AVERAGE(#REF!),"")</f>
        <v/>
      </c>
      <c r="O11" s="50">
        <f>IFERROR(AVERAGEIF($B$2:$B$1000, "&gt;"&amp;Customization!$E$10, C2:C1000),"")</f>
        <v>0</v>
      </c>
      <c r="P11" s="91">
        <f>IFERROR(AVERAGEIF($B$2:$B$1000, "&gt;"&amp;Customization!$E$10, D2:D1000),"")</f>
        <v>0</v>
      </c>
      <c r="Q11" s="91">
        <f>IFERROR(AVERAGEIF($B$2:$B$1000, "&gt;"&amp;Customization!$E$10, E2:E1000),"")</f>
        <v>0</v>
      </c>
      <c r="R11" s="91">
        <f>IFERROR(AVERAGEIF($B$2:$B$1000, "&gt;"&amp;Customization!$E$10, F2:F1000),"")</f>
        <v>0</v>
      </c>
      <c r="S11" s="91">
        <f>IFERROR(AVERAGEIF($B$2:$B$1000, "&gt;"&amp;Customization!$E$10, G2:G1000),"")</f>
        <v>0</v>
      </c>
      <c r="T11" s="91">
        <f>IFERROR(AVERAGEIF($B$2:$B$1000, "&gt;"&amp;Customization!$E$10, H2:H1000),"")</f>
        <v>0</v>
      </c>
      <c r="U11" s="91">
        <f>IFERROR(AVERAGEIF($B$2:$B$1000, "&gt;"&amp;Customization!$E$10, I2:I1000),"")</f>
        <v>0</v>
      </c>
      <c r="V11" s="91">
        <f>IFERROR(AVERAGEIF($B$2:$B$1000, "&gt;"&amp;Customization!$E$10, J2:J1000),"")</f>
        <v>0</v>
      </c>
      <c r="W11" s="91">
        <f>IFERROR(AVERAGEIF($B$2:$B$1000, "&gt;"&amp;Customization!$E$10, K2:K1000),"")</f>
        <v>0</v>
      </c>
      <c r="X11" s="91">
        <f t="array" ref="X11">IFERROR(MEDIAN(IF($B$2:$B$1000 &gt; Customization!$E$10, C4:C1000, "")),"")</f>
        <v>0</v>
      </c>
      <c r="Y11" s="91">
        <f t="array" ref="Y11">IFERROR(MEDIAN(IF($B$2:$B$1000 &gt; Customization!$E$10, D4:D1000, "")),"")</f>
        <v>0</v>
      </c>
      <c r="Z11" s="91">
        <f t="array" ref="Z11">IFERROR(MEDIAN(IF($B$2:$B$1000 &gt; Customization!$E$10, E4:E1000, "")),"")</f>
        <v>0</v>
      </c>
      <c r="AA11" s="91">
        <f t="array" ref="AA11">IFERROR(MEDIAN(IF($B$2:$B$1000 &gt; Customization!$E$10, F4:F1000, "")),"")</f>
        <v>0</v>
      </c>
      <c r="AB11" s="91">
        <f t="array" ref="AB11">IFERROR(MEDIAN(IF($B$2:$B$1000 &gt; Customization!$E$10, G4:G1000, "")),"")</f>
        <v>0</v>
      </c>
      <c r="AC11" s="91">
        <f t="array" ref="AC11">IFERROR(MEDIAN(IF($B$2:$B$1000 &gt; Customization!$E$10, H4:H1000, "")),"")</f>
        <v>0</v>
      </c>
      <c r="AD11" s="91">
        <f t="array" ref="AD11">IFERROR(MEDIAN(IF($B$2:$B$1000 &gt; Customization!$E$10, I4:I1000, "")),"")</f>
        <v>0</v>
      </c>
      <c r="AE11" s="91">
        <f t="array" ref="AE11">IFERROR(MEDIAN(IF($B$2:$B$1000 &gt; Customization!$E$10, J4:J1000, "")),"")</f>
        <v>0</v>
      </c>
      <c r="AF11" s="91">
        <f t="array" ref="AF11">IFERROR(MEDIAN(IF($B$2:$B$1000 &gt; Customization!$E$10, K4:K1000, "")),"")</f>
        <v>0</v>
      </c>
      <c r="AG11" s="51">
        <f>SUM((5*O11),P11,(Q11/3),(R11*20),)</f>
        <v>0</v>
      </c>
      <c r="AH11" s="67" t="e">
        <f>SUM((S11/3),(T11/9),(V11*50),(U13),(#REF!*20),IF(W11=4,100,0))</f>
        <v>#REF!</v>
      </c>
      <c r="AI11" s="68" t="e">
        <f>SUM(AG11,AH11)</f>
        <v>#REF!</v>
      </c>
      <c r="AJ11" s="43"/>
    </row>
    <row r="12" spans="1:37" ht="15.95" customHeight="1" x14ac:dyDescent="0.2">
      <c r="A12" s="43"/>
      <c r="B12" s="45">
        <v>2</v>
      </c>
      <c r="C12" s="46">
        <f>IF($A$1='Data Entry'!$C13,'Data Entry'!D13,"")</f>
        <v>0</v>
      </c>
      <c r="D12" s="46">
        <f>IF($A$1='Data Entry'!$C13,'Data Entry'!E13,"")</f>
        <v>0</v>
      </c>
      <c r="E12" s="46">
        <f>IF($A$1='Data Entry'!$C13,'Data Entry'!F13,"")</f>
        <v>0</v>
      </c>
      <c r="F12" s="46">
        <f>IF($A$1='Data Entry'!$C13,'Data Entry'!G13,"")</f>
        <v>0</v>
      </c>
      <c r="G12" s="46">
        <f>IF($A$1='Data Entry'!$C13,'Data Entry'!H13,"")</f>
        <v>0</v>
      </c>
      <c r="H12" s="46">
        <f>IF($A$1='Data Entry'!$C13,'Data Entry'!I13,"")</f>
        <v>0</v>
      </c>
      <c r="I12" s="46">
        <f>IF($A$1='Data Entry'!$C13,'Data Entry'!J13,"")</f>
        <v>0</v>
      </c>
      <c r="J12" s="46">
        <f>IF($A$1='Data Entry'!$C13,'Data Entry'!K13,"")</f>
        <v>0</v>
      </c>
      <c r="K12" s="46">
        <f>IF($A$1='Data Entry'!$C13,'Data Entry'!L13,"")</f>
        <v>0</v>
      </c>
      <c r="L12" s="46">
        <f>IF($A$1='Data Entry'!$C13,'Data Entry'!M13,"")</f>
        <v>0</v>
      </c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</row>
    <row r="13" spans="1:37" ht="15.95" customHeight="1" x14ac:dyDescent="0.2">
      <c r="A13" s="43"/>
      <c r="B13" s="45">
        <v>2</v>
      </c>
      <c r="C13" s="46">
        <f>IF($A$1='Data Entry'!$C14,'Data Entry'!D14,"")</f>
        <v>0</v>
      </c>
      <c r="D13" s="46">
        <f>IF($A$1='Data Entry'!$C14,'Data Entry'!E14,"")</f>
        <v>0</v>
      </c>
      <c r="E13" s="46">
        <f>IF($A$1='Data Entry'!$C14,'Data Entry'!F14,"")</f>
        <v>0</v>
      </c>
      <c r="F13" s="46">
        <f>IF($A$1='Data Entry'!$C14,'Data Entry'!G14,"")</f>
        <v>0</v>
      </c>
      <c r="G13" s="46">
        <f>IF($A$1='Data Entry'!$C14,'Data Entry'!H14,"")</f>
        <v>0</v>
      </c>
      <c r="H13" s="46">
        <f>IF($A$1='Data Entry'!$C14,'Data Entry'!I14,"")</f>
        <v>0</v>
      </c>
      <c r="I13" s="46">
        <f>IF($A$1='Data Entry'!$C14,'Data Entry'!J14,"")</f>
        <v>0</v>
      </c>
      <c r="J13" s="46">
        <f>IF($A$1='Data Entry'!$C14,'Data Entry'!K14,"")</f>
        <v>0</v>
      </c>
      <c r="K13" s="46">
        <f>IF($A$1='Data Entry'!$C14,'Data Entry'!L14,"")</f>
        <v>0</v>
      </c>
      <c r="L13" s="46">
        <f>IF($A$1='Data Entry'!$C14,'Data Entry'!M14,"")</f>
        <v>0</v>
      </c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</row>
    <row r="14" spans="1:37" ht="15.95" customHeight="1" x14ac:dyDescent="0.2">
      <c r="A14" s="43"/>
      <c r="B14" s="45">
        <v>2</v>
      </c>
      <c r="C14" s="46">
        <f>IF($A$1='Data Entry'!$C15,'Data Entry'!D15,"")</f>
        <v>0</v>
      </c>
      <c r="D14" s="46">
        <f>IF($A$1='Data Entry'!$C15,'Data Entry'!E15,"")</f>
        <v>0</v>
      </c>
      <c r="E14" s="46">
        <f>IF($A$1='Data Entry'!$C15,'Data Entry'!F15,"")</f>
        <v>0</v>
      </c>
      <c r="F14" s="46">
        <f>IF($A$1='Data Entry'!$C15,'Data Entry'!G15,"")</f>
        <v>0</v>
      </c>
      <c r="G14" s="46">
        <f>IF($A$1='Data Entry'!$C15,'Data Entry'!H15,"")</f>
        <v>0</v>
      </c>
      <c r="H14" s="46">
        <f>IF($A$1='Data Entry'!$C15,'Data Entry'!I15,"")</f>
        <v>0</v>
      </c>
      <c r="I14" s="46">
        <f>IF($A$1='Data Entry'!$C15,'Data Entry'!J15,"")</f>
        <v>0</v>
      </c>
      <c r="J14" s="46">
        <f>IF($A$1='Data Entry'!$C15,'Data Entry'!K15,"")</f>
        <v>0</v>
      </c>
      <c r="K14" s="46">
        <f>IF($A$1='Data Entry'!$C15,'Data Entry'!L15,"")</f>
        <v>0</v>
      </c>
      <c r="L14" s="46">
        <f>IF($A$1='Data Entry'!$C15,'Data Entry'!M15,"")</f>
        <v>0</v>
      </c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</row>
    <row r="15" spans="1:37" ht="15.95" customHeight="1" x14ac:dyDescent="0.2">
      <c r="A15" s="43"/>
      <c r="B15" s="45">
        <v>3</v>
      </c>
      <c r="C15" s="46">
        <f>IF($A$1='Data Entry'!$C16,'Data Entry'!D16,"")</f>
        <v>0</v>
      </c>
      <c r="D15" s="46">
        <f>IF($A$1='Data Entry'!$C16,'Data Entry'!E16,"")</f>
        <v>0</v>
      </c>
      <c r="E15" s="46">
        <f>IF($A$1='Data Entry'!$C16,'Data Entry'!F16,"")</f>
        <v>0</v>
      </c>
      <c r="F15" s="46">
        <f>IF($A$1='Data Entry'!$C16,'Data Entry'!G16,"")</f>
        <v>0</v>
      </c>
      <c r="G15" s="46">
        <f>IF($A$1='Data Entry'!$C16,'Data Entry'!H16,"")</f>
        <v>0</v>
      </c>
      <c r="H15" s="46">
        <f>IF($A$1='Data Entry'!$C16,'Data Entry'!I16,"")</f>
        <v>0</v>
      </c>
      <c r="I15" s="46">
        <f>IF($A$1='Data Entry'!$C16,'Data Entry'!J16,"")</f>
        <v>0</v>
      </c>
      <c r="J15" s="46">
        <f>IF($A$1='Data Entry'!$C16,'Data Entry'!K16,"")</f>
        <v>0</v>
      </c>
      <c r="K15" s="46">
        <f>IF($A$1='Data Entry'!$C16,'Data Entry'!L16,"")</f>
        <v>0</v>
      </c>
      <c r="L15" s="46">
        <f>IF($A$1='Data Entry'!$C16,'Data Entry'!M16,"")</f>
        <v>0</v>
      </c>
      <c r="M15" s="43"/>
      <c r="N15" s="135" t="s">
        <v>66</v>
      </c>
      <c r="O15" s="138"/>
      <c r="P15" s="138"/>
      <c r="Q15" s="139"/>
      <c r="R15" s="103"/>
      <c r="S15" s="140" t="s">
        <v>67</v>
      </c>
      <c r="T15" s="141"/>
      <c r="U15" s="141"/>
      <c r="V15" s="141"/>
      <c r="W15" s="142"/>
      <c r="X15" s="140" t="s">
        <v>68</v>
      </c>
      <c r="Y15" s="143"/>
      <c r="Z15" s="143"/>
      <c r="AA15" s="144"/>
      <c r="AB15" s="140" t="s">
        <v>69</v>
      </c>
      <c r="AC15" s="143"/>
      <c r="AD15" s="143"/>
      <c r="AE15" s="143"/>
      <c r="AF15" s="144"/>
      <c r="AG15" s="135" t="s">
        <v>70</v>
      </c>
      <c r="AH15" s="136"/>
      <c r="AI15" s="137"/>
      <c r="AJ15" s="43"/>
    </row>
    <row r="16" spans="1:37" ht="15.95" customHeight="1" x14ac:dyDescent="0.2">
      <c r="A16" s="43"/>
      <c r="B16" s="45">
        <v>3</v>
      </c>
      <c r="C16" s="46">
        <f>IF($A$1='Data Entry'!$C17,'Data Entry'!D17,"")</f>
        <v>0</v>
      </c>
      <c r="D16" s="46">
        <f>IF($A$1='Data Entry'!$C17,'Data Entry'!E17,"")</f>
        <v>0</v>
      </c>
      <c r="E16" s="46">
        <f>IF($A$1='Data Entry'!$C17,'Data Entry'!F17,"")</f>
        <v>0</v>
      </c>
      <c r="F16" s="46">
        <f>IF($A$1='Data Entry'!$C17,'Data Entry'!G17,"")</f>
        <v>0</v>
      </c>
      <c r="G16" s="46">
        <f>IF($A$1='Data Entry'!$C17,'Data Entry'!H17,"")</f>
        <v>0</v>
      </c>
      <c r="H16" s="46">
        <f>IF($A$1='Data Entry'!$C17,'Data Entry'!I17,"")</f>
        <v>0</v>
      </c>
      <c r="I16" s="46">
        <f>IF($A$1='Data Entry'!$C17,'Data Entry'!J17,"")</f>
        <v>0</v>
      </c>
      <c r="J16" s="46">
        <f>IF($A$1='Data Entry'!$C17,'Data Entry'!K17,"")</f>
        <v>0</v>
      </c>
      <c r="K16" s="46">
        <f>IF($A$1='Data Entry'!$C17,'Data Entry'!L17,"")</f>
        <v>0</v>
      </c>
      <c r="L16" s="46">
        <f>IF($A$1='Data Entry'!$C17,'Data Entry'!M17,"")</f>
        <v>0</v>
      </c>
      <c r="M16" s="43"/>
      <c r="N16" s="47" t="s">
        <v>3</v>
      </c>
      <c r="O16" s="47" t="s">
        <v>4</v>
      </c>
      <c r="P16" s="71" t="s">
        <v>47</v>
      </c>
      <c r="Q16" s="71" t="s">
        <v>48</v>
      </c>
      <c r="R16" s="71" t="s">
        <v>49</v>
      </c>
      <c r="S16" s="71" t="s">
        <v>47</v>
      </c>
      <c r="T16" s="71" t="s">
        <v>48</v>
      </c>
      <c r="U16" s="71" t="s">
        <v>49</v>
      </c>
      <c r="V16" s="47" t="s">
        <v>5</v>
      </c>
      <c r="W16" s="71" t="s">
        <v>51</v>
      </c>
      <c r="X16" s="71" t="s">
        <v>4</v>
      </c>
      <c r="Y16" s="71" t="s">
        <v>47</v>
      </c>
      <c r="Z16" s="71" t="s">
        <v>48</v>
      </c>
      <c r="AA16" s="71" t="s">
        <v>49</v>
      </c>
      <c r="AB16" s="71" t="s">
        <v>47</v>
      </c>
      <c r="AC16" s="71" t="s">
        <v>48</v>
      </c>
      <c r="AD16" s="71" t="s">
        <v>49</v>
      </c>
      <c r="AE16" s="71" t="s">
        <v>5</v>
      </c>
      <c r="AF16" s="71" t="s">
        <v>51</v>
      </c>
      <c r="AG16" s="71" t="s">
        <v>6</v>
      </c>
      <c r="AH16" s="47" t="s">
        <v>7</v>
      </c>
      <c r="AI16" s="90" t="s">
        <v>8</v>
      </c>
      <c r="AJ16" s="43"/>
    </row>
    <row r="17" spans="1:36" ht="15.95" customHeight="1" x14ac:dyDescent="0.2">
      <c r="A17" s="43"/>
      <c r="B17" s="45">
        <v>3</v>
      </c>
      <c r="C17" s="46">
        <f>IF($A$1='Data Entry'!$C18,'Data Entry'!D18,"")</f>
        <v>0</v>
      </c>
      <c r="D17" s="46">
        <f>IF($A$1='Data Entry'!$C18,'Data Entry'!E18,"")</f>
        <v>0</v>
      </c>
      <c r="E17" s="46">
        <f>IF($A$1='Data Entry'!$C18,'Data Entry'!F18,"")</f>
        <v>0</v>
      </c>
      <c r="F17" s="46">
        <f>IF($A$1='Data Entry'!$C18,'Data Entry'!G18,"")</f>
        <v>0</v>
      </c>
      <c r="G17" s="46">
        <f>IF($A$1='Data Entry'!$C18,'Data Entry'!H18,"")</f>
        <v>0</v>
      </c>
      <c r="H17" s="46">
        <f>IF($A$1='Data Entry'!$C18,'Data Entry'!I18,"")</f>
        <v>0</v>
      </c>
      <c r="I17" s="46">
        <f>IF($A$1='Data Entry'!$C18,'Data Entry'!J18,"")</f>
        <v>0</v>
      </c>
      <c r="J17" s="46">
        <f>IF($A$1='Data Entry'!$C18,'Data Entry'!K18,"")</f>
        <v>0</v>
      </c>
      <c r="K17" s="46">
        <f>IF($A$1='Data Entry'!$C18,'Data Entry'!L18,"")</f>
        <v>0</v>
      </c>
      <c r="L17" s="46">
        <f>IF($A$1='Data Entry'!$C18,'Data Entry'!M18,"")</f>
        <v>0</v>
      </c>
      <c r="M17" s="43"/>
      <c r="N17" s="50" t="str">
        <f>IFERROR(AVERAGE(#REF!),"")</f>
        <v/>
      </c>
      <c r="O17" s="50">
        <f>IFERROR(AVERAGE(C:C),"")</f>
        <v>0</v>
      </c>
      <c r="P17" s="91">
        <f>IFERROR(AVERAGE(D:D),"")</f>
        <v>0</v>
      </c>
      <c r="Q17" s="91">
        <f t="shared" ref="Q17:W17" si="0">IFERROR(AVERAGE(E:E),"")</f>
        <v>0</v>
      </c>
      <c r="R17" s="91">
        <f t="shared" si="0"/>
        <v>0</v>
      </c>
      <c r="S17" s="91">
        <f t="shared" si="0"/>
        <v>0</v>
      </c>
      <c r="T17" s="91">
        <f t="shared" si="0"/>
        <v>0</v>
      </c>
      <c r="U17" s="91">
        <f t="shared" si="0"/>
        <v>0</v>
      </c>
      <c r="V17" s="91">
        <f t="shared" si="0"/>
        <v>0</v>
      </c>
      <c r="W17" s="91">
        <f t="shared" si="0"/>
        <v>0</v>
      </c>
      <c r="X17" s="91">
        <f>IFERROR(MEDIAN(C:C),"")</f>
        <v>0</v>
      </c>
      <c r="Y17" s="91">
        <f>IFERROR(MEDIAN(D:D),"")</f>
        <v>0</v>
      </c>
      <c r="Z17" s="91">
        <f t="shared" ref="Z17:AF17" si="1">IFERROR(MEDIAN(E:E),"")</f>
        <v>0</v>
      </c>
      <c r="AA17" s="91">
        <f t="shared" si="1"/>
        <v>0</v>
      </c>
      <c r="AB17" s="91">
        <f t="shared" si="1"/>
        <v>0</v>
      </c>
      <c r="AC17" s="91">
        <f t="shared" si="1"/>
        <v>0</v>
      </c>
      <c r="AD17" s="91">
        <f t="shared" si="1"/>
        <v>0</v>
      </c>
      <c r="AE17" s="91">
        <f t="shared" si="1"/>
        <v>0</v>
      </c>
      <c r="AF17" s="91">
        <f t="shared" si="1"/>
        <v>0</v>
      </c>
      <c r="AG17" s="51">
        <f>SUM((5*O17),P17,(Q17/3),(R17*20),)</f>
        <v>0</v>
      </c>
      <c r="AH17" s="67" t="e">
        <f>SUM((S17/3),(T17/9),(V17*50),(U19),(#REF!*20),IF(W17=4,100,0))</f>
        <v>#REF!</v>
      </c>
      <c r="AI17" s="68" t="e">
        <f>SUM(AG17,AH17)</f>
        <v>#REF!</v>
      </c>
      <c r="AJ17" s="43"/>
    </row>
    <row r="18" spans="1:36" ht="15.95" customHeight="1" x14ac:dyDescent="0.2">
      <c r="A18" s="43"/>
      <c r="B18" s="45">
        <v>3</v>
      </c>
      <c r="C18" s="46">
        <f>IF($A$1='Data Entry'!$C19,'Data Entry'!D19,"")</f>
        <v>0</v>
      </c>
      <c r="D18" s="46">
        <f>IF($A$1='Data Entry'!$C19,'Data Entry'!E19,"")</f>
        <v>0</v>
      </c>
      <c r="E18" s="46">
        <f>IF($A$1='Data Entry'!$C19,'Data Entry'!F19,"")</f>
        <v>0</v>
      </c>
      <c r="F18" s="46">
        <f>IF($A$1='Data Entry'!$C19,'Data Entry'!G19,"")</f>
        <v>0</v>
      </c>
      <c r="G18" s="46">
        <f>IF($A$1='Data Entry'!$C19,'Data Entry'!H19,"")</f>
        <v>0</v>
      </c>
      <c r="H18" s="46">
        <f>IF($A$1='Data Entry'!$C19,'Data Entry'!I19,"")</f>
        <v>0</v>
      </c>
      <c r="I18" s="46">
        <f>IF($A$1='Data Entry'!$C19,'Data Entry'!J19,"")</f>
        <v>0</v>
      </c>
      <c r="J18" s="46">
        <f>IF($A$1='Data Entry'!$C19,'Data Entry'!K19,"")</f>
        <v>0</v>
      </c>
      <c r="K18" s="46">
        <f>IF($A$1='Data Entry'!$C19,'Data Entry'!L19,"")</f>
        <v>0</v>
      </c>
      <c r="L18" s="46">
        <f>IF($A$1='Data Entry'!$C19,'Data Entry'!M19,"")</f>
        <v>0</v>
      </c>
      <c r="M18" s="43"/>
      <c r="N18" s="43"/>
      <c r="O18" s="5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</row>
    <row r="19" spans="1:36" ht="15.95" customHeight="1" x14ac:dyDescent="0.2">
      <c r="A19" s="43"/>
      <c r="B19" s="45">
        <v>3</v>
      </c>
      <c r="C19" s="46">
        <f>IF($A$1='Data Entry'!$C20,'Data Entry'!D20,"")</f>
        <v>0</v>
      </c>
      <c r="D19" s="46">
        <f>IF($A$1='Data Entry'!$C20,'Data Entry'!E20,"")</f>
        <v>0</v>
      </c>
      <c r="E19" s="46">
        <f>IF($A$1='Data Entry'!$C20,'Data Entry'!F20,"")</f>
        <v>0</v>
      </c>
      <c r="F19" s="46">
        <f>IF($A$1='Data Entry'!$C20,'Data Entry'!G20,"")</f>
        <v>0</v>
      </c>
      <c r="G19" s="46">
        <f>IF($A$1='Data Entry'!$C20,'Data Entry'!H20,"")</f>
        <v>0</v>
      </c>
      <c r="H19" s="46">
        <f>IF($A$1='Data Entry'!$C20,'Data Entry'!I20,"")</f>
        <v>0</v>
      </c>
      <c r="I19" s="46">
        <f>IF($A$1='Data Entry'!$C20,'Data Entry'!J20,"")</f>
        <v>0</v>
      </c>
      <c r="J19" s="46">
        <f>IF($A$1='Data Entry'!$C20,'Data Entry'!K20,"")</f>
        <v>0</v>
      </c>
      <c r="K19" s="46">
        <f>IF($A$1='Data Entry'!$C20,'Data Entry'!L20,"")</f>
        <v>0</v>
      </c>
      <c r="L19" s="46">
        <f>IF($A$1='Data Entry'!$C20,'Data Entry'!M20,"")</f>
        <v>0</v>
      </c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</row>
    <row r="20" spans="1:36" ht="15.95" customHeight="1" x14ac:dyDescent="0.2">
      <c r="A20" s="43"/>
      <c r="B20" s="45">
        <v>3</v>
      </c>
      <c r="C20" s="46">
        <f>IF($A$1='Data Entry'!$C21,'Data Entry'!D21,"")</f>
        <v>0</v>
      </c>
      <c r="D20" s="46">
        <f>IF($A$1='Data Entry'!$C21,'Data Entry'!E21,"")</f>
        <v>0</v>
      </c>
      <c r="E20" s="46">
        <f>IF($A$1='Data Entry'!$C21,'Data Entry'!F21,"")</f>
        <v>0</v>
      </c>
      <c r="F20" s="46">
        <f>IF($A$1='Data Entry'!$C21,'Data Entry'!G21,"")</f>
        <v>0</v>
      </c>
      <c r="G20" s="46">
        <f>IF($A$1='Data Entry'!$C21,'Data Entry'!H21,"")</f>
        <v>0</v>
      </c>
      <c r="H20" s="46">
        <f>IF($A$1='Data Entry'!$C21,'Data Entry'!I21,"")</f>
        <v>0</v>
      </c>
      <c r="I20" s="46">
        <f>IF($A$1='Data Entry'!$C21,'Data Entry'!J21,"")</f>
        <v>0</v>
      </c>
      <c r="J20" s="46">
        <f>IF($A$1='Data Entry'!$C21,'Data Entry'!K21,"")</f>
        <v>0</v>
      </c>
      <c r="K20" s="46">
        <f>IF($A$1='Data Entry'!$C21,'Data Entry'!L21,"")</f>
        <v>0</v>
      </c>
      <c r="L20" s="46">
        <f>IF($A$1='Data Entry'!$C21,'Data Entry'!M21,"")</f>
        <v>0</v>
      </c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</row>
    <row r="21" spans="1:36" ht="15.95" customHeight="1" x14ac:dyDescent="0.2">
      <c r="A21" s="43"/>
      <c r="B21" s="45">
        <v>4</v>
      </c>
      <c r="C21" s="46">
        <f>IF($A$1='Data Entry'!$C22,'Data Entry'!D22,"")</f>
        <v>0</v>
      </c>
      <c r="D21" s="46">
        <f>IF($A$1='Data Entry'!$C22,'Data Entry'!E22,"")</f>
        <v>0</v>
      </c>
      <c r="E21" s="46">
        <f>IF($A$1='Data Entry'!$C22,'Data Entry'!F22,"")</f>
        <v>0</v>
      </c>
      <c r="F21" s="46">
        <f>IF($A$1='Data Entry'!$C22,'Data Entry'!G22,"")</f>
        <v>0</v>
      </c>
      <c r="G21" s="46">
        <f>IF($A$1='Data Entry'!$C22,'Data Entry'!H22,"")</f>
        <v>0</v>
      </c>
      <c r="H21" s="46">
        <f>IF($A$1='Data Entry'!$C22,'Data Entry'!I22,"")</f>
        <v>0</v>
      </c>
      <c r="I21" s="46">
        <f>IF($A$1='Data Entry'!$C22,'Data Entry'!J22,"")</f>
        <v>0</v>
      </c>
      <c r="J21" s="46">
        <f>IF($A$1='Data Entry'!$C22,'Data Entry'!K22,"")</f>
        <v>0</v>
      </c>
      <c r="K21" s="46">
        <f>IF($A$1='Data Entry'!$C22,'Data Entry'!L22,"")</f>
        <v>0</v>
      </c>
      <c r="L21" s="46">
        <f>IF($A$1='Data Entry'!$C22,'Data Entry'!M22,"")</f>
        <v>0</v>
      </c>
      <c r="M21" s="43"/>
      <c r="N21" s="53" t="s">
        <v>94</v>
      </c>
      <c r="O21" s="5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</row>
    <row r="22" spans="1:36" ht="15.95" customHeight="1" x14ac:dyDescent="0.2">
      <c r="A22" s="43"/>
      <c r="B22" s="45">
        <v>4</v>
      </c>
      <c r="C22" s="46">
        <f>IF($A$1='Data Entry'!$C23,'Data Entry'!D23,"")</f>
        <v>0</v>
      </c>
      <c r="D22" s="46">
        <f>IF($A$1='Data Entry'!$C23,'Data Entry'!E23,"")</f>
        <v>0</v>
      </c>
      <c r="E22" s="46">
        <f>IF($A$1='Data Entry'!$C23,'Data Entry'!F23,"")</f>
        <v>0</v>
      </c>
      <c r="F22" s="46">
        <f>IF($A$1='Data Entry'!$C23,'Data Entry'!G23,"")</f>
        <v>0</v>
      </c>
      <c r="G22" s="46">
        <f>IF($A$1='Data Entry'!$C23,'Data Entry'!H23,"")</f>
        <v>0</v>
      </c>
      <c r="H22" s="46">
        <f>IF($A$1='Data Entry'!$C23,'Data Entry'!I23,"")</f>
        <v>0</v>
      </c>
      <c r="I22" s="46">
        <f>IF($A$1='Data Entry'!$C23,'Data Entry'!J23,"")</f>
        <v>0</v>
      </c>
      <c r="J22" s="46">
        <f>IF($A$1='Data Entry'!$C23,'Data Entry'!K23,"")</f>
        <v>0</v>
      </c>
      <c r="K22" s="46">
        <f>IF($A$1='Data Entry'!$C23,'Data Entry'!L23,"")</f>
        <v>0</v>
      </c>
      <c r="L22" s="46">
        <f>IF($A$1='Data Entry'!$C23,'Data Entry'!M23,"")</f>
        <v>0</v>
      </c>
      <c r="M22" s="43"/>
      <c r="N22" s="53" t="s">
        <v>95</v>
      </c>
      <c r="O22" s="5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</row>
    <row r="23" spans="1:36" ht="15.95" customHeight="1" x14ac:dyDescent="0.2">
      <c r="A23" s="43"/>
      <c r="B23" s="45">
        <v>4</v>
      </c>
      <c r="C23" s="46">
        <f>IF($A$1='Data Entry'!$C24,'Data Entry'!D24,"")</f>
        <v>0</v>
      </c>
      <c r="D23" s="46">
        <f>IF($A$1='Data Entry'!$C24,'Data Entry'!E24,"")</f>
        <v>0</v>
      </c>
      <c r="E23" s="46">
        <f>IF($A$1='Data Entry'!$C24,'Data Entry'!F24,"")</f>
        <v>0</v>
      </c>
      <c r="F23" s="46">
        <f>IF($A$1='Data Entry'!$C24,'Data Entry'!G24,"")</f>
        <v>0</v>
      </c>
      <c r="G23" s="46">
        <f>IF($A$1='Data Entry'!$C24,'Data Entry'!H24,"")</f>
        <v>0</v>
      </c>
      <c r="H23" s="46">
        <f>IF($A$1='Data Entry'!$C24,'Data Entry'!I24,"")</f>
        <v>0</v>
      </c>
      <c r="I23" s="46">
        <f>IF($A$1='Data Entry'!$C24,'Data Entry'!J24,"")</f>
        <v>0</v>
      </c>
      <c r="J23" s="46">
        <f>IF($A$1='Data Entry'!$C24,'Data Entry'!K24,"")</f>
        <v>0</v>
      </c>
      <c r="K23" s="46">
        <f>IF($A$1='Data Entry'!$C24,'Data Entry'!L24,"")</f>
        <v>0</v>
      </c>
      <c r="L23" s="46">
        <f>IF($A$1='Data Entry'!$C24,'Data Entry'!M24,"")</f>
        <v>0</v>
      </c>
      <c r="M23" s="43"/>
      <c r="N23" s="53" t="s">
        <v>96</v>
      </c>
      <c r="O23" s="5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</row>
    <row r="24" spans="1:36" ht="15.95" customHeight="1" x14ac:dyDescent="0.2">
      <c r="A24" s="43"/>
      <c r="B24" s="45">
        <v>4</v>
      </c>
      <c r="C24" s="46">
        <f>IF($A$1='Data Entry'!$C25,'Data Entry'!D25,"")</f>
        <v>0</v>
      </c>
      <c r="D24" s="46">
        <f>IF($A$1='Data Entry'!$C25,'Data Entry'!E25,"")</f>
        <v>0</v>
      </c>
      <c r="E24" s="46">
        <f>IF($A$1='Data Entry'!$C25,'Data Entry'!F25,"")</f>
        <v>0</v>
      </c>
      <c r="F24" s="46">
        <f>IF($A$1='Data Entry'!$C25,'Data Entry'!G25,"")</f>
        <v>0</v>
      </c>
      <c r="G24" s="46">
        <f>IF($A$1='Data Entry'!$C25,'Data Entry'!H25,"")</f>
        <v>0</v>
      </c>
      <c r="H24" s="46">
        <f>IF($A$1='Data Entry'!$C25,'Data Entry'!I25,"")</f>
        <v>0</v>
      </c>
      <c r="I24" s="46">
        <f>IF($A$1='Data Entry'!$C25,'Data Entry'!J25,"")</f>
        <v>0</v>
      </c>
      <c r="J24" s="46">
        <f>IF($A$1='Data Entry'!$C25,'Data Entry'!K25,"")</f>
        <v>0</v>
      </c>
      <c r="K24" s="46">
        <f>IF($A$1='Data Entry'!$C25,'Data Entry'!L25,"")</f>
        <v>0</v>
      </c>
      <c r="L24" s="46">
        <f>IF($A$1='Data Entry'!$C25,'Data Entry'!M25,"")</f>
        <v>0</v>
      </c>
      <c r="M24" s="43"/>
      <c r="N24" s="53" t="s">
        <v>97</v>
      </c>
      <c r="O24" s="5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</row>
    <row r="25" spans="1:36" ht="15.95" customHeight="1" x14ac:dyDescent="0.2">
      <c r="A25" s="43"/>
      <c r="B25" s="45">
        <v>4</v>
      </c>
      <c r="C25" s="46">
        <f>IF($A$1='Data Entry'!$C26,'Data Entry'!D26,"")</f>
        <v>0</v>
      </c>
      <c r="D25" s="46">
        <f>IF($A$1='Data Entry'!$C26,'Data Entry'!E26,"")</f>
        <v>0</v>
      </c>
      <c r="E25" s="46">
        <f>IF($A$1='Data Entry'!$C26,'Data Entry'!F26,"")</f>
        <v>0</v>
      </c>
      <c r="F25" s="46">
        <f>IF($A$1='Data Entry'!$C26,'Data Entry'!G26,"")</f>
        <v>0</v>
      </c>
      <c r="G25" s="46">
        <f>IF($A$1='Data Entry'!$C26,'Data Entry'!H26,"")</f>
        <v>0</v>
      </c>
      <c r="H25" s="46">
        <f>IF($A$1='Data Entry'!$C26,'Data Entry'!I26,"")</f>
        <v>0</v>
      </c>
      <c r="I25" s="46">
        <f>IF($A$1='Data Entry'!$C26,'Data Entry'!J26,"")</f>
        <v>0</v>
      </c>
      <c r="J25" s="46">
        <f>IF($A$1='Data Entry'!$C26,'Data Entry'!K26,"")</f>
        <v>0</v>
      </c>
      <c r="K25" s="46">
        <f>IF($A$1='Data Entry'!$C26,'Data Entry'!L26,"")</f>
        <v>0</v>
      </c>
      <c r="L25" s="46">
        <f>IF($A$1='Data Entry'!$C26,'Data Entry'!M26,"")</f>
        <v>0</v>
      </c>
      <c r="M25" s="43"/>
      <c r="N25" s="53" t="s">
        <v>98</v>
      </c>
      <c r="O25" s="5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</row>
    <row r="26" spans="1:36" ht="15.95" customHeight="1" x14ac:dyDescent="0.2">
      <c r="A26" s="43"/>
      <c r="B26" s="45">
        <v>4</v>
      </c>
      <c r="C26" s="46">
        <f>IF($A$1='Data Entry'!$C27,'Data Entry'!D27,"")</f>
        <v>0</v>
      </c>
      <c r="D26" s="46">
        <f>IF($A$1='Data Entry'!$C27,'Data Entry'!E27,"")</f>
        <v>0</v>
      </c>
      <c r="E26" s="46">
        <f>IF($A$1='Data Entry'!$C27,'Data Entry'!F27,"")</f>
        <v>0</v>
      </c>
      <c r="F26" s="46">
        <f>IF($A$1='Data Entry'!$C27,'Data Entry'!G27,"")</f>
        <v>0</v>
      </c>
      <c r="G26" s="46">
        <f>IF($A$1='Data Entry'!$C27,'Data Entry'!H27,"")</f>
        <v>0</v>
      </c>
      <c r="H26" s="46">
        <f>IF($A$1='Data Entry'!$C27,'Data Entry'!I27,"")</f>
        <v>0</v>
      </c>
      <c r="I26" s="46">
        <f>IF($A$1='Data Entry'!$C27,'Data Entry'!J27,"")</f>
        <v>0</v>
      </c>
      <c r="J26" s="46">
        <f>IF($A$1='Data Entry'!$C27,'Data Entry'!K27,"")</f>
        <v>0</v>
      </c>
      <c r="K26" s="46">
        <f>IF($A$1='Data Entry'!$C27,'Data Entry'!L27,"")</f>
        <v>0</v>
      </c>
      <c r="L26" s="46">
        <f>IF($A$1='Data Entry'!$C27,'Data Entry'!M27,"")</f>
        <v>0</v>
      </c>
      <c r="M26" s="43"/>
      <c r="N26" s="53" t="s">
        <v>99</v>
      </c>
      <c r="O26" s="5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</row>
    <row r="27" spans="1:36" ht="15.95" customHeight="1" x14ac:dyDescent="0.2">
      <c r="A27" s="43"/>
      <c r="B27" s="45">
        <v>5</v>
      </c>
      <c r="C27" s="46">
        <f>IF($A$1='Data Entry'!$C28,'Data Entry'!D28,"")</f>
        <v>0</v>
      </c>
      <c r="D27" s="46">
        <f>IF($A$1='Data Entry'!$C28,'Data Entry'!E28,"")</f>
        <v>0</v>
      </c>
      <c r="E27" s="46">
        <f>IF($A$1='Data Entry'!$C28,'Data Entry'!F28,"")</f>
        <v>0</v>
      </c>
      <c r="F27" s="46">
        <f>IF($A$1='Data Entry'!$C28,'Data Entry'!G28,"")</f>
        <v>0</v>
      </c>
      <c r="G27" s="46">
        <f>IF($A$1='Data Entry'!$C28,'Data Entry'!H28,"")</f>
        <v>0</v>
      </c>
      <c r="H27" s="46">
        <f>IF($A$1='Data Entry'!$C28,'Data Entry'!I28,"")</f>
        <v>0</v>
      </c>
      <c r="I27" s="46">
        <f>IF($A$1='Data Entry'!$C28,'Data Entry'!J28,"")</f>
        <v>0</v>
      </c>
      <c r="J27" s="46">
        <f>IF($A$1='Data Entry'!$C28,'Data Entry'!K28,"")</f>
        <v>0</v>
      </c>
      <c r="K27" s="46">
        <f>IF($A$1='Data Entry'!$C28,'Data Entry'!L28,"")</f>
        <v>0</v>
      </c>
      <c r="L27" s="46">
        <f>IF($A$1='Data Entry'!$C28,'Data Entry'!M28,"")</f>
        <v>0</v>
      </c>
      <c r="M27" s="43"/>
      <c r="N27" s="53" t="s">
        <v>100</v>
      </c>
      <c r="O27" s="5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</row>
    <row r="28" spans="1:36" ht="15.95" customHeight="1" x14ac:dyDescent="0.2">
      <c r="A28" s="43"/>
      <c r="B28" s="45">
        <v>5</v>
      </c>
      <c r="C28" s="46">
        <f>IF($A$1='Data Entry'!$C29,'Data Entry'!D29,"")</f>
        <v>0</v>
      </c>
      <c r="D28" s="46">
        <f>IF($A$1='Data Entry'!$C29,'Data Entry'!E29,"")</f>
        <v>0</v>
      </c>
      <c r="E28" s="46">
        <f>IF($A$1='Data Entry'!$C29,'Data Entry'!F29,"")</f>
        <v>0</v>
      </c>
      <c r="F28" s="46">
        <f>IF($A$1='Data Entry'!$C29,'Data Entry'!G29,"")</f>
        <v>0</v>
      </c>
      <c r="G28" s="46">
        <f>IF($A$1='Data Entry'!$C29,'Data Entry'!H29,"")</f>
        <v>0</v>
      </c>
      <c r="H28" s="46">
        <f>IF($A$1='Data Entry'!$C29,'Data Entry'!I29,"")</f>
        <v>0</v>
      </c>
      <c r="I28" s="46">
        <f>IF($A$1='Data Entry'!$C29,'Data Entry'!J29,"")</f>
        <v>0</v>
      </c>
      <c r="J28" s="46">
        <f>IF($A$1='Data Entry'!$C29,'Data Entry'!K29,"")</f>
        <v>0</v>
      </c>
      <c r="K28" s="46">
        <f>IF($A$1='Data Entry'!$C29,'Data Entry'!L29,"")</f>
        <v>0</v>
      </c>
      <c r="L28" s="46">
        <f>IF($A$1='Data Entry'!$C29,'Data Entry'!M29,"")</f>
        <v>0</v>
      </c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</row>
    <row r="29" spans="1:36" ht="15.95" customHeight="1" x14ac:dyDescent="0.2">
      <c r="A29" s="43"/>
      <c r="B29" s="45">
        <v>5</v>
      </c>
      <c r="C29" s="46">
        <f>IF($A$1='Data Entry'!$C30,'Data Entry'!D30,"")</f>
        <v>0</v>
      </c>
      <c r="D29" s="46">
        <f>IF($A$1='Data Entry'!$C30,'Data Entry'!E30,"")</f>
        <v>0</v>
      </c>
      <c r="E29" s="46">
        <f>IF($A$1='Data Entry'!$C30,'Data Entry'!F30,"")</f>
        <v>0</v>
      </c>
      <c r="F29" s="46">
        <f>IF($A$1='Data Entry'!$C30,'Data Entry'!G30,"")</f>
        <v>0</v>
      </c>
      <c r="G29" s="46">
        <f>IF($A$1='Data Entry'!$C30,'Data Entry'!H30,"")</f>
        <v>0</v>
      </c>
      <c r="H29" s="46">
        <f>IF($A$1='Data Entry'!$C30,'Data Entry'!I30,"")</f>
        <v>0</v>
      </c>
      <c r="I29" s="46">
        <f>IF($A$1='Data Entry'!$C30,'Data Entry'!J30,"")</f>
        <v>0</v>
      </c>
      <c r="J29" s="46">
        <f>IF($A$1='Data Entry'!$C30,'Data Entry'!K30,"")</f>
        <v>0</v>
      </c>
      <c r="K29" s="46">
        <f>IF($A$1='Data Entry'!$C30,'Data Entry'!L30,"")</f>
        <v>0</v>
      </c>
      <c r="L29" s="46">
        <f>IF($A$1='Data Entry'!$C30,'Data Entry'!M30,"")</f>
        <v>0</v>
      </c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</row>
    <row r="30" spans="1:36" ht="15.95" customHeight="1" x14ac:dyDescent="0.2">
      <c r="A30" s="43"/>
      <c r="B30" s="45">
        <v>5</v>
      </c>
      <c r="C30" s="46">
        <f>IF($A$1='Data Entry'!$C31,'Data Entry'!D31,"")</f>
        <v>0</v>
      </c>
      <c r="D30" s="46">
        <f>IF($A$1='Data Entry'!$C31,'Data Entry'!E31,"")</f>
        <v>0</v>
      </c>
      <c r="E30" s="46">
        <f>IF($A$1='Data Entry'!$C31,'Data Entry'!F31,"")</f>
        <v>0</v>
      </c>
      <c r="F30" s="46">
        <f>IF($A$1='Data Entry'!$C31,'Data Entry'!G31,"")</f>
        <v>0</v>
      </c>
      <c r="G30" s="46">
        <f>IF($A$1='Data Entry'!$C31,'Data Entry'!H31,"")</f>
        <v>0</v>
      </c>
      <c r="H30" s="46">
        <f>IF($A$1='Data Entry'!$C31,'Data Entry'!I31,"")</f>
        <v>0</v>
      </c>
      <c r="I30" s="46">
        <f>IF($A$1='Data Entry'!$C31,'Data Entry'!J31,"")</f>
        <v>0</v>
      </c>
      <c r="J30" s="46">
        <f>IF($A$1='Data Entry'!$C31,'Data Entry'!K31,"")</f>
        <v>0</v>
      </c>
      <c r="K30" s="46">
        <f>IF($A$1='Data Entry'!$C31,'Data Entry'!L31,"")</f>
        <v>0</v>
      </c>
      <c r="L30" s="46">
        <f>IF($A$1='Data Entry'!$C31,'Data Entry'!M31,"")</f>
        <v>0</v>
      </c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</row>
    <row r="31" spans="1:36" ht="15.95" customHeight="1" x14ac:dyDescent="0.2">
      <c r="A31" s="43"/>
      <c r="B31" s="45">
        <v>5</v>
      </c>
      <c r="C31" s="46">
        <f>IF($A$1='Data Entry'!$C32,'Data Entry'!D32,"")</f>
        <v>0</v>
      </c>
      <c r="D31" s="46">
        <f>IF($A$1='Data Entry'!$C32,'Data Entry'!E32,"")</f>
        <v>0</v>
      </c>
      <c r="E31" s="46">
        <f>IF($A$1='Data Entry'!$C32,'Data Entry'!F32,"")</f>
        <v>0</v>
      </c>
      <c r="F31" s="46">
        <f>IF($A$1='Data Entry'!$C32,'Data Entry'!G32,"")</f>
        <v>0</v>
      </c>
      <c r="G31" s="46">
        <f>IF($A$1='Data Entry'!$C32,'Data Entry'!H32,"")</f>
        <v>0</v>
      </c>
      <c r="H31" s="46">
        <f>IF($A$1='Data Entry'!$C32,'Data Entry'!I32,"")</f>
        <v>0</v>
      </c>
      <c r="I31" s="46">
        <f>IF($A$1='Data Entry'!$C32,'Data Entry'!J32,"")</f>
        <v>0</v>
      </c>
      <c r="J31" s="46">
        <f>IF($A$1='Data Entry'!$C32,'Data Entry'!K32,"")</f>
        <v>0</v>
      </c>
      <c r="K31" s="46">
        <f>IF($A$1='Data Entry'!$C32,'Data Entry'!L32,"")</f>
        <v>0</v>
      </c>
      <c r="L31" s="46">
        <f>IF($A$1='Data Entry'!$C32,'Data Entry'!M32,"")</f>
        <v>0</v>
      </c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</row>
    <row r="32" spans="1:36" ht="15.95" customHeight="1" x14ac:dyDescent="0.2">
      <c r="A32" s="43"/>
      <c r="B32" s="45">
        <v>5</v>
      </c>
      <c r="C32" s="46">
        <f>IF($A$1='Data Entry'!$C33,'Data Entry'!D33,"")</f>
        <v>0</v>
      </c>
      <c r="D32" s="46">
        <f>IF($A$1='Data Entry'!$C33,'Data Entry'!E33,"")</f>
        <v>0</v>
      </c>
      <c r="E32" s="46">
        <f>IF($A$1='Data Entry'!$C33,'Data Entry'!F33,"")</f>
        <v>0</v>
      </c>
      <c r="F32" s="46">
        <f>IF($A$1='Data Entry'!$C33,'Data Entry'!G33,"")</f>
        <v>0</v>
      </c>
      <c r="G32" s="46">
        <f>IF($A$1='Data Entry'!$C33,'Data Entry'!H33,"")</f>
        <v>0</v>
      </c>
      <c r="H32" s="46">
        <f>IF($A$1='Data Entry'!$C33,'Data Entry'!I33,"")</f>
        <v>0</v>
      </c>
      <c r="I32" s="46">
        <f>IF($A$1='Data Entry'!$C33,'Data Entry'!J33,"")</f>
        <v>0</v>
      </c>
      <c r="J32" s="46">
        <f>IF($A$1='Data Entry'!$C33,'Data Entry'!K33,"")</f>
        <v>0</v>
      </c>
      <c r="K32" s="46">
        <f>IF($A$1='Data Entry'!$C33,'Data Entry'!L33,"")</f>
        <v>0</v>
      </c>
      <c r="L32" s="46">
        <f>IF($A$1='Data Entry'!$C33,'Data Entry'!M33,"")</f>
        <v>0</v>
      </c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</row>
    <row r="33" spans="1:36" ht="15.95" customHeight="1" x14ac:dyDescent="0.2">
      <c r="A33" s="43"/>
      <c r="B33" s="45">
        <v>6</v>
      </c>
      <c r="C33" s="46">
        <f>IF($A$1='Data Entry'!$C34,'Data Entry'!D34,"")</f>
        <v>0</v>
      </c>
      <c r="D33" s="46">
        <f>IF($A$1='Data Entry'!$C34,'Data Entry'!E34,"")</f>
        <v>0</v>
      </c>
      <c r="E33" s="46">
        <f>IF($A$1='Data Entry'!$C34,'Data Entry'!F34,"")</f>
        <v>0</v>
      </c>
      <c r="F33" s="46">
        <f>IF($A$1='Data Entry'!$C34,'Data Entry'!G34,"")</f>
        <v>0</v>
      </c>
      <c r="G33" s="46">
        <f>IF($A$1='Data Entry'!$C34,'Data Entry'!H34,"")</f>
        <v>0</v>
      </c>
      <c r="H33" s="46">
        <f>IF($A$1='Data Entry'!$C34,'Data Entry'!I34,"")</f>
        <v>0</v>
      </c>
      <c r="I33" s="46">
        <f>IF($A$1='Data Entry'!$C34,'Data Entry'!J34,"")</f>
        <v>0</v>
      </c>
      <c r="J33" s="46">
        <f>IF($A$1='Data Entry'!$C34,'Data Entry'!K34,"")</f>
        <v>0</v>
      </c>
      <c r="K33" s="46">
        <f>IF($A$1='Data Entry'!$C34,'Data Entry'!L34,"")</f>
        <v>0</v>
      </c>
      <c r="L33" s="46">
        <f>IF($A$1='Data Entry'!$C34,'Data Entry'!M34,"")</f>
        <v>0</v>
      </c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</row>
    <row r="34" spans="1:36" ht="15.95" customHeight="1" x14ac:dyDescent="0.2">
      <c r="A34" s="43"/>
      <c r="B34" s="45">
        <v>6</v>
      </c>
      <c r="C34" s="46">
        <f>IF($A$1='Data Entry'!$C35,'Data Entry'!D35,"")</f>
        <v>0</v>
      </c>
      <c r="D34" s="46">
        <f>IF($A$1='Data Entry'!$C35,'Data Entry'!E35,"")</f>
        <v>0</v>
      </c>
      <c r="E34" s="46">
        <f>IF($A$1='Data Entry'!$C35,'Data Entry'!F35,"")</f>
        <v>0</v>
      </c>
      <c r="F34" s="46">
        <f>IF($A$1='Data Entry'!$C35,'Data Entry'!G35,"")</f>
        <v>0</v>
      </c>
      <c r="G34" s="46">
        <f>IF($A$1='Data Entry'!$C35,'Data Entry'!H35,"")</f>
        <v>0</v>
      </c>
      <c r="H34" s="46">
        <f>IF($A$1='Data Entry'!$C35,'Data Entry'!I35,"")</f>
        <v>0</v>
      </c>
      <c r="I34" s="46">
        <f>IF($A$1='Data Entry'!$C35,'Data Entry'!J35,"")</f>
        <v>0</v>
      </c>
      <c r="J34" s="46">
        <f>IF($A$1='Data Entry'!$C35,'Data Entry'!K35,"")</f>
        <v>0</v>
      </c>
      <c r="K34" s="46">
        <f>IF($A$1='Data Entry'!$C35,'Data Entry'!L35,"")</f>
        <v>0</v>
      </c>
      <c r="L34" s="46">
        <f>IF($A$1='Data Entry'!$C35,'Data Entry'!M35,"")</f>
        <v>0</v>
      </c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</row>
    <row r="35" spans="1:36" ht="15.95" customHeight="1" x14ac:dyDescent="0.2">
      <c r="A35" s="43"/>
      <c r="B35" s="45">
        <v>6</v>
      </c>
      <c r="C35" s="46">
        <f>IF($A$1='Data Entry'!$C36,'Data Entry'!D36,"")</f>
        <v>0</v>
      </c>
      <c r="D35" s="46">
        <f>IF($A$1='Data Entry'!$C36,'Data Entry'!E36,"")</f>
        <v>0</v>
      </c>
      <c r="E35" s="46">
        <f>IF($A$1='Data Entry'!$C36,'Data Entry'!F36,"")</f>
        <v>0</v>
      </c>
      <c r="F35" s="46">
        <f>IF($A$1='Data Entry'!$C36,'Data Entry'!G36,"")</f>
        <v>0</v>
      </c>
      <c r="G35" s="46">
        <f>IF($A$1='Data Entry'!$C36,'Data Entry'!H36,"")</f>
        <v>0</v>
      </c>
      <c r="H35" s="46">
        <f>IF($A$1='Data Entry'!$C36,'Data Entry'!I36,"")</f>
        <v>0</v>
      </c>
      <c r="I35" s="46">
        <f>IF($A$1='Data Entry'!$C36,'Data Entry'!J36,"")</f>
        <v>0</v>
      </c>
      <c r="J35" s="46">
        <f>IF($A$1='Data Entry'!$C36,'Data Entry'!K36,"")</f>
        <v>0</v>
      </c>
      <c r="K35" s="46">
        <f>IF($A$1='Data Entry'!$C36,'Data Entry'!L36,"")</f>
        <v>0</v>
      </c>
      <c r="L35" s="46">
        <f>IF($A$1='Data Entry'!$C36,'Data Entry'!M36,"")</f>
        <v>0</v>
      </c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</row>
    <row r="36" spans="1:36" ht="15.95" customHeight="1" x14ac:dyDescent="0.2">
      <c r="A36" s="43"/>
      <c r="B36" s="45">
        <v>6</v>
      </c>
      <c r="C36" s="46">
        <f>IF($A$1='Data Entry'!$C37,'Data Entry'!D37,"")</f>
        <v>0</v>
      </c>
      <c r="D36" s="46">
        <f>IF($A$1='Data Entry'!$C37,'Data Entry'!E37,"")</f>
        <v>0</v>
      </c>
      <c r="E36" s="46">
        <f>IF($A$1='Data Entry'!$C37,'Data Entry'!F37,"")</f>
        <v>0</v>
      </c>
      <c r="F36" s="46">
        <f>IF($A$1='Data Entry'!$C37,'Data Entry'!G37,"")</f>
        <v>0</v>
      </c>
      <c r="G36" s="46">
        <f>IF($A$1='Data Entry'!$C37,'Data Entry'!H37,"")</f>
        <v>0</v>
      </c>
      <c r="H36" s="46">
        <f>IF($A$1='Data Entry'!$C37,'Data Entry'!I37,"")</f>
        <v>0</v>
      </c>
      <c r="I36" s="46">
        <f>IF($A$1='Data Entry'!$C37,'Data Entry'!J37,"")</f>
        <v>0</v>
      </c>
      <c r="J36" s="46">
        <f>IF($A$1='Data Entry'!$C37,'Data Entry'!K37,"")</f>
        <v>0</v>
      </c>
      <c r="K36" s="46">
        <f>IF($A$1='Data Entry'!$C37,'Data Entry'!L37,"")</f>
        <v>0</v>
      </c>
      <c r="L36" s="46">
        <f>IF($A$1='Data Entry'!$C37,'Data Entry'!M37,"")</f>
        <v>0</v>
      </c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</row>
    <row r="37" spans="1:36" ht="15.95" customHeight="1" x14ac:dyDescent="0.2">
      <c r="A37" s="43"/>
      <c r="B37" s="45">
        <v>6</v>
      </c>
      <c r="C37" s="46">
        <f>IF($A$1='Data Entry'!$C38,'Data Entry'!D38,"")</f>
        <v>0</v>
      </c>
      <c r="D37" s="46">
        <f>IF($A$1='Data Entry'!$C38,'Data Entry'!E38,"")</f>
        <v>0</v>
      </c>
      <c r="E37" s="46">
        <f>IF($A$1='Data Entry'!$C38,'Data Entry'!F38,"")</f>
        <v>0</v>
      </c>
      <c r="F37" s="46">
        <f>IF($A$1='Data Entry'!$C38,'Data Entry'!G38,"")</f>
        <v>0</v>
      </c>
      <c r="G37" s="46">
        <f>IF($A$1='Data Entry'!$C38,'Data Entry'!H38,"")</f>
        <v>0</v>
      </c>
      <c r="H37" s="46">
        <f>IF($A$1='Data Entry'!$C38,'Data Entry'!I38,"")</f>
        <v>0</v>
      </c>
      <c r="I37" s="46">
        <f>IF($A$1='Data Entry'!$C38,'Data Entry'!J38,"")</f>
        <v>0</v>
      </c>
      <c r="J37" s="46">
        <f>IF($A$1='Data Entry'!$C38,'Data Entry'!K38,"")</f>
        <v>0</v>
      </c>
      <c r="K37" s="46">
        <f>IF($A$1='Data Entry'!$C38,'Data Entry'!L38,"")</f>
        <v>0</v>
      </c>
      <c r="L37" s="46">
        <f>IF($A$1='Data Entry'!$C38,'Data Entry'!M38,"")</f>
        <v>0</v>
      </c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</row>
    <row r="38" spans="1:36" ht="15.95" customHeight="1" x14ac:dyDescent="0.2">
      <c r="A38" s="43"/>
      <c r="B38" s="45">
        <v>6</v>
      </c>
      <c r="C38" s="46">
        <f>IF($A$1='Data Entry'!$C39,'Data Entry'!D39,"")</f>
        <v>0</v>
      </c>
      <c r="D38" s="46">
        <f>IF($A$1='Data Entry'!$C39,'Data Entry'!E39,"")</f>
        <v>0</v>
      </c>
      <c r="E38" s="46">
        <f>IF($A$1='Data Entry'!$C39,'Data Entry'!F39,"")</f>
        <v>0</v>
      </c>
      <c r="F38" s="46">
        <f>IF($A$1='Data Entry'!$C39,'Data Entry'!G39,"")</f>
        <v>0</v>
      </c>
      <c r="G38" s="46">
        <f>IF($A$1='Data Entry'!$C39,'Data Entry'!H39,"")</f>
        <v>0</v>
      </c>
      <c r="H38" s="46">
        <f>IF($A$1='Data Entry'!$C39,'Data Entry'!I39,"")</f>
        <v>0</v>
      </c>
      <c r="I38" s="46">
        <f>IF($A$1='Data Entry'!$C39,'Data Entry'!J39,"")</f>
        <v>0</v>
      </c>
      <c r="J38" s="46">
        <f>IF($A$1='Data Entry'!$C39,'Data Entry'!K39,"")</f>
        <v>0</v>
      </c>
      <c r="K38" s="46">
        <f>IF($A$1='Data Entry'!$C39,'Data Entry'!L39,"")</f>
        <v>0</v>
      </c>
      <c r="L38" s="46">
        <f>IF($A$1='Data Entry'!$C39,'Data Entry'!M39,"")</f>
        <v>0</v>
      </c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</row>
    <row r="39" spans="1:36" ht="15.95" customHeight="1" x14ac:dyDescent="0.2">
      <c r="A39" s="43"/>
      <c r="B39" s="45">
        <v>7</v>
      </c>
      <c r="C39" s="46">
        <f>IF($A$1='Data Entry'!$C40,'Data Entry'!D40,"")</f>
        <v>0</v>
      </c>
      <c r="D39" s="46">
        <f>IF($A$1='Data Entry'!$C40,'Data Entry'!E40,"")</f>
        <v>0</v>
      </c>
      <c r="E39" s="46">
        <f>IF($A$1='Data Entry'!$C40,'Data Entry'!F40,"")</f>
        <v>0</v>
      </c>
      <c r="F39" s="46">
        <f>IF($A$1='Data Entry'!$C40,'Data Entry'!G40,"")</f>
        <v>0</v>
      </c>
      <c r="G39" s="46">
        <f>IF($A$1='Data Entry'!$C40,'Data Entry'!H40,"")</f>
        <v>0</v>
      </c>
      <c r="H39" s="46">
        <f>IF($A$1='Data Entry'!$C40,'Data Entry'!I40,"")</f>
        <v>0</v>
      </c>
      <c r="I39" s="46">
        <f>IF($A$1='Data Entry'!$C40,'Data Entry'!J40,"")</f>
        <v>0</v>
      </c>
      <c r="J39" s="46">
        <f>IF($A$1='Data Entry'!$C40,'Data Entry'!K40,"")</f>
        <v>0</v>
      </c>
      <c r="K39" s="46">
        <f>IF($A$1='Data Entry'!$C40,'Data Entry'!L40,"")</f>
        <v>0</v>
      </c>
      <c r="L39" s="46">
        <f>IF($A$1='Data Entry'!$C40,'Data Entry'!M40,"")</f>
        <v>0</v>
      </c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</row>
    <row r="40" spans="1:36" ht="15.95" customHeight="1" x14ac:dyDescent="0.2">
      <c r="A40" s="43"/>
      <c r="B40" s="45">
        <v>7</v>
      </c>
      <c r="C40" s="46">
        <f>IF($A$1='Data Entry'!$C41,'Data Entry'!D41,"")</f>
        <v>0</v>
      </c>
      <c r="D40" s="46">
        <f>IF($A$1='Data Entry'!$C41,'Data Entry'!E41,"")</f>
        <v>0</v>
      </c>
      <c r="E40" s="46">
        <f>IF($A$1='Data Entry'!$C41,'Data Entry'!F41,"")</f>
        <v>0</v>
      </c>
      <c r="F40" s="46">
        <f>IF($A$1='Data Entry'!$C41,'Data Entry'!G41,"")</f>
        <v>0</v>
      </c>
      <c r="G40" s="46">
        <f>IF($A$1='Data Entry'!$C41,'Data Entry'!H41,"")</f>
        <v>0</v>
      </c>
      <c r="H40" s="46">
        <f>IF($A$1='Data Entry'!$C41,'Data Entry'!I41,"")</f>
        <v>0</v>
      </c>
      <c r="I40" s="46">
        <f>IF($A$1='Data Entry'!$C41,'Data Entry'!J41,"")</f>
        <v>0</v>
      </c>
      <c r="J40" s="46">
        <f>IF($A$1='Data Entry'!$C41,'Data Entry'!K41,"")</f>
        <v>0</v>
      </c>
      <c r="K40" s="46">
        <f>IF($A$1='Data Entry'!$C41,'Data Entry'!L41,"")</f>
        <v>0</v>
      </c>
      <c r="L40" s="46">
        <f>IF($A$1='Data Entry'!$C41,'Data Entry'!M41,"")</f>
        <v>0</v>
      </c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</row>
    <row r="41" spans="1:36" ht="15.95" customHeight="1" x14ac:dyDescent="0.2">
      <c r="A41" s="43"/>
      <c r="B41" s="45">
        <v>7</v>
      </c>
      <c r="C41" s="46">
        <f>IF($A$1='Data Entry'!$C42,'Data Entry'!D42,"")</f>
        <v>0</v>
      </c>
      <c r="D41" s="46">
        <f>IF($A$1='Data Entry'!$C42,'Data Entry'!E42,"")</f>
        <v>0</v>
      </c>
      <c r="E41" s="46">
        <f>IF($A$1='Data Entry'!$C42,'Data Entry'!F42,"")</f>
        <v>0</v>
      </c>
      <c r="F41" s="46">
        <f>IF($A$1='Data Entry'!$C42,'Data Entry'!G42,"")</f>
        <v>0</v>
      </c>
      <c r="G41" s="46">
        <f>IF($A$1='Data Entry'!$C42,'Data Entry'!H42,"")</f>
        <v>0</v>
      </c>
      <c r="H41" s="46">
        <f>IF($A$1='Data Entry'!$C42,'Data Entry'!I42,"")</f>
        <v>0</v>
      </c>
      <c r="I41" s="46">
        <f>IF($A$1='Data Entry'!$C42,'Data Entry'!J42,"")</f>
        <v>0</v>
      </c>
      <c r="J41" s="46">
        <f>IF($A$1='Data Entry'!$C42,'Data Entry'!K42,"")</f>
        <v>0</v>
      </c>
      <c r="K41" s="46">
        <f>IF($A$1='Data Entry'!$C42,'Data Entry'!L42,"")</f>
        <v>0</v>
      </c>
      <c r="L41" s="46">
        <f>IF($A$1='Data Entry'!$C42,'Data Entry'!M42,"")</f>
        <v>0</v>
      </c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</row>
    <row r="42" spans="1:36" ht="15.95" customHeight="1" x14ac:dyDescent="0.2">
      <c r="A42" s="43"/>
      <c r="B42" s="45">
        <v>7</v>
      </c>
      <c r="C42" s="46">
        <f>IF($A$1='Data Entry'!$C43,'Data Entry'!D43,"")</f>
        <v>0</v>
      </c>
      <c r="D42" s="46">
        <f>IF($A$1='Data Entry'!$C43,'Data Entry'!E43,"")</f>
        <v>0</v>
      </c>
      <c r="E42" s="46">
        <f>IF($A$1='Data Entry'!$C43,'Data Entry'!F43,"")</f>
        <v>0</v>
      </c>
      <c r="F42" s="46">
        <f>IF($A$1='Data Entry'!$C43,'Data Entry'!G43,"")</f>
        <v>0</v>
      </c>
      <c r="G42" s="46">
        <f>IF($A$1='Data Entry'!$C43,'Data Entry'!H43,"")</f>
        <v>0</v>
      </c>
      <c r="H42" s="46">
        <f>IF($A$1='Data Entry'!$C43,'Data Entry'!I43,"")</f>
        <v>0</v>
      </c>
      <c r="I42" s="46">
        <f>IF($A$1='Data Entry'!$C43,'Data Entry'!J43,"")</f>
        <v>0</v>
      </c>
      <c r="J42" s="46">
        <f>IF($A$1='Data Entry'!$C43,'Data Entry'!K43,"")</f>
        <v>0</v>
      </c>
      <c r="K42" s="46">
        <f>IF($A$1='Data Entry'!$C43,'Data Entry'!L43,"")</f>
        <v>0</v>
      </c>
      <c r="L42" s="46">
        <f>IF($A$1='Data Entry'!$C43,'Data Entry'!M43,"")</f>
        <v>0</v>
      </c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</row>
    <row r="43" spans="1:36" ht="15.95" customHeight="1" x14ac:dyDescent="0.2">
      <c r="A43" s="43"/>
      <c r="B43" s="45">
        <v>7</v>
      </c>
      <c r="C43" s="46">
        <f>IF($A$1='Data Entry'!$C44,'Data Entry'!D44,"")</f>
        <v>0</v>
      </c>
      <c r="D43" s="46">
        <f>IF($A$1='Data Entry'!$C44,'Data Entry'!E44,"")</f>
        <v>0</v>
      </c>
      <c r="E43" s="46">
        <f>IF($A$1='Data Entry'!$C44,'Data Entry'!F44,"")</f>
        <v>0</v>
      </c>
      <c r="F43" s="46">
        <f>IF($A$1='Data Entry'!$C44,'Data Entry'!G44,"")</f>
        <v>0</v>
      </c>
      <c r="G43" s="46">
        <f>IF($A$1='Data Entry'!$C44,'Data Entry'!H44,"")</f>
        <v>0</v>
      </c>
      <c r="H43" s="46">
        <f>IF($A$1='Data Entry'!$C44,'Data Entry'!I44,"")</f>
        <v>0</v>
      </c>
      <c r="I43" s="46">
        <f>IF($A$1='Data Entry'!$C44,'Data Entry'!J44,"")</f>
        <v>0</v>
      </c>
      <c r="J43" s="46">
        <f>IF($A$1='Data Entry'!$C44,'Data Entry'!K44,"")</f>
        <v>0</v>
      </c>
      <c r="K43" s="46">
        <f>IF($A$1='Data Entry'!$C44,'Data Entry'!L44,"")</f>
        <v>0</v>
      </c>
      <c r="L43" s="46">
        <f>IF($A$1='Data Entry'!$C44,'Data Entry'!M44,"")</f>
        <v>0</v>
      </c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</row>
    <row r="44" spans="1:36" ht="15.95" customHeight="1" x14ac:dyDescent="0.2">
      <c r="A44" s="43"/>
      <c r="B44" s="45">
        <v>7</v>
      </c>
      <c r="C44" s="46">
        <f>IF($A$1='Data Entry'!$C45,'Data Entry'!D45,"")</f>
        <v>0</v>
      </c>
      <c r="D44" s="46">
        <f>IF($A$1='Data Entry'!$C45,'Data Entry'!E45,"")</f>
        <v>0</v>
      </c>
      <c r="E44" s="46">
        <f>IF($A$1='Data Entry'!$C45,'Data Entry'!F45,"")</f>
        <v>0</v>
      </c>
      <c r="F44" s="46">
        <f>IF($A$1='Data Entry'!$C45,'Data Entry'!G45,"")</f>
        <v>0</v>
      </c>
      <c r="G44" s="46">
        <f>IF($A$1='Data Entry'!$C45,'Data Entry'!H45,"")</f>
        <v>0</v>
      </c>
      <c r="H44" s="46">
        <f>IF($A$1='Data Entry'!$C45,'Data Entry'!I45,"")</f>
        <v>0</v>
      </c>
      <c r="I44" s="46">
        <f>IF($A$1='Data Entry'!$C45,'Data Entry'!J45,"")</f>
        <v>0</v>
      </c>
      <c r="J44" s="46">
        <f>IF($A$1='Data Entry'!$C45,'Data Entry'!K45,"")</f>
        <v>0</v>
      </c>
      <c r="K44" s="46">
        <f>IF($A$1='Data Entry'!$C45,'Data Entry'!L45,"")</f>
        <v>0</v>
      </c>
      <c r="L44" s="46">
        <f>IF($A$1='Data Entry'!$C45,'Data Entry'!M45,"")</f>
        <v>0</v>
      </c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</row>
    <row r="45" spans="1:36" ht="15.95" customHeight="1" x14ac:dyDescent="0.2">
      <c r="A45" s="43"/>
      <c r="B45" s="45">
        <v>8</v>
      </c>
      <c r="C45" s="46">
        <f>IF($A$1='Data Entry'!$C46,'Data Entry'!D46,"")</f>
        <v>0</v>
      </c>
      <c r="D45" s="46">
        <f>IF($A$1='Data Entry'!$C46,'Data Entry'!E46,"")</f>
        <v>0</v>
      </c>
      <c r="E45" s="46">
        <f>IF($A$1='Data Entry'!$C46,'Data Entry'!F46,"")</f>
        <v>0</v>
      </c>
      <c r="F45" s="46">
        <f>IF($A$1='Data Entry'!$C46,'Data Entry'!G46,"")</f>
        <v>0</v>
      </c>
      <c r="G45" s="46">
        <f>IF($A$1='Data Entry'!$C46,'Data Entry'!H46,"")</f>
        <v>0</v>
      </c>
      <c r="H45" s="46">
        <f>IF($A$1='Data Entry'!$C46,'Data Entry'!I46,"")</f>
        <v>0</v>
      </c>
      <c r="I45" s="46">
        <f>IF($A$1='Data Entry'!$C46,'Data Entry'!J46,"")</f>
        <v>0</v>
      </c>
      <c r="J45" s="46">
        <f>IF($A$1='Data Entry'!$C46,'Data Entry'!K46,"")</f>
        <v>0</v>
      </c>
      <c r="K45" s="46">
        <f>IF($A$1='Data Entry'!$C46,'Data Entry'!L46,"")</f>
        <v>0</v>
      </c>
      <c r="L45" s="46">
        <f>IF($A$1='Data Entry'!$C46,'Data Entry'!M46,"")</f>
        <v>0</v>
      </c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</row>
    <row r="46" spans="1:36" ht="15.95" customHeight="1" x14ac:dyDescent="0.2">
      <c r="A46" s="43"/>
      <c r="B46" s="45">
        <v>8</v>
      </c>
      <c r="C46" s="46">
        <f>IF($A$1='Data Entry'!$C47,'Data Entry'!D47,"")</f>
        <v>0</v>
      </c>
      <c r="D46" s="46">
        <f>IF($A$1='Data Entry'!$C47,'Data Entry'!E47,"")</f>
        <v>0</v>
      </c>
      <c r="E46" s="46">
        <f>IF($A$1='Data Entry'!$C47,'Data Entry'!F47,"")</f>
        <v>0</v>
      </c>
      <c r="F46" s="46">
        <f>IF($A$1='Data Entry'!$C47,'Data Entry'!G47,"")</f>
        <v>0</v>
      </c>
      <c r="G46" s="46">
        <f>IF($A$1='Data Entry'!$C47,'Data Entry'!H47,"")</f>
        <v>0</v>
      </c>
      <c r="H46" s="46">
        <f>IF($A$1='Data Entry'!$C47,'Data Entry'!I47,"")</f>
        <v>0</v>
      </c>
      <c r="I46" s="46">
        <f>IF($A$1='Data Entry'!$C47,'Data Entry'!J47,"")</f>
        <v>0</v>
      </c>
      <c r="J46" s="46">
        <f>IF($A$1='Data Entry'!$C47,'Data Entry'!K47,"")</f>
        <v>0</v>
      </c>
      <c r="K46" s="46">
        <f>IF($A$1='Data Entry'!$C47,'Data Entry'!L47,"")</f>
        <v>0</v>
      </c>
      <c r="L46" s="46">
        <f>IF($A$1='Data Entry'!$C47,'Data Entry'!M47,"")</f>
        <v>0</v>
      </c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</row>
    <row r="47" spans="1:36" ht="15.95" customHeight="1" x14ac:dyDescent="0.2">
      <c r="A47" s="43"/>
      <c r="B47" s="45">
        <v>8</v>
      </c>
      <c r="C47" s="46">
        <f>IF($A$1='Data Entry'!$C48,'Data Entry'!D48,"")</f>
        <v>0</v>
      </c>
      <c r="D47" s="46">
        <f>IF($A$1='Data Entry'!$C48,'Data Entry'!E48,"")</f>
        <v>0</v>
      </c>
      <c r="E47" s="46">
        <f>IF($A$1='Data Entry'!$C48,'Data Entry'!F48,"")</f>
        <v>0</v>
      </c>
      <c r="F47" s="46">
        <f>IF($A$1='Data Entry'!$C48,'Data Entry'!G48,"")</f>
        <v>0</v>
      </c>
      <c r="G47" s="46">
        <f>IF($A$1='Data Entry'!$C48,'Data Entry'!H48,"")</f>
        <v>0</v>
      </c>
      <c r="H47" s="46">
        <f>IF($A$1='Data Entry'!$C48,'Data Entry'!I48,"")</f>
        <v>0</v>
      </c>
      <c r="I47" s="46">
        <f>IF($A$1='Data Entry'!$C48,'Data Entry'!J48,"")</f>
        <v>0</v>
      </c>
      <c r="J47" s="46">
        <f>IF($A$1='Data Entry'!$C48,'Data Entry'!K48,"")</f>
        <v>0</v>
      </c>
      <c r="K47" s="46">
        <f>IF($A$1='Data Entry'!$C48,'Data Entry'!L48,"")</f>
        <v>0</v>
      </c>
      <c r="L47" s="46">
        <f>IF($A$1='Data Entry'!$C48,'Data Entry'!M48,"")</f>
        <v>0</v>
      </c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</row>
    <row r="48" spans="1:36" ht="15.95" customHeight="1" x14ac:dyDescent="0.2">
      <c r="A48" s="43"/>
      <c r="B48" s="45">
        <v>8</v>
      </c>
      <c r="C48" s="46">
        <f>IF($A$1='Data Entry'!$C49,'Data Entry'!D49,"")</f>
        <v>0</v>
      </c>
      <c r="D48" s="46">
        <f>IF($A$1='Data Entry'!$C49,'Data Entry'!E49,"")</f>
        <v>0</v>
      </c>
      <c r="E48" s="46">
        <f>IF($A$1='Data Entry'!$C49,'Data Entry'!F49,"")</f>
        <v>0</v>
      </c>
      <c r="F48" s="46">
        <f>IF($A$1='Data Entry'!$C49,'Data Entry'!G49,"")</f>
        <v>0</v>
      </c>
      <c r="G48" s="46">
        <f>IF($A$1='Data Entry'!$C49,'Data Entry'!H49,"")</f>
        <v>0</v>
      </c>
      <c r="H48" s="46">
        <f>IF($A$1='Data Entry'!$C49,'Data Entry'!I49,"")</f>
        <v>0</v>
      </c>
      <c r="I48" s="46">
        <f>IF($A$1='Data Entry'!$C49,'Data Entry'!J49,"")</f>
        <v>0</v>
      </c>
      <c r="J48" s="46">
        <f>IF($A$1='Data Entry'!$C49,'Data Entry'!K49,"")</f>
        <v>0</v>
      </c>
      <c r="K48" s="46">
        <f>IF($A$1='Data Entry'!$C49,'Data Entry'!L49,"")</f>
        <v>0</v>
      </c>
      <c r="L48" s="46">
        <f>IF($A$1='Data Entry'!$C49,'Data Entry'!M49,"")</f>
        <v>0</v>
      </c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</row>
    <row r="49" spans="1:36" ht="15.95" customHeight="1" x14ac:dyDescent="0.2">
      <c r="A49" s="43"/>
      <c r="B49" s="45">
        <v>8</v>
      </c>
      <c r="C49" s="46">
        <f>IF($A$1='Data Entry'!$C50,'Data Entry'!D50,"")</f>
        <v>0</v>
      </c>
      <c r="D49" s="46">
        <f>IF($A$1='Data Entry'!$C50,'Data Entry'!E50,"")</f>
        <v>0</v>
      </c>
      <c r="E49" s="46">
        <f>IF($A$1='Data Entry'!$C50,'Data Entry'!F50,"")</f>
        <v>0</v>
      </c>
      <c r="F49" s="46">
        <f>IF($A$1='Data Entry'!$C50,'Data Entry'!G50,"")</f>
        <v>0</v>
      </c>
      <c r="G49" s="46">
        <f>IF($A$1='Data Entry'!$C50,'Data Entry'!H50,"")</f>
        <v>0</v>
      </c>
      <c r="H49" s="46">
        <f>IF($A$1='Data Entry'!$C50,'Data Entry'!I50,"")</f>
        <v>0</v>
      </c>
      <c r="I49" s="46">
        <f>IF($A$1='Data Entry'!$C50,'Data Entry'!J50,"")</f>
        <v>0</v>
      </c>
      <c r="J49" s="46">
        <f>IF($A$1='Data Entry'!$C50,'Data Entry'!K50,"")</f>
        <v>0</v>
      </c>
      <c r="K49" s="46">
        <f>IF($A$1='Data Entry'!$C50,'Data Entry'!L50,"")</f>
        <v>0</v>
      </c>
      <c r="L49" s="46">
        <f>IF($A$1='Data Entry'!$C50,'Data Entry'!M50,"")</f>
        <v>0</v>
      </c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</row>
    <row r="50" spans="1:36" ht="15.95" customHeight="1" x14ac:dyDescent="0.2">
      <c r="A50" s="43"/>
      <c r="B50" s="45">
        <v>8</v>
      </c>
      <c r="C50" s="46">
        <f>IF($A$1='Data Entry'!$C51,'Data Entry'!D51,"")</f>
        <v>0</v>
      </c>
      <c r="D50" s="46">
        <f>IF($A$1='Data Entry'!$C51,'Data Entry'!E51,"")</f>
        <v>0</v>
      </c>
      <c r="E50" s="46">
        <f>IF($A$1='Data Entry'!$C51,'Data Entry'!F51,"")</f>
        <v>0</v>
      </c>
      <c r="F50" s="46">
        <f>IF($A$1='Data Entry'!$C51,'Data Entry'!G51,"")</f>
        <v>0</v>
      </c>
      <c r="G50" s="46">
        <f>IF($A$1='Data Entry'!$C51,'Data Entry'!H51,"")</f>
        <v>0</v>
      </c>
      <c r="H50" s="46">
        <f>IF($A$1='Data Entry'!$C51,'Data Entry'!I51,"")</f>
        <v>0</v>
      </c>
      <c r="I50" s="46">
        <f>IF($A$1='Data Entry'!$C51,'Data Entry'!J51,"")</f>
        <v>0</v>
      </c>
      <c r="J50" s="46">
        <f>IF($A$1='Data Entry'!$C51,'Data Entry'!K51,"")</f>
        <v>0</v>
      </c>
      <c r="K50" s="46">
        <f>IF($A$1='Data Entry'!$C51,'Data Entry'!L51,"")</f>
        <v>0</v>
      </c>
      <c r="L50" s="46">
        <f>IF($A$1='Data Entry'!$C51,'Data Entry'!M51,"")</f>
        <v>0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</row>
    <row r="51" spans="1:36" ht="15.95" customHeight="1" x14ac:dyDescent="0.2">
      <c r="A51" s="43"/>
      <c r="B51" s="45">
        <v>9</v>
      </c>
      <c r="C51" s="46">
        <f>IF($A$1='Data Entry'!$C52,'Data Entry'!D52,"")</f>
        <v>0</v>
      </c>
      <c r="D51" s="46">
        <f>IF($A$1='Data Entry'!$C52,'Data Entry'!E52,"")</f>
        <v>0</v>
      </c>
      <c r="E51" s="46">
        <f>IF($A$1='Data Entry'!$C52,'Data Entry'!F52,"")</f>
        <v>0</v>
      </c>
      <c r="F51" s="46">
        <f>IF($A$1='Data Entry'!$C52,'Data Entry'!G52,"")</f>
        <v>0</v>
      </c>
      <c r="G51" s="46">
        <f>IF($A$1='Data Entry'!$C52,'Data Entry'!H52,"")</f>
        <v>0</v>
      </c>
      <c r="H51" s="46">
        <f>IF($A$1='Data Entry'!$C52,'Data Entry'!I52,"")</f>
        <v>0</v>
      </c>
      <c r="I51" s="46">
        <f>IF($A$1='Data Entry'!$C52,'Data Entry'!J52,"")</f>
        <v>0</v>
      </c>
      <c r="J51" s="46">
        <f>IF($A$1='Data Entry'!$C52,'Data Entry'!K52,"")</f>
        <v>0</v>
      </c>
      <c r="K51" s="46">
        <f>IF($A$1='Data Entry'!$C52,'Data Entry'!L52,"")</f>
        <v>0</v>
      </c>
      <c r="L51" s="46">
        <f>IF($A$1='Data Entry'!$C52,'Data Entry'!M52,"")</f>
        <v>0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</row>
    <row r="52" spans="1:36" ht="15.95" customHeight="1" x14ac:dyDescent="0.2">
      <c r="A52" s="43"/>
      <c r="B52" s="45">
        <v>9</v>
      </c>
      <c r="C52" s="46">
        <f>IF($A$1='Data Entry'!$C53,'Data Entry'!D53,"")</f>
        <v>0</v>
      </c>
      <c r="D52" s="46">
        <f>IF($A$1='Data Entry'!$C53,'Data Entry'!E53,"")</f>
        <v>0</v>
      </c>
      <c r="E52" s="46">
        <f>IF($A$1='Data Entry'!$C53,'Data Entry'!F53,"")</f>
        <v>0</v>
      </c>
      <c r="F52" s="46">
        <f>IF($A$1='Data Entry'!$C53,'Data Entry'!G53,"")</f>
        <v>0</v>
      </c>
      <c r="G52" s="46">
        <f>IF($A$1='Data Entry'!$C53,'Data Entry'!H53,"")</f>
        <v>0</v>
      </c>
      <c r="H52" s="46">
        <f>IF($A$1='Data Entry'!$C53,'Data Entry'!I53,"")</f>
        <v>0</v>
      </c>
      <c r="I52" s="46">
        <f>IF($A$1='Data Entry'!$C53,'Data Entry'!J53,"")</f>
        <v>0</v>
      </c>
      <c r="J52" s="46">
        <f>IF($A$1='Data Entry'!$C53,'Data Entry'!K53,"")</f>
        <v>0</v>
      </c>
      <c r="K52" s="46">
        <f>IF($A$1='Data Entry'!$C53,'Data Entry'!L53,"")</f>
        <v>0</v>
      </c>
      <c r="L52" s="46">
        <f>IF($A$1='Data Entry'!$C53,'Data Entry'!M53,"")</f>
        <v>0</v>
      </c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</row>
    <row r="53" spans="1:36" ht="15.95" customHeight="1" x14ac:dyDescent="0.2">
      <c r="A53" s="43"/>
      <c r="B53" s="45">
        <v>9</v>
      </c>
      <c r="C53" s="46">
        <f>IF($A$1='Data Entry'!$C54,'Data Entry'!D54,"")</f>
        <v>0</v>
      </c>
      <c r="D53" s="46">
        <f>IF($A$1='Data Entry'!$C54,'Data Entry'!E54,"")</f>
        <v>0</v>
      </c>
      <c r="E53" s="46">
        <f>IF($A$1='Data Entry'!$C54,'Data Entry'!F54,"")</f>
        <v>0</v>
      </c>
      <c r="F53" s="46">
        <f>IF($A$1='Data Entry'!$C54,'Data Entry'!G54,"")</f>
        <v>0</v>
      </c>
      <c r="G53" s="46">
        <f>IF($A$1='Data Entry'!$C54,'Data Entry'!H54,"")</f>
        <v>0</v>
      </c>
      <c r="H53" s="46">
        <f>IF($A$1='Data Entry'!$C54,'Data Entry'!I54,"")</f>
        <v>0</v>
      </c>
      <c r="I53" s="46">
        <f>IF($A$1='Data Entry'!$C54,'Data Entry'!J54,"")</f>
        <v>0</v>
      </c>
      <c r="J53" s="46">
        <f>IF($A$1='Data Entry'!$C54,'Data Entry'!K54,"")</f>
        <v>0</v>
      </c>
      <c r="K53" s="46">
        <f>IF($A$1='Data Entry'!$C54,'Data Entry'!L54,"")</f>
        <v>0</v>
      </c>
      <c r="L53" s="46">
        <f>IF($A$1='Data Entry'!$C54,'Data Entry'!M54,"")</f>
        <v>0</v>
      </c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</row>
    <row r="54" spans="1:36" ht="15.95" customHeight="1" x14ac:dyDescent="0.2">
      <c r="A54" s="43"/>
      <c r="B54" s="45">
        <v>9</v>
      </c>
      <c r="C54" s="46">
        <f>IF($A$1='Data Entry'!$C55,'Data Entry'!D55,"")</f>
        <v>0</v>
      </c>
      <c r="D54" s="46">
        <f>IF($A$1='Data Entry'!$C55,'Data Entry'!E55,"")</f>
        <v>0</v>
      </c>
      <c r="E54" s="46">
        <f>IF($A$1='Data Entry'!$C55,'Data Entry'!F55,"")</f>
        <v>0</v>
      </c>
      <c r="F54" s="46">
        <f>IF($A$1='Data Entry'!$C55,'Data Entry'!G55,"")</f>
        <v>0</v>
      </c>
      <c r="G54" s="46">
        <f>IF($A$1='Data Entry'!$C55,'Data Entry'!H55,"")</f>
        <v>0</v>
      </c>
      <c r="H54" s="46">
        <f>IF($A$1='Data Entry'!$C55,'Data Entry'!I55,"")</f>
        <v>0</v>
      </c>
      <c r="I54" s="46">
        <f>IF($A$1='Data Entry'!$C55,'Data Entry'!J55,"")</f>
        <v>0</v>
      </c>
      <c r="J54" s="46">
        <f>IF($A$1='Data Entry'!$C55,'Data Entry'!K55,"")</f>
        <v>0</v>
      </c>
      <c r="K54" s="46">
        <f>IF($A$1='Data Entry'!$C55,'Data Entry'!L55,"")</f>
        <v>0</v>
      </c>
      <c r="L54" s="46">
        <f>IF($A$1='Data Entry'!$C55,'Data Entry'!M55,"")</f>
        <v>0</v>
      </c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</row>
    <row r="55" spans="1:36" ht="15.95" customHeight="1" x14ac:dyDescent="0.2">
      <c r="A55" s="43"/>
      <c r="B55" s="45">
        <v>9</v>
      </c>
      <c r="C55" s="46">
        <f>IF($A$1='Data Entry'!$C56,'Data Entry'!D56,"")</f>
        <v>0</v>
      </c>
      <c r="D55" s="46">
        <f>IF($A$1='Data Entry'!$C56,'Data Entry'!E56,"")</f>
        <v>0</v>
      </c>
      <c r="E55" s="46">
        <f>IF($A$1='Data Entry'!$C56,'Data Entry'!F56,"")</f>
        <v>0</v>
      </c>
      <c r="F55" s="46">
        <f>IF($A$1='Data Entry'!$C56,'Data Entry'!G56,"")</f>
        <v>0</v>
      </c>
      <c r="G55" s="46">
        <f>IF($A$1='Data Entry'!$C56,'Data Entry'!H56,"")</f>
        <v>0</v>
      </c>
      <c r="H55" s="46">
        <f>IF($A$1='Data Entry'!$C56,'Data Entry'!I56,"")</f>
        <v>0</v>
      </c>
      <c r="I55" s="46">
        <f>IF($A$1='Data Entry'!$C56,'Data Entry'!J56,"")</f>
        <v>0</v>
      </c>
      <c r="J55" s="46">
        <f>IF($A$1='Data Entry'!$C56,'Data Entry'!K56,"")</f>
        <v>0</v>
      </c>
      <c r="K55" s="46">
        <f>IF($A$1='Data Entry'!$C56,'Data Entry'!L56,"")</f>
        <v>0</v>
      </c>
      <c r="L55" s="46">
        <f>IF($A$1='Data Entry'!$C56,'Data Entry'!M56,"")</f>
        <v>0</v>
      </c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</row>
    <row r="56" spans="1:36" ht="15.95" customHeight="1" x14ac:dyDescent="0.2">
      <c r="A56" s="43"/>
      <c r="B56" s="45">
        <v>9</v>
      </c>
      <c r="C56" s="46">
        <f>IF($A$1='Data Entry'!$C57,'Data Entry'!D57,"")</f>
        <v>0</v>
      </c>
      <c r="D56" s="46">
        <f>IF($A$1='Data Entry'!$C57,'Data Entry'!E57,"")</f>
        <v>0</v>
      </c>
      <c r="E56" s="46">
        <f>IF($A$1='Data Entry'!$C57,'Data Entry'!F57,"")</f>
        <v>0</v>
      </c>
      <c r="F56" s="46">
        <f>IF($A$1='Data Entry'!$C57,'Data Entry'!G57,"")</f>
        <v>0</v>
      </c>
      <c r="G56" s="46">
        <f>IF($A$1='Data Entry'!$C57,'Data Entry'!H57,"")</f>
        <v>0</v>
      </c>
      <c r="H56" s="46">
        <f>IF($A$1='Data Entry'!$C57,'Data Entry'!I57,"")</f>
        <v>0</v>
      </c>
      <c r="I56" s="46">
        <f>IF($A$1='Data Entry'!$C57,'Data Entry'!J57,"")</f>
        <v>0</v>
      </c>
      <c r="J56" s="46">
        <f>IF($A$1='Data Entry'!$C57,'Data Entry'!K57,"")</f>
        <v>0</v>
      </c>
      <c r="K56" s="46">
        <f>IF($A$1='Data Entry'!$C57,'Data Entry'!L57,"")</f>
        <v>0</v>
      </c>
      <c r="L56" s="46">
        <f>IF($A$1='Data Entry'!$C57,'Data Entry'!M57,"")</f>
        <v>0</v>
      </c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  <row r="57" spans="1:36" ht="15.95" customHeight="1" x14ac:dyDescent="0.2">
      <c r="A57" s="43"/>
      <c r="B57" s="45">
        <v>10</v>
      </c>
      <c r="C57" s="46">
        <f>IF($A$1='Data Entry'!$C58,'Data Entry'!D58,"")</f>
        <v>0</v>
      </c>
      <c r="D57" s="46">
        <f>IF($A$1='Data Entry'!$C58,'Data Entry'!E58,"")</f>
        <v>0</v>
      </c>
      <c r="E57" s="46">
        <f>IF($A$1='Data Entry'!$C58,'Data Entry'!F58,"")</f>
        <v>0</v>
      </c>
      <c r="F57" s="46">
        <f>IF($A$1='Data Entry'!$C58,'Data Entry'!G58,"")</f>
        <v>0</v>
      </c>
      <c r="G57" s="46">
        <f>IF($A$1='Data Entry'!$C58,'Data Entry'!H58,"")</f>
        <v>0</v>
      </c>
      <c r="H57" s="46">
        <f>IF($A$1='Data Entry'!$C58,'Data Entry'!I58,"")</f>
        <v>0</v>
      </c>
      <c r="I57" s="46">
        <f>IF($A$1='Data Entry'!$C58,'Data Entry'!J58,"")</f>
        <v>0</v>
      </c>
      <c r="J57" s="46">
        <f>IF($A$1='Data Entry'!$C58,'Data Entry'!K58,"")</f>
        <v>0</v>
      </c>
      <c r="K57" s="46">
        <f>IF($A$1='Data Entry'!$C58,'Data Entry'!L58,"")</f>
        <v>0</v>
      </c>
      <c r="L57" s="46">
        <f>IF($A$1='Data Entry'!$C58,'Data Entry'!M58,"")</f>
        <v>0</v>
      </c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</row>
    <row r="58" spans="1:36" ht="15.95" customHeight="1" x14ac:dyDescent="0.2">
      <c r="A58" s="43"/>
      <c r="B58" s="45">
        <v>10</v>
      </c>
      <c r="C58" s="46">
        <f>IF($A$1='Data Entry'!$C59,'Data Entry'!D59,"")</f>
        <v>0</v>
      </c>
      <c r="D58" s="46">
        <f>IF($A$1='Data Entry'!$C59,'Data Entry'!E59,"")</f>
        <v>0</v>
      </c>
      <c r="E58" s="46">
        <f>IF($A$1='Data Entry'!$C59,'Data Entry'!F59,"")</f>
        <v>0</v>
      </c>
      <c r="F58" s="46">
        <f>IF($A$1='Data Entry'!$C59,'Data Entry'!G59,"")</f>
        <v>0</v>
      </c>
      <c r="G58" s="46">
        <f>IF($A$1='Data Entry'!$C59,'Data Entry'!H59,"")</f>
        <v>0</v>
      </c>
      <c r="H58" s="46">
        <f>IF($A$1='Data Entry'!$C59,'Data Entry'!I59,"")</f>
        <v>0</v>
      </c>
      <c r="I58" s="46">
        <f>IF($A$1='Data Entry'!$C59,'Data Entry'!J59,"")</f>
        <v>0</v>
      </c>
      <c r="J58" s="46">
        <f>IF($A$1='Data Entry'!$C59,'Data Entry'!K59,"")</f>
        <v>0</v>
      </c>
      <c r="K58" s="46">
        <f>IF($A$1='Data Entry'!$C59,'Data Entry'!L59,"")</f>
        <v>0</v>
      </c>
      <c r="L58" s="46">
        <f>IF($A$1='Data Entry'!$C59,'Data Entry'!M59,"")</f>
        <v>0</v>
      </c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</row>
    <row r="59" spans="1:36" ht="15.95" customHeight="1" x14ac:dyDescent="0.2">
      <c r="A59" s="43"/>
      <c r="B59" s="45">
        <v>10</v>
      </c>
      <c r="C59" s="46">
        <f>IF($A$1='Data Entry'!$C60,'Data Entry'!D60,"")</f>
        <v>0</v>
      </c>
      <c r="D59" s="46">
        <f>IF($A$1='Data Entry'!$C60,'Data Entry'!E60,"")</f>
        <v>0</v>
      </c>
      <c r="E59" s="46">
        <f>IF($A$1='Data Entry'!$C60,'Data Entry'!F60,"")</f>
        <v>0</v>
      </c>
      <c r="F59" s="46">
        <f>IF($A$1='Data Entry'!$C60,'Data Entry'!G60,"")</f>
        <v>0</v>
      </c>
      <c r="G59" s="46">
        <f>IF($A$1='Data Entry'!$C60,'Data Entry'!H60,"")</f>
        <v>0</v>
      </c>
      <c r="H59" s="46">
        <f>IF($A$1='Data Entry'!$C60,'Data Entry'!I60,"")</f>
        <v>0</v>
      </c>
      <c r="I59" s="46">
        <f>IF($A$1='Data Entry'!$C60,'Data Entry'!J60,"")</f>
        <v>0</v>
      </c>
      <c r="J59" s="46">
        <f>IF($A$1='Data Entry'!$C60,'Data Entry'!K60,"")</f>
        <v>0</v>
      </c>
      <c r="K59" s="46">
        <f>IF($A$1='Data Entry'!$C60,'Data Entry'!L60,"")</f>
        <v>0</v>
      </c>
      <c r="L59" s="46">
        <f>IF($A$1='Data Entry'!$C60,'Data Entry'!M60,"")</f>
        <v>0</v>
      </c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</row>
    <row r="60" spans="1:36" ht="15.95" customHeight="1" x14ac:dyDescent="0.2">
      <c r="A60" s="43"/>
      <c r="B60" s="45">
        <v>10</v>
      </c>
      <c r="C60" s="46">
        <f>IF($A$1='Data Entry'!$C61,'Data Entry'!D61,"")</f>
        <v>0</v>
      </c>
      <c r="D60" s="46">
        <f>IF($A$1='Data Entry'!$C61,'Data Entry'!E61,"")</f>
        <v>0</v>
      </c>
      <c r="E60" s="46">
        <f>IF($A$1='Data Entry'!$C61,'Data Entry'!F61,"")</f>
        <v>0</v>
      </c>
      <c r="F60" s="46">
        <f>IF($A$1='Data Entry'!$C61,'Data Entry'!G61,"")</f>
        <v>0</v>
      </c>
      <c r="G60" s="46">
        <f>IF($A$1='Data Entry'!$C61,'Data Entry'!H61,"")</f>
        <v>0</v>
      </c>
      <c r="H60" s="46">
        <f>IF($A$1='Data Entry'!$C61,'Data Entry'!I61,"")</f>
        <v>0</v>
      </c>
      <c r="I60" s="46">
        <f>IF($A$1='Data Entry'!$C61,'Data Entry'!J61,"")</f>
        <v>0</v>
      </c>
      <c r="J60" s="46">
        <f>IF($A$1='Data Entry'!$C61,'Data Entry'!K61,"")</f>
        <v>0</v>
      </c>
      <c r="K60" s="46">
        <f>IF($A$1='Data Entry'!$C61,'Data Entry'!L61,"")</f>
        <v>0</v>
      </c>
      <c r="L60" s="46">
        <f>IF($A$1='Data Entry'!$C61,'Data Entry'!M61,"")</f>
        <v>0</v>
      </c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</row>
    <row r="61" spans="1:36" ht="15.95" customHeight="1" x14ac:dyDescent="0.2">
      <c r="A61" s="43"/>
      <c r="B61" s="45">
        <v>10</v>
      </c>
      <c r="C61" s="46">
        <f>IF($A$1='Data Entry'!$C62,'Data Entry'!D62,"")</f>
        <v>0</v>
      </c>
      <c r="D61" s="46">
        <f>IF($A$1='Data Entry'!$C62,'Data Entry'!E62,"")</f>
        <v>0</v>
      </c>
      <c r="E61" s="46">
        <f>IF($A$1='Data Entry'!$C62,'Data Entry'!F62,"")</f>
        <v>0</v>
      </c>
      <c r="F61" s="46">
        <f>IF($A$1='Data Entry'!$C62,'Data Entry'!G62,"")</f>
        <v>0</v>
      </c>
      <c r="G61" s="46">
        <f>IF($A$1='Data Entry'!$C62,'Data Entry'!H62,"")</f>
        <v>0</v>
      </c>
      <c r="H61" s="46">
        <f>IF($A$1='Data Entry'!$C62,'Data Entry'!I62,"")</f>
        <v>0</v>
      </c>
      <c r="I61" s="46">
        <f>IF($A$1='Data Entry'!$C62,'Data Entry'!J62,"")</f>
        <v>0</v>
      </c>
      <c r="J61" s="46">
        <f>IF($A$1='Data Entry'!$C62,'Data Entry'!K62,"")</f>
        <v>0</v>
      </c>
      <c r="K61" s="46">
        <f>IF($A$1='Data Entry'!$C62,'Data Entry'!L62,"")</f>
        <v>0</v>
      </c>
      <c r="L61" s="46">
        <f>IF($A$1='Data Entry'!$C62,'Data Entry'!M62,"")</f>
        <v>0</v>
      </c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</row>
    <row r="62" spans="1:36" ht="15.95" customHeight="1" x14ac:dyDescent="0.2">
      <c r="A62" s="43"/>
      <c r="B62" s="45">
        <v>10</v>
      </c>
      <c r="C62" s="46">
        <f>IF($A$1='Data Entry'!$C63,'Data Entry'!D63,"")</f>
        <v>0</v>
      </c>
      <c r="D62" s="46">
        <f>IF($A$1='Data Entry'!$C63,'Data Entry'!E63,"")</f>
        <v>0</v>
      </c>
      <c r="E62" s="46">
        <f>IF($A$1='Data Entry'!$C63,'Data Entry'!F63,"")</f>
        <v>0</v>
      </c>
      <c r="F62" s="46">
        <f>IF($A$1='Data Entry'!$C63,'Data Entry'!G63,"")</f>
        <v>0</v>
      </c>
      <c r="G62" s="46">
        <f>IF($A$1='Data Entry'!$C63,'Data Entry'!H63,"")</f>
        <v>0</v>
      </c>
      <c r="H62" s="46">
        <f>IF($A$1='Data Entry'!$C63,'Data Entry'!I63,"")</f>
        <v>0</v>
      </c>
      <c r="I62" s="46">
        <f>IF($A$1='Data Entry'!$C63,'Data Entry'!J63,"")</f>
        <v>0</v>
      </c>
      <c r="J62" s="46">
        <f>IF($A$1='Data Entry'!$C63,'Data Entry'!K63,"")</f>
        <v>0</v>
      </c>
      <c r="K62" s="46">
        <f>IF($A$1='Data Entry'!$C63,'Data Entry'!L63,"")</f>
        <v>0</v>
      </c>
      <c r="L62" s="46">
        <f>IF($A$1='Data Entry'!$C63,'Data Entry'!M63,"")</f>
        <v>0</v>
      </c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</row>
    <row r="63" spans="1:36" ht="15.95" customHeight="1" x14ac:dyDescent="0.2">
      <c r="A63" s="43"/>
      <c r="B63" s="45">
        <v>11</v>
      </c>
      <c r="C63" s="46">
        <f>IF($A$1='Data Entry'!$C64,'Data Entry'!D64,"")</f>
        <v>0</v>
      </c>
      <c r="D63" s="46">
        <f>IF($A$1='Data Entry'!$C64,'Data Entry'!E64,"")</f>
        <v>0</v>
      </c>
      <c r="E63" s="46">
        <f>IF($A$1='Data Entry'!$C64,'Data Entry'!F64,"")</f>
        <v>0</v>
      </c>
      <c r="F63" s="46">
        <f>IF($A$1='Data Entry'!$C64,'Data Entry'!G64,"")</f>
        <v>0</v>
      </c>
      <c r="G63" s="46">
        <f>IF($A$1='Data Entry'!$C64,'Data Entry'!H64,"")</f>
        <v>0</v>
      </c>
      <c r="H63" s="46">
        <f>IF($A$1='Data Entry'!$C64,'Data Entry'!I64,"")</f>
        <v>0</v>
      </c>
      <c r="I63" s="46">
        <f>IF($A$1='Data Entry'!$C64,'Data Entry'!J64,"")</f>
        <v>0</v>
      </c>
      <c r="J63" s="46">
        <f>IF($A$1='Data Entry'!$C64,'Data Entry'!K64,"")</f>
        <v>0</v>
      </c>
      <c r="K63" s="46">
        <f>IF($A$1='Data Entry'!$C64,'Data Entry'!L64,"")</f>
        <v>0</v>
      </c>
      <c r="L63" s="46">
        <f>IF($A$1='Data Entry'!$C64,'Data Entry'!M64,"")</f>
        <v>0</v>
      </c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</row>
    <row r="64" spans="1:36" ht="15.95" customHeight="1" x14ac:dyDescent="0.2">
      <c r="A64" s="43"/>
      <c r="B64" s="45">
        <v>11</v>
      </c>
      <c r="C64" s="46">
        <f>IF($A$1='Data Entry'!$C65,'Data Entry'!D65,"")</f>
        <v>0</v>
      </c>
      <c r="D64" s="46">
        <f>IF($A$1='Data Entry'!$C65,'Data Entry'!E65,"")</f>
        <v>0</v>
      </c>
      <c r="E64" s="46">
        <f>IF($A$1='Data Entry'!$C65,'Data Entry'!F65,"")</f>
        <v>0</v>
      </c>
      <c r="F64" s="46">
        <f>IF($A$1='Data Entry'!$C65,'Data Entry'!G65,"")</f>
        <v>0</v>
      </c>
      <c r="G64" s="46">
        <f>IF($A$1='Data Entry'!$C65,'Data Entry'!H65,"")</f>
        <v>0</v>
      </c>
      <c r="H64" s="46">
        <f>IF($A$1='Data Entry'!$C65,'Data Entry'!I65,"")</f>
        <v>0</v>
      </c>
      <c r="I64" s="46">
        <f>IF($A$1='Data Entry'!$C65,'Data Entry'!J65,"")</f>
        <v>0</v>
      </c>
      <c r="J64" s="46">
        <f>IF($A$1='Data Entry'!$C65,'Data Entry'!K65,"")</f>
        <v>0</v>
      </c>
      <c r="K64" s="46">
        <f>IF($A$1='Data Entry'!$C65,'Data Entry'!L65,"")</f>
        <v>0</v>
      </c>
      <c r="L64" s="46">
        <f>IF($A$1='Data Entry'!$C65,'Data Entry'!M65,"")</f>
        <v>0</v>
      </c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</row>
    <row r="65" spans="1:36" ht="15.95" customHeight="1" x14ac:dyDescent="0.2">
      <c r="A65" s="43"/>
      <c r="B65" s="45">
        <v>11</v>
      </c>
      <c r="C65" s="46">
        <f>IF($A$1='Data Entry'!$C66,'Data Entry'!D66,"")</f>
        <v>0</v>
      </c>
      <c r="D65" s="46">
        <f>IF($A$1='Data Entry'!$C66,'Data Entry'!E66,"")</f>
        <v>0</v>
      </c>
      <c r="E65" s="46">
        <f>IF($A$1='Data Entry'!$C66,'Data Entry'!F66,"")</f>
        <v>0</v>
      </c>
      <c r="F65" s="46">
        <f>IF($A$1='Data Entry'!$C66,'Data Entry'!G66,"")</f>
        <v>0</v>
      </c>
      <c r="G65" s="46">
        <f>IF($A$1='Data Entry'!$C66,'Data Entry'!H66,"")</f>
        <v>0</v>
      </c>
      <c r="H65" s="46">
        <f>IF($A$1='Data Entry'!$C66,'Data Entry'!I66,"")</f>
        <v>0</v>
      </c>
      <c r="I65" s="46">
        <f>IF($A$1='Data Entry'!$C66,'Data Entry'!J66,"")</f>
        <v>0</v>
      </c>
      <c r="J65" s="46">
        <f>IF($A$1='Data Entry'!$C66,'Data Entry'!K66,"")</f>
        <v>0</v>
      </c>
      <c r="K65" s="46">
        <f>IF($A$1='Data Entry'!$C66,'Data Entry'!L66,"")</f>
        <v>0</v>
      </c>
      <c r="L65" s="46">
        <f>IF($A$1='Data Entry'!$C66,'Data Entry'!M66,"")</f>
        <v>0</v>
      </c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</row>
    <row r="66" spans="1:36" ht="15.95" customHeight="1" x14ac:dyDescent="0.2">
      <c r="A66" s="43"/>
      <c r="B66" s="45">
        <v>11</v>
      </c>
      <c r="C66" s="46">
        <f>IF($A$1='Data Entry'!$C67,'Data Entry'!D67,"")</f>
        <v>0</v>
      </c>
      <c r="D66" s="46">
        <f>IF($A$1='Data Entry'!$C67,'Data Entry'!E67,"")</f>
        <v>0</v>
      </c>
      <c r="E66" s="46">
        <f>IF($A$1='Data Entry'!$C67,'Data Entry'!F67,"")</f>
        <v>0</v>
      </c>
      <c r="F66" s="46">
        <f>IF($A$1='Data Entry'!$C67,'Data Entry'!G67,"")</f>
        <v>0</v>
      </c>
      <c r="G66" s="46">
        <f>IF($A$1='Data Entry'!$C67,'Data Entry'!H67,"")</f>
        <v>0</v>
      </c>
      <c r="H66" s="46">
        <f>IF($A$1='Data Entry'!$C67,'Data Entry'!I67,"")</f>
        <v>0</v>
      </c>
      <c r="I66" s="46">
        <f>IF($A$1='Data Entry'!$C67,'Data Entry'!J67,"")</f>
        <v>0</v>
      </c>
      <c r="J66" s="46">
        <f>IF($A$1='Data Entry'!$C67,'Data Entry'!K67,"")</f>
        <v>0</v>
      </c>
      <c r="K66" s="46">
        <f>IF($A$1='Data Entry'!$C67,'Data Entry'!L67,"")</f>
        <v>0</v>
      </c>
      <c r="L66" s="46">
        <f>IF($A$1='Data Entry'!$C67,'Data Entry'!M67,"")</f>
        <v>0</v>
      </c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</row>
    <row r="67" spans="1:36" ht="15.95" customHeight="1" x14ac:dyDescent="0.2">
      <c r="A67" s="43"/>
      <c r="B67" s="45">
        <v>11</v>
      </c>
      <c r="C67" s="46">
        <f>IF($A$1='Data Entry'!$C68,'Data Entry'!D68,"")</f>
        <v>0</v>
      </c>
      <c r="D67" s="46">
        <f>IF($A$1='Data Entry'!$C68,'Data Entry'!E68,"")</f>
        <v>0</v>
      </c>
      <c r="E67" s="46">
        <f>IF($A$1='Data Entry'!$C68,'Data Entry'!F68,"")</f>
        <v>0</v>
      </c>
      <c r="F67" s="46">
        <f>IF($A$1='Data Entry'!$C68,'Data Entry'!G68,"")</f>
        <v>0</v>
      </c>
      <c r="G67" s="46">
        <f>IF($A$1='Data Entry'!$C68,'Data Entry'!H68,"")</f>
        <v>0</v>
      </c>
      <c r="H67" s="46">
        <f>IF($A$1='Data Entry'!$C68,'Data Entry'!I68,"")</f>
        <v>0</v>
      </c>
      <c r="I67" s="46">
        <f>IF($A$1='Data Entry'!$C68,'Data Entry'!J68,"")</f>
        <v>0</v>
      </c>
      <c r="J67" s="46">
        <f>IF($A$1='Data Entry'!$C68,'Data Entry'!K68,"")</f>
        <v>0</v>
      </c>
      <c r="K67" s="46">
        <f>IF($A$1='Data Entry'!$C68,'Data Entry'!L68,"")</f>
        <v>0</v>
      </c>
      <c r="L67" s="46">
        <f>IF($A$1='Data Entry'!$C68,'Data Entry'!M68,"")</f>
        <v>0</v>
      </c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</row>
    <row r="68" spans="1:36" ht="15.95" customHeight="1" x14ac:dyDescent="0.2">
      <c r="A68" s="43"/>
      <c r="B68" s="45">
        <v>11</v>
      </c>
      <c r="C68" s="46">
        <f>IF($A$1='Data Entry'!$C69,'Data Entry'!D69,"")</f>
        <v>0</v>
      </c>
      <c r="D68" s="46">
        <f>IF($A$1='Data Entry'!$C69,'Data Entry'!E69,"")</f>
        <v>0</v>
      </c>
      <c r="E68" s="46">
        <f>IF($A$1='Data Entry'!$C69,'Data Entry'!F69,"")</f>
        <v>0</v>
      </c>
      <c r="F68" s="46">
        <f>IF($A$1='Data Entry'!$C69,'Data Entry'!G69,"")</f>
        <v>0</v>
      </c>
      <c r="G68" s="46">
        <f>IF($A$1='Data Entry'!$C69,'Data Entry'!H69,"")</f>
        <v>0</v>
      </c>
      <c r="H68" s="46">
        <f>IF($A$1='Data Entry'!$C69,'Data Entry'!I69,"")</f>
        <v>0</v>
      </c>
      <c r="I68" s="46">
        <f>IF($A$1='Data Entry'!$C69,'Data Entry'!J69,"")</f>
        <v>0</v>
      </c>
      <c r="J68" s="46">
        <f>IF($A$1='Data Entry'!$C69,'Data Entry'!K69,"")</f>
        <v>0</v>
      </c>
      <c r="K68" s="46">
        <f>IF($A$1='Data Entry'!$C69,'Data Entry'!L69,"")</f>
        <v>0</v>
      </c>
      <c r="L68" s="46">
        <f>IF($A$1='Data Entry'!$C69,'Data Entry'!M69,"")</f>
        <v>0</v>
      </c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</row>
    <row r="69" spans="1:36" ht="15.95" customHeight="1" x14ac:dyDescent="0.2">
      <c r="A69" s="43"/>
      <c r="B69" s="45">
        <v>12</v>
      </c>
      <c r="C69" s="46">
        <f>IF($A$1='Data Entry'!$C70,'Data Entry'!D70,"")</f>
        <v>0</v>
      </c>
      <c r="D69" s="46">
        <f>IF($A$1='Data Entry'!$C70,'Data Entry'!E70,"")</f>
        <v>0</v>
      </c>
      <c r="E69" s="46">
        <f>IF($A$1='Data Entry'!$C70,'Data Entry'!F70,"")</f>
        <v>0</v>
      </c>
      <c r="F69" s="46">
        <f>IF($A$1='Data Entry'!$C70,'Data Entry'!G70,"")</f>
        <v>0</v>
      </c>
      <c r="G69" s="46">
        <f>IF($A$1='Data Entry'!$C70,'Data Entry'!H70,"")</f>
        <v>0</v>
      </c>
      <c r="H69" s="46">
        <f>IF($A$1='Data Entry'!$C70,'Data Entry'!I70,"")</f>
        <v>0</v>
      </c>
      <c r="I69" s="46">
        <f>IF($A$1='Data Entry'!$C70,'Data Entry'!J70,"")</f>
        <v>0</v>
      </c>
      <c r="J69" s="46">
        <f>IF($A$1='Data Entry'!$C70,'Data Entry'!K70,"")</f>
        <v>0</v>
      </c>
      <c r="K69" s="46">
        <f>IF($A$1='Data Entry'!$C70,'Data Entry'!L70,"")</f>
        <v>0</v>
      </c>
      <c r="L69" s="46">
        <f>IF($A$1='Data Entry'!$C70,'Data Entry'!M70,"")</f>
        <v>0</v>
      </c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</row>
    <row r="70" spans="1:36" ht="15.95" customHeight="1" x14ac:dyDescent="0.2">
      <c r="A70" s="43"/>
      <c r="B70" s="45">
        <v>12</v>
      </c>
      <c r="C70" s="46">
        <f>IF($A$1='Data Entry'!$C71,'Data Entry'!D71,"")</f>
        <v>0</v>
      </c>
      <c r="D70" s="46">
        <f>IF($A$1='Data Entry'!$C71,'Data Entry'!E71,"")</f>
        <v>0</v>
      </c>
      <c r="E70" s="46">
        <f>IF($A$1='Data Entry'!$C71,'Data Entry'!F71,"")</f>
        <v>0</v>
      </c>
      <c r="F70" s="46">
        <f>IF($A$1='Data Entry'!$C71,'Data Entry'!G71,"")</f>
        <v>0</v>
      </c>
      <c r="G70" s="46">
        <f>IF($A$1='Data Entry'!$C71,'Data Entry'!H71,"")</f>
        <v>0</v>
      </c>
      <c r="H70" s="46">
        <f>IF($A$1='Data Entry'!$C71,'Data Entry'!I71,"")</f>
        <v>0</v>
      </c>
      <c r="I70" s="46">
        <f>IF($A$1='Data Entry'!$C71,'Data Entry'!J71,"")</f>
        <v>0</v>
      </c>
      <c r="J70" s="46">
        <f>IF($A$1='Data Entry'!$C71,'Data Entry'!K71,"")</f>
        <v>0</v>
      </c>
      <c r="K70" s="46">
        <f>IF($A$1='Data Entry'!$C71,'Data Entry'!L71,"")</f>
        <v>0</v>
      </c>
      <c r="L70" s="46">
        <f>IF($A$1='Data Entry'!$C71,'Data Entry'!M71,"")</f>
        <v>0</v>
      </c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</row>
    <row r="71" spans="1:36" ht="15.95" customHeight="1" x14ac:dyDescent="0.2">
      <c r="A71" s="43"/>
      <c r="B71" s="45">
        <v>12</v>
      </c>
      <c r="C71" s="46">
        <f>IF($A$1='Data Entry'!$C72,'Data Entry'!D72,"")</f>
        <v>0</v>
      </c>
      <c r="D71" s="46">
        <f>IF($A$1='Data Entry'!$C72,'Data Entry'!E72,"")</f>
        <v>0</v>
      </c>
      <c r="E71" s="46">
        <f>IF($A$1='Data Entry'!$C72,'Data Entry'!F72,"")</f>
        <v>0</v>
      </c>
      <c r="F71" s="46">
        <f>IF($A$1='Data Entry'!$C72,'Data Entry'!G72,"")</f>
        <v>0</v>
      </c>
      <c r="G71" s="46">
        <f>IF($A$1='Data Entry'!$C72,'Data Entry'!H72,"")</f>
        <v>0</v>
      </c>
      <c r="H71" s="46">
        <f>IF($A$1='Data Entry'!$C72,'Data Entry'!I72,"")</f>
        <v>0</v>
      </c>
      <c r="I71" s="46">
        <f>IF($A$1='Data Entry'!$C72,'Data Entry'!J72,"")</f>
        <v>0</v>
      </c>
      <c r="J71" s="46">
        <f>IF($A$1='Data Entry'!$C72,'Data Entry'!K72,"")</f>
        <v>0</v>
      </c>
      <c r="K71" s="46">
        <f>IF($A$1='Data Entry'!$C72,'Data Entry'!L72,"")</f>
        <v>0</v>
      </c>
      <c r="L71" s="46">
        <f>IF($A$1='Data Entry'!$C72,'Data Entry'!M72,"")</f>
        <v>0</v>
      </c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</row>
    <row r="72" spans="1:36" ht="15.95" customHeight="1" x14ac:dyDescent="0.2">
      <c r="A72" s="43"/>
      <c r="B72" s="45">
        <v>12</v>
      </c>
      <c r="C72" s="46">
        <f>IF($A$1='Data Entry'!$C73,'Data Entry'!D73,"")</f>
        <v>0</v>
      </c>
      <c r="D72" s="46">
        <f>IF($A$1='Data Entry'!$C73,'Data Entry'!E73,"")</f>
        <v>0</v>
      </c>
      <c r="E72" s="46">
        <f>IF($A$1='Data Entry'!$C73,'Data Entry'!F73,"")</f>
        <v>0</v>
      </c>
      <c r="F72" s="46">
        <f>IF($A$1='Data Entry'!$C73,'Data Entry'!G73,"")</f>
        <v>0</v>
      </c>
      <c r="G72" s="46">
        <f>IF($A$1='Data Entry'!$C73,'Data Entry'!H73,"")</f>
        <v>0</v>
      </c>
      <c r="H72" s="46">
        <f>IF($A$1='Data Entry'!$C73,'Data Entry'!I73,"")</f>
        <v>0</v>
      </c>
      <c r="I72" s="46">
        <f>IF($A$1='Data Entry'!$C73,'Data Entry'!J73,"")</f>
        <v>0</v>
      </c>
      <c r="J72" s="46">
        <f>IF($A$1='Data Entry'!$C73,'Data Entry'!K73,"")</f>
        <v>0</v>
      </c>
      <c r="K72" s="46">
        <f>IF($A$1='Data Entry'!$C73,'Data Entry'!L73,"")</f>
        <v>0</v>
      </c>
      <c r="L72" s="46">
        <f>IF($A$1='Data Entry'!$C73,'Data Entry'!M73,"")</f>
        <v>0</v>
      </c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</row>
    <row r="73" spans="1:36" ht="15.95" customHeight="1" x14ac:dyDescent="0.2">
      <c r="A73" s="43"/>
      <c r="B73" s="45">
        <v>12</v>
      </c>
      <c r="C73" s="46">
        <f>IF($A$1='Data Entry'!$C74,'Data Entry'!D74,"")</f>
        <v>0</v>
      </c>
      <c r="D73" s="46">
        <f>IF($A$1='Data Entry'!$C74,'Data Entry'!E74,"")</f>
        <v>0</v>
      </c>
      <c r="E73" s="46">
        <f>IF($A$1='Data Entry'!$C74,'Data Entry'!F74,"")</f>
        <v>0</v>
      </c>
      <c r="F73" s="46">
        <f>IF($A$1='Data Entry'!$C74,'Data Entry'!G74,"")</f>
        <v>0</v>
      </c>
      <c r="G73" s="46">
        <f>IF($A$1='Data Entry'!$C74,'Data Entry'!H74,"")</f>
        <v>0</v>
      </c>
      <c r="H73" s="46">
        <f>IF($A$1='Data Entry'!$C74,'Data Entry'!I74,"")</f>
        <v>0</v>
      </c>
      <c r="I73" s="46">
        <f>IF($A$1='Data Entry'!$C74,'Data Entry'!J74,"")</f>
        <v>0</v>
      </c>
      <c r="J73" s="46">
        <f>IF($A$1='Data Entry'!$C74,'Data Entry'!K74,"")</f>
        <v>0</v>
      </c>
      <c r="K73" s="46">
        <f>IF($A$1='Data Entry'!$C74,'Data Entry'!L74,"")</f>
        <v>0</v>
      </c>
      <c r="L73" s="46">
        <f>IF($A$1='Data Entry'!$C74,'Data Entry'!M74,"")</f>
        <v>0</v>
      </c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</row>
    <row r="74" spans="1:36" ht="15.95" customHeight="1" x14ac:dyDescent="0.2">
      <c r="A74" s="43"/>
      <c r="B74" s="45">
        <v>12</v>
      </c>
      <c r="C74" s="46">
        <f>IF($A$1='Data Entry'!$C75,'Data Entry'!D75,"")</f>
        <v>0</v>
      </c>
      <c r="D74" s="46">
        <f>IF($A$1='Data Entry'!$C75,'Data Entry'!E75,"")</f>
        <v>0</v>
      </c>
      <c r="E74" s="46">
        <f>IF($A$1='Data Entry'!$C75,'Data Entry'!F75,"")</f>
        <v>0</v>
      </c>
      <c r="F74" s="46">
        <f>IF($A$1='Data Entry'!$C75,'Data Entry'!G75,"")</f>
        <v>0</v>
      </c>
      <c r="G74" s="46">
        <f>IF($A$1='Data Entry'!$C75,'Data Entry'!H75,"")</f>
        <v>0</v>
      </c>
      <c r="H74" s="46">
        <f>IF($A$1='Data Entry'!$C75,'Data Entry'!I75,"")</f>
        <v>0</v>
      </c>
      <c r="I74" s="46">
        <f>IF($A$1='Data Entry'!$C75,'Data Entry'!J75,"")</f>
        <v>0</v>
      </c>
      <c r="J74" s="46">
        <f>IF($A$1='Data Entry'!$C75,'Data Entry'!K75,"")</f>
        <v>0</v>
      </c>
      <c r="K74" s="46">
        <f>IF($A$1='Data Entry'!$C75,'Data Entry'!L75,"")</f>
        <v>0</v>
      </c>
      <c r="L74" s="46">
        <f>IF($A$1='Data Entry'!$C75,'Data Entry'!M75,"")</f>
        <v>0</v>
      </c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</row>
    <row r="75" spans="1:36" ht="15.95" customHeight="1" x14ac:dyDescent="0.2">
      <c r="A75" s="43"/>
      <c r="B75" s="45">
        <v>13</v>
      </c>
      <c r="C75" s="46">
        <f>IF($A$1='Data Entry'!$C76,'Data Entry'!D76,"")</f>
        <v>0</v>
      </c>
      <c r="D75" s="46">
        <f>IF($A$1='Data Entry'!$C76,'Data Entry'!E76,"")</f>
        <v>0</v>
      </c>
      <c r="E75" s="46">
        <f>IF($A$1='Data Entry'!$C76,'Data Entry'!F76,"")</f>
        <v>0</v>
      </c>
      <c r="F75" s="46">
        <f>IF($A$1='Data Entry'!$C76,'Data Entry'!G76,"")</f>
        <v>0</v>
      </c>
      <c r="G75" s="46">
        <f>IF($A$1='Data Entry'!$C76,'Data Entry'!H76,"")</f>
        <v>0</v>
      </c>
      <c r="H75" s="46">
        <f>IF($A$1='Data Entry'!$C76,'Data Entry'!I76,"")</f>
        <v>0</v>
      </c>
      <c r="I75" s="46">
        <f>IF($A$1='Data Entry'!$C76,'Data Entry'!J76,"")</f>
        <v>0</v>
      </c>
      <c r="J75" s="46">
        <f>IF($A$1='Data Entry'!$C76,'Data Entry'!K76,"")</f>
        <v>0</v>
      </c>
      <c r="K75" s="46">
        <f>IF($A$1='Data Entry'!$C76,'Data Entry'!L76,"")</f>
        <v>0</v>
      </c>
      <c r="L75" s="46">
        <f>IF($A$1='Data Entry'!$C76,'Data Entry'!M76,"")</f>
        <v>0</v>
      </c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</row>
    <row r="76" spans="1:36" ht="15.95" customHeight="1" x14ac:dyDescent="0.2">
      <c r="A76" s="43"/>
      <c r="B76" s="45">
        <v>13</v>
      </c>
      <c r="C76" s="46">
        <f>IF($A$1='Data Entry'!$C77,'Data Entry'!D77,"")</f>
        <v>0</v>
      </c>
      <c r="D76" s="46">
        <f>IF($A$1='Data Entry'!$C77,'Data Entry'!E77,"")</f>
        <v>0</v>
      </c>
      <c r="E76" s="46">
        <f>IF($A$1='Data Entry'!$C77,'Data Entry'!F77,"")</f>
        <v>0</v>
      </c>
      <c r="F76" s="46">
        <f>IF($A$1='Data Entry'!$C77,'Data Entry'!G77,"")</f>
        <v>0</v>
      </c>
      <c r="G76" s="46">
        <f>IF($A$1='Data Entry'!$C77,'Data Entry'!H77,"")</f>
        <v>0</v>
      </c>
      <c r="H76" s="46">
        <f>IF($A$1='Data Entry'!$C77,'Data Entry'!I77,"")</f>
        <v>0</v>
      </c>
      <c r="I76" s="46">
        <f>IF($A$1='Data Entry'!$C77,'Data Entry'!J77,"")</f>
        <v>0</v>
      </c>
      <c r="J76" s="46">
        <f>IF($A$1='Data Entry'!$C77,'Data Entry'!K77,"")</f>
        <v>0</v>
      </c>
      <c r="K76" s="46">
        <f>IF($A$1='Data Entry'!$C77,'Data Entry'!L77,"")</f>
        <v>0</v>
      </c>
      <c r="L76" s="46">
        <f>IF($A$1='Data Entry'!$C77,'Data Entry'!M77,"")</f>
        <v>0</v>
      </c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</row>
    <row r="77" spans="1:36" ht="15.95" customHeight="1" x14ac:dyDescent="0.2">
      <c r="A77" s="43"/>
      <c r="B77" s="45">
        <v>13</v>
      </c>
      <c r="C77" s="46">
        <f>IF($A$1='Data Entry'!$C78,'Data Entry'!D78,"")</f>
        <v>0</v>
      </c>
      <c r="D77" s="46">
        <f>IF($A$1='Data Entry'!$C78,'Data Entry'!E78,"")</f>
        <v>0</v>
      </c>
      <c r="E77" s="46">
        <f>IF($A$1='Data Entry'!$C78,'Data Entry'!F78,"")</f>
        <v>0</v>
      </c>
      <c r="F77" s="46">
        <f>IF($A$1='Data Entry'!$C78,'Data Entry'!G78,"")</f>
        <v>0</v>
      </c>
      <c r="G77" s="46">
        <f>IF($A$1='Data Entry'!$C78,'Data Entry'!H78,"")</f>
        <v>0</v>
      </c>
      <c r="H77" s="46">
        <f>IF($A$1='Data Entry'!$C78,'Data Entry'!I78,"")</f>
        <v>0</v>
      </c>
      <c r="I77" s="46">
        <f>IF($A$1='Data Entry'!$C78,'Data Entry'!J78,"")</f>
        <v>0</v>
      </c>
      <c r="J77" s="46">
        <f>IF($A$1='Data Entry'!$C78,'Data Entry'!K78,"")</f>
        <v>0</v>
      </c>
      <c r="K77" s="46">
        <f>IF($A$1='Data Entry'!$C78,'Data Entry'!L78,"")</f>
        <v>0</v>
      </c>
      <c r="L77" s="46">
        <f>IF($A$1='Data Entry'!$C78,'Data Entry'!M78,"")</f>
        <v>0</v>
      </c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</row>
    <row r="78" spans="1:36" ht="15.95" customHeight="1" x14ac:dyDescent="0.2">
      <c r="A78" s="43"/>
      <c r="B78" s="45">
        <v>13</v>
      </c>
      <c r="C78" s="46">
        <f>IF($A$1='Data Entry'!$C79,'Data Entry'!D79,"")</f>
        <v>0</v>
      </c>
      <c r="D78" s="46">
        <f>IF($A$1='Data Entry'!$C79,'Data Entry'!E79,"")</f>
        <v>0</v>
      </c>
      <c r="E78" s="46">
        <f>IF($A$1='Data Entry'!$C79,'Data Entry'!F79,"")</f>
        <v>0</v>
      </c>
      <c r="F78" s="46">
        <f>IF($A$1='Data Entry'!$C79,'Data Entry'!G79,"")</f>
        <v>0</v>
      </c>
      <c r="G78" s="46">
        <f>IF($A$1='Data Entry'!$C79,'Data Entry'!H79,"")</f>
        <v>0</v>
      </c>
      <c r="H78" s="46">
        <f>IF($A$1='Data Entry'!$C79,'Data Entry'!I79,"")</f>
        <v>0</v>
      </c>
      <c r="I78" s="46">
        <f>IF($A$1='Data Entry'!$C79,'Data Entry'!J79,"")</f>
        <v>0</v>
      </c>
      <c r="J78" s="46">
        <f>IF($A$1='Data Entry'!$C79,'Data Entry'!K79,"")</f>
        <v>0</v>
      </c>
      <c r="K78" s="46">
        <f>IF($A$1='Data Entry'!$C79,'Data Entry'!L79,"")</f>
        <v>0</v>
      </c>
      <c r="L78" s="46">
        <f>IF($A$1='Data Entry'!$C79,'Data Entry'!M79,"")</f>
        <v>0</v>
      </c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</row>
    <row r="79" spans="1:36" ht="15.95" customHeight="1" x14ac:dyDescent="0.2">
      <c r="A79" s="43"/>
      <c r="B79" s="45">
        <v>13</v>
      </c>
      <c r="C79" s="46">
        <f>IF($A$1='Data Entry'!$C80,'Data Entry'!D80,"")</f>
        <v>0</v>
      </c>
      <c r="D79" s="46">
        <f>IF($A$1='Data Entry'!$C80,'Data Entry'!E80,"")</f>
        <v>0</v>
      </c>
      <c r="E79" s="46">
        <f>IF($A$1='Data Entry'!$C80,'Data Entry'!F80,"")</f>
        <v>0</v>
      </c>
      <c r="F79" s="46">
        <f>IF($A$1='Data Entry'!$C80,'Data Entry'!G80,"")</f>
        <v>0</v>
      </c>
      <c r="G79" s="46">
        <f>IF($A$1='Data Entry'!$C80,'Data Entry'!H80,"")</f>
        <v>0</v>
      </c>
      <c r="H79" s="46">
        <f>IF($A$1='Data Entry'!$C80,'Data Entry'!I80,"")</f>
        <v>0</v>
      </c>
      <c r="I79" s="46">
        <f>IF($A$1='Data Entry'!$C80,'Data Entry'!J80,"")</f>
        <v>0</v>
      </c>
      <c r="J79" s="46">
        <f>IF($A$1='Data Entry'!$C80,'Data Entry'!K80,"")</f>
        <v>0</v>
      </c>
      <c r="K79" s="46">
        <f>IF($A$1='Data Entry'!$C80,'Data Entry'!L80,"")</f>
        <v>0</v>
      </c>
      <c r="L79" s="46">
        <f>IF($A$1='Data Entry'!$C80,'Data Entry'!M80,"")</f>
        <v>0</v>
      </c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</row>
    <row r="80" spans="1:36" ht="15.95" customHeight="1" x14ac:dyDescent="0.2">
      <c r="A80" s="43"/>
      <c r="B80" s="45">
        <v>13</v>
      </c>
      <c r="C80" s="46">
        <f>IF($A$1='Data Entry'!$C81,'Data Entry'!D81,"")</f>
        <v>0</v>
      </c>
      <c r="D80" s="46">
        <f>IF($A$1='Data Entry'!$C81,'Data Entry'!E81,"")</f>
        <v>0</v>
      </c>
      <c r="E80" s="46">
        <f>IF($A$1='Data Entry'!$C81,'Data Entry'!F81,"")</f>
        <v>0</v>
      </c>
      <c r="F80" s="46">
        <f>IF($A$1='Data Entry'!$C81,'Data Entry'!G81,"")</f>
        <v>0</v>
      </c>
      <c r="G80" s="46">
        <f>IF($A$1='Data Entry'!$C81,'Data Entry'!H81,"")</f>
        <v>0</v>
      </c>
      <c r="H80" s="46">
        <f>IF($A$1='Data Entry'!$C81,'Data Entry'!I81,"")</f>
        <v>0</v>
      </c>
      <c r="I80" s="46">
        <f>IF($A$1='Data Entry'!$C81,'Data Entry'!J81,"")</f>
        <v>0</v>
      </c>
      <c r="J80" s="46">
        <f>IF($A$1='Data Entry'!$C81,'Data Entry'!K81,"")</f>
        <v>0</v>
      </c>
      <c r="K80" s="46">
        <f>IF($A$1='Data Entry'!$C81,'Data Entry'!L81,"")</f>
        <v>0</v>
      </c>
      <c r="L80" s="46">
        <f>IF($A$1='Data Entry'!$C81,'Data Entry'!M81,"")</f>
        <v>0</v>
      </c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</row>
    <row r="81" spans="1:36" ht="15.95" customHeight="1" x14ac:dyDescent="0.2">
      <c r="A81" s="43"/>
      <c r="B81" s="45">
        <v>14</v>
      </c>
      <c r="C81" s="46">
        <f>IF($A$1='Data Entry'!$C82,'Data Entry'!D82,"")</f>
        <v>0</v>
      </c>
      <c r="D81" s="46">
        <f>IF($A$1='Data Entry'!$C82,'Data Entry'!E82,"")</f>
        <v>0</v>
      </c>
      <c r="E81" s="46">
        <f>IF($A$1='Data Entry'!$C82,'Data Entry'!F82,"")</f>
        <v>0</v>
      </c>
      <c r="F81" s="46">
        <f>IF($A$1='Data Entry'!$C82,'Data Entry'!G82,"")</f>
        <v>0</v>
      </c>
      <c r="G81" s="46">
        <f>IF($A$1='Data Entry'!$C82,'Data Entry'!H82,"")</f>
        <v>0</v>
      </c>
      <c r="H81" s="46">
        <f>IF($A$1='Data Entry'!$C82,'Data Entry'!I82,"")</f>
        <v>0</v>
      </c>
      <c r="I81" s="46">
        <f>IF($A$1='Data Entry'!$C82,'Data Entry'!J82,"")</f>
        <v>0</v>
      </c>
      <c r="J81" s="46">
        <f>IF($A$1='Data Entry'!$C82,'Data Entry'!K82,"")</f>
        <v>0</v>
      </c>
      <c r="K81" s="46">
        <f>IF($A$1='Data Entry'!$C82,'Data Entry'!L82,"")</f>
        <v>0</v>
      </c>
      <c r="L81" s="46">
        <f>IF($A$1='Data Entry'!$C82,'Data Entry'!M82,"")</f>
        <v>0</v>
      </c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</row>
    <row r="82" spans="1:36" ht="15.95" customHeight="1" x14ac:dyDescent="0.2">
      <c r="A82" s="43"/>
      <c r="B82" s="45">
        <v>14</v>
      </c>
      <c r="C82" s="46">
        <f>IF($A$1='Data Entry'!$C83,'Data Entry'!D83,"")</f>
        <v>0</v>
      </c>
      <c r="D82" s="46">
        <f>IF($A$1='Data Entry'!$C83,'Data Entry'!E83,"")</f>
        <v>0</v>
      </c>
      <c r="E82" s="46">
        <f>IF($A$1='Data Entry'!$C83,'Data Entry'!F83,"")</f>
        <v>0</v>
      </c>
      <c r="F82" s="46">
        <f>IF($A$1='Data Entry'!$C83,'Data Entry'!G83,"")</f>
        <v>0</v>
      </c>
      <c r="G82" s="46">
        <f>IF($A$1='Data Entry'!$C83,'Data Entry'!H83,"")</f>
        <v>0</v>
      </c>
      <c r="H82" s="46">
        <f>IF($A$1='Data Entry'!$C83,'Data Entry'!I83,"")</f>
        <v>0</v>
      </c>
      <c r="I82" s="46">
        <f>IF($A$1='Data Entry'!$C83,'Data Entry'!J83,"")</f>
        <v>0</v>
      </c>
      <c r="J82" s="46">
        <f>IF($A$1='Data Entry'!$C83,'Data Entry'!K83,"")</f>
        <v>0</v>
      </c>
      <c r="K82" s="46">
        <f>IF($A$1='Data Entry'!$C83,'Data Entry'!L83,"")</f>
        <v>0</v>
      </c>
      <c r="L82" s="46">
        <f>IF($A$1='Data Entry'!$C83,'Data Entry'!M83,"")</f>
        <v>0</v>
      </c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</row>
    <row r="83" spans="1:36" ht="15.95" customHeight="1" x14ac:dyDescent="0.2">
      <c r="A83" s="43"/>
      <c r="B83" s="45">
        <v>14</v>
      </c>
      <c r="C83" s="46">
        <f>IF($A$1='Data Entry'!$C84,'Data Entry'!D84,"")</f>
        <v>0</v>
      </c>
      <c r="D83" s="46">
        <f>IF($A$1='Data Entry'!$C84,'Data Entry'!E84,"")</f>
        <v>0</v>
      </c>
      <c r="E83" s="46">
        <f>IF($A$1='Data Entry'!$C84,'Data Entry'!F84,"")</f>
        <v>0</v>
      </c>
      <c r="F83" s="46">
        <f>IF($A$1='Data Entry'!$C84,'Data Entry'!G84,"")</f>
        <v>0</v>
      </c>
      <c r="G83" s="46">
        <f>IF($A$1='Data Entry'!$C84,'Data Entry'!H84,"")</f>
        <v>0</v>
      </c>
      <c r="H83" s="46">
        <f>IF($A$1='Data Entry'!$C84,'Data Entry'!I84,"")</f>
        <v>0</v>
      </c>
      <c r="I83" s="46">
        <f>IF($A$1='Data Entry'!$C84,'Data Entry'!J84,"")</f>
        <v>0</v>
      </c>
      <c r="J83" s="46">
        <f>IF($A$1='Data Entry'!$C84,'Data Entry'!K84,"")</f>
        <v>0</v>
      </c>
      <c r="K83" s="46">
        <f>IF($A$1='Data Entry'!$C84,'Data Entry'!L84,"")</f>
        <v>0</v>
      </c>
      <c r="L83" s="46">
        <f>IF($A$1='Data Entry'!$C84,'Data Entry'!M84,"")</f>
        <v>0</v>
      </c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</row>
    <row r="84" spans="1:36" ht="15.95" customHeight="1" x14ac:dyDescent="0.2">
      <c r="A84" s="43"/>
      <c r="B84" s="45">
        <v>14</v>
      </c>
      <c r="C84" s="46">
        <f>IF($A$1='Data Entry'!$C85,'Data Entry'!D85,"")</f>
        <v>0</v>
      </c>
      <c r="D84" s="46">
        <f>IF($A$1='Data Entry'!$C85,'Data Entry'!E85,"")</f>
        <v>0</v>
      </c>
      <c r="E84" s="46">
        <f>IF($A$1='Data Entry'!$C85,'Data Entry'!F85,"")</f>
        <v>0</v>
      </c>
      <c r="F84" s="46">
        <f>IF($A$1='Data Entry'!$C85,'Data Entry'!G85,"")</f>
        <v>0</v>
      </c>
      <c r="G84" s="46">
        <f>IF($A$1='Data Entry'!$C85,'Data Entry'!H85,"")</f>
        <v>0</v>
      </c>
      <c r="H84" s="46">
        <f>IF($A$1='Data Entry'!$C85,'Data Entry'!I85,"")</f>
        <v>0</v>
      </c>
      <c r="I84" s="46">
        <f>IF($A$1='Data Entry'!$C85,'Data Entry'!J85,"")</f>
        <v>0</v>
      </c>
      <c r="J84" s="46">
        <f>IF($A$1='Data Entry'!$C85,'Data Entry'!K85,"")</f>
        <v>0</v>
      </c>
      <c r="K84" s="46">
        <f>IF($A$1='Data Entry'!$C85,'Data Entry'!L85,"")</f>
        <v>0</v>
      </c>
      <c r="L84" s="46">
        <f>IF($A$1='Data Entry'!$C85,'Data Entry'!M85,"")</f>
        <v>0</v>
      </c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</row>
    <row r="85" spans="1:36" ht="15.95" customHeight="1" x14ac:dyDescent="0.2">
      <c r="A85" s="43"/>
      <c r="B85" s="45">
        <v>14</v>
      </c>
      <c r="C85" s="46">
        <f>IF($A$1='Data Entry'!$C86,'Data Entry'!D86,"")</f>
        <v>0</v>
      </c>
      <c r="D85" s="46">
        <f>IF($A$1='Data Entry'!$C86,'Data Entry'!E86,"")</f>
        <v>0</v>
      </c>
      <c r="E85" s="46">
        <f>IF($A$1='Data Entry'!$C86,'Data Entry'!F86,"")</f>
        <v>0</v>
      </c>
      <c r="F85" s="46">
        <f>IF($A$1='Data Entry'!$C86,'Data Entry'!G86,"")</f>
        <v>0</v>
      </c>
      <c r="G85" s="46">
        <f>IF($A$1='Data Entry'!$C86,'Data Entry'!H86,"")</f>
        <v>0</v>
      </c>
      <c r="H85" s="46">
        <f>IF($A$1='Data Entry'!$C86,'Data Entry'!I86,"")</f>
        <v>0</v>
      </c>
      <c r="I85" s="46">
        <f>IF($A$1='Data Entry'!$C86,'Data Entry'!J86,"")</f>
        <v>0</v>
      </c>
      <c r="J85" s="46">
        <f>IF($A$1='Data Entry'!$C86,'Data Entry'!K86,"")</f>
        <v>0</v>
      </c>
      <c r="K85" s="46">
        <f>IF($A$1='Data Entry'!$C86,'Data Entry'!L86,"")</f>
        <v>0</v>
      </c>
      <c r="L85" s="46">
        <f>IF($A$1='Data Entry'!$C86,'Data Entry'!M86,"")</f>
        <v>0</v>
      </c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</row>
    <row r="86" spans="1:36" ht="15.95" customHeight="1" x14ac:dyDescent="0.2">
      <c r="A86" s="43"/>
      <c r="B86" s="45">
        <v>14</v>
      </c>
      <c r="C86" s="46">
        <f>IF($A$1='Data Entry'!$C87,'Data Entry'!D87,"")</f>
        <v>0</v>
      </c>
      <c r="D86" s="46">
        <f>IF($A$1='Data Entry'!$C87,'Data Entry'!E87,"")</f>
        <v>0</v>
      </c>
      <c r="E86" s="46">
        <f>IF($A$1='Data Entry'!$C87,'Data Entry'!F87,"")</f>
        <v>0</v>
      </c>
      <c r="F86" s="46">
        <f>IF($A$1='Data Entry'!$C87,'Data Entry'!G87,"")</f>
        <v>0</v>
      </c>
      <c r="G86" s="46">
        <f>IF($A$1='Data Entry'!$C87,'Data Entry'!H87,"")</f>
        <v>0</v>
      </c>
      <c r="H86" s="46">
        <f>IF($A$1='Data Entry'!$C87,'Data Entry'!I87,"")</f>
        <v>0</v>
      </c>
      <c r="I86" s="46">
        <f>IF($A$1='Data Entry'!$C87,'Data Entry'!J87,"")</f>
        <v>0</v>
      </c>
      <c r="J86" s="46">
        <f>IF($A$1='Data Entry'!$C87,'Data Entry'!K87,"")</f>
        <v>0</v>
      </c>
      <c r="K86" s="46">
        <f>IF($A$1='Data Entry'!$C87,'Data Entry'!L87,"")</f>
        <v>0</v>
      </c>
      <c r="L86" s="46">
        <f>IF($A$1='Data Entry'!$C87,'Data Entry'!M87,"")</f>
        <v>0</v>
      </c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</row>
    <row r="87" spans="1:36" ht="15.95" customHeight="1" x14ac:dyDescent="0.2">
      <c r="A87" s="43"/>
      <c r="B87" s="45">
        <v>15</v>
      </c>
      <c r="C87" s="46">
        <f>IF($A$1='Data Entry'!$C88,'Data Entry'!D88,"")</f>
        <v>0</v>
      </c>
      <c r="D87" s="46">
        <f>IF($A$1='Data Entry'!$C88,'Data Entry'!E88,"")</f>
        <v>0</v>
      </c>
      <c r="E87" s="46">
        <f>IF($A$1='Data Entry'!$C88,'Data Entry'!F88,"")</f>
        <v>0</v>
      </c>
      <c r="F87" s="46">
        <f>IF($A$1='Data Entry'!$C88,'Data Entry'!G88,"")</f>
        <v>0</v>
      </c>
      <c r="G87" s="46">
        <f>IF($A$1='Data Entry'!$C88,'Data Entry'!H88,"")</f>
        <v>0</v>
      </c>
      <c r="H87" s="46">
        <f>IF($A$1='Data Entry'!$C88,'Data Entry'!I88,"")</f>
        <v>0</v>
      </c>
      <c r="I87" s="46">
        <f>IF($A$1='Data Entry'!$C88,'Data Entry'!J88,"")</f>
        <v>0</v>
      </c>
      <c r="J87" s="46">
        <f>IF($A$1='Data Entry'!$C88,'Data Entry'!K88,"")</f>
        <v>0</v>
      </c>
      <c r="K87" s="46">
        <f>IF($A$1='Data Entry'!$C88,'Data Entry'!L88,"")</f>
        <v>0</v>
      </c>
      <c r="L87" s="46">
        <f>IF($A$1='Data Entry'!$C88,'Data Entry'!M88,"")</f>
        <v>0</v>
      </c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</row>
    <row r="88" spans="1:36" ht="15.95" customHeight="1" x14ac:dyDescent="0.2">
      <c r="A88" s="43"/>
      <c r="B88" s="45">
        <v>15</v>
      </c>
      <c r="C88" s="46">
        <f>IF($A$1='Data Entry'!$C89,'Data Entry'!D89,"")</f>
        <v>0</v>
      </c>
      <c r="D88" s="46">
        <f>IF($A$1='Data Entry'!$C89,'Data Entry'!E89,"")</f>
        <v>0</v>
      </c>
      <c r="E88" s="46">
        <f>IF($A$1='Data Entry'!$C89,'Data Entry'!F89,"")</f>
        <v>0</v>
      </c>
      <c r="F88" s="46">
        <f>IF($A$1='Data Entry'!$C89,'Data Entry'!G89,"")</f>
        <v>0</v>
      </c>
      <c r="G88" s="46">
        <f>IF($A$1='Data Entry'!$C89,'Data Entry'!H89,"")</f>
        <v>0</v>
      </c>
      <c r="H88" s="46">
        <f>IF($A$1='Data Entry'!$C89,'Data Entry'!I89,"")</f>
        <v>0</v>
      </c>
      <c r="I88" s="46">
        <f>IF($A$1='Data Entry'!$C89,'Data Entry'!J89,"")</f>
        <v>0</v>
      </c>
      <c r="J88" s="46">
        <f>IF($A$1='Data Entry'!$C89,'Data Entry'!K89,"")</f>
        <v>0</v>
      </c>
      <c r="K88" s="46">
        <f>IF($A$1='Data Entry'!$C89,'Data Entry'!L89,"")</f>
        <v>0</v>
      </c>
      <c r="L88" s="46">
        <f>IF($A$1='Data Entry'!$C89,'Data Entry'!M89,"")</f>
        <v>0</v>
      </c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</row>
    <row r="89" spans="1:36" ht="15.95" customHeight="1" x14ac:dyDescent="0.2">
      <c r="A89" s="43"/>
      <c r="B89" s="45">
        <v>15</v>
      </c>
      <c r="C89" s="46">
        <f>IF($A$1='Data Entry'!$C90,'Data Entry'!D90,"")</f>
        <v>0</v>
      </c>
      <c r="D89" s="46">
        <f>IF($A$1='Data Entry'!$C90,'Data Entry'!E90,"")</f>
        <v>0</v>
      </c>
      <c r="E89" s="46">
        <f>IF($A$1='Data Entry'!$C90,'Data Entry'!F90,"")</f>
        <v>0</v>
      </c>
      <c r="F89" s="46">
        <f>IF($A$1='Data Entry'!$C90,'Data Entry'!G90,"")</f>
        <v>0</v>
      </c>
      <c r="G89" s="46">
        <f>IF($A$1='Data Entry'!$C90,'Data Entry'!H90,"")</f>
        <v>0</v>
      </c>
      <c r="H89" s="46">
        <f>IF($A$1='Data Entry'!$C90,'Data Entry'!I90,"")</f>
        <v>0</v>
      </c>
      <c r="I89" s="46">
        <f>IF($A$1='Data Entry'!$C90,'Data Entry'!J90,"")</f>
        <v>0</v>
      </c>
      <c r="J89" s="46">
        <f>IF($A$1='Data Entry'!$C90,'Data Entry'!K90,"")</f>
        <v>0</v>
      </c>
      <c r="K89" s="46">
        <f>IF($A$1='Data Entry'!$C90,'Data Entry'!L90,"")</f>
        <v>0</v>
      </c>
      <c r="L89" s="46">
        <f>IF($A$1='Data Entry'!$C90,'Data Entry'!M90,"")</f>
        <v>0</v>
      </c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</row>
    <row r="90" spans="1:36" ht="15.95" customHeight="1" x14ac:dyDescent="0.2">
      <c r="A90" s="43"/>
      <c r="B90" s="45">
        <v>15</v>
      </c>
      <c r="C90" s="46">
        <f>IF($A$1='Data Entry'!$C91,'Data Entry'!D91,"")</f>
        <v>0</v>
      </c>
      <c r="D90" s="46">
        <f>IF($A$1='Data Entry'!$C91,'Data Entry'!E91,"")</f>
        <v>0</v>
      </c>
      <c r="E90" s="46">
        <f>IF($A$1='Data Entry'!$C91,'Data Entry'!F91,"")</f>
        <v>0</v>
      </c>
      <c r="F90" s="46">
        <f>IF($A$1='Data Entry'!$C91,'Data Entry'!G91,"")</f>
        <v>0</v>
      </c>
      <c r="G90" s="46">
        <f>IF($A$1='Data Entry'!$C91,'Data Entry'!H91,"")</f>
        <v>0</v>
      </c>
      <c r="H90" s="46">
        <f>IF($A$1='Data Entry'!$C91,'Data Entry'!I91,"")</f>
        <v>0</v>
      </c>
      <c r="I90" s="46">
        <f>IF($A$1='Data Entry'!$C91,'Data Entry'!J91,"")</f>
        <v>0</v>
      </c>
      <c r="J90" s="46">
        <f>IF($A$1='Data Entry'!$C91,'Data Entry'!K91,"")</f>
        <v>0</v>
      </c>
      <c r="K90" s="46">
        <f>IF($A$1='Data Entry'!$C91,'Data Entry'!L91,"")</f>
        <v>0</v>
      </c>
      <c r="L90" s="46">
        <f>IF($A$1='Data Entry'!$C91,'Data Entry'!M91,"")</f>
        <v>0</v>
      </c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</row>
    <row r="91" spans="1:36" ht="15.95" customHeight="1" x14ac:dyDescent="0.2">
      <c r="A91" s="43"/>
      <c r="B91" s="45">
        <v>15</v>
      </c>
      <c r="C91" s="46">
        <f>IF($A$1='Data Entry'!$C92,'Data Entry'!D92,"")</f>
        <v>0</v>
      </c>
      <c r="D91" s="46">
        <f>IF($A$1='Data Entry'!$C92,'Data Entry'!E92,"")</f>
        <v>0</v>
      </c>
      <c r="E91" s="46">
        <f>IF($A$1='Data Entry'!$C92,'Data Entry'!F92,"")</f>
        <v>0</v>
      </c>
      <c r="F91" s="46">
        <f>IF($A$1='Data Entry'!$C92,'Data Entry'!G92,"")</f>
        <v>0</v>
      </c>
      <c r="G91" s="46">
        <f>IF($A$1='Data Entry'!$C92,'Data Entry'!H92,"")</f>
        <v>0</v>
      </c>
      <c r="H91" s="46">
        <f>IF($A$1='Data Entry'!$C92,'Data Entry'!I92,"")</f>
        <v>0</v>
      </c>
      <c r="I91" s="46">
        <f>IF($A$1='Data Entry'!$C92,'Data Entry'!J92,"")</f>
        <v>0</v>
      </c>
      <c r="J91" s="46">
        <f>IF($A$1='Data Entry'!$C92,'Data Entry'!K92,"")</f>
        <v>0</v>
      </c>
      <c r="K91" s="46">
        <f>IF($A$1='Data Entry'!$C92,'Data Entry'!L92,"")</f>
        <v>0</v>
      </c>
      <c r="L91" s="46">
        <f>IF($A$1='Data Entry'!$C92,'Data Entry'!M92,"")</f>
        <v>0</v>
      </c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</row>
    <row r="92" spans="1:36" ht="15.95" customHeight="1" x14ac:dyDescent="0.2">
      <c r="A92" s="43"/>
      <c r="B92" s="45">
        <v>15</v>
      </c>
      <c r="C92" s="46">
        <f>IF($A$1='Data Entry'!$C93,'Data Entry'!D93,"")</f>
        <v>0</v>
      </c>
      <c r="D92" s="46">
        <f>IF($A$1='Data Entry'!$C93,'Data Entry'!E93,"")</f>
        <v>0</v>
      </c>
      <c r="E92" s="46">
        <f>IF($A$1='Data Entry'!$C93,'Data Entry'!F93,"")</f>
        <v>0</v>
      </c>
      <c r="F92" s="46">
        <f>IF($A$1='Data Entry'!$C93,'Data Entry'!G93,"")</f>
        <v>0</v>
      </c>
      <c r="G92" s="46">
        <f>IF($A$1='Data Entry'!$C93,'Data Entry'!H93,"")</f>
        <v>0</v>
      </c>
      <c r="H92" s="46">
        <f>IF($A$1='Data Entry'!$C93,'Data Entry'!I93,"")</f>
        <v>0</v>
      </c>
      <c r="I92" s="46">
        <f>IF($A$1='Data Entry'!$C93,'Data Entry'!J93,"")</f>
        <v>0</v>
      </c>
      <c r="J92" s="46">
        <f>IF($A$1='Data Entry'!$C93,'Data Entry'!K93,"")</f>
        <v>0</v>
      </c>
      <c r="K92" s="46">
        <f>IF($A$1='Data Entry'!$C93,'Data Entry'!L93,"")</f>
        <v>0</v>
      </c>
      <c r="L92" s="46">
        <f>IF($A$1='Data Entry'!$C93,'Data Entry'!M93,"")</f>
        <v>0</v>
      </c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</row>
    <row r="93" spans="1:36" ht="15.95" customHeight="1" x14ac:dyDescent="0.2">
      <c r="A93" s="43"/>
      <c r="B93" s="45">
        <v>16</v>
      </c>
      <c r="C93" s="46">
        <f>IF($A$1='Data Entry'!$C94,'Data Entry'!D94,"")</f>
        <v>0</v>
      </c>
      <c r="D93" s="46">
        <f>IF($A$1='Data Entry'!$C94,'Data Entry'!E94,"")</f>
        <v>0</v>
      </c>
      <c r="E93" s="46">
        <f>IF($A$1='Data Entry'!$C94,'Data Entry'!F94,"")</f>
        <v>0</v>
      </c>
      <c r="F93" s="46">
        <f>IF($A$1='Data Entry'!$C94,'Data Entry'!G94,"")</f>
        <v>0</v>
      </c>
      <c r="G93" s="46">
        <f>IF($A$1='Data Entry'!$C94,'Data Entry'!H94,"")</f>
        <v>0</v>
      </c>
      <c r="H93" s="46">
        <f>IF($A$1='Data Entry'!$C94,'Data Entry'!I94,"")</f>
        <v>0</v>
      </c>
      <c r="I93" s="46">
        <f>IF($A$1='Data Entry'!$C94,'Data Entry'!J94,"")</f>
        <v>0</v>
      </c>
      <c r="J93" s="46">
        <f>IF($A$1='Data Entry'!$C94,'Data Entry'!K94,"")</f>
        <v>0</v>
      </c>
      <c r="K93" s="46">
        <f>IF($A$1='Data Entry'!$C94,'Data Entry'!L94,"")</f>
        <v>0</v>
      </c>
      <c r="L93" s="46">
        <f>IF($A$1='Data Entry'!$C94,'Data Entry'!M94,"")</f>
        <v>0</v>
      </c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</row>
    <row r="94" spans="1:36" ht="15.95" customHeight="1" x14ac:dyDescent="0.2">
      <c r="A94" s="43"/>
      <c r="B94" s="45">
        <v>16</v>
      </c>
      <c r="C94" s="46">
        <f>IF($A$1='Data Entry'!$C95,'Data Entry'!D95,"")</f>
        <v>0</v>
      </c>
      <c r="D94" s="46">
        <f>IF($A$1='Data Entry'!$C95,'Data Entry'!E95,"")</f>
        <v>0</v>
      </c>
      <c r="E94" s="46">
        <f>IF($A$1='Data Entry'!$C95,'Data Entry'!F95,"")</f>
        <v>0</v>
      </c>
      <c r="F94" s="46">
        <f>IF($A$1='Data Entry'!$C95,'Data Entry'!G95,"")</f>
        <v>0</v>
      </c>
      <c r="G94" s="46">
        <f>IF($A$1='Data Entry'!$C95,'Data Entry'!H95,"")</f>
        <v>0</v>
      </c>
      <c r="H94" s="46">
        <f>IF($A$1='Data Entry'!$C95,'Data Entry'!I95,"")</f>
        <v>0</v>
      </c>
      <c r="I94" s="46">
        <f>IF($A$1='Data Entry'!$C95,'Data Entry'!J95,"")</f>
        <v>0</v>
      </c>
      <c r="J94" s="46">
        <f>IF($A$1='Data Entry'!$C95,'Data Entry'!K95,"")</f>
        <v>0</v>
      </c>
      <c r="K94" s="46">
        <f>IF($A$1='Data Entry'!$C95,'Data Entry'!L95,"")</f>
        <v>0</v>
      </c>
      <c r="L94" s="46">
        <f>IF($A$1='Data Entry'!$C95,'Data Entry'!M95,"")</f>
        <v>0</v>
      </c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</row>
    <row r="95" spans="1:36" ht="15.95" customHeight="1" x14ac:dyDescent="0.2">
      <c r="A95" s="43"/>
      <c r="B95" s="45">
        <v>16</v>
      </c>
      <c r="C95" s="46">
        <f>IF($A$1='Data Entry'!$C96,'Data Entry'!D96,"")</f>
        <v>0</v>
      </c>
      <c r="D95" s="46">
        <f>IF($A$1='Data Entry'!$C96,'Data Entry'!E96,"")</f>
        <v>0</v>
      </c>
      <c r="E95" s="46">
        <f>IF($A$1='Data Entry'!$C96,'Data Entry'!F96,"")</f>
        <v>0</v>
      </c>
      <c r="F95" s="46">
        <f>IF($A$1='Data Entry'!$C96,'Data Entry'!G96,"")</f>
        <v>0</v>
      </c>
      <c r="G95" s="46">
        <f>IF($A$1='Data Entry'!$C96,'Data Entry'!H96,"")</f>
        <v>0</v>
      </c>
      <c r="H95" s="46">
        <f>IF($A$1='Data Entry'!$C96,'Data Entry'!I96,"")</f>
        <v>0</v>
      </c>
      <c r="I95" s="46">
        <f>IF($A$1='Data Entry'!$C96,'Data Entry'!J96,"")</f>
        <v>0</v>
      </c>
      <c r="J95" s="46">
        <f>IF($A$1='Data Entry'!$C96,'Data Entry'!K96,"")</f>
        <v>0</v>
      </c>
      <c r="K95" s="46">
        <f>IF($A$1='Data Entry'!$C96,'Data Entry'!L96,"")</f>
        <v>0</v>
      </c>
      <c r="L95" s="46">
        <f>IF($A$1='Data Entry'!$C96,'Data Entry'!M96,"")</f>
        <v>0</v>
      </c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</row>
    <row r="96" spans="1:36" ht="15.95" customHeight="1" x14ac:dyDescent="0.2">
      <c r="A96" s="43"/>
      <c r="B96" s="45">
        <v>16</v>
      </c>
      <c r="C96" s="46">
        <f>IF($A$1='Data Entry'!$C97,'Data Entry'!D97,"")</f>
        <v>0</v>
      </c>
      <c r="D96" s="46">
        <f>IF($A$1='Data Entry'!$C97,'Data Entry'!E97,"")</f>
        <v>0</v>
      </c>
      <c r="E96" s="46">
        <f>IF($A$1='Data Entry'!$C97,'Data Entry'!F97,"")</f>
        <v>0</v>
      </c>
      <c r="F96" s="46">
        <f>IF($A$1='Data Entry'!$C97,'Data Entry'!G97,"")</f>
        <v>0</v>
      </c>
      <c r="G96" s="46">
        <f>IF($A$1='Data Entry'!$C97,'Data Entry'!H97,"")</f>
        <v>0</v>
      </c>
      <c r="H96" s="46">
        <f>IF($A$1='Data Entry'!$C97,'Data Entry'!I97,"")</f>
        <v>0</v>
      </c>
      <c r="I96" s="46">
        <f>IF($A$1='Data Entry'!$C97,'Data Entry'!J97,"")</f>
        <v>0</v>
      </c>
      <c r="J96" s="46">
        <f>IF($A$1='Data Entry'!$C97,'Data Entry'!K97,"")</f>
        <v>0</v>
      </c>
      <c r="K96" s="46">
        <f>IF($A$1='Data Entry'!$C97,'Data Entry'!L97,"")</f>
        <v>0</v>
      </c>
      <c r="L96" s="46">
        <f>IF($A$1='Data Entry'!$C97,'Data Entry'!M97,"")</f>
        <v>0</v>
      </c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</row>
    <row r="97" spans="1:36" ht="15.95" customHeight="1" x14ac:dyDescent="0.2">
      <c r="A97" s="43"/>
      <c r="B97" s="45">
        <v>16</v>
      </c>
      <c r="C97" s="46">
        <f>IF($A$1='Data Entry'!$C98,'Data Entry'!D98,"")</f>
        <v>0</v>
      </c>
      <c r="D97" s="46">
        <f>IF($A$1='Data Entry'!$C98,'Data Entry'!E98,"")</f>
        <v>0</v>
      </c>
      <c r="E97" s="46">
        <f>IF($A$1='Data Entry'!$C98,'Data Entry'!F98,"")</f>
        <v>0</v>
      </c>
      <c r="F97" s="46">
        <f>IF($A$1='Data Entry'!$C98,'Data Entry'!G98,"")</f>
        <v>0</v>
      </c>
      <c r="G97" s="46">
        <f>IF($A$1='Data Entry'!$C98,'Data Entry'!H98,"")</f>
        <v>0</v>
      </c>
      <c r="H97" s="46">
        <f>IF($A$1='Data Entry'!$C98,'Data Entry'!I98,"")</f>
        <v>0</v>
      </c>
      <c r="I97" s="46">
        <f>IF($A$1='Data Entry'!$C98,'Data Entry'!J98,"")</f>
        <v>0</v>
      </c>
      <c r="J97" s="46">
        <f>IF($A$1='Data Entry'!$C98,'Data Entry'!K98,"")</f>
        <v>0</v>
      </c>
      <c r="K97" s="46">
        <f>IF($A$1='Data Entry'!$C98,'Data Entry'!L98,"")</f>
        <v>0</v>
      </c>
      <c r="L97" s="46">
        <f>IF($A$1='Data Entry'!$C98,'Data Entry'!M98,"")</f>
        <v>0</v>
      </c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</row>
    <row r="98" spans="1:36" ht="15.95" customHeight="1" x14ac:dyDescent="0.2">
      <c r="A98" s="43"/>
      <c r="B98" s="45">
        <v>16</v>
      </c>
      <c r="C98" s="46">
        <f>IF($A$1='Data Entry'!$C99,'Data Entry'!D99,"")</f>
        <v>0</v>
      </c>
      <c r="D98" s="46">
        <f>IF($A$1='Data Entry'!$C99,'Data Entry'!E99,"")</f>
        <v>0</v>
      </c>
      <c r="E98" s="46">
        <f>IF($A$1='Data Entry'!$C99,'Data Entry'!F99,"")</f>
        <v>0</v>
      </c>
      <c r="F98" s="46">
        <f>IF($A$1='Data Entry'!$C99,'Data Entry'!G99,"")</f>
        <v>0</v>
      </c>
      <c r="G98" s="46">
        <f>IF($A$1='Data Entry'!$C99,'Data Entry'!H99,"")</f>
        <v>0</v>
      </c>
      <c r="H98" s="46">
        <f>IF($A$1='Data Entry'!$C99,'Data Entry'!I99,"")</f>
        <v>0</v>
      </c>
      <c r="I98" s="46">
        <f>IF($A$1='Data Entry'!$C99,'Data Entry'!J99,"")</f>
        <v>0</v>
      </c>
      <c r="J98" s="46">
        <f>IF($A$1='Data Entry'!$C99,'Data Entry'!K99,"")</f>
        <v>0</v>
      </c>
      <c r="K98" s="46">
        <f>IF($A$1='Data Entry'!$C99,'Data Entry'!L99,"")</f>
        <v>0</v>
      </c>
      <c r="L98" s="46">
        <f>IF($A$1='Data Entry'!$C99,'Data Entry'!M99,"")</f>
        <v>0</v>
      </c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</row>
    <row r="99" spans="1:36" ht="15.95" customHeight="1" x14ac:dyDescent="0.2">
      <c r="A99" s="43"/>
      <c r="B99" s="45">
        <v>17</v>
      </c>
      <c r="C99" s="46">
        <f>IF($A$1='Data Entry'!$C100,'Data Entry'!D100,"")</f>
        <v>0</v>
      </c>
      <c r="D99" s="46">
        <f>IF($A$1='Data Entry'!$C100,'Data Entry'!E100,"")</f>
        <v>0</v>
      </c>
      <c r="E99" s="46">
        <f>IF($A$1='Data Entry'!$C100,'Data Entry'!F100,"")</f>
        <v>0</v>
      </c>
      <c r="F99" s="46">
        <f>IF($A$1='Data Entry'!$C100,'Data Entry'!G100,"")</f>
        <v>0</v>
      </c>
      <c r="G99" s="46">
        <f>IF($A$1='Data Entry'!$C100,'Data Entry'!H100,"")</f>
        <v>0</v>
      </c>
      <c r="H99" s="46">
        <f>IF($A$1='Data Entry'!$C100,'Data Entry'!I100,"")</f>
        <v>0</v>
      </c>
      <c r="I99" s="46">
        <f>IF($A$1='Data Entry'!$C100,'Data Entry'!J100,"")</f>
        <v>0</v>
      </c>
      <c r="J99" s="46">
        <f>IF($A$1='Data Entry'!$C100,'Data Entry'!K100,"")</f>
        <v>0</v>
      </c>
      <c r="K99" s="46">
        <f>IF($A$1='Data Entry'!$C100,'Data Entry'!L100,"")</f>
        <v>0</v>
      </c>
      <c r="L99" s="46">
        <f>IF($A$1='Data Entry'!$C100,'Data Entry'!M100,"")</f>
        <v>0</v>
      </c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</row>
    <row r="100" spans="1:36" ht="15.95" customHeight="1" x14ac:dyDescent="0.2">
      <c r="A100" s="43"/>
      <c r="B100" s="45">
        <v>17</v>
      </c>
      <c r="C100" s="46">
        <f>IF($A$1='Data Entry'!$C101,'Data Entry'!D101,"")</f>
        <v>0</v>
      </c>
      <c r="D100" s="46">
        <f>IF($A$1='Data Entry'!$C101,'Data Entry'!E101,"")</f>
        <v>0</v>
      </c>
      <c r="E100" s="46">
        <f>IF($A$1='Data Entry'!$C101,'Data Entry'!F101,"")</f>
        <v>0</v>
      </c>
      <c r="F100" s="46">
        <f>IF($A$1='Data Entry'!$C101,'Data Entry'!G101,"")</f>
        <v>0</v>
      </c>
      <c r="G100" s="46">
        <f>IF($A$1='Data Entry'!$C101,'Data Entry'!H101,"")</f>
        <v>0</v>
      </c>
      <c r="H100" s="46">
        <f>IF($A$1='Data Entry'!$C101,'Data Entry'!I101,"")</f>
        <v>0</v>
      </c>
      <c r="I100" s="46">
        <f>IF($A$1='Data Entry'!$C101,'Data Entry'!J101,"")</f>
        <v>0</v>
      </c>
      <c r="J100" s="46">
        <f>IF($A$1='Data Entry'!$C101,'Data Entry'!K101,"")</f>
        <v>0</v>
      </c>
      <c r="K100" s="46">
        <f>IF($A$1='Data Entry'!$C101,'Data Entry'!L101,"")</f>
        <v>0</v>
      </c>
      <c r="L100" s="46">
        <f>IF($A$1='Data Entry'!$C101,'Data Entry'!M101,"")</f>
        <v>0</v>
      </c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</row>
    <row r="101" spans="1:36" ht="15.95" customHeight="1" x14ac:dyDescent="0.2">
      <c r="A101" s="43"/>
      <c r="B101" s="45">
        <v>17</v>
      </c>
      <c r="C101" s="46">
        <f>IF($A$1='Data Entry'!$C102,'Data Entry'!D102,"")</f>
        <v>0</v>
      </c>
      <c r="D101" s="46">
        <f>IF($A$1='Data Entry'!$C102,'Data Entry'!E102,"")</f>
        <v>0</v>
      </c>
      <c r="E101" s="46">
        <f>IF($A$1='Data Entry'!$C102,'Data Entry'!F102,"")</f>
        <v>0</v>
      </c>
      <c r="F101" s="46">
        <f>IF($A$1='Data Entry'!$C102,'Data Entry'!G102,"")</f>
        <v>0</v>
      </c>
      <c r="G101" s="46">
        <f>IF($A$1='Data Entry'!$C102,'Data Entry'!H102,"")</f>
        <v>0</v>
      </c>
      <c r="H101" s="46">
        <f>IF($A$1='Data Entry'!$C102,'Data Entry'!I102,"")</f>
        <v>0</v>
      </c>
      <c r="I101" s="46">
        <f>IF($A$1='Data Entry'!$C102,'Data Entry'!J102,"")</f>
        <v>0</v>
      </c>
      <c r="J101" s="46">
        <f>IF($A$1='Data Entry'!$C102,'Data Entry'!K102,"")</f>
        <v>0</v>
      </c>
      <c r="K101" s="46">
        <f>IF($A$1='Data Entry'!$C102,'Data Entry'!L102,"")</f>
        <v>0</v>
      </c>
      <c r="L101" s="46">
        <f>IF($A$1='Data Entry'!$C102,'Data Entry'!M102,"")</f>
        <v>0</v>
      </c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</row>
    <row r="102" spans="1:36" ht="15.95" customHeight="1" x14ac:dyDescent="0.2">
      <c r="A102" s="43"/>
      <c r="B102" s="45">
        <v>17</v>
      </c>
      <c r="C102" s="46">
        <f>IF($A$1='Data Entry'!$C103,'Data Entry'!D103,"")</f>
        <v>0</v>
      </c>
      <c r="D102" s="46">
        <f>IF($A$1='Data Entry'!$C103,'Data Entry'!E103,"")</f>
        <v>0</v>
      </c>
      <c r="E102" s="46">
        <f>IF($A$1='Data Entry'!$C103,'Data Entry'!F103,"")</f>
        <v>0</v>
      </c>
      <c r="F102" s="46">
        <f>IF($A$1='Data Entry'!$C103,'Data Entry'!G103,"")</f>
        <v>0</v>
      </c>
      <c r="G102" s="46">
        <f>IF($A$1='Data Entry'!$C103,'Data Entry'!H103,"")</f>
        <v>0</v>
      </c>
      <c r="H102" s="46">
        <f>IF($A$1='Data Entry'!$C103,'Data Entry'!I103,"")</f>
        <v>0</v>
      </c>
      <c r="I102" s="46">
        <f>IF($A$1='Data Entry'!$C103,'Data Entry'!J103,"")</f>
        <v>0</v>
      </c>
      <c r="J102" s="46">
        <f>IF($A$1='Data Entry'!$C103,'Data Entry'!K103,"")</f>
        <v>0</v>
      </c>
      <c r="K102" s="46">
        <f>IF($A$1='Data Entry'!$C103,'Data Entry'!L103,"")</f>
        <v>0</v>
      </c>
      <c r="L102" s="46">
        <f>IF($A$1='Data Entry'!$C103,'Data Entry'!M103,"")</f>
        <v>0</v>
      </c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</row>
    <row r="103" spans="1:36" ht="15.95" customHeight="1" x14ac:dyDescent="0.2">
      <c r="A103" s="43"/>
      <c r="B103" s="45">
        <v>17</v>
      </c>
      <c r="C103" s="46">
        <f>IF($A$1='Data Entry'!$C104,'Data Entry'!D104,"")</f>
        <v>0</v>
      </c>
      <c r="D103" s="46">
        <f>IF($A$1='Data Entry'!$C104,'Data Entry'!E104,"")</f>
        <v>0</v>
      </c>
      <c r="E103" s="46">
        <f>IF($A$1='Data Entry'!$C104,'Data Entry'!F104,"")</f>
        <v>0</v>
      </c>
      <c r="F103" s="46">
        <f>IF($A$1='Data Entry'!$C104,'Data Entry'!G104,"")</f>
        <v>0</v>
      </c>
      <c r="G103" s="46">
        <f>IF($A$1='Data Entry'!$C104,'Data Entry'!H104,"")</f>
        <v>0</v>
      </c>
      <c r="H103" s="46">
        <f>IF($A$1='Data Entry'!$C104,'Data Entry'!I104,"")</f>
        <v>0</v>
      </c>
      <c r="I103" s="46">
        <f>IF($A$1='Data Entry'!$C104,'Data Entry'!J104,"")</f>
        <v>0</v>
      </c>
      <c r="J103" s="46">
        <f>IF($A$1='Data Entry'!$C104,'Data Entry'!K104,"")</f>
        <v>0</v>
      </c>
      <c r="K103" s="46">
        <f>IF($A$1='Data Entry'!$C104,'Data Entry'!L104,"")</f>
        <v>0</v>
      </c>
      <c r="L103" s="46">
        <f>IF($A$1='Data Entry'!$C104,'Data Entry'!M104,"")</f>
        <v>0</v>
      </c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</row>
    <row r="104" spans="1:36" ht="15.95" customHeight="1" x14ac:dyDescent="0.2">
      <c r="A104" s="43"/>
      <c r="B104" s="45">
        <v>17</v>
      </c>
      <c r="C104" s="46">
        <f>IF($A$1='Data Entry'!$C105,'Data Entry'!D105,"")</f>
        <v>0</v>
      </c>
      <c r="D104" s="46">
        <f>IF($A$1='Data Entry'!$C105,'Data Entry'!E105,"")</f>
        <v>0</v>
      </c>
      <c r="E104" s="46">
        <f>IF($A$1='Data Entry'!$C105,'Data Entry'!F105,"")</f>
        <v>0</v>
      </c>
      <c r="F104" s="46">
        <f>IF($A$1='Data Entry'!$C105,'Data Entry'!G105,"")</f>
        <v>0</v>
      </c>
      <c r="G104" s="46">
        <f>IF($A$1='Data Entry'!$C105,'Data Entry'!H105,"")</f>
        <v>0</v>
      </c>
      <c r="H104" s="46">
        <f>IF($A$1='Data Entry'!$C105,'Data Entry'!I105,"")</f>
        <v>0</v>
      </c>
      <c r="I104" s="46">
        <f>IF($A$1='Data Entry'!$C105,'Data Entry'!J105,"")</f>
        <v>0</v>
      </c>
      <c r="J104" s="46">
        <f>IF($A$1='Data Entry'!$C105,'Data Entry'!K105,"")</f>
        <v>0</v>
      </c>
      <c r="K104" s="46">
        <f>IF($A$1='Data Entry'!$C105,'Data Entry'!L105,"")</f>
        <v>0</v>
      </c>
      <c r="L104" s="46">
        <f>IF($A$1='Data Entry'!$C105,'Data Entry'!M105,"")</f>
        <v>0</v>
      </c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</row>
    <row r="105" spans="1:36" ht="15.95" customHeight="1" x14ac:dyDescent="0.2">
      <c r="A105" s="43"/>
      <c r="B105" s="45">
        <v>18</v>
      </c>
      <c r="C105" s="46">
        <f>IF($A$1='Data Entry'!$C106,'Data Entry'!D106,"")</f>
        <v>0</v>
      </c>
      <c r="D105" s="46">
        <f>IF($A$1='Data Entry'!$C106,'Data Entry'!E106,"")</f>
        <v>0</v>
      </c>
      <c r="E105" s="46">
        <f>IF($A$1='Data Entry'!$C106,'Data Entry'!F106,"")</f>
        <v>0</v>
      </c>
      <c r="F105" s="46">
        <f>IF($A$1='Data Entry'!$C106,'Data Entry'!G106,"")</f>
        <v>0</v>
      </c>
      <c r="G105" s="46">
        <f>IF($A$1='Data Entry'!$C106,'Data Entry'!H106,"")</f>
        <v>0</v>
      </c>
      <c r="H105" s="46">
        <f>IF($A$1='Data Entry'!$C106,'Data Entry'!I106,"")</f>
        <v>0</v>
      </c>
      <c r="I105" s="46">
        <f>IF($A$1='Data Entry'!$C106,'Data Entry'!J106,"")</f>
        <v>0</v>
      </c>
      <c r="J105" s="46">
        <f>IF($A$1='Data Entry'!$C106,'Data Entry'!K106,"")</f>
        <v>0</v>
      </c>
      <c r="K105" s="46">
        <f>IF($A$1='Data Entry'!$C106,'Data Entry'!L106,"")</f>
        <v>0</v>
      </c>
      <c r="L105" s="46">
        <f>IF($A$1='Data Entry'!$C106,'Data Entry'!M106,"")</f>
        <v>0</v>
      </c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</row>
    <row r="106" spans="1:36" ht="15.95" customHeight="1" x14ac:dyDescent="0.2">
      <c r="A106" s="43"/>
      <c r="B106" s="45">
        <v>18</v>
      </c>
      <c r="C106" s="46">
        <f>IF($A$1='Data Entry'!$C107,'Data Entry'!D107,"")</f>
        <v>0</v>
      </c>
      <c r="D106" s="46">
        <f>IF($A$1='Data Entry'!$C107,'Data Entry'!E107,"")</f>
        <v>0</v>
      </c>
      <c r="E106" s="46">
        <f>IF($A$1='Data Entry'!$C107,'Data Entry'!F107,"")</f>
        <v>0</v>
      </c>
      <c r="F106" s="46">
        <f>IF($A$1='Data Entry'!$C107,'Data Entry'!G107,"")</f>
        <v>0</v>
      </c>
      <c r="G106" s="46">
        <f>IF($A$1='Data Entry'!$C107,'Data Entry'!H107,"")</f>
        <v>0</v>
      </c>
      <c r="H106" s="46">
        <f>IF($A$1='Data Entry'!$C107,'Data Entry'!I107,"")</f>
        <v>0</v>
      </c>
      <c r="I106" s="46">
        <f>IF($A$1='Data Entry'!$C107,'Data Entry'!J107,"")</f>
        <v>0</v>
      </c>
      <c r="J106" s="46">
        <f>IF($A$1='Data Entry'!$C107,'Data Entry'!K107,"")</f>
        <v>0</v>
      </c>
      <c r="K106" s="46">
        <f>IF($A$1='Data Entry'!$C107,'Data Entry'!L107,"")</f>
        <v>0</v>
      </c>
      <c r="L106" s="46">
        <f>IF($A$1='Data Entry'!$C107,'Data Entry'!M107,"")</f>
        <v>0</v>
      </c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</row>
    <row r="107" spans="1:36" ht="15.95" customHeight="1" x14ac:dyDescent="0.2">
      <c r="A107" s="43"/>
      <c r="B107" s="45">
        <v>18</v>
      </c>
      <c r="C107" s="46">
        <f>IF($A$1='Data Entry'!$C108,'Data Entry'!D108,"")</f>
        <v>0</v>
      </c>
      <c r="D107" s="46">
        <f>IF($A$1='Data Entry'!$C108,'Data Entry'!E108,"")</f>
        <v>0</v>
      </c>
      <c r="E107" s="46">
        <f>IF($A$1='Data Entry'!$C108,'Data Entry'!F108,"")</f>
        <v>0</v>
      </c>
      <c r="F107" s="46">
        <f>IF($A$1='Data Entry'!$C108,'Data Entry'!G108,"")</f>
        <v>0</v>
      </c>
      <c r="G107" s="46">
        <f>IF($A$1='Data Entry'!$C108,'Data Entry'!H108,"")</f>
        <v>0</v>
      </c>
      <c r="H107" s="46">
        <f>IF($A$1='Data Entry'!$C108,'Data Entry'!I108,"")</f>
        <v>0</v>
      </c>
      <c r="I107" s="46">
        <f>IF($A$1='Data Entry'!$C108,'Data Entry'!J108,"")</f>
        <v>0</v>
      </c>
      <c r="J107" s="46">
        <f>IF($A$1='Data Entry'!$C108,'Data Entry'!K108,"")</f>
        <v>0</v>
      </c>
      <c r="K107" s="46">
        <f>IF($A$1='Data Entry'!$C108,'Data Entry'!L108,"")</f>
        <v>0</v>
      </c>
      <c r="L107" s="46">
        <f>IF($A$1='Data Entry'!$C108,'Data Entry'!M108,"")</f>
        <v>0</v>
      </c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</row>
    <row r="108" spans="1:36" ht="15.95" customHeight="1" x14ac:dyDescent="0.2">
      <c r="A108" s="43"/>
      <c r="B108" s="45">
        <v>18</v>
      </c>
      <c r="C108" s="46">
        <f>IF($A$1='Data Entry'!$C109,'Data Entry'!D109,"")</f>
        <v>0</v>
      </c>
      <c r="D108" s="46">
        <f>IF($A$1='Data Entry'!$C109,'Data Entry'!E109,"")</f>
        <v>0</v>
      </c>
      <c r="E108" s="46">
        <f>IF($A$1='Data Entry'!$C109,'Data Entry'!F109,"")</f>
        <v>0</v>
      </c>
      <c r="F108" s="46">
        <f>IF($A$1='Data Entry'!$C109,'Data Entry'!G109,"")</f>
        <v>0</v>
      </c>
      <c r="G108" s="46">
        <f>IF($A$1='Data Entry'!$C109,'Data Entry'!H109,"")</f>
        <v>0</v>
      </c>
      <c r="H108" s="46">
        <f>IF($A$1='Data Entry'!$C109,'Data Entry'!I109,"")</f>
        <v>0</v>
      </c>
      <c r="I108" s="46">
        <f>IF($A$1='Data Entry'!$C109,'Data Entry'!J109,"")</f>
        <v>0</v>
      </c>
      <c r="J108" s="46">
        <f>IF($A$1='Data Entry'!$C109,'Data Entry'!K109,"")</f>
        <v>0</v>
      </c>
      <c r="K108" s="46">
        <f>IF($A$1='Data Entry'!$C109,'Data Entry'!L109,"")</f>
        <v>0</v>
      </c>
      <c r="L108" s="46">
        <f>IF($A$1='Data Entry'!$C109,'Data Entry'!M109,"")</f>
        <v>0</v>
      </c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</row>
    <row r="109" spans="1:36" ht="15.95" customHeight="1" x14ac:dyDescent="0.2">
      <c r="A109" s="43"/>
      <c r="B109" s="45">
        <v>18</v>
      </c>
      <c r="C109" s="46">
        <f>IF($A$1='Data Entry'!$C110,'Data Entry'!D110,"")</f>
        <v>0</v>
      </c>
      <c r="D109" s="46">
        <f>IF($A$1='Data Entry'!$C110,'Data Entry'!E110,"")</f>
        <v>0</v>
      </c>
      <c r="E109" s="46">
        <f>IF($A$1='Data Entry'!$C110,'Data Entry'!F110,"")</f>
        <v>0</v>
      </c>
      <c r="F109" s="46">
        <f>IF($A$1='Data Entry'!$C110,'Data Entry'!G110,"")</f>
        <v>0</v>
      </c>
      <c r="G109" s="46">
        <f>IF($A$1='Data Entry'!$C110,'Data Entry'!H110,"")</f>
        <v>0</v>
      </c>
      <c r="H109" s="46">
        <f>IF($A$1='Data Entry'!$C110,'Data Entry'!I110,"")</f>
        <v>0</v>
      </c>
      <c r="I109" s="46">
        <f>IF($A$1='Data Entry'!$C110,'Data Entry'!J110,"")</f>
        <v>0</v>
      </c>
      <c r="J109" s="46">
        <f>IF($A$1='Data Entry'!$C110,'Data Entry'!K110,"")</f>
        <v>0</v>
      </c>
      <c r="K109" s="46">
        <f>IF($A$1='Data Entry'!$C110,'Data Entry'!L110,"")</f>
        <v>0</v>
      </c>
      <c r="L109" s="46">
        <f>IF($A$1='Data Entry'!$C110,'Data Entry'!M110,"")</f>
        <v>0</v>
      </c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</row>
    <row r="110" spans="1:36" ht="15.95" customHeight="1" x14ac:dyDescent="0.2">
      <c r="A110" s="43"/>
      <c r="B110" s="45">
        <v>18</v>
      </c>
      <c r="C110" s="46">
        <f>IF($A$1='Data Entry'!$C111,'Data Entry'!D111,"")</f>
        <v>0</v>
      </c>
      <c r="D110" s="46">
        <f>IF($A$1='Data Entry'!$C111,'Data Entry'!E111,"")</f>
        <v>0</v>
      </c>
      <c r="E110" s="46">
        <f>IF($A$1='Data Entry'!$C111,'Data Entry'!F111,"")</f>
        <v>0</v>
      </c>
      <c r="F110" s="46">
        <f>IF($A$1='Data Entry'!$C111,'Data Entry'!G111,"")</f>
        <v>0</v>
      </c>
      <c r="G110" s="46">
        <f>IF($A$1='Data Entry'!$C111,'Data Entry'!H111,"")</f>
        <v>0</v>
      </c>
      <c r="H110" s="46">
        <f>IF($A$1='Data Entry'!$C111,'Data Entry'!I111,"")</f>
        <v>0</v>
      </c>
      <c r="I110" s="46">
        <f>IF($A$1='Data Entry'!$C111,'Data Entry'!J111,"")</f>
        <v>0</v>
      </c>
      <c r="J110" s="46">
        <f>IF($A$1='Data Entry'!$C111,'Data Entry'!K111,"")</f>
        <v>0</v>
      </c>
      <c r="K110" s="46">
        <f>IF($A$1='Data Entry'!$C111,'Data Entry'!L111,"")</f>
        <v>0</v>
      </c>
      <c r="L110" s="46">
        <f>IF($A$1='Data Entry'!$C111,'Data Entry'!M111,"")</f>
        <v>0</v>
      </c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</row>
    <row r="111" spans="1:36" ht="15.95" customHeight="1" x14ac:dyDescent="0.2">
      <c r="A111" s="43"/>
      <c r="B111" s="45">
        <v>19</v>
      </c>
      <c r="C111" s="46">
        <f>IF($A$1='Data Entry'!$C112,'Data Entry'!D112,"")</f>
        <v>0</v>
      </c>
      <c r="D111" s="46">
        <f>IF($A$1='Data Entry'!$C112,'Data Entry'!E112,"")</f>
        <v>0</v>
      </c>
      <c r="E111" s="46">
        <f>IF($A$1='Data Entry'!$C112,'Data Entry'!F112,"")</f>
        <v>0</v>
      </c>
      <c r="F111" s="46">
        <f>IF($A$1='Data Entry'!$C112,'Data Entry'!G112,"")</f>
        <v>0</v>
      </c>
      <c r="G111" s="46">
        <f>IF($A$1='Data Entry'!$C112,'Data Entry'!H112,"")</f>
        <v>0</v>
      </c>
      <c r="H111" s="46">
        <f>IF($A$1='Data Entry'!$C112,'Data Entry'!I112,"")</f>
        <v>0</v>
      </c>
      <c r="I111" s="46">
        <f>IF($A$1='Data Entry'!$C112,'Data Entry'!J112,"")</f>
        <v>0</v>
      </c>
      <c r="J111" s="46">
        <f>IF($A$1='Data Entry'!$C112,'Data Entry'!K112,"")</f>
        <v>0</v>
      </c>
      <c r="K111" s="46">
        <f>IF($A$1='Data Entry'!$C112,'Data Entry'!L112,"")</f>
        <v>0</v>
      </c>
      <c r="L111" s="46">
        <f>IF($A$1='Data Entry'!$C112,'Data Entry'!M112,"")</f>
        <v>0</v>
      </c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</row>
    <row r="112" spans="1:36" ht="15.95" customHeight="1" x14ac:dyDescent="0.2">
      <c r="A112" s="43"/>
      <c r="B112" s="45">
        <v>19</v>
      </c>
      <c r="C112" s="46">
        <f>IF($A$1='Data Entry'!$C113,'Data Entry'!D113,"")</f>
        <v>0</v>
      </c>
      <c r="D112" s="46">
        <f>IF($A$1='Data Entry'!$C113,'Data Entry'!E113,"")</f>
        <v>0</v>
      </c>
      <c r="E112" s="46">
        <f>IF($A$1='Data Entry'!$C113,'Data Entry'!F113,"")</f>
        <v>0</v>
      </c>
      <c r="F112" s="46">
        <f>IF($A$1='Data Entry'!$C113,'Data Entry'!G113,"")</f>
        <v>0</v>
      </c>
      <c r="G112" s="46">
        <f>IF($A$1='Data Entry'!$C113,'Data Entry'!H113,"")</f>
        <v>0</v>
      </c>
      <c r="H112" s="46">
        <f>IF($A$1='Data Entry'!$C113,'Data Entry'!I113,"")</f>
        <v>0</v>
      </c>
      <c r="I112" s="46">
        <f>IF($A$1='Data Entry'!$C113,'Data Entry'!J113,"")</f>
        <v>0</v>
      </c>
      <c r="J112" s="46">
        <f>IF($A$1='Data Entry'!$C113,'Data Entry'!K113,"")</f>
        <v>0</v>
      </c>
      <c r="K112" s="46">
        <f>IF($A$1='Data Entry'!$C113,'Data Entry'!L113,"")</f>
        <v>0</v>
      </c>
      <c r="L112" s="46">
        <f>IF($A$1='Data Entry'!$C113,'Data Entry'!M113,"")</f>
        <v>0</v>
      </c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</row>
    <row r="113" spans="1:36" ht="15.95" customHeight="1" x14ac:dyDescent="0.2">
      <c r="A113" s="43"/>
      <c r="B113" s="45">
        <v>19</v>
      </c>
      <c r="C113" s="46">
        <f>IF($A$1='Data Entry'!$C114,'Data Entry'!D114,"")</f>
        <v>0</v>
      </c>
      <c r="D113" s="46">
        <f>IF($A$1='Data Entry'!$C114,'Data Entry'!E114,"")</f>
        <v>0</v>
      </c>
      <c r="E113" s="46">
        <f>IF($A$1='Data Entry'!$C114,'Data Entry'!F114,"")</f>
        <v>0</v>
      </c>
      <c r="F113" s="46">
        <f>IF($A$1='Data Entry'!$C114,'Data Entry'!G114,"")</f>
        <v>0</v>
      </c>
      <c r="G113" s="46">
        <f>IF($A$1='Data Entry'!$C114,'Data Entry'!H114,"")</f>
        <v>0</v>
      </c>
      <c r="H113" s="46">
        <f>IF($A$1='Data Entry'!$C114,'Data Entry'!I114,"")</f>
        <v>0</v>
      </c>
      <c r="I113" s="46">
        <f>IF($A$1='Data Entry'!$C114,'Data Entry'!J114,"")</f>
        <v>0</v>
      </c>
      <c r="J113" s="46">
        <f>IF($A$1='Data Entry'!$C114,'Data Entry'!K114,"")</f>
        <v>0</v>
      </c>
      <c r="K113" s="46">
        <f>IF($A$1='Data Entry'!$C114,'Data Entry'!L114,"")</f>
        <v>0</v>
      </c>
      <c r="L113" s="46">
        <f>IF($A$1='Data Entry'!$C114,'Data Entry'!M114,"")</f>
        <v>0</v>
      </c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</row>
    <row r="114" spans="1:36" ht="15.95" customHeight="1" x14ac:dyDescent="0.2">
      <c r="A114" s="43"/>
      <c r="B114" s="45">
        <v>19</v>
      </c>
      <c r="C114" s="46">
        <f>IF($A$1='Data Entry'!$C115,'Data Entry'!D115,"")</f>
        <v>0</v>
      </c>
      <c r="D114" s="46">
        <f>IF($A$1='Data Entry'!$C115,'Data Entry'!E115,"")</f>
        <v>0</v>
      </c>
      <c r="E114" s="46">
        <f>IF($A$1='Data Entry'!$C115,'Data Entry'!F115,"")</f>
        <v>0</v>
      </c>
      <c r="F114" s="46">
        <f>IF($A$1='Data Entry'!$C115,'Data Entry'!G115,"")</f>
        <v>0</v>
      </c>
      <c r="G114" s="46">
        <f>IF($A$1='Data Entry'!$C115,'Data Entry'!H115,"")</f>
        <v>0</v>
      </c>
      <c r="H114" s="46">
        <f>IF($A$1='Data Entry'!$C115,'Data Entry'!I115,"")</f>
        <v>0</v>
      </c>
      <c r="I114" s="46">
        <f>IF($A$1='Data Entry'!$C115,'Data Entry'!J115,"")</f>
        <v>0</v>
      </c>
      <c r="J114" s="46">
        <f>IF($A$1='Data Entry'!$C115,'Data Entry'!K115,"")</f>
        <v>0</v>
      </c>
      <c r="K114" s="46">
        <f>IF($A$1='Data Entry'!$C115,'Data Entry'!L115,"")</f>
        <v>0</v>
      </c>
      <c r="L114" s="46">
        <f>IF($A$1='Data Entry'!$C115,'Data Entry'!M115,"")</f>
        <v>0</v>
      </c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</row>
    <row r="115" spans="1:36" ht="15.95" customHeight="1" x14ac:dyDescent="0.2">
      <c r="A115" s="43"/>
      <c r="B115" s="45">
        <v>19</v>
      </c>
      <c r="C115" s="46">
        <f>IF($A$1='Data Entry'!$C116,'Data Entry'!D116,"")</f>
        <v>0</v>
      </c>
      <c r="D115" s="46">
        <f>IF($A$1='Data Entry'!$C116,'Data Entry'!E116,"")</f>
        <v>0</v>
      </c>
      <c r="E115" s="46">
        <f>IF($A$1='Data Entry'!$C116,'Data Entry'!F116,"")</f>
        <v>0</v>
      </c>
      <c r="F115" s="46">
        <f>IF($A$1='Data Entry'!$C116,'Data Entry'!G116,"")</f>
        <v>0</v>
      </c>
      <c r="G115" s="46">
        <f>IF($A$1='Data Entry'!$C116,'Data Entry'!H116,"")</f>
        <v>0</v>
      </c>
      <c r="H115" s="46">
        <f>IF($A$1='Data Entry'!$C116,'Data Entry'!I116,"")</f>
        <v>0</v>
      </c>
      <c r="I115" s="46">
        <f>IF($A$1='Data Entry'!$C116,'Data Entry'!J116,"")</f>
        <v>0</v>
      </c>
      <c r="J115" s="46">
        <f>IF($A$1='Data Entry'!$C116,'Data Entry'!K116,"")</f>
        <v>0</v>
      </c>
      <c r="K115" s="46">
        <f>IF($A$1='Data Entry'!$C116,'Data Entry'!L116,"")</f>
        <v>0</v>
      </c>
      <c r="L115" s="46">
        <f>IF($A$1='Data Entry'!$C116,'Data Entry'!M116,"")</f>
        <v>0</v>
      </c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</row>
    <row r="116" spans="1:36" ht="15.95" customHeight="1" x14ac:dyDescent="0.2">
      <c r="A116" s="43"/>
      <c r="B116" s="45">
        <v>19</v>
      </c>
      <c r="C116" s="46">
        <f>IF($A$1='Data Entry'!$C117,'Data Entry'!D117,"")</f>
        <v>0</v>
      </c>
      <c r="D116" s="46">
        <f>IF($A$1='Data Entry'!$C117,'Data Entry'!E117,"")</f>
        <v>0</v>
      </c>
      <c r="E116" s="46">
        <f>IF($A$1='Data Entry'!$C117,'Data Entry'!F117,"")</f>
        <v>0</v>
      </c>
      <c r="F116" s="46">
        <f>IF($A$1='Data Entry'!$C117,'Data Entry'!G117,"")</f>
        <v>0</v>
      </c>
      <c r="G116" s="46">
        <f>IF($A$1='Data Entry'!$C117,'Data Entry'!H117,"")</f>
        <v>0</v>
      </c>
      <c r="H116" s="46">
        <f>IF($A$1='Data Entry'!$C117,'Data Entry'!I117,"")</f>
        <v>0</v>
      </c>
      <c r="I116" s="46">
        <f>IF($A$1='Data Entry'!$C117,'Data Entry'!J117,"")</f>
        <v>0</v>
      </c>
      <c r="J116" s="46">
        <f>IF($A$1='Data Entry'!$C117,'Data Entry'!K117,"")</f>
        <v>0</v>
      </c>
      <c r="K116" s="46">
        <f>IF($A$1='Data Entry'!$C117,'Data Entry'!L117,"")</f>
        <v>0</v>
      </c>
      <c r="L116" s="46">
        <f>IF($A$1='Data Entry'!$C117,'Data Entry'!M117,"")</f>
        <v>0</v>
      </c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</row>
    <row r="117" spans="1:36" ht="15.95" customHeight="1" x14ac:dyDescent="0.2">
      <c r="A117" s="43"/>
      <c r="B117" s="45">
        <v>20</v>
      </c>
      <c r="C117" s="46">
        <f>IF($A$1='Data Entry'!$C118,'Data Entry'!D118,"")</f>
        <v>0</v>
      </c>
      <c r="D117" s="46">
        <f>IF($A$1='Data Entry'!$C118,'Data Entry'!E118,"")</f>
        <v>0</v>
      </c>
      <c r="E117" s="46">
        <f>IF($A$1='Data Entry'!$C118,'Data Entry'!F118,"")</f>
        <v>0</v>
      </c>
      <c r="F117" s="46">
        <f>IF($A$1='Data Entry'!$C118,'Data Entry'!G118,"")</f>
        <v>0</v>
      </c>
      <c r="G117" s="46">
        <f>IF($A$1='Data Entry'!$C118,'Data Entry'!H118,"")</f>
        <v>0</v>
      </c>
      <c r="H117" s="46">
        <f>IF($A$1='Data Entry'!$C118,'Data Entry'!I118,"")</f>
        <v>0</v>
      </c>
      <c r="I117" s="46">
        <f>IF($A$1='Data Entry'!$C118,'Data Entry'!J118,"")</f>
        <v>0</v>
      </c>
      <c r="J117" s="46">
        <f>IF($A$1='Data Entry'!$C118,'Data Entry'!K118,"")</f>
        <v>0</v>
      </c>
      <c r="K117" s="46">
        <f>IF($A$1='Data Entry'!$C118,'Data Entry'!L118,"")</f>
        <v>0</v>
      </c>
      <c r="L117" s="46">
        <f>IF($A$1='Data Entry'!$C118,'Data Entry'!M118,"")</f>
        <v>0</v>
      </c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</row>
    <row r="118" spans="1:36" ht="15.95" customHeight="1" x14ac:dyDescent="0.2">
      <c r="A118" s="43"/>
      <c r="B118" s="45">
        <v>20</v>
      </c>
      <c r="C118" s="46">
        <f>IF($A$1='Data Entry'!$C119,'Data Entry'!D119,"")</f>
        <v>0</v>
      </c>
      <c r="D118" s="46">
        <f>IF($A$1='Data Entry'!$C119,'Data Entry'!E119,"")</f>
        <v>0</v>
      </c>
      <c r="E118" s="46">
        <f>IF($A$1='Data Entry'!$C119,'Data Entry'!F119,"")</f>
        <v>0</v>
      </c>
      <c r="F118" s="46">
        <f>IF($A$1='Data Entry'!$C119,'Data Entry'!G119,"")</f>
        <v>0</v>
      </c>
      <c r="G118" s="46">
        <f>IF($A$1='Data Entry'!$C119,'Data Entry'!H119,"")</f>
        <v>0</v>
      </c>
      <c r="H118" s="46">
        <f>IF($A$1='Data Entry'!$C119,'Data Entry'!I119,"")</f>
        <v>0</v>
      </c>
      <c r="I118" s="46">
        <f>IF($A$1='Data Entry'!$C119,'Data Entry'!J119,"")</f>
        <v>0</v>
      </c>
      <c r="J118" s="46">
        <f>IF($A$1='Data Entry'!$C119,'Data Entry'!K119,"")</f>
        <v>0</v>
      </c>
      <c r="K118" s="46">
        <f>IF($A$1='Data Entry'!$C119,'Data Entry'!L119,"")</f>
        <v>0</v>
      </c>
      <c r="L118" s="46">
        <f>IF($A$1='Data Entry'!$C119,'Data Entry'!M119,"")</f>
        <v>0</v>
      </c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</row>
    <row r="119" spans="1:36" ht="15.95" customHeight="1" x14ac:dyDescent="0.2">
      <c r="A119" s="43"/>
      <c r="B119" s="45">
        <v>20</v>
      </c>
      <c r="C119" s="46">
        <f>IF($A$1='Data Entry'!$C120,'Data Entry'!D120,"")</f>
        <v>0</v>
      </c>
      <c r="D119" s="46">
        <f>IF($A$1='Data Entry'!$C120,'Data Entry'!E120,"")</f>
        <v>0</v>
      </c>
      <c r="E119" s="46">
        <f>IF($A$1='Data Entry'!$C120,'Data Entry'!F120,"")</f>
        <v>0</v>
      </c>
      <c r="F119" s="46">
        <f>IF($A$1='Data Entry'!$C120,'Data Entry'!G120,"")</f>
        <v>0</v>
      </c>
      <c r="G119" s="46">
        <f>IF($A$1='Data Entry'!$C120,'Data Entry'!H120,"")</f>
        <v>0</v>
      </c>
      <c r="H119" s="46">
        <f>IF($A$1='Data Entry'!$C120,'Data Entry'!I120,"")</f>
        <v>0</v>
      </c>
      <c r="I119" s="46">
        <f>IF($A$1='Data Entry'!$C120,'Data Entry'!J120,"")</f>
        <v>0</v>
      </c>
      <c r="J119" s="46">
        <f>IF($A$1='Data Entry'!$C120,'Data Entry'!K120,"")</f>
        <v>0</v>
      </c>
      <c r="K119" s="46">
        <f>IF($A$1='Data Entry'!$C120,'Data Entry'!L120,"")</f>
        <v>0</v>
      </c>
      <c r="L119" s="46">
        <f>IF($A$1='Data Entry'!$C120,'Data Entry'!M120,"")</f>
        <v>0</v>
      </c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</row>
    <row r="120" spans="1:36" ht="15.95" customHeight="1" x14ac:dyDescent="0.2">
      <c r="A120" s="43"/>
      <c r="B120" s="45">
        <v>20</v>
      </c>
      <c r="C120" s="46">
        <f>IF($A$1='Data Entry'!$C121,'Data Entry'!D121,"")</f>
        <v>0</v>
      </c>
      <c r="D120" s="46">
        <f>IF($A$1='Data Entry'!$C121,'Data Entry'!E121,"")</f>
        <v>0</v>
      </c>
      <c r="E120" s="46">
        <f>IF($A$1='Data Entry'!$C121,'Data Entry'!F121,"")</f>
        <v>0</v>
      </c>
      <c r="F120" s="46">
        <f>IF($A$1='Data Entry'!$C121,'Data Entry'!G121,"")</f>
        <v>0</v>
      </c>
      <c r="G120" s="46">
        <f>IF($A$1='Data Entry'!$C121,'Data Entry'!H121,"")</f>
        <v>0</v>
      </c>
      <c r="H120" s="46">
        <f>IF($A$1='Data Entry'!$C121,'Data Entry'!I121,"")</f>
        <v>0</v>
      </c>
      <c r="I120" s="46">
        <f>IF($A$1='Data Entry'!$C121,'Data Entry'!J121,"")</f>
        <v>0</v>
      </c>
      <c r="J120" s="46">
        <f>IF($A$1='Data Entry'!$C121,'Data Entry'!K121,"")</f>
        <v>0</v>
      </c>
      <c r="K120" s="46">
        <f>IF($A$1='Data Entry'!$C121,'Data Entry'!L121,"")</f>
        <v>0</v>
      </c>
      <c r="L120" s="46">
        <f>IF($A$1='Data Entry'!$C121,'Data Entry'!M121,"")</f>
        <v>0</v>
      </c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</row>
    <row r="121" spans="1:36" ht="15.95" customHeight="1" x14ac:dyDescent="0.2">
      <c r="A121" s="43"/>
      <c r="B121" s="45">
        <v>20</v>
      </c>
      <c r="C121" s="46">
        <f>IF($A$1='Data Entry'!$C122,'Data Entry'!D122,"")</f>
        <v>0</v>
      </c>
      <c r="D121" s="46">
        <f>IF($A$1='Data Entry'!$C122,'Data Entry'!E122,"")</f>
        <v>0</v>
      </c>
      <c r="E121" s="46">
        <f>IF($A$1='Data Entry'!$C122,'Data Entry'!F122,"")</f>
        <v>0</v>
      </c>
      <c r="F121" s="46">
        <f>IF($A$1='Data Entry'!$C122,'Data Entry'!G122,"")</f>
        <v>0</v>
      </c>
      <c r="G121" s="46">
        <f>IF($A$1='Data Entry'!$C122,'Data Entry'!H122,"")</f>
        <v>0</v>
      </c>
      <c r="H121" s="46">
        <f>IF($A$1='Data Entry'!$C122,'Data Entry'!I122,"")</f>
        <v>0</v>
      </c>
      <c r="I121" s="46">
        <f>IF($A$1='Data Entry'!$C122,'Data Entry'!J122,"")</f>
        <v>0</v>
      </c>
      <c r="J121" s="46">
        <f>IF($A$1='Data Entry'!$C122,'Data Entry'!K122,"")</f>
        <v>0</v>
      </c>
      <c r="K121" s="46">
        <f>IF($A$1='Data Entry'!$C122,'Data Entry'!L122,"")</f>
        <v>0</v>
      </c>
      <c r="L121" s="46">
        <f>IF($A$1='Data Entry'!$C122,'Data Entry'!M122,"")</f>
        <v>0</v>
      </c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</row>
    <row r="122" spans="1:36" ht="15.95" customHeight="1" x14ac:dyDescent="0.2">
      <c r="A122" s="43"/>
      <c r="B122" s="45">
        <v>20</v>
      </c>
      <c r="C122" s="46">
        <f>IF($A$1='Data Entry'!$C123,'Data Entry'!D123,"")</f>
        <v>0</v>
      </c>
      <c r="D122" s="46">
        <f>IF($A$1='Data Entry'!$C123,'Data Entry'!E123,"")</f>
        <v>0</v>
      </c>
      <c r="E122" s="46">
        <f>IF($A$1='Data Entry'!$C123,'Data Entry'!F123,"")</f>
        <v>0</v>
      </c>
      <c r="F122" s="46">
        <f>IF($A$1='Data Entry'!$C123,'Data Entry'!G123,"")</f>
        <v>0</v>
      </c>
      <c r="G122" s="46">
        <f>IF($A$1='Data Entry'!$C123,'Data Entry'!H123,"")</f>
        <v>0</v>
      </c>
      <c r="H122" s="46">
        <f>IF($A$1='Data Entry'!$C123,'Data Entry'!I123,"")</f>
        <v>0</v>
      </c>
      <c r="I122" s="46">
        <f>IF($A$1='Data Entry'!$C123,'Data Entry'!J123,"")</f>
        <v>0</v>
      </c>
      <c r="J122" s="46">
        <f>IF($A$1='Data Entry'!$C123,'Data Entry'!K123,"")</f>
        <v>0</v>
      </c>
      <c r="K122" s="46">
        <f>IF($A$1='Data Entry'!$C123,'Data Entry'!L123,"")</f>
        <v>0</v>
      </c>
      <c r="L122" s="46">
        <f>IF($A$1='Data Entry'!$C123,'Data Entry'!M123,"")</f>
        <v>0</v>
      </c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</row>
    <row r="123" spans="1:36" ht="15.95" customHeight="1" x14ac:dyDescent="0.2">
      <c r="A123" s="43"/>
      <c r="B123" s="45">
        <v>21</v>
      </c>
      <c r="C123" s="46">
        <f>IF($A$1='Data Entry'!$C124,'Data Entry'!D124,"")</f>
        <v>0</v>
      </c>
      <c r="D123" s="46">
        <f>IF($A$1='Data Entry'!$C124,'Data Entry'!E124,"")</f>
        <v>0</v>
      </c>
      <c r="E123" s="46">
        <f>IF($A$1='Data Entry'!$C124,'Data Entry'!F124,"")</f>
        <v>0</v>
      </c>
      <c r="F123" s="46">
        <f>IF($A$1='Data Entry'!$C124,'Data Entry'!G124,"")</f>
        <v>0</v>
      </c>
      <c r="G123" s="46">
        <f>IF($A$1='Data Entry'!$C124,'Data Entry'!H124,"")</f>
        <v>0</v>
      </c>
      <c r="H123" s="46">
        <f>IF($A$1='Data Entry'!$C124,'Data Entry'!I124,"")</f>
        <v>0</v>
      </c>
      <c r="I123" s="46">
        <f>IF($A$1='Data Entry'!$C124,'Data Entry'!J124,"")</f>
        <v>0</v>
      </c>
      <c r="J123" s="46">
        <f>IF($A$1='Data Entry'!$C124,'Data Entry'!K124,"")</f>
        <v>0</v>
      </c>
      <c r="K123" s="46">
        <f>IF($A$1='Data Entry'!$C124,'Data Entry'!L124,"")</f>
        <v>0</v>
      </c>
      <c r="L123" s="46">
        <f>IF($A$1='Data Entry'!$C124,'Data Entry'!M124,"")</f>
        <v>0</v>
      </c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</row>
    <row r="124" spans="1:36" ht="15.95" customHeight="1" x14ac:dyDescent="0.2">
      <c r="A124" s="43"/>
      <c r="B124" s="45">
        <v>21</v>
      </c>
      <c r="C124" s="46">
        <f>IF($A$1='Data Entry'!$C125,'Data Entry'!D125,"")</f>
        <v>0</v>
      </c>
      <c r="D124" s="46">
        <f>IF($A$1='Data Entry'!$C125,'Data Entry'!E125,"")</f>
        <v>0</v>
      </c>
      <c r="E124" s="46">
        <f>IF($A$1='Data Entry'!$C125,'Data Entry'!F125,"")</f>
        <v>0</v>
      </c>
      <c r="F124" s="46">
        <f>IF($A$1='Data Entry'!$C125,'Data Entry'!G125,"")</f>
        <v>0</v>
      </c>
      <c r="G124" s="46">
        <f>IF($A$1='Data Entry'!$C125,'Data Entry'!H125,"")</f>
        <v>0</v>
      </c>
      <c r="H124" s="46">
        <f>IF($A$1='Data Entry'!$C125,'Data Entry'!I125,"")</f>
        <v>0</v>
      </c>
      <c r="I124" s="46">
        <f>IF($A$1='Data Entry'!$C125,'Data Entry'!J125,"")</f>
        <v>0</v>
      </c>
      <c r="J124" s="46">
        <f>IF($A$1='Data Entry'!$C125,'Data Entry'!K125,"")</f>
        <v>0</v>
      </c>
      <c r="K124" s="46">
        <f>IF($A$1='Data Entry'!$C125,'Data Entry'!L125,"")</f>
        <v>0</v>
      </c>
      <c r="L124" s="46">
        <f>IF($A$1='Data Entry'!$C125,'Data Entry'!M125,"")</f>
        <v>0</v>
      </c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</row>
    <row r="125" spans="1:36" ht="15.95" customHeight="1" x14ac:dyDescent="0.2">
      <c r="A125" s="43"/>
      <c r="B125" s="45">
        <v>21</v>
      </c>
      <c r="C125" s="46">
        <f>IF($A$1='Data Entry'!$C126,'Data Entry'!D126,"")</f>
        <v>0</v>
      </c>
      <c r="D125" s="46">
        <f>IF($A$1='Data Entry'!$C126,'Data Entry'!E126,"")</f>
        <v>0</v>
      </c>
      <c r="E125" s="46">
        <f>IF($A$1='Data Entry'!$C126,'Data Entry'!F126,"")</f>
        <v>0</v>
      </c>
      <c r="F125" s="46">
        <f>IF($A$1='Data Entry'!$C126,'Data Entry'!G126,"")</f>
        <v>0</v>
      </c>
      <c r="G125" s="46">
        <f>IF($A$1='Data Entry'!$C126,'Data Entry'!H126,"")</f>
        <v>0</v>
      </c>
      <c r="H125" s="46">
        <f>IF($A$1='Data Entry'!$C126,'Data Entry'!I126,"")</f>
        <v>0</v>
      </c>
      <c r="I125" s="46">
        <f>IF($A$1='Data Entry'!$C126,'Data Entry'!J126,"")</f>
        <v>0</v>
      </c>
      <c r="J125" s="46">
        <f>IF($A$1='Data Entry'!$C126,'Data Entry'!K126,"")</f>
        <v>0</v>
      </c>
      <c r="K125" s="46">
        <f>IF($A$1='Data Entry'!$C126,'Data Entry'!L126,"")</f>
        <v>0</v>
      </c>
      <c r="L125" s="46">
        <f>IF($A$1='Data Entry'!$C126,'Data Entry'!M126,"")</f>
        <v>0</v>
      </c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</row>
    <row r="126" spans="1:36" ht="15.95" customHeight="1" x14ac:dyDescent="0.2">
      <c r="A126" s="43"/>
      <c r="B126" s="45">
        <v>21</v>
      </c>
      <c r="C126" s="46">
        <f>IF($A$1='Data Entry'!$C127,'Data Entry'!D127,"")</f>
        <v>0</v>
      </c>
      <c r="D126" s="46">
        <f>IF($A$1='Data Entry'!$C127,'Data Entry'!E127,"")</f>
        <v>0</v>
      </c>
      <c r="E126" s="46">
        <f>IF($A$1='Data Entry'!$C127,'Data Entry'!F127,"")</f>
        <v>0</v>
      </c>
      <c r="F126" s="46">
        <f>IF($A$1='Data Entry'!$C127,'Data Entry'!G127,"")</f>
        <v>0</v>
      </c>
      <c r="G126" s="46">
        <f>IF($A$1='Data Entry'!$C127,'Data Entry'!H127,"")</f>
        <v>0</v>
      </c>
      <c r="H126" s="46">
        <f>IF($A$1='Data Entry'!$C127,'Data Entry'!I127,"")</f>
        <v>0</v>
      </c>
      <c r="I126" s="46">
        <f>IF($A$1='Data Entry'!$C127,'Data Entry'!J127,"")</f>
        <v>0</v>
      </c>
      <c r="J126" s="46">
        <f>IF($A$1='Data Entry'!$C127,'Data Entry'!K127,"")</f>
        <v>0</v>
      </c>
      <c r="K126" s="46">
        <f>IF($A$1='Data Entry'!$C127,'Data Entry'!L127,"")</f>
        <v>0</v>
      </c>
      <c r="L126" s="46">
        <f>IF($A$1='Data Entry'!$C127,'Data Entry'!M127,"")</f>
        <v>0</v>
      </c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</row>
    <row r="127" spans="1:36" ht="15.95" customHeight="1" x14ac:dyDescent="0.2">
      <c r="A127" s="43"/>
      <c r="B127" s="45">
        <v>21</v>
      </c>
      <c r="C127" s="46">
        <f>IF($A$1='Data Entry'!$C128,'Data Entry'!D128,"")</f>
        <v>0</v>
      </c>
      <c r="D127" s="46">
        <f>IF($A$1='Data Entry'!$C128,'Data Entry'!E128,"")</f>
        <v>0</v>
      </c>
      <c r="E127" s="46">
        <f>IF($A$1='Data Entry'!$C128,'Data Entry'!F128,"")</f>
        <v>0</v>
      </c>
      <c r="F127" s="46">
        <f>IF($A$1='Data Entry'!$C128,'Data Entry'!G128,"")</f>
        <v>0</v>
      </c>
      <c r="G127" s="46">
        <f>IF($A$1='Data Entry'!$C128,'Data Entry'!H128,"")</f>
        <v>0</v>
      </c>
      <c r="H127" s="46">
        <f>IF($A$1='Data Entry'!$C128,'Data Entry'!I128,"")</f>
        <v>0</v>
      </c>
      <c r="I127" s="46">
        <f>IF($A$1='Data Entry'!$C128,'Data Entry'!J128,"")</f>
        <v>0</v>
      </c>
      <c r="J127" s="46">
        <f>IF($A$1='Data Entry'!$C128,'Data Entry'!K128,"")</f>
        <v>0</v>
      </c>
      <c r="K127" s="46">
        <f>IF($A$1='Data Entry'!$C128,'Data Entry'!L128,"")</f>
        <v>0</v>
      </c>
      <c r="L127" s="46">
        <f>IF($A$1='Data Entry'!$C128,'Data Entry'!M128,"")</f>
        <v>0</v>
      </c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</row>
    <row r="128" spans="1:36" ht="15.95" customHeight="1" x14ac:dyDescent="0.2">
      <c r="A128" s="43"/>
      <c r="B128" s="45">
        <v>21</v>
      </c>
      <c r="C128" s="46">
        <f>IF($A$1='Data Entry'!$C129,'Data Entry'!D129,"")</f>
        <v>0</v>
      </c>
      <c r="D128" s="46">
        <f>IF($A$1='Data Entry'!$C129,'Data Entry'!E129,"")</f>
        <v>0</v>
      </c>
      <c r="E128" s="46">
        <f>IF($A$1='Data Entry'!$C129,'Data Entry'!F129,"")</f>
        <v>0</v>
      </c>
      <c r="F128" s="46">
        <f>IF($A$1='Data Entry'!$C129,'Data Entry'!G129,"")</f>
        <v>0</v>
      </c>
      <c r="G128" s="46">
        <f>IF($A$1='Data Entry'!$C129,'Data Entry'!H129,"")</f>
        <v>0</v>
      </c>
      <c r="H128" s="46">
        <f>IF($A$1='Data Entry'!$C129,'Data Entry'!I129,"")</f>
        <v>0</v>
      </c>
      <c r="I128" s="46">
        <f>IF($A$1='Data Entry'!$C129,'Data Entry'!J129,"")</f>
        <v>0</v>
      </c>
      <c r="J128" s="46">
        <f>IF($A$1='Data Entry'!$C129,'Data Entry'!K129,"")</f>
        <v>0</v>
      </c>
      <c r="K128" s="46">
        <f>IF($A$1='Data Entry'!$C129,'Data Entry'!L129,"")</f>
        <v>0</v>
      </c>
      <c r="L128" s="46">
        <f>IF($A$1='Data Entry'!$C129,'Data Entry'!M129,"")</f>
        <v>0</v>
      </c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</row>
    <row r="129" spans="1:36" ht="15.95" customHeight="1" x14ac:dyDescent="0.2">
      <c r="A129" s="43"/>
      <c r="B129" s="45">
        <v>22</v>
      </c>
      <c r="C129" s="46">
        <f>IF($A$1='Data Entry'!$C130,'Data Entry'!D130,"")</f>
        <v>0</v>
      </c>
      <c r="D129" s="46">
        <f>IF($A$1='Data Entry'!$C130,'Data Entry'!E130,"")</f>
        <v>0</v>
      </c>
      <c r="E129" s="46">
        <f>IF($A$1='Data Entry'!$C130,'Data Entry'!F130,"")</f>
        <v>0</v>
      </c>
      <c r="F129" s="46">
        <f>IF($A$1='Data Entry'!$C130,'Data Entry'!G130,"")</f>
        <v>0</v>
      </c>
      <c r="G129" s="46">
        <f>IF($A$1='Data Entry'!$C130,'Data Entry'!H130,"")</f>
        <v>0</v>
      </c>
      <c r="H129" s="46">
        <f>IF($A$1='Data Entry'!$C130,'Data Entry'!I130,"")</f>
        <v>0</v>
      </c>
      <c r="I129" s="46">
        <f>IF($A$1='Data Entry'!$C130,'Data Entry'!J130,"")</f>
        <v>0</v>
      </c>
      <c r="J129" s="46">
        <f>IF($A$1='Data Entry'!$C130,'Data Entry'!K130,"")</f>
        <v>0</v>
      </c>
      <c r="K129" s="46">
        <f>IF($A$1='Data Entry'!$C130,'Data Entry'!L130,"")</f>
        <v>0</v>
      </c>
      <c r="L129" s="46">
        <f>IF($A$1='Data Entry'!$C130,'Data Entry'!M130,"")</f>
        <v>0</v>
      </c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</row>
    <row r="130" spans="1:36" ht="15.95" customHeight="1" x14ac:dyDescent="0.2">
      <c r="A130" s="43"/>
      <c r="B130" s="45">
        <v>22</v>
      </c>
      <c r="C130" s="46">
        <f>IF($A$1='Data Entry'!$C131,'Data Entry'!D131,"")</f>
        <v>0</v>
      </c>
      <c r="D130" s="46">
        <f>IF($A$1='Data Entry'!$C131,'Data Entry'!E131,"")</f>
        <v>0</v>
      </c>
      <c r="E130" s="46">
        <f>IF($A$1='Data Entry'!$C131,'Data Entry'!F131,"")</f>
        <v>0</v>
      </c>
      <c r="F130" s="46">
        <f>IF($A$1='Data Entry'!$C131,'Data Entry'!G131,"")</f>
        <v>0</v>
      </c>
      <c r="G130" s="46">
        <f>IF($A$1='Data Entry'!$C131,'Data Entry'!H131,"")</f>
        <v>0</v>
      </c>
      <c r="H130" s="46">
        <f>IF($A$1='Data Entry'!$C131,'Data Entry'!I131,"")</f>
        <v>0</v>
      </c>
      <c r="I130" s="46">
        <f>IF($A$1='Data Entry'!$C131,'Data Entry'!J131,"")</f>
        <v>0</v>
      </c>
      <c r="J130" s="46">
        <f>IF($A$1='Data Entry'!$C131,'Data Entry'!K131,"")</f>
        <v>0</v>
      </c>
      <c r="K130" s="46">
        <f>IF($A$1='Data Entry'!$C131,'Data Entry'!L131,"")</f>
        <v>0</v>
      </c>
      <c r="L130" s="46">
        <f>IF($A$1='Data Entry'!$C131,'Data Entry'!M131,"")</f>
        <v>0</v>
      </c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</row>
    <row r="131" spans="1:36" ht="15.95" customHeight="1" x14ac:dyDescent="0.2">
      <c r="A131" s="43"/>
      <c r="B131" s="45">
        <v>22</v>
      </c>
      <c r="C131" s="46">
        <f>IF($A$1='Data Entry'!$C132,'Data Entry'!D132,"")</f>
        <v>0</v>
      </c>
      <c r="D131" s="46">
        <f>IF($A$1='Data Entry'!$C132,'Data Entry'!E132,"")</f>
        <v>0</v>
      </c>
      <c r="E131" s="46">
        <f>IF($A$1='Data Entry'!$C132,'Data Entry'!F132,"")</f>
        <v>0</v>
      </c>
      <c r="F131" s="46">
        <f>IF($A$1='Data Entry'!$C132,'Data Entry'!G132,"")</f>
        <v>0</v>
      </c>
      <c r="G131" s="46">
        <f>IF($A$1='Data Entry'!$C132,'Data Entry'!H132,"")</f>
        <v>0</v>
      </c>
      <c r="H131" s="46">
        <f>IF($A$1='Data Entry'!$C132,'Data Entry'!I132,"")</f>
        <v>0</v>
      </c>
      <c r="I131" s="46">
        <f>IF($A$1='Data Entry'!$C132,'Data Entry'!J132,"")</f>
        <v>0</v>
      </c>
      <c r="J131" s="46">
        <f>IF($A$1='Data Entry'!$C132,'Data Entry'!K132,"")</f>
        <v>0</v>
      </c>
      <c r="K131" s="46">
        <f>IF($A$1='Data Entry'!$C132,'Data Entry'!L132,"")</f>
        <v>0</v>
      </c>
      <c r="L131" s="46">
        <f>IF($A$1='Data Entry'!$C132,'Data Entry'!M132,"")</f>
        <v>0</v>
      </c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</row>
    <row r="132" spans="1:36" ht="15.95" customHeight="1" x14ac:dyDescent="0.2">
      <c r="A132" s="43"/>
      <c r="B132" s="45">
        <v>22</v>
      </c>
      <c r="C132" s="46">
        <f>IF($A$1='Data Entry'!$C133,'Data Entry'!D133,"")</f>
        <v>0</v>
      </c>
      <c r="D132" s="46">
        <f>IF($A$1='Data Entry'!$C133,'Data Entry'!E133,"")</f>
        <v>0</v>
      </c>
      <c r="E132" s="46">
        <f>IF($A$1='Data Entry'!$C133,'Data Entry'!F133,"")</f>
        <v>0</v>
      </c>
      <c r="F132" s="46">
        <f>IF($A$1='Data Entry'!$C133,'Data Entry'!G133,"")</f>
        <v>0</v>
      </c>
      <c r="G132" s="46">
        <f>IF($A$1='Data Entry'!$C133,'Data Entry'!H133,"")</f>
        <v>0</v>
      </c>
      <c r="H132" s="46">
        <f>IF($A$1='Data Entry'!$C133,'Data Entry'!I133,"")</f>
        <v>0</v>
      </c>
      <c r="I132" s="46">
        <f>IF($A$1='Data Entry'!$C133,'Data Entry'!J133,"")</f>
        <v>0</v>
      </c>
      <c r="J132" s="46">
        <f>IF($A$1='Data Entry'!$C133,'Data Entry'!K133,"")</f>
        <v>0</v>
      </c>
      <c r="K132" s="46">
        <f>IF($A$1='Data Entry'!$C133,'Data Entry'!L133,"")</f>
        <v>0</v>
      </c>
      <c r="L132" s="46">
        <f>IF($A$1='Data Entry'!$C133,'Data Entry'!M133,"")</f>
        <v>0</v>
      </c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</row>
    <row r="133" spans="1:36" ht="15.95" customHeight="1" x14ac:dyDescent="0.2">
      <c r="A133" s="43"/>
      <c r="B133" s="45">
        <v>22</v>
      </c>
      <c r="C133" s="46">
        <f>IF($A$1='Data Entry'!$C134,'Data Entry'!D134,"")</f>
        <v>0</v>
      </c>
      <c r="D133" s="46">
        <f>IF($A$1='Data Entry'!$C134,'Data Entry'!E134,"")</f>
        <v>0</v>
      </c>
      <c r="E133" s="46">
        <f>IF($A$1='Data Entry'!$C134,'Data Entry'!F134,"")</f>
        <v>0</v>
      </c>
      <c r="F133" s="46">
        <f>IF($A$1='Data Entry'!$C134,'Data Entry'!G134,"")</f>
        <v>0</v>
      </c>
      <c r="G133" s="46">
        <f>IF($A$1='Data Entry'!$C134,'Data Entry'!H134,"")</f>
        <v>0</v>
      </c>
      <c r="H133" s="46">
        <f>IF($A$1='Data Entry'!$C134,'Data Entry'!I134,"")</f>
        <v>0</v>
      </c>
      <c r="I133" s="46">
        <f>IF($A$1='Data Entry'!$C134,'Data Entry'!J134,"")</f>
        <v>0</v>
      </c>
      <c r="J133" s="46">
        <f>IF($A$1='Data Entry'!$C134,'Data Entry'!K134,"")</f>
        <v>0</v>
      </c>
      <c r="K133" s="46">
        <f>IF($A$1='Data Entry'!$C134,'Data Entry'!L134,"")</f>
        <v>0</v>
      </c>
      <c r="L133" s="46">
        <f>IF($A$1='Data Entry'!$C134,'Data Entry'!M134,"")</f>
        <v>0</v>
      </c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</row>
    <row r="134" spans="1:36" ht="15.95" customHeight="1" x14ac:dyDescent="0.2">
      <c r="A134" s="43"/>
      <c r="B134" s="45">
        <v>22</v>
      </c>
      <c r="C134" s="46">
        <f>IF($A$1='Data Entry'!$C135,'Data Entry'!D135,"")</f>
        <v>0</v>
      </c>
      <c r="D134" s="46">
        <f>IF($A$1='Data Entry'!$C135,'Data Entry'!E135,"")</f>
        <v>0</v>
      </c>
      <c r="E134" s="46">
        <f>IF($A$1='Data Entry'!$C135,'Data Entry'!F135,"")</f>
        <v>0</v>
      </c>
      <c r="F134" s="46">
        <f>IF($A$1='Data Entry'!$C135,'Data Entry'!G135,"")</f>
        <v>0</v>
      </c>
      <c r="G134" s="46">
        <f>IF($A$1='Data Entry'!$C135,'Data Entry'!H135,"")</f>
        <v>0</v>
      </c>
      <c r="H134" s="46">
        <f>IF($A$1='Data Entry'!$C135,'Data Entry'!I135,"")</f>
        <v>0</v>
      </c>
      <c r="I134" s="46">
        <f>IF($A$1='Data Entry'!$C135,'Data Entry'!J135,"")</f>
        <v>0</v>
      </c>
      <c r="J134" s="46">
        <f>IF($A$1='Data Entry'!$C135,'Data Entry'!K135,"")</f>
        <v>0</v>
      </c>
      <c r="K134" s="46">
        <f>IF($A$1='Data Entry'!$C135,'Data Entry'!L135,"")</f>
        <v>0</v>
      </c>
      <c r="L134" s="46">
        <f>IF($A$1='Data Entry'!$C135,'Data Entry'!M135,"")</f>
        <v>0</v>
      </c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</row>
    <row r="135" spans="1:36" ht="15.95" customHeight="1" x14ac:dyDescent="0.2">
      <c r="A135" s="43"/>
      <c r="B135" s="45">
        <v>23</v>
      </c>
      <c r="C135" s="46">
        <f>IF($A$1='Data Entry'!$C136,'Data Entry'!D136,"")</f>
        <v>0</v>
      </c>
      <c r="D135" s="46">
        <f>IF($A$1='Data Entry'!$C136,'Data Entry'!E136,"")</f>
        <v>0</v>
      </c>
      <c r="E135" s="46">
        <f>IF($A$1='Data Entry'!$C136,'Data Entry'!F136,"")</f>
        <v>0</v>
      </c>
      <c r="F135" s="46">
        <f>IF($A$1='Data Entry'!$C136,'Data Entry'!G136,"")</f>
        <v>0</v>
      </c>
      <c r="G135" s="46">
        <f>IF($A$1='Data Entry'!$C136,'Data Entry'!H136,"")</f>
        <v>0</v>
      </c>
      <c r="H135" s="46">
        <f>IF($A$1='Data Entry'!$C136,'Data Entry'!I136,"")</f>
        <v>0</v>
      </c>
      <c r="I135" s="46">
        <f>IF($A$1='Data Entry'!$C136,'Data Entry'!J136,"")</f>
        <v>0</v>
      </c>
      <c r="J135" s="46">
        <f>IF($A$1='Data Entry'!$C136,'Data Entry'!K136,"")</f>
        <v>0</v>
      </c>
      <c r="K135" s="46">
        <f>IF($A$1='Data Entry'!$C136,'Data Entry'!L136,"")</f>
        <v>0</v>
      </c>
      <c r="L135" s="46">
        <f>IF($A$1='Data Entry'!$C136,'Data Entry'!M136,"")</f>
        <v>0</v>
      </c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</row>
    <row r="136" spans="1:36" ht="15.95" customHeight="1" x14ac:dyDescent="0.2">
      <c r="A136" s="43"/>
      <c r="B136" s="45">
        <v>23</v>
      </c>
      <c r="C136" s="46">
        <f>IF($A$1='Data Entry'!$C137,'Data Entry'!D137,"")</f>
        <v>0</v>
      </c>
      <c r="D136" s="46">
        <f>IF($A$1='Data Entry'!$C137,'Data Entry'!E137,"")</f>
        <v>0</v>
      </c>
      <c r="E136" s="46">
        <f>IF($A$1='Data Entry'!$C137,'Data Entry'!F137,"")</f>
        <v>0</v>
      </c>
      <c r="F136" s="46">
        <f>IF($A$1='Data Entry'!$C137,'Data Entry'!G137,"")</f>
        <v>0</v>
      </c>
      <c r="G136" s="46">
        <f>IF($A$1='Data Entry'!$C137,'Data Entry'!H137,"")</f>
        <v>0</v>
      </c>
      <c r="H136" s="46">
        <f>IF($A$1='Data Entry'!$C137,'Data Entry'!I137,"")</f>
        <v>0</v>
      </c>
      <c r="I136" s="46">
        <f>IF($A$1='Data Entry'!$C137,'Data Entry'!J137,"")</f>
        <v>0</v>
      </c>
      <c r="J136" s="46">
        <f>IF($A$1='Data Entry'!$C137,'Data Entry'!K137,"")</f>
        <v>0</v>
      </c>
      <c r="K136" s="46">
        <f>IF($A$1='Data Entry'!$C137,'Data Entry'!L137,"")</f>
        <v>0</v>
      </c>
      <c r="L136" s="46">
        <f>IF($A$1='Data Entry'!$C137,'Data Entry'!M137,"")</f>
        <v>0</v>
      </c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</row>
    <row r="137" spans="1:36" ht="15.95" customHeight="1" x14ac:dyDescent="0.2">
      <c r="A137" s="43"/>
      <c r="B137" s="45">
        <v>23</v>
      </c>
      <c r="C137" s="46">
        <f>IF($A$1='Data Entry'!$C138,'Data Entry'!D138,"")</f>
        <v>0</v>
      </c>
      <c r="D137" s="46">
        <f>IF($A$1='Data Entry'!$C138,'Data Entry'!E138,"")</f>
        <v>0</v>
      </c>
      <c r="E137" s="46">
        <f>IF($A$1='Data Entry'!$C138,'Data Entry'!F138,"")</f>
        <v>0</v>
      </c>
      <c r="F137" s="46">
        <f>IF($A$1='Data Entry'!$C138,'Data Entry'!G138,"")</f>
        <v>0</v>
      </c>
      <c r="G137" s="46">
        <f>IF($A$1='Data Entry'!$C138,'Data Entry'!H138,"")</f>
        <v>0</v>
      </c>
      <c r="H137" s="46">
        <f>IF($A$1='Data Entry'!$C138,'Data Entry'!I138,"")</f>
        <v>0</v>
      </c>
      <c r="I137" s="46">
        <f>IF($A$1='Data Entry'!$C138,'Data Entry'!J138,"")</f>
        <v>0</v>
      </c>
      <c r="J137" s="46">
        <f>IF($A$1='Data Entry'!$C138,'Data Entry'!K138,"")</f>
        <v>0</v>
      </c>
      <c r="K137" s="46">
        <f>IF($A$1='Data Entry'!$C138,'Data Entry'!L138,"")</f>
        <v>0</v>
      </c>
      <c r="L137" s="46">
        <f>IF($A$1='Data Entry'!$C138,'Data Entry'!M138,"")</f>
        <v>0</v>
      </c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</row>
    <row r="138" spans="1:36" ht="15.95" customHeight="1" x14ac:dyDescent="0.2">
      <c r="A138" s="43"/>
      <c r="B138" s="45">
        <v>23</v>
      </c>
      <c r="C138" s="46">
        <f>IF($A$1='Data Entry'!$C139,'Data Entry'!D139,"")</f>
        <v>0</v>
      </c>
      <c r="D138" s="46">
        <f>IF($A$1='Data Entry'!$C139,'Data Entry'!E139,"")</f>
        <v>0</v>
      </c>
      <c r="E138" s="46">
        <f>IF($A$1='Data Entry'!$C139,'Data Entry'!F139,"")</f>
        <v>0</v>
      </c>
      <c r="F138" s="46">
        <f>IF($A$1='Data Entry'!$C139,'Data Entry'!G139,"")</f>
        <v>0</v>
      </c>
      <c r="G138" s="46">
        <f>IF($A$1='Data Entry'!$C139,'Data Entry'!H139,"")</f>
        <v>0</v>
      </c>
      <c r="H138" s="46">
        <f>IF($A$1='Data Entry'!$C139,'Data Entry'!I139,"")</f>
        <v>0</v>
      </c>
      <c r="I138" s="46">
        <f>IF($A$1='Data Entry'!$C139,'Data Entry'!J139,"")</f>
        <v>0</v>
      </c>
      <c r="J138" s="46">
        <f>IF($A$1='Data Entry'!$C139,'Data Entry'!K139,"")</f>
        <v>0</v>
      </c>
      <c r="K138" s="46">
        <f>IF($A$1='Data Entry'!$C139,'Data Entry'!L139,"")</f>
        <v>0</v>
      </c>
      <c r="L138" s="46">
        <f>IF($A$1='Data Entry'!$C139,'Data Entry'!M139,"")</f>
        <v>0</v>
      </c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</row>
    <row r="139" spans="1:36" ht="15.95" customHeight="1" x14ac:dyDescent="0.2">
      <c r="A139" s="43"/>
      <c r="B139" s="45">
        <v>23</v>
      </c>
      <c r="C139" s="46">
        <f>IF($A$1='Data Entry'!$C140,'Data Entry'!D140,"")</f>
        <v>0</v>
      </c>
      <c r="D139" s="46">
        <f>IF($A$1='Data Entry'!$C140,'Data Entry'!E140,"")</f>
        <v>0</v>
      </c>
      <c r="E139" s="46">
        <f>IF($A$1='Data Entry'!$C140,'Data Entry'!F140,"")</f>
        <v>0</v>
      </c>
      <c r="F139" s="46">
        <f>IF($A$1='Data Entry'!$C140,'Data Entry'!G140,"")</f>
        <v>0</v>
      </c>
      <c r="G139" s="46">
        <f>IF($A$1='Data Entry'!$C140,'Data Entry'!H140,"")</f>
        <v>0</v>
      </c>
      <c r="H139" s="46">
        <f>IF($A$1='Data Entry'!$C140,'Data Entry'!I140,"")</f>
        <v>0</v>
      </c>
      <c r="I139" s="46">
        <f>IF($A$1='Data Entry'!$C140,'Data Entry'!J140,"")</f>
        <v>0</v>
      </c>
      <c r="J139" s="46">
        <f>IF($A$1='Data Entry'!$C140,'Data Entry'!K140,"")</f>
        <v>0</v>
      </c>
      <c r="K139" s="46">
        <f>IF($A$1='Data Entry'!$C140,'Data Entry'!L140,"")</f>
        <v>0</v>
      </c>
      <c r="L139" s="46">
        <f>IF($A$1='Data Entry'!$C140,'Data Entry'!M140,"")</f>
        <v>0</v>
      </c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</row>
    <row r="140" spans="1:36" ht="15.95" customHeight="1" x14ac:dyDescent="0.2">
      <c r="A140" s="43"/>
      <c r="B140" s="45">
        <v>23</v>
      </c>
      <c r="C140" s="46">
        <f>IF($A$1='Data Entry'!$C141,'Data Entry'!D141,"")</f>
        <v>0</v>
      </c>
      <c r="D140" s="46">
        <f>IF($A$1='Data Entry'!$C141,'Data Entry'!E141,"")</f>
        <v>0</v>
      </c>
      <c r="E140" s="46">
        <f>IF($A$1='Data Entry'!$C141,'Data Entry'!F141,"")</f>
        <v>0</v>
      </c>
      <c r="F140" s="46">
        <f>IF($A$1='Data Entry'!$C141,'Data Entry'!G141,"")</f>
        <v>0</v>
      </c>
      <c r="G140" s="46">
        <f>IF($A$1='Data Entry'!$C141,'Data Entry'!H141,"")</f>
        <v>0</v>
      </c>
      <c r="H140" s="46">
        <f>IF($A$1='Data Entry'!$C141,'Data Entry'!I141,"")</f>
        <v>0</v>
      </c>
      <c r="I140" s="46">
        <f>IF($A$1='Data Entry'!$C141,'Data Entry'!J141,"")</f>
        <v>0</v>
      </c>
      <c r="J140" s="46">
        <f>IF($A$1='Data Entry'!$C141,'Data Entry'!K141,"")</f>
        <v>0</v>
      </c>
      <c r="K140" s="46">
        <f>IF($A$1='Data Entry'!$C141,'Data Entry'!L141,"")</f>
        <v>0</v>
      </c>
      <c r="L140" s="46">
        <f>IF($A$1='Data Entry'!$C141,'Data Entry'!M141,"")</f>
        <v>0</v>
      </c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</row>
    <row r="141" spans="1:36" ht="15.95" customHeight="1" x14ac:dyDescent="0.2">
      <c r="A141" s="43"/>
      <c r="B141" s="45">
        <v>24</v>
      </c>
      <c r="C141" s="46">
        <f>IF($A$1='Data Entry'!$C142,'Data Entry'!D142,"")</f>
        <v>0</v>
      </c>
      <c r="D141" s="46">
        <f>IF($A$1='Data Entry'!$C142,'Data Entry'!E142,"")</f>
        <v>0</v>
      </c>
      <c r="E141" s="46">
        <f>IF($A$1='Data Entry'!$C142,'Data Entry'!F142,"")</f>
        <v>0</v>
      </c>
      <c r="F141" s="46">
        <f>IF($A$1='Data Entry'!$C142,'Data Entry'!G142,"")</f>
        <v>0</v>
      </c>
      <c r="G141" s="46">
        <f>IF($A$1='Data Entry'!$C142,'Data Entry'!H142,"")</f>
        <v>0</v>
      </c>
      <c r="H141" s="46">
        <f>IF($A$1='Data Entry'!$C142,'Data Entry'!I142,"")</f>
        <v>0</v>
      </c>
      <c r="I141" s="46">
        <f>IF($A$1='Data Entry'!$C142,'Data Entry'!J142,"")</f>
        <v>0</v>
      </c>
      <c r="J141" s="46">
        <f>IF($A$1='Data Entry'!$C142,'Data Entry'!K142,"")</f>
        <v>0</v>
      </c>
      <c r="K141" s="46">
        <f>IF($A$1='Data Entry'!$C142,'Data Entry'!L142,"")</f>
        <v>0</v>
      </c>
      <c r="L141" s="46">
        <f>IF($A$1='Data Entry'!$C142,'Data Entry'!M142,"")</f>
        <v>0</v>
      </c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</row>
    <row r="142" spans="1:36" ht="15.95" customHeight="1" x14ac:dyDescent="0.2">
      <c r="A142" s="43"/>
      <c r="B142" s="45">
        <v>24</v>
      </c>
      <c r="C142" s="46">
        <f>IF($A$1='Data Entry'!$C143,'Data Entry'!D143,"")</f>
        <v>0</v>
      </c>
      <c r="D142" s="46">
        <f>IF($A$1='Data Entry'!$C143,'Data Entry'!E143,"")</f>
        <v>0</v>
      </c>
      <c r="E142" s="46">
        <f>IF($A$1='Data Entry'!$C143,'Data Entry'!F143,"")</f>
        <v>0</v>
      </c>
      <c r="F142" s="46">
        <f>IF($A$1='Data Entry'!$C143,'Data Entry'!G143,"")</f>
        <v>0</v>
      </c>
      <c r="G142" s="46">
        <f>IF($A$1='Data Entry'!$C143,'Data Entry'!H143,"")</f>
        <v>0</v>
      </c>
      <c r="H142" s="46">
        <f>IF($A$1='Data Entry'!$C143,'Data Entry'!I143,"")</f>
        <v>0</v>
      </c>
      <c r="I142" s="46">
        <f>IF($A$1='Data Entry'!$C143,'Data Entry'!J143,"")</f>
        <v>0</v>
      </c>
      <c r="J142" s="46">
        <f>IF($A$1='Data Entry'!$C143,'Data Entry'!K143,"")</f>
        <v>0</v>
      </c>
      <c r="K142" s="46">
        <f>IF($A$1='Data Entry'!$C143,'Data Entry'!L143,"")</f>
        <v>0</v>
      </c>
      <c r="L142" s="46">
        <f>IF($A$1='Data Entry'!$C143,'Data Entry'!M143,"")</f>
        <v>0</v>
      </c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</row>
    <row r="143" spans="1:36" ht="15.95" customHeight="1" x14ac:dyDescent="0.2">
      <c r="A143" s="43"/>
      <c r="B143" s="45">
        <v>24</v>
      </c>
      <c r="C143" s="46">
        <f>IF($A$1='Data Entry'!$C144,'Data Entry'!D144,"")</f>
        <v>0</v>
      </c>
      <c r="D143" s="46">
        <f>IF($A$1='Data Entry'!$C144,'Data Entry'!E144,"")</f>
        <v>0</v>
      </c>
      <c r="E143" s="46">
        <f>IF($A$1='Data Entry'!$C144,'Data Entry'!F144,"")</f>
        <v>0</v>
      </c>
      <c r="F143" s="46">
        <f>IF($A$1='Data Entry'!$C144,'Data Entry'!G144,"")</f>
        <v>0</v>
      </c>
      <c r="G143" s="46">
        <f>IF($A$1='Data Entry'!$C144,'Data Entry'!H144,"")</f>
        <v>0</v>
      </c>
      <c r="H143" s="46">
        <f>IF($A$1='Data Entry'!$C144,'Data Entry'!I144,"")</f>
        <v>0</v>
      </c>
      <c r="I143" s="46">
        <f>IF($A$1='Data Entry'!$C144,'Data Entry'!J144,"")</f>
        <v>0</v>
      </c>
      <c r="J143" s="46">
        <f>IF($A$1='Data Entry'!$C144,'Data Entry'!K144,"")</f>
        <v>0</v>
      </c>
      <c r="K143" s="46">
        <f>IF($A$1='Data Entry'!$C144,'Data Entry'!L144,"")</f>
        <v>0</v>
      </c>
      <c r="L143" s="46">
        <f>IF($A$1='Data Entry'!$C144,'Data Entry'!M144,"")</f>
        <v>0</v>
      </c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</row>
    <row r="144" spans="1:36" ht="15.95" customHeight="1" x14ac:dyDescent="0.2">
      <c r="A144" s="43"/>
      <c r="B144" s="45">
        <v>24</v>
      </c>
      <c r="C144" s="46">
        <f>IF($A$1='Data Entry'!$C145,'Data Entry'!D145,"")</f>
        <v>0</v>
      </c>
      <c r="D144" s="46">
        <f>IF($A$1='Data Entry'!$C145,'Data Entry'!E145,"")</f>
        <v>0</v>
      </c>
      <c r="E144" s="46">
        <f>IF($A$1='Data Entry'!$C145,'Data Entry'!F145,"")</f>
        <v>0</v>
      </c>
      <c r="F144" s="46">
        <f>IF($A$1='Data Entry'!$C145,'Data Entry'!G145,"")</f>
        <v>0</v>
      </c>
      <c r="G144" s="46">
        <f>IF($A$1='Data Entry'!$C145,'Data Entry'!H145,"")</f>
        <v>0</v>
      </c>
      <c r="H144" s="46">
        <f>IF($A$1='Data Entry'!$C145,'Data Entry'!I145,"")</f>
        <v>0</v>
      </c>
      <c r="I144" s="46">
        <f>IF($A$1='Data Entry'!$C145,'Data Entry'!J145,"")</f>
        <v>0</v>
      </c>
      <c r="J144" s="46">
        <f>IF($A$1='Data Entry'!$C145,'Data Entry'!K145,"")</f>
        <v>0</v>
      </c>
      <c r="K144" s="46">
        <f>IF($A$1='Data Entry'!$C145,'Data Entry'!L145,"")</f>
        <v>0</v>
      </c>
      <c r="L144" s="46">
        <f>IF($A$1='Data Entry'!$C145,'Data Entry'!M145,"")</f>
        <v>0</v>
      </c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</row>
    <row r="145" spans="1:36" ht="15.95" customHeight="1" x14ac:dyDescent="0.2">
      <c r="A145" s="43"/>
      <c r="B145" s="45">
        <v>24</v>
      </c>
      <c r="C145" s="46">
        <f>IF($A$1='Data Entry'!$C146,'Data Entry'!D146,"")</f>
        <v>0</v>
      </c>
      <c r="D145" s="46">
        <f>IF($A$1='Data Entry'!$C146,'Data Entry'!E146,"")</f>
        <v>0</v>
      </c>
      <c r="E145" s="46">
        <f>IF($A$1='Data Entry'!$C146,'Data Entry'!F146,"")</f>
        <v>0</v>
      </c>
      <c r="F145" s="46">
        <f>IF($A$1='Data Entry'!$C146,'Data Entry'!G146,"")</f>
        <v>0</v>
      </c>
      <c r="G145" s="46">
        <f>IF($A$1='Data Entry'!$C146,'Data Entry'!H146,"")</f>
        <v>0</v>
      </c>
      <c r="H145" s="46">
        <f>IF($A$1='Data Entry'!$C146,'Data Entry'!I146,"")</f>
        <v>0</v>
      </c>
      <c r="I145" s="46">
        <f>IF($A$1='Data Entry'!$C146,'Data Entry'!J146,"")</f>
        <v>0</v>
      </c>
      <c r="J145" s="46">
        <f>IF($A$1='Data Entry'!$C146,'Data Entry'!K146,"")</f>
        <v>0</v>
      </c>
      <c r="K145" s="46">
        <f>IF($A$1='Data Entry'!$C146,'Data Entry'!L146,"")</f>
        <v>0</v>
      </c>
      <c r="L145" s="46">
        <f>IF($A$1='Data Entry'!$C146,'Data Entry'!M146,"")</f>
        <v>0</v>
      </c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</row>
    <row r="146" spans="1:36" ht="15.95" customHeight="1" x14ac:dyDescent="0.2">
      <c r="A146" s="43"/>
      <c r="B146" s="45">
        <v>24</v>
      </c>
      <c r="C146" s="46">
        <f>IF($A$1='Data Entry'!$C147,'Data Entry'!D147,"")</f>
        <v>0</v>
      </c>
      <c r="D146" s="46">
        <f>IF($A$1='Data Entry'!$C147,'Data Entry'!E147,"")</f>
        <v>0</v>
      </c>
      <c r="E146" s="46">
        <f>IF($A$1='Data Entry'!$C147,'Data Entry'!F147,"")</f>
        <v>0</v>
      </c>
      <c r="F146" s="46">
        <f>IF($A$1='Data Entry'!$C147,'Data Entry'!G147,"")</f>
        <v>0</v>
      </c>
      <c r="G146" s="46">
        <f>IF($A$1='Data Entry'!$C147,'Data Entry'!H147,"")</f>
        <v>0</v>
      </c>
      <c r="H146" s="46">
        <f>IF($A$1='Data Entry'!$C147,'Data Entry'!I147,"")</f>
        <v>0</v>
      </c>
      <c r="I146" s="46">
        <f>IF($A$1='Data Entry'!$C147,'Data Entry'!J147,"")</f>
        <v>0</v>
      </c>
      <c r="J146" s="46">
        <f>IF($A$1='Data Entry'!$C147,'Data Entry'!K147,"")</f>
        <v>0</v>
      </c>
      <c r="K146" s="46">
        <f>IF($A$1='Data Entry'!$C147,'Data Entry'!L147,"")</f>
        <v>0</v>
      </c>
      <c r="L146" s="46">
        <f>IF($A$1='Data Entry'!$C147,'Data Entry'!M147,"")</f>
        <v>0</v>
      </c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</row>
    <row r="147" spans="1:36" ht="15.95" customHeight="1" x14ac:dyDescent="0.2">
      <c r="A147" s="43"/>
      <c r="B147" s="45">
        <v>25</v>
      </c>
      <c r="C147" s="46">
        <f>IF($A$1='Data Entry'!$C148,'Data Entry'!D148,"")</f>
        <v>0</v>
      </c>
      <c r="D147" s="46">
        <f>IF($A$1='Data Entry'!$C148,'Data Entry'!E148,"")</f>
        <v>0</v>
      </c>
      <c r="E147" s="46">
        <f>IF($A$1='Data Entry'!$C148,'Data Entry'!F148,"")</f>
        <v>0</v>
      </c>
      <c r="F147" s="46">
        <f>IF($A$1='Data Entry'!$C148,'Data Entry'!G148,"")</f>
        <v>0</v>
      </c>
      <c r="G147" s="46">
        <f>IF($A$1='Data Entry'!$C148,'Data Entry'!H148,"")</f>
        <v>0</v>
      </c>
      <c r="H147" s="46">
        <f>IF($A$1='Data Entry'!$C148,'Data Entry'!I148,"")</f>
        <v>0</v>
      </c>
      <c r="I147" s="46">
        <f>IF($A$1='Data Entry'!$C148,'Data Entry'!J148,"")</f>
        <v>0</v>
      </c>
      <c r="J147" s="46">
        <f>IF($A$1='Data Entry'!$C148,'Data Entry'!K148,"")</f>
        <v>0</v>
      </c>
      <c r="K147" s="46">
        <f>IF($A$1='Data Entry'!$C148,'Data Entry'!L148,"")</f>
        <v>0</v>
      </c>
      <c r="L147" s="46">
        <f>IF($A$1='Data Entry'!$C148,'Data Entry'!M148,"")</f>
        <v>0</v>
      </c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</row>
    <row r="148" spans="1:36" ht="15.95" customHeight="1" x14ac:dyDescent="0.2">
      <c r="A148" s="43"/>
      <c r="B148" s="45">
        <v>25</v>
      </c>
      <c r="C148" s="46">
        <f>IF($A$1='Data Entry'!$C149,'Data Entry'!D149,"")</f>
        <v>0</v>
      </c>
      <c r="D148" s="46">
        <f>IF($A$1='Data Entry'!$C149,'Data Entry'!E149,"")</f>
        <v>0</v>
      </c>
      <c r="E148" s="46">
        <f>IF($A$1='Data Entry'!$C149,'Data Entry'!F149,"")</f>
        <v>0</v>
      </c>
      <c r="F148" s="46">
        <f>IF($A$1='Data Entry'!$C149,'Data Entry'!G149,"")</f>
        <v>0</v>
      </c>
      <c r="G148" s="46">
        <f>IF($A$1='Data Entry'!$C149,'Data Entry'!H149,"")</f>
        <v>0</v>
      </c>
      <c r="H148" s="46">
        <f>IF($A$1='Data Entry'!$C149,'Data Entry'!I149,"")</f>
        <v>0</v>
      </c>
      <c r="I148" s="46">
        <f>IF($A$1='Data Entry'!$C149,'Data Entry'!J149,"")</f>
        <v>0</v>
      </c>
      <c r="J148" s="46">
        <f>IF($A$1='Data Entry'!$C149,'Data Entry'!K149,"")</f>
        <v>0</v>
      </c>
      <c r="K148" s="46">
        <f>IF($A$1='Data Entry'!$C149,'Data Entry'!L149,"")</f>
        <v>0</v>
      </c>
      <c r="L148" s="46">
        <f>IF($A$1='Data Entry'!$C149,'Data Entry'!M149,"")</f>
        <v>0</v>
      </c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</row>
    <row r="149" spans="1:36" ht="15.95" customHeight="1" x14ac:dyDescent="0.2">
      <c r="A149" s="43"/>
      <c r="B149" s="45">
        <v>25</v>
      </c>
      <c r="C149" s="46">
        <f>IF($A$1='Data Entry'!$C150,'Data Entry'!D150,"")</f>
        <v>0</v>
      </c>
      <c r="D149" s="46">
        <f>IF($A$1='Data Entry'!$C150,'Data Entry'!E150,"")</f>
        <v>0</v>
      </c>
      <c r="E149" s="46">
        <f>IF($A$1='Data Entry'!$C150,'Data Entry'!F150,"")</f>
        <v>0</v>
      </c>
      <c r="F149" s="46">
        <f>IF($A$1='Data Entry'!$C150,'Data Entry'!G150,"")</f>
        <v>0</v>
      </c>
      <c r="G149" s="46">
        <f>IF($A$1='Data Entry'!$C150,'Data Entry'!H150,"")</f>
        <v>0</v>
      </c>
      <c r="H149" s="46">
        <f>IF($A$1='Data Entry'!$C150,'Data Entry'!I150,"")</f>
        <v>0</v>
      </c>
      <c r="I149" s="46">
        <f>IF($A$1='Data Entry'!$C150,'Data Entry'!J150,"")</f>
        <v>0</v>
      </c>
      <c r="J149" s="46">
        <f>IF($A$1='Data Entry'!$C150,'Data Entry'!K150,"")</f>
        <v>0</v>
      </c>
      <c r="K149" s="46">
        <f>IF($A$1='Data Entry'!$C150,'Data Entry'!L150,"")</f>
        <v>0</v>
      </c>
      <c r="L149" s="46">
        <f>IF($A$1='Data Entry'!$C150,'Data Entry'!M150,"")</f>
        <v>0</v>
      </c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</row>
    <row r="150" spans="1:36" ht="15.95" customHeight="1" x14ac:dyDescent="0.2">
      <c r="A150" s="43"/>
      <c r="B150" s="45">
        <v>25</v>
      </c>
      <c r="C150" s="46">
        <f>IF($A$1='Data Entry'!$C151,'Data Entry'!D151,"")</f>
        <v>0</v>
      </c>
      <c r="D150" s="46">
        <f>IF($A$1='Data Entry'!$C151,'Data Entry'!E151,"")</f>
        <v>0</v>
      </c>
      <c r="E150" s="46">
        <f>IF($A$1='Data Entry'!$C151,'Data Entry'!F151,"")</f>
        <v>0</v>
      </c>
      <c r="F150" s="46">
        <f>IF($A$1='Data Entry'!$C151,'Data Entry'!G151,"")</f>
        <v>0</v>
      </c>
      <c r="G150" s="46">
        <f>IF($A$1='Data Entry'!$C151,'Data Entry'!H151,"")</f>
        <v>0</v>
      </c>
      <c r="H150" s="46">
        <f>IF($A$1='Data Entry'!$C151,'Data Entry'!I151,"")</f>
        <v>0</v>
      </c>
      <c r="I150" s="46">
        <f>IF($A$1='Data Entry'!$C151,'Data Entry'!J151,"")</f>
        <v>0</v>
      </c>
      <c r="J150" s="46">
        <f>IF($A$1='Data Entry'!$C151,'Data Entry'!K151,"")</f>
        <v>0</v>
      </c>
      <c r="K150" s="46">
        <f>IF($A$1='Data Entry'!$C151,'Data Entry'!L151,"")</f>
        <v>0</v>
      </c>
      <c r="L150" s="46">
        <f>IF($A$1='Data Entry'!$C151,'Data Entry'!M151,"")</f>
        <v>0</v>
      </c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</row>
    <row r="151" spans="1:36" ht="15.95" customHeight="1" x14ac:dyDescent="0.2">
      <c r="A151" s="43"/>
      <c r="B151" s="45">
        <v>25</v>
      </c>
      <c r="C151" s="46">
        <f>IF($A$1='Data Entry'!$C152,'Data Entry'!D152,"")</f>
        <v>0</v>
      </c>
      <c r="D151" s="46">
        <f>IF($A$1='Data Entry'!$C152,'Data Entry'!E152,"")</f>
        <v>0</v>
      </c>
      <c r="E151" s="46">
        <f>IF($A$1='Data Entry'!$C152,'Data Entry'!F152,"")</f>
        <v>0</v>
      </c>
      <c r="F151" s="46">
        <f>IF($A$1='Data Entry'!$C152,'Data Entry'!G152,"")</f>
        <v>0</v>
      </c>
      <c r="G151" s="46">
        <f>IF($A$1='Data Entry'!$C152,'Data Entry'!H152,"")</f>
        <v>0</v>
      </c>
      <c r="H151" s="46">
        <f>IF($A$1='Data Entry'!$C152,'Data Entry'!I152,"")</f>
        <v>0</v>
      </c>
      <c r="I151" s="46">
        <f>IF($A$1='Data Entry'!$C152,'Data Entry'!J152,"")</f>
        <v>0</v>
      </c>
      <c r="J151" s="46">
        <f>IF($A$1='Data Entry'!$C152,'Data Entry'!K152,"")</f>
        <v>0</v>
      </c>
      <c r="K151" s="46">
        <f>IF($A$1='Data Entry'!$C152,'Data Entry'!L152,"")</f>
        <v>0</v>
      </c>
      <c r="L151" s="46">
        <f>IF($A$1='Data Entry'!$C152,'Data Entry'!M152,"")</f>
        <v>0</v>
      </c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</row>
    <row r="152" spans="1:36" ht="15.95" customHeight="1" x14ac:dyDescent="0.2">
      <c r="A152" s="43"/>
      <c r="B152" s="45">
        <v>25</v>
      </c>
      <c r="C152" s="46">
        <f>IF($A$1='Data Entry'!$C153,'Data Entry'!D153,"")</f>
        <v>0</v>
      </c>
      <c r="D152" s="46">
        <f>IF($A$1='Data Entry'!$C153,'Data Entry'!E153,"")</f>
        <v>0</v>
      </c>
      <c r="E152" s="46">
        <f>IF($A$1='Data Entry'!$C153,'Data Entry'!F153,"")</f>
        <v>0</v>
      </c>
      <c r="F152" s="46">
        <f>IF($A$1='Data Entry'!$C153,'Data Entry'!G153,"")</f>
        <v>0</v>
      </c>
      <c r="G152" s="46">
        <f>IF($A$1='Data Entry'!$C153,'Data Entry'!H153,"")</f>
        <v>0</v>
      </c>
      <c r="H152" s="46">
        <f>IF($A$1='Data Entry'!$C153,'Data Entry'!I153,"")</f>
        <v>0</v>
      </c>
      <c r="I152" s="46">
        <f>IF($A$1='Data Entry'!$C153,'Data Entry'!J153,"")</f>
        <v>0</v>
      </c>
      <c r="J152" s="46">
        <f>IF($A$1='Data Entry'!$C153,'Data Entry'!K153,"")</f>
        <v>0</v>
      </c>
      <c r="K152" s="46">
        <f>IF($A$1='Data Entry'!$C153,'Data Entry'!L153,"")</f>
        <v>0</v>
      </c>
      <c r="L152" s="46">
        <f>IF($A$1='Data Entry'!$C153,'Data Entry'!M153,"")</f>
        <v>0</v>
      </c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</row>
    <row r="153" spans="1:36" ht="15.95" customHeight="1" x14ac:dyDescent="0.2">
      <c r="A153" s="43"/>
      <c r="B153" s="45">
        <v>26</v>
      </c>
      <c r="C153" s="46">
        <f>IF($A$1='Data Entry'!$C154,'Data Entry'!D154,"")</f>
        <v>0</v>
      </c>
      <c r="D153" s="46">
        <f>IF($A$1='Data Entry'!$C154,'Data Entry'!E154,"")</f>
        <v>0</v>
      </c>
      <c r="E153" s="46">
        <f>IF($A$1='Data Entry'!$C154,'Data Entry'!F154,"")</f>
        <v>0</v>
      </c>
      <c r="F153" s="46">
        <f>IF($A$1='Data Entry'!$C154,'Data Entry'!G154,"")</f>
        <v>0</v>
      </c>
      <c r="G153" s="46">
        <f>IF($A$1='Data Entry'!$C154,'Data Entry'!H154,"")</f>
        <v>0</v>
      </c>
      <c r="H153" s="46">
        <f>IF($A$1='Data Entry'!$C154,'Data Entry'!I154,"")</f>
        <v>0</v>
      </c>
      <c r="I153" s="46">
        <f>IF($A$1='Data Entry'!$C154,'Data Entry'!J154,"")</f>
        <v>0</v>
      </c>
      <c r="J153" s="46">
        <f>IF($A$1='Data Entry'!$C154,'Data Entry'!K154,"")</f>
        <v>0</v>
      </c>
      <c r="K153" s="46">
        <f>IF($A$1='Data Entry'!$C154,'Data Entry'!L154,"")</f>
        <v>0</v>
      </c>
      <c r="L153" s="46">
        <f>IF($A$1='Data Entry'!$C154,'Data Entry'!M154,"")</f>
        <v>0</v>
      </c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</row>
    <row r="154" spans="1:36" ht="15.95" customHeight="1" x14ac:dyDescent="0.2">
      <c r="A154" s="43"/>
      <c r="B154" s="45">
        <v>26</v>
      </c>
      <c r="C154" s="46">
        <f>IF($A$1='Data Entry'!$C155,'Data Entry'!D155,"")</f>
        <v>0</v>
      </c>
      <c r="D154" s="46">
        <f>IF($A$1='Data Entry'!$C155,'Data Entry'!E155,"")</f>
        <v>0</v>
      </c>
      <c r="E154" s="46">
        <f>IF($A$1='Data Entry'!$C155,'Data Entry'!F155,"")</f>
        <v>0</v>
      </c>
      <c r="F154" s="46">
        <f>IF($A$1='Data Entry'!$C155,'Data Entry'!G155,"")</f>
        <v>0</v>
      </c>
      <c r="G154" s="46">
        <f>IF($A$1='Data Entry'!$C155,'Data Entry'!H155,"")</f>
        <v>0</v>
      </c>
      <c r="H154" s="46">
        <f>IF($A$1='Data Entry'!$C155,'Data Entry'!I155,"")</f>
        <v>0</v>
      </c>
      <c r="I154" s="46">
        <f>IF($A$1='Data Entry'!$C155,'Data Entry'!J155,"")</f>
        <v>0</v>
      </c>
      <c r="J154" s="46">
        <f>IF($A$1='Data Entry'!$C155,'Data Entry'!K155,"")</f>
        <v>0</v>
      </c>
      <c r="K154" s="46">
        <f>IF($A$1='Data Entry'!$C155,'Data Entry'!L155,"")</f>
        <v>0</v>
      </c>
      <c r="L154" s="46">
        <f>IF($A$1='Data Entry'!$C155,'Data Entry'!M155,"")</f>
        <v>0</v>
      </c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</row>
    <row r="155" spans="1:36" ht="15.95" customHeight="1" x14ac:dyDescent="0.2">
      <c r="A155" s="43"/>
      <c r="B155" s="45">
        <v>26</v>
      </c>
      <c r="C155" s="46">
        <f>IF($A$1='Data Entry'!$C156,'Data Entry'!D156,"")</f>
        <v>0</v>
      </c>
      <c r="D155" s="46">
        <f>IF($A$1='Data Entry'!$C156,'Data Entry'!E156,"")</f>
        <v>0</v>
      </c>
      <c r="E155" s="46">
        <f>IF($A$1='Data Entry'!$C156,'Data Entry'!F156,"")</f>
        <v>0</v>
      </c>
      <c r="F155" s="46">
        <f>IF($A$1='Data Entry'!$C156,'Data Entry'!G156,"")</f>
        <v>0</v>
      </c>
      <c r="G155" s="46">
        <f>IF($A$1='Data Entry'!$C156,'Data Entry'!H156,"")</f>
        <v>0</v>
      </c>
      <c r="H155" s="46">
        <f>IF($A$1='Data Entry'!$C156,'Data Entry'!I156,"")</f>
        <v>0</v>
      </c>
      <c r="I155" s="46">
        <f>IF($A$1='Data Entry'!$C156,'Data Entry'!J156,"")</f>
        <v>0</v>
      </c>
      <c r="J155" s="46">
        <f>IF($A$1='Data Entry'!$C156,'Data Entry'!K156,"")</f>
        <v>0</v>
      </c>
      <c r="K155" s="46">
        <f>IF($A$1='Data Entry'!$C156,'Data Entry'!L156,"")</f>
        <v>0</v>
      </c>
      <c r="L155" s="46">
        <f>IF($A$1='Data Entry'!$C156,'Data Entry'!M156,"")</f>
        <v>0</v>
      </c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</row>
    <row r="156" spans="1:36" ht="15.95" customHeight="1" x14ac:dyDescent="0.2">
      <c r="A156" s="43"/>
      <c r="B156" s="45">
        <v>26</v>
      </c>
      <c r="C156" s="46">
        <f>IF($A$1='Data Entry'!$C157,'Data Entry'!D157,"")</f>
        <v>0</v>
      </c>
      <c r="D156" s="46">
        <f>IF($A$1='Data Entry'!$C157,'Data Entry'!E157,"")</f>
        <v>0</v>
      </c>
      <c r="E156" s="46">
        <f>IF($A$1='Data Entry'!$C157,'Data Entry'!F157,"")</f>
        <v>0</v>
      </c>
      <c r="F156" s="46">
        <f>IF($A$1='Data Entry'!$C157,'Data Entry'!G157,"")</f>
        <v>0</v>
      </c>
      <c r="G156" s="46">
        <f>IF($A$1='Data Entry'!$C157,'Data Entry'!H157,"")</f>
        <v>0</v>
      </c>
      <c r="H156" s="46">
        <f>IF($A$1='Data Entry'!$C157,'Data Entry'!I157,"")</f>
        <v>0</v>
      </c>
      <c r="I156" s="46">
        <f>IF($A$1='Data Entry'!$C157,'Data Entry'!J157,"")</f>
        <v>0</v>
      </c>
      <c r="J156" s="46">
        <f>IF($A$1='Data Entry'!$C157,'Data Entry'!K157,"")</f>
        <v>0</v>
      </c>
      <c r="K156" s="46">
        <f>IF($A$1='Data Entry'!$C157,'Data Entry'!L157,"")</f>
        <v>0</v>
      </c>
      <c r="L156" s="46">
        <f>IF($A$1='Data Entry'!$C157,'Data Entry'!M157,"")</f>
        <v>0</v>
      </c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</row>
    <row r="157" spans="1:36" ht="15.95" customHeight="1" x14ac:dyDescent="0.2">
      <c r="A157" s="43"/>
      <c r="B157" s="45">
        <v>26</v>
      </c>
      <c r="C157" s="46">
        <f>IF($A$1='Data Entry'!$C158,'Data Entry'!D158,"")</f>
        <v>0</v>
      </c>
      <c r="D157" s="46">
        <f>IF($A$1='Data Entry'!$C158,'Data Entry'!E158,"")</f>
        <v>0</v>
      </c>
      <c r="E157" s="46">
        <f>IF($A$1='Data Entry'!$C158,'Data Entry'!F158,"")</f>
        <v>0</v>
      </c>
      <c r="F157" s="46">
        <f>IF($A$1='Data Entry'!$C158,'Data Entry'!G158,"")</f>
        <v>0</v>
      </c>
      <c r="G157" s="46">
        <f>IF($A$1='Data Entry'!$C158,'Data Entry'!H158,"")</f>
        <v>0</v>
      </c>
      <c r="H157" s="46">
        <f>IF($A$1='Data Entry'!$C158,'Data Entry'!I158,"")</f>
        <v>0</v>
      </c>
      <c r="I157" s="46">
        <f>IF($A$1='Data Entry'!$C158,'Data Entry'!J158,"")</f>
        <v>0</v>
      </c>
      <c r="J157" s="46">
        <f>IF($A$1='Data Entry'!$C158,'Data Entry'!K158,"")</f>
        <v>0</v>
      </c>
      <c r="K157" s="46">
        <f>IF($A$1='Data Entry'!$C158,'Data Entry'!L158,"")</f>
        <v>0</v>
      </c>
      <c r="L157" s="46">
        <f>IF($A$1='Data Entry'!$C158,'Data Entry'!M158,"")</f>
        <v>0</v>
      </c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</row>
    <row r="158" spans="1:36" ht="15.95" customHeight="1" x14ac:dyDescent="0.2">
      <c r="A158" s="43"/>
      <c r="B158" s="45">
        <v>26</v>
      </c>
      <c r="C158" s="46">
        <f>IF($A$1='Data Entry'!$C159,'Data Entry'!D159,"")</f>
        <v>0</v>
      </c>
      <c r="D158" s="46">
        <f>IF($A$1='Data Entry'!$C159,'Data Entry'!E159,"")</f>
        <v>0</v>
      </c>
      <c r="E158" s="46">
        <f>IF($A$1='Data Entry'!$C159,'Data Entry'!F159,"")</f>
        <v>0</v>
      </c>
      <c r="F158" s="46">
        <f>IF($A$1='Data Entry'!$C159,'Data Entry'!G159,"")</f>
        <v>0</v>
      </c>
      <c r="G158" s="46">
        <f>IF($A$1='Data Entry'!$C159,'Data Entry'!H159,"")</f>
        <v>0</v>
      </c>
      <c r="H158" s="46">
        <f>IF($A$1='Data Entry'!$C159,'Data Entry'!I159,"")</f>
        <v>0</v>
      </c>
      <c r="I158" s="46">
        <f>IF($A$1='Data Entry'!$C159,'Data Entry'!J159,"")</f>
        <v>0</v>
      </c>
      <c r="J158" s="46">
        <f>IF($A$1='Data Entry'!$C159,'Data Entry'!K159,"")</f>
        <v>0</v>
      </c>
      <c r="K158" s="46">
        <f>IF($A$1='Data Entry'!$C159,'Data Entry'!L159,"")</f>
        <v>0</v>
      </c>
      <c r="L158" s="46">
        <f>IF($A$1='Data Entry'!$C159,'Data Entry'!M159,"")</f>
        <v>0</v>
      </c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</row>
    <row r="159" spans="1:36" ht="15.95" customHeight="1" x14ac:dyDescent="0.2">
      <c r="A159" s="43"/>
      <c r="B159" s="45">
        <v>27</v>
      </c>
      <c r="C159" s="46">
        <f>IF($A$1='Data Entry'!$C160,'Data Entry'!D160,"")</f>
        <v>0</v>
      </c>
      <c r="D159" s="46">
        <f>IF($A$1='Data Entry'!$C160,'Data Entry'!E160,"")</f>
        <v>0</v>
      </c>
      <c r="E159" s="46">
        <f>IF($A$1='Data Entry'!$C160,'Data Entry'!F160,"")</f>
        <v>0</v>
      </c>
      <c r="F159" s="46">
        <f>IF($A$1='Data Entry'!$C160,'Data Entry'!G160,"")</f>
        <v>0</v>
      </c>
      <c r="G159" s="46">
        <f>IF($A$1='Data Entry'!$C160,'Data Entry'!H160,"")</f>
        <v>0</v>
      </c>
      <c r="H159" s="46">
        <f>IF($A$1='Data Entry'!$C160,'Data Entry'!I160,"")</f>
        <v>0</v>
      </c>
      <c r="I159" s="46">
        <f>IF($A$1='Data Entry'!$C160,'Data Entry'!J160,"")</f>
        <v>0</v>
      </c>
      <c r="J159" s="46">
        <f>IF($A$1='Data Entry'!$C160,'Data Entry'!K160,"")</f>
        <v>0</v>
      </c>
      <c r="K159" s="46">
        <f>IF($A$1='Data Entry'!$C160,'Data Entry'!L160,"")</f>
        <v>0</v>
      </c>
      <c r="L159" s="46">
        <f>IF($A$1='Data Entry'!$C160,'Data Entry'!M160,"")</f>
        <v>0</v>
      </c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</row>
    <row r="160" spans="1:36" ht="15.95" customHeight="1" x14ac:dyDescent="0.2">
      <c r="A160" s="43"/>
      <c r="B160" s="45">
        <v>27</v>
      </c>
      <c r="C160" s="46">
        <f>IF($A$1='Data Entry'!$C161,'Data Entry'!D161,"")</f>
        <v>0</v>
      </c>
      <c r="D160" s="46">
        <f>IF($A$1='Data Entry'!$C161,'Data Entry'!E161,"")</f>
        <v>0</v>
      </c>
      <c r="E160" s="46">
        <f>IF($A$1='Data Entry'!$C161,'Data Entry'!F161,"")</f>
        <v>0</v>
      </c>
      <c r="F160" s="46">
        <f>IF($A$1='Data Entry'!$C161,'Data Entry'!G161,"")</f>
        <v>0</v>
      </c>
      <c r="G160" s="46">
        <f>IF($A$1='Data Entry'!$C161,'Data Entry'!H161,"")</f>
        <v>0</v>
      </c>
      <c r="H160" s="46">
        <f>IF($A$1='Data Entry'!$C161,'Data Entry'!I161,"")</f>
        <v>0</v>
      </c>
      <c r="I160" s="46">
        <f>IF($A$1='Data Entry'!$C161,'Data Entry'!J161,"")</f>
        <v>0</v>
      </c>
      <c r="J160" s="46">
        <f>IF($A$1='Data Entry'!$C161,'Data Entry'!K161,"")</f>
        <v>0</v>
      </c>
      <c r="K160" s="46">
        <f>IF($A$1='Data Entry'!$C161,'Data Entry'!L161,"")</f>
        <v>0</v>
      </c>
      <c r="L160" s="46">
        <f>IF($A$1='Data Entry'!$C161,'Data Entry'!M161,"")</f>
        <v>0</v>
      </c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</row>
    <row r="161" spans="1:36" ht="15.95" customHeight="1" x14ac:dyDescent="0.2">
      <c r="A161" s="43"/>
      <c r="B161" s="45">
        <v>27</v>
      </c>
      <c r="C161" s="46">
        <f>IF($A$1='Data Entry'!$C162,'Data Entry'!D162,"")</f>
        <v>0</v>
      </c>
      <c r="D161" s="46">
        <f>IF($A$1='Data Entry'!$C162,'Data Entry'!E162,"")</f>
        <v>0</v>
      </c>
      <c r="E161" s="46">
        <f>IF($A$1='Data Entry'!$C162,'Data Entry'!F162,"")</f>
        <v>0</v>
      </c>
      <c r="F161" s="46">
        <f>IF($A$1='Data Entry'!$C162,'Data Entry'!G162,"")</f>
        <v>0</v>
      </c>
      <c r="G161" s="46">
        <f>IF($A$1='Data Entry'!$C162,'Data Entry'!H162,"")</f>
        <v>0</v>
      </c>
      <c r="H161" s="46">
        <f>IF($A$1='Data Entry'!$C162,'Data Entry'!I162,"")</f>
        <v>0</v>
      </c>
      <c r="I161" s="46">
        <f>IF($A$1='Data Entry'!$C162,'Data Entry'!J162,"")</f>
        <v>0</v>
      </c>
      <c r="J161" s="46">
        <f>IF($A$1='Data Entry'!$C162,'Data Entry'!K162,"")</f>
        <v>0</v>
      </c>
      <c r="K161" s="46">
        <f>IF($A$1='Data Entry'!$C162,'Data Entry'!L162,"")</f>
        <v>0</v>
      </c>
      <c r="L161" s="46">
        <f>IF($A$1='Data Entry'!$C162,'Data Entry'!M162,"")</f>
        <v>0</v>
      </c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</row>
    <row r="162" spans="1:36" ht="15.95" customHeight="1" x14ac:dyDescent="0.2">
      <c r="A162" s="43"/>
      <c r="B162" s="45">
        <v>27</v>
      </c>
      <c r="C162" s="46">
        <f>IF($A$1='Data Entry'!$C163,'Data Entry'!D163,"")</f>
        <v>0</v>
      </c>
      <c r="D162" s="46">
        <f>IF($A$1='Data Entry'!$C163,'Data Entry'!E163,"")</f>
        <v>0</v>
      </c>
      <c r="E162" s="46">
        <f>IF($A$1='Data Entry'!$C163,'Data Entry'!F163,"")</f>
        <v>0</v>
      </c>
      <c r="F162" s="46">
        <f>IF($A$1='Data Entry'!$C163,'Data Entry'!G163,"")</f>
        <v>0</v>
      </c>
      <c r="G162" s="46">
        <f>IF($A$1='Data Entry'!$C163,'Data Entry'!H163,"")</f>
        <v>0</v>
      </c>
      <c r="H162" s="46">
        <f>IF($A$1='Data Entry'!$C163,'Data Entry'!I163,"")</f>
        <v>0</v>
      </c>
      <c r="I162" s="46">
        <f>IF($A$1='Data Entry'!$C163,'Data Entry'!J163,"")</f>
        <v>0</v>
      </c>
      <c r="J162" s="46">
        <f>IF($A$1='Data Entry'!$C163,'Data Entry'!K163,"")</f>
        <v>0</v>
      </c>
      <c r="K162" s="46">
        <f>IF($A$1='Data Entry'!$C163,'Data Entry'!L163,"")</f>
        <v>0</v>
      </c>
      <c r="L162" s="46">
        <f>IF($A$1='Data Entry'!$C163,'Data Entry'!M163,"")</f>
        <v>0</v>
      </c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</row>
    <row r="163" spans="1:36" ht="15.95" customHeight="1" x14ac:dyDescent="0.2">
      <c r="A163" s="43"/>
      <c r="B163" s="45">
        <v>27</v>
      </c>
      <c r="C163" s="46">
        <f>IF($A$1='Data Entry'!$C164,'Data Entry'!D164,"")</f>
        <v>0</v>
      </c>
      <c r="D163" s="46">
        <f>IF($A$1='Data Entry'!$C164,'Data Entry'!E164,"")</f>
        <v>0</v>
      </c>
      <c r="E163" s="46">
        <f>IF($A$1='Data Entry'!$C164,'Data Entry'!F164,"")</f>
        <v>0</v>
      </c>
      <c r="F163" s="46">
        <f>IF($A$1='Data Entry'!$C164,'Data Entry'!G164,"")</f>
        <v>0</v>
      </c>
      <c r="G163" s="46">
        <f>IF($A$1='Data Entry'!$C164,'Data Entry'!H164,"")</f>
        <v>0</v>
      </c>
      <c r="H163" s="46">
        <f>IF($A$1='Data Entry'!$C164,'Data Entry'!I164,"")</f>
        <v>0</v>
      </c>
      <c r="I163" s="46">
        <f>IF($A$1='Data Entry'!$C164,'Data Entry'!J164,"")</f>
        <v>0</v>
      </c>
      <c r="J163" s="46">
        <f>IF($A$1='Data Entry'!$C164,'Data Entry'!K164,"")</f>
        <v>0</v>
      </c>
      <c r="K163" s="46">
        <f>IF($A$1='Data Entry'!$C164,'Data Entry'!L164,"")</f>
        <v>0</v>
      </c>
      <c r="L163" s="46">
        <f>IF($A$1='Data Entry'!$C164,'Data Entry'!M164,"")</f>
        <v>0</v>
      </c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</row>
    <row r="164" spans="1:36" ht="15.95" customHeight="1" x14ac:dyDescent="0.2">
      <c r="A164" s="43"/>
      <c r="B164" s="45">
        <v>27</v>
      </c>
      <c r="C164" s="46">
        <f>IF($A$1='Data Entry'!$C165,'Data Entry'!D165,"")</f>
        <v>0</v>
      </c>
      <c r="D164" s="46">
        <f>IF($A$1='Data Entry'!$C165,'Data Entry'!E165,"")</f>
        <v>0</v>
      </c>
      <c r="E164" s="46">
        <f>IF($A$1='Data Entry'!$C165,'Data Entry'!F165,"")</f>
        <v>0</v>
      </c>
      <c r="F164" s="46">
        <f>IF($A$1='Data Entry'!$C165,'Data Entry'!G165,"")</f>
        <v>0</v>
      </c>
      <c r="G164" s="46">
        <f>IF($A$1='Data Entry'!$C165,'Data Entry'!H165,"")</f>
        <v>0</v>
      </c>
      <c r="H164" s="46">
        <f>IF($A$1='Data Entry'!$C165,'Data Entry'!I165,"")</f>
        <v>0</v>
      </c>
      <c r="I164" s="46">
        <f>IF($A$1='Data Entry'!$C165,'Data Entry'!J165,"")</f>
        <v>0</v>
      </c>
      <c r="J164" s="46">
        <f>IF($A$1='Data Entry'!$C165,'Data Entry'!K165,"")</f>
        <v>0</v>
      </c>
      <c r="K164" s="46">
        <f>IF($A$1='Data Entry'!$C165,'Data Entry'!L165,"")</f>
        <v>0</v>
      </c>
      <c r="L164" s="46">
        <f>IF($A$1='Data Entry'!$C165,'Data Entry'!M165,"")</f>
        <v>0</v>
      </c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</row>
    <row r="165" spans="1:36" ht="15.95" customHeight="1" x14ac:dyDescent="0.2">
      <c r="A165" s="43"/>
      <c r="B165" s="45">
        <v>28</v>
      </c>
      <c r="C165" s="46">
        <f>IF($A$1='Data Entry'!$C166,'Data Entry'!D166,"")</f>
        <v>0</v>
      </c>
      <c r="D165" s="46">
        <f>IF($A$1='Data Entry'!$C166,'Data Entry'!E166,"")</f>
        <v>0</v>
      </c>
      <c r="E165" s="46">
        <f>IF($A$1='Data Entry'!$C166,'Data Entry'!F166,"")</f>
        <v>0</v>
      </c>
      <c r="F165" s="46">
        <f>IF($A$1='Data Entry'!$C166,'Data Entry'!G166,"")</f>
        <v>0</v>
      </c>
      <c r="G165" s="46">
        <f>IF($A$1='Data Entry'!$C166,'Data Entry'!H166,"")</f>
        <v>0</v>
      </c>
      <c r="H165" s="46">
        <f>IF($A$1='Data Entry'!$C166,'Data Entry'!I166,"")</f>
        <v>0</v>
      </c>
      <c r="I165" s="46">
        <f>IF($A$1='Data Entry'!$C166,'Data Entry'!J166,"")</f>
        <v>0</v>
      </c>
      <c r="J165" s="46">
        <f>IF($A$1='Data Entry'!$C166,'Data Entry'!K166,"")</f>
        <v>0</v>
      </c>
      <c r="K165" s="46">
        <f>IF($A$1='Data Entry'!$C166,'Data Entry'!L166,"")</f>
        <v>0</v>
      </c>
      <c r="L165" s="46">
        <f>IF($A$1='Data Entry'!$C166,'Data Entry'!M166,"")</f>
        <v>0</v>
      </c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</row>
    <row r="166" spans="1:36" ht="15.95" customHeight="1" x14ac:dyDescent="0.2">
      <c r="A166" s="43"/>
      <c r="B166" s="45">
        <v>28</v>
      </c>
      <c r="C166" s="46">
        <f>IF($A$1='Data Entry'!$C167,'Data Entry'!D167,"")</f>
        <v>0</v>
      </c>
      <c r="D166" s="46">
        <f>IF($A$1='Data Entry'!$C167,'Data Entry'!E167,"")</f>
        <v>0</v>
      </c>
      <c r="E166" s="46">
        <f>IF($A$1='Data Entry'!$C167,'Data Entry'!F167,"")</f>
        <v>0</v>
      </c>
      <c r="F166" s="46">
        <f>IF($A$1='Data Entry'!$C167,'Data Entry'!G167,"")</f>
        <v>0</v>
      </c>
      <c r="G166" s="46">
        <f>IF($A$1='Data Entry'!$C167,'Data Entry'!H167,"")</f>
        <v>0</v>
      </c>
      <c r="H166" s="46">
        <f>IF($A$1='Data Entry'!$C167,'Data Entry'!I167,"")</f>
        <v>0</v>
      </c>
      <c r="I166" s="46">
        <f>IF($A$1='Data Entry'!$C167,'Data Entry'!J167,"")</f>
        <v>0</v>
      </c>
      <c r="J166" s="46">
        <f>IF($A$1='Data Entry'!$C167,'Data Entry'!K167,"")</f>
        <v>0</v>
      </c>
      <c r="K166" s="46">
        <f>IF($A$1='Data Entry'!$C167,'Data Entry'!L167,"")</f>
        <v>0</v>
      </c>
      <c r="L166" s="46">
        <f>IF($A$1='Data Entry'!$C167,'Data Entry'!M167,"")</f>
        <v>0</v>
      </c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</row>
    <row r="167" spans="1:36" ht="15.95" customHeight="1" x14ac:dyDescent="0.2">
      <c r="A167" s="43"/>
      <c r="B167" s="45">
        <v>28</v>
      </c>
      <c r="C167" s="46">
        <f>IF($A$1='Data Entry'!$C168,'Data Entry'!D168,"")</f>
        <v>0</v>
      </c>
      <c r="D167" s="46">
        <f>IF($A$1='Data Entry'!$C168,'Data Entry'!E168,"")</f>
        <v>0</v>
      </c>
      <c r="E167" s="46">
        <f>IF($A$1='Data Entry'!$C168,'Data Entry'!F168,"")</f>
        <v>0</v>
      </c>
      <c r="F167" s="46">
        <f>IF($A$1='Data Entry'!$C168,'Data Entry'!G168,"")</f>
        <v>0</v>
      </c>
      <c r="G167" s="46">
        <f>IF($A$1='Data Entry'!$C168,'Data Entry'!H168,"")</f>
        <v>0</v>
      </c>
      <c r="H167" s="46">
        <f>IF($A$1='Data Entry'!$C168,'Data Entry'!I168,"")</f>
        <v>0</v>
      </c>
      <c r="I167" s="46">
        <f>IF($A$1='Data Entry'!$C168,'Data Entry'!J168,"")</f>
        <v>0</v>
      </c>
      <c r="J167" s="46">
        <f>IF($A$1='Data Entry'!$C168,'Data Entry'!K168,"")</f>
        <v>0</v>
      </c>
      <c r="K167" s="46">
        <f>IF($A$1='Data Entry'!$C168,'Data Entry'!L168,"")</f>
        <v>0</v>
      </c>
      <c r="L167" s="46">
        <f>IF($A$1='Data Entry'!$C168,'Data Entry'!M168,"")</f>
        <v>0</v>
      </c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</row>
    <row r="168" spans="1:36" ht="15.95" customHeight="1" x14ac:dyDescent="0.2">
      <c r="A168" s="43"/>
      <c r="B168" s="45">
        <v>28</v>
      </c>
      <c r="C168" s="46">
        <f>IF($A$1='Data Entry'!$C169,'Data Entry'!D169,"")</f>
        <v>0</v>
      </c>
      <c r="D168" s="46">
        <f>IF($A$1='Data Entry'!$C169,'Data Entry'!E169,"")</f>
        <v>0</v>
      </c>
      <c r="E168" s="46">
        <f>IF($A$1='Data Entry'!$C169,'Data Entry'!F169,"")</f>
        <v>0</v>
      </c>
      <c r="F168" s="46">
        <f>IF($A$1='Data Entry'!$C169,'Data Entry'!G169,"")</f>
        <v>0</v>
      </c>
      <c r="G168" s="46">
        <f>IF($A$1='Data Entry'!$C169,'Data Entry'!H169,"")</f>
        <v>0</v>
      </c>
      <c r="H168" s="46">
        <f>IF($A$1='Data Entry'!$C169,'Data Entry'!I169,"")</f>
        <v>0</v>
      </c>
      <c r="I168" s="46">
        <f>IF($A$1='Data Entry'!$C169,'Data Entry'!J169,"")</f>
        <v>0</v>
      </c>
      <c r="J168" s="46">
        <f>IF($A$1='Data Entry'!$C169,'Data Entry'!K169,"")</f>
        <v>0</v>
      </c>
      <c r="K168" s="46">
        <f>IF($A$1='Data Entry'!$C169,'Data Entry'!L169,"")</f>
        <v>0</v>
      </c>
      <c r="L168" s="46">
        <f>IF($A$1='Data Entry'!$C169,'Data Entry'!M169,"")</f>
        <v>0</v>
      </c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</row>
    <row r="169" spans="1:36" ht="15.95" customHeight="1" x14ac:dyDescent="0.2">
      <c r="A169" s="43"/>
      <c r="B169" s="45">
        <v>28</v>
      </c>
      <c r="C169" s="46">
        <f>IF($A$1='Data Entry'!$C170,'Data Entry'!D170,"")</f>
        <v>0</v>
      </c>
      <c r="D169" s="46">
        <f>IF($A$1='Data Entry'!$C170,'Data Entry'!E170,"")</f>
        <v>0</v>
      </c>
      <c r="E169" s="46">
        <f>IF($A$1='Data Entry'!$C170,'Data Entry'!F170,"")</f>
        <v>0</v>
      </c>
      <c r="F169" s="46">
        <f>IF($A$1='Data Entry'!$C170,'Data Entry'!G170,"")</f>
        <v>0</v>
      </c>
      <c r="G169" s="46">
        <f>IF($A$1='Data Entry'!$C170,'Data Entry'!H170,"")</f>
        <v>0</v>
      </c>
      <c r="H169" s="46">
        <f>IF($A$1='Data Entry'!$C170,'Data Entry'!I170,"")</f>
        <v>0</v>
      </c>
      <c r="I169" s="46">
        <f>IF($A$1='Data Entry'!$C170,'Data Entry'!J170,"")</f>
        <v>0</v>
      </c>
      <c r="J169" s="46">
        <f>IF($A$1='Data Entry'!$C170,'Data Entry'!K170,"")</f>
        <v>0</v>
      </c>
      <c r="K169" s="46">
        <f>IF($A$1='Data Entry'!$C170,'Data Entry'!L170,"")</f>
        <v>0</v>
      </c>
      <c r="L169" s="46">
        <f>IF($A$1='Data Entry'!$C170,'Data Entry'!M170,"")</f>
        <v>0</v>
      </c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</row>
    <row r="170" spans="1:36" ht="15.95" customHeight="1" x14ac:dyDescent="0.2">
      <c r="A170" s="43"/>
      <c r="B170" s="45">
        <v>28</v>
      </c>
      <c r="C170" s="46">
        <f>IF($A$1='Data Entry'!$C171,'Data Entry'!D171,"")</f>
        <v>0</v>
      </c>
      <c r="D170" s="46">
        <f>IF($A$1='Data Entry'!$C171,'Data Entry'!E171,"")</f>
        <v>0</v>
      </c>
      <c r="E170" s="46">
        <f>IF($A$1='Data Entry'!$C171,'Data Entry'!F171,"")</f>
        <v>0</v>
      </c>
      <c r="F170" s="46">
        <f>IF($A$1='Data Entry'!$C171,'Data Entry'!G171,"")</f>
        <v>0</v>
      </c>
      <c r="G170" s="46">
        <f>IF($A$1='Data Entry'!$C171,'Data Entry'!H171,"")</f>
        <v>0</v>
      </c>
      <c r="H170" s="46">
        <f>IF($A$1='Data Entry'!$C171,'Data Entry'!I171,"")</f>
        <v>0</v>
      </c>
      <c r="I170" s="46">
        <f>IF($A$1='Data Entry'!$C171,'Data Entry'!J171,"")</f>
        <v>0</v>
      </c>
      <c r="J170" s="46">
        <f>IF($A$1='Data Entry'!$C171,'Data Entry'!K171,"")</f>
        <v>0</v>
      </c>
      <c r="K170" s="46">
        <f>IF($A$1='Data Entry'!$C171,'Data Entry'!L171,"")</f>
        <v>0</v>
      </c>
      <c r="L170" s="46">
        <f>IF($A$1='Data Entry'!$C171,'Data Entry'!M171,"")</f>
        <v>0</v>
      </c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</row>
    <row r="171" spans="1:36" ht="15.95" customHeight="1" x14ac:dyDescent="0.2">
      <c r="A171" s="43"/>
      <c r="B171" s="45">
        <v>29</v>
      </c>
      <c r="C171" s="46">
        <f>IF($A$1='Data Entry'!$C172,'Data Entry'!D172,"")</f>
        <v>0</v>
      </c>
      <c r="D171" s="46">
        <f>IF($A$1='Data Entry'!$C172,'Data Entry'!E172,"")</f>
        <v>0</v>
      </c>
      <c r="E171" s="46">
        <f>IF($A$1='Data Entry'!$C172,'Data Entry'!F172,"")</f>
        <v>0</v>
      </c>
      <c r="F171" s="46">
        <f>IF($A$1='Data Entry'!$C172,'Data Entry'!G172,"")</f>
        <v>0</v>
      </c>
      <c r="G171" s="46">
        <f>IF($A$1='Data Entry'!$C172,'Data Entry'!H172,"")</f>
        <v>0</v>
      </c>
      <c r="H171" s="46">
        <f>IF($A$1='Data Entry'!$C172,'Data Entry'!I172,"")</f>
        <v>0</v>
      </c>
      <c r="I171" s="46">
        <f>IF($A$1='Data Entry'!$C172,'Data Entry'!J172,"")</f>
        <v>0</v>
      </c>
      <c r="J171" s="46">
        <f>IF($A$1='Data Entry'!$C172,'Data Entry'!K172,"")</f>
        <v>0</v>
      </c>
      <c r="K171" s="46">
        <f>IF($A$1='Data Entry'!$C172,'Data Entry'!L172,"")</f>
        <v>0</v>
      </c>
      <c r="L171" s="46">
        <f>IF($A$1='Data Entry'!$C172,'Data Entry'!M172,"")</f>
        <v>0</v>
      </c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</row>
    <row r="172" spans="1:36" ht="15.95" customHeight="1" x14ac:dyDescent="0.2">
      <c r="A172" s="43"/>
      <c r="B172" s="45">
        <v>29</v>
      </c>
      <c r="C172" s="46">
        <f>IF($A$1='Data Entry'!$C173,'Data Entry'!D173,"")</f>
        <v>0</v>
      </c>
      <c r="D172" s="46">
        <f>IF($A$1='Data Entry'!$C173,'Data Entry'!E173,"")</f>
        <v>0</v>
      </c>
      <c r="E172" s="46">
        <f>IF($A$1='Data Entry'!$C173,'Data Entry'!F173,"")</f>
        <v>0</v>
      </c>
      <c r="F172" s="46">
        <f>IF($A$1='Data Entry'!$C173,'Data Entry'!G173,"")</f>
        <v>0</v>
      </c>
      <c r="G172" s="46">
        <f>IF($A$1='Data Entry'!$C173,'Data Entry'!H173,"")</f>
        <v>0</v>
      </c>
      <c r="H172" s="46">
        <f>IF($A$1='Data Entry'!$C173,'Data Entry'!I173,"")</f>
        <v>0</v>
      </c>
      <c r="I172" s="46">
        <f>IF($A$1='Data Entry'!$C173,'Data Entry'!J173,"")</f>
        <v>0</v>
      </c>
      <c r="J172" s="46">
        <f>IF($A$1='Data Entry'!$C173,'Data Entry'!K173,"")</f>
        <v>0</v>
      </c>
      <c r="K172" s="46">
        <f>IF($A$1='Data Entry'!$C173,'Data Entry'!L173,"")</f>
        <v>0</v>
      </c>
      <c r="L172" s="46">
        <f>IF($A$1='Data Entry'!$C173,'Data Entry'!M173,"")</f>
        <v>0</v>
      </c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</row>
    <row r="173" spans="1:36" ht="15.95" customHeight="1" x14ac:dyDescent="0.2">
      <c r="A173" s="43"/>
      <c r="B173" s="45">
        <v>29</v>
      </c>
      <c r="C173" s="46">
        <f>IF($A$1='Data Entry'!$C174,'Data Entry'!D174,"")</f>
        <v>0</v>
      </c>
      <c r="D173" s="46">
        <f>IF($A$1='Data Entry'!$C174,'Data Entry'!E174,"")</f>
        <v>0</v>
      </c>
      <c r="E173" s="46">
        <f>IF($A$1='Data Entry'!$C174,'Data Entry'!F174,"")</f>
        <v>0</v>
      </c>
      <c r="F173" s="46">
        <f>IF($A$1='Data Entry'!$C174,'Data Entry'!G174,"")</f>
        <v>0</v>
      </c>
      <c r="G173" s="46">
        <f>IF($A$1='Data Entry'!$C174,'Data Entry'!H174,"")</f>
        <v>0</v>
      </c>
      <c r="H173" s="46">
        <f>IF($A$1='Data Entry'!$C174,'Data Entry'!I174,"")</f>
        <v>0</v>
      </c>
      <c r="I173" s="46">
        <f>IF($A$1='Data Entry'!$C174,'Data Entry'!J174,"")</f>
        <v>0</v>
      </c>
      <c r="J173" s="46">
        <f>IF($A$1='Data Entry'!$C174,'Data Entry'!K174,"")</f>
        <v>0</v>
      </c>
      <c r="K173" s="46">
        <f>IF($A$1='Data Entry'!$C174,'Data Entry'!L174,"")</f>
        <v>0</v>
      </c>
      <c r="L173" s="46">
        <f>IF($A$1='Data Entry'!$C174,'Data Entry'!M174,"")</f>
        <v>0</v>
      </c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</row>
    <row r="174" spans="1:36" ht="15.95" customHeight="1" x14ac:dyDescent="0.2">
      <c r="A174" s="43"/>
      <c r="B174" s="45">
        <v>29</v>
      </c>
      <c r="C174" s="46">
        <f>IF($A$1='Data Entry'!$C175,'Data Entry'!D175,"")</f>
        <v>0</v>
      </c>
      <c r="D174" s="46">
        <f>IF($A$1='Data Entry'!$C175,'Data Entry'!E175,"")</f>
        <v>0</v>
      </c>
      <c r="E174" s="46">
        <f>IF($A$1='Data Entry'!$C175,'Data Entry'!F175,"")</f>
        <v>0</v>
      </c>
      <c r="F174" s="46">
        <f>IF($A$1='Data Entry'!$C175,'Data Entry'!G175,"")</f>
        <v>0</v>
      </c>
      <c r="G174" s="46">
        <f>IF($A$1='Data Entry'!$C175,'Data Entry'!H175,"")</f>
        <v>0</v>
      </c>
      <c r="H174" s="46">
        <f>IF($A$1='Data Entry'!$C175,'Data Entry'!I175,"")</f>
        <v>0</v>
      </c>
      <c r="I174" s="46">
        <f>IF($A$1='Data Entry'!$C175,'Data Entry'!J175,"")</f>
        <v>0</v>
      </c>
      <c r="J174" s="46">
        <f>IF($A$1='Data Entry'!$C175,'Data Entry'!K175,"")</f>
        <v>0</v>
      </c>
      <c r="K174" s="46">
        <f>IF($A$1='Data Entry'!$C175,'Data Entry'!L175,"")</f>
        <v>0</v>
      </c>
      <c r="L174" s="46">
        <f>IF($A$1='Data Entry'!$C175,'Data Entry'!M175,"")</f>
        <v>0</v>
      </c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</row>
    <row r="175" spans="1:36" ht="15.95" customHeight="1" x14ac:dyDescent="0.2">
      <c r="A175" s="43"/>
      <c r="B175" s="45">
        <v>29</v>
      </c>
      <c r="C175" s="46">
        <f>IF($A$1='Data Entry'!$C176,'Data Entry'!D176,"")</f>
        <v>0</v>
      </c>
      <c r="D175" s="46">
        <f>IF($A$1='Data Entry'!$C176,'Data Entry'!E176,"")</f>
        <v>0</v>
      </c>
      <c r="E175" s="46">
        <f>IF($A$1='Data Entry'!$C176,'Data Entry'!F176,"")</f>
        <v>0</v>
      </c>
      <c r="F175" s="46">
        <f>IF($A$1='Data Entry'!$C176,'Data Entry'!G176,"")</f>
        <v>0</v>
      </c>
      <c r="G175" s="46">
        <f>IF($A$1='Data Entry'!$C176,'Data Entry'!H176,"")</f>
        <v>0</v>
      </c>
      <c r="H175" s="46">
        <f>IF($A$1='Data Entry'!$C176,'Data Entry'!I176,"")</f>
        <v>0</v>
      </c>
      <c r="I175" s="46">
        <f>IF($A$1='Data Entry'!$C176,'Data Entry'!J176,"")</f>
        <v>0</v>
      </c>
      <c r="J175" s="46">
        <f>IF($A$1='Data Entry'!$C176,'Data Entry'!K176,"")</f>
        <v>0</v>
      </c>
      <c r="K175" s="46">
        <f>IF($A$1='Data Entry'!$C176,'Data Entry'!L176,"")</f>
        <v>0</v>
      </c>
      <c r="L175" s="46">
        <f>IF($A$1='Data Entry'!$C176,'Data Entry'!M176,"")</f>
        <v>0</v>
      </c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</row>
    <row r="176" spans="1:36" ht="15.95" customHeight="1" x14ac:dyDescent="0.2">
      <c r="A176" s="43"/>
      <c r="B176" s="45">
        <v>29</v>
      </c>
      <c r="C176" s="46">
        <f>IF($A$1='Data Entry'!$C177,'Data Entry'!D177,"")</f>
        <v>0</v>
      </c>
      <c r="D176" s="46">
        <f>IF($A$1='Data Entry'!$C177,'Data Entry'!E177,"")</f>
        <v>0</v>
      </c>
      <c r="E176" s="46">
        <f>IF($A$1='Data Entry'!$C177,'Data Entry'!F177,"")</f>
        <v>0</v>
      </c>
      <c r="F176" s="46">
        <f>IF($A$1='Data Entry'!$C177,'Data Entry'!G177,"")</f>
        <v>0</v>
      </c>
      <c r="G176" s="46">
        <f>IF($A$1='Data Entry'!$C177,'Data Entry'!H177,"")</f>
        <v>0</v>
      </c>
      <c r="H176" s="46">
        <f>IF($A$1='Data Entry'!$C177,'Data Entry'!I177,"")</f>
        <v>0</v>
      </c>
      <c r="I176" s="46">
        <f>IF($A$1='Data Entry'!$C177,'Data Entry'!J177,"")</f>
        <v>0</v>
      </c>
      <c r="J176" s="46">
        <f>IF($A$1='Data Entry'!$C177,'Data Entry'!K177,"")</f>
        <v>0</v>
      </c>
      <c r="K176" s="46">
        <f>IF($A$1='Data Entry'!$C177,'Data Entry'!L177,"")</f>
        <v>0</v>
      </c>
      <c r="L176" s="46">
        <f>IF($A$1='Data Entry'!$C177,'Data Entry'!M177,"")</f>
        <v>0</v>
      </c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</row>
    <row r="177" spans="1:36" ht="15.95" customHeight="1" x14ac:dyDescent="0.2">
      <c r="A177" s="43"/>
      <c r="B177" s="45">
        <v>30</v>
      </c>
      <c r="C177" s="46">
        <f>IF($A$1='Data Entry'!$C178,'Data Entry'!D178,"")</f>
        <v>0</v>
      </c>
      <c r="D177" s="46">
        <f>IF($A$1='Data Entry'!$C178,'Data Entry'!E178,"")</f>
        <v>0</v>
      </c>
      <c r="E177" s="46">
        <f>IF($A$1='Data Entry'!$C178,'Data Entry'!F178,"")</f>
        <v>0</v>
      </c>
      <c r="F177" s="46">
        <f>IF($A$1='Data Entry'!$C178,'Data Entry'!G178,"")</f>
        <v>0</v>
      </c>
      <c r="G177" s="46">
        <f>IF($A$1='Data Entry'!$C178,'Data Entry'!H178,"")</f>
        <v>0</v>
      </c>
      <c r="H177" s="46">
        <f>IF($A$1='Data Entry'!$C178,'Data Entry'!I178,"")</f>
        <v>0</v>
      </c>
      <c r="I177" s="46">
        <f>IF($A$1='Data Entry'!$C178,'Data Entry'!J178,"")</f>
        <v>0</v>
      </c>
      <c r="J177" s="46">
        <f>IF($A$1='Data Entry'!$C178,'Data Entry'!K178,"")</f>
        <v>0</v>
      </c>
      <c r="K177" s="46">
        <f>IF($A$1='Data Entry'!$C178,'Data Entry'!L178,"")</f>
        <v>0</v>
      </c>
      <c r="L177" s="46">
        <f>IF($A$1='Data Entry'!$C178,'Data Entry'!M178,"")</f>
        <v>0</v>
      </c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</row>
    <row r="178" spans="1:36" ht="15.95" customHeight="1" x14ac:dyDescent="0.2">
      <c r="A178" s="43"/>
      <c r="B178" s="45">
        <v>30</v>
      </c>
      <c r="C178" s="46">
        <f>IF($A$1='Data Entry'!$C179,'Data Entry'!D179,"")</f>
        <v>0</v>
      </c>
      <c r="D178" s="46">
        <f>IF($A$1='Data Entry'!$C179,'Data Entry'!E179,"")</f>
        <v>0</v>
      </c>
      <c r="E178" s="46">
        <f>IF($A$1='Data Entry'!$C179,'Data Entry'!F179,"")</f>
        <v>0</v>
      </c>
      <c r="F178" s="46">
        <f>IF($A$1='Data Entry'!$C179,'Data Entry'!G179,"")</f>
        <v>0</v>
      </c>
      <c r="G178" s="46">
        <f>IF($A$1='Data Entry'!$C179,'Data Entry'!H179,"")</f>
        <v>0</v>
      </c>
      <c r="H178" s="46">
        <f>IF($A$1='Data Entry'!$C179,'Data Entry'!I179,"")</f>
        <v>0</v>
      </c>
      <c r="I178" s="46">
        <f>IF($A$1='Data Entry'!$C179,'Data Entry'!J179,"")</f>
        <v>0</v>
      </c>
      <c r="J178" s="46">
        <f>IF($A$1='Data Entry'!$C179,'Data Entry'!K179,"")</f>
        <v>0</v>
      </c>
      <c r="K178" s="46">
        <f>IF($A$1='Data Entry'!$C179,'Data Entry'!L179,"")</f>
        <v>0</v>
      </c>
      <c r="L178" s="46">
        <f>IF($A$1='Data Entry'!$C179,'Data Entry'!M179,"")</f>
        <v>0</v>
      </c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</row>
    <row r="179" spans="1:36" ht="15.95" customHeight="1" x14ac:dyDescent="0.2">
      <c r="A179" s="43"/>
      <c r="B179" s="45">
        <v>30</v>
      </c>
      <c r="C179" s="46">
        <f>IF($A$1='Data Entry'!$C180,'Data Entry'!D180,"")</f>
        <v>0</v>
      </c>
      <c r="D179" s="46">
        <f>IF($A$1='Data Entry'!$C180,'Data Entry'!E180,"")</f>
        <v>0</v>
      </c>
      <c r="E179" s="46">
        <f>IF($A$1='Data Entry'!$C180,'Data Entry'!F180,"")</f>
        <v>0</v>
      </c>
      <c r="F179" s="46">
        <f>IF($A$1='Data Entry'!$C180,'Data Entry'!G180,"")</f>
        <v>0</v>
      </c>
      <c r="G179" s="46">
        <f>IF($A$1='Data Entry'!$C180,'Data Entry'!H180,"")</f>
        <v>0</v>
      </c>
      <c r="H179" s="46">
        <f>IF($A$1='Data Entry'!$C180,'Data Entry'!I180,"")</f>
        <v>0</v>
      </c>
      <c r="I179" s="46">
        <f>IF($A$1='Data Entry'!$C180,'Data Entry'!J180,"")</f>
        <v>0</v>
      </c>
      <c r="J179" s="46">
        <f>IF($A$1='Data Entry'!$C180,'Data Entry'!K180,"")</f>
        <v>0</v>
      </c>
      <c r="K179" s="46">
        <f>IF($A$1='Data Entry'!$C180,'Data Entry'!L180,"")</f>
        <v>0</v>
      </c>
      <c r="L179" s="46">
        <f>IF($A$1='Data Entry'!$C180,'Data Entry'!M180,"")</f>
        <v>0</v>
      </c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</row>
    <row r="180" spans="1:36" ht="15.95" customHeight="1" x14ac:dyDescent="0.2">
      <c r="A180" s="43"/>
      <c r="B180" s="45">
        <v>30</v>
      </c>
      <c r="C180" s="46">
        <f>IF($A$1='Data Entry'!$C181,'Data Entry'!D181,"")</f>
        <v>0</v>
      </c>
      <c r="D180" s="46">
        <f>IF($A$1='Data Entry'!$C181,'Data Entry'!E181,"")</f>
        <v>0</v>
      </c>
      <c r="E180" s="46">
        <f>IF($A$1='Data Entry'!$C181,'Data Entry'!F181,"")</f>
        <v>0</v>
      </c>
      <c r="F180" s="46">
        <f>IF($A$1='Data Entry'!$C181,'Data Entry'!G181,"")</f>
        <v>0</v>
      </c>
      <c r="G180" s="46">
        <f>IF($A$1='Data Entry'!$C181,'Data Entry'!H181,"")</f>
        <v>0</v>
      </c>
      <c r="H180" s="46">
        <f>IF($A$1='Data Entry'!$C181,'Data Entry'!I181,"")</f>
        <v>0</v>
      </c>
      <c r="I180" s="46">
        <f>IF($A$1='Data Entry'!$C181,'Data Entry'!J181,"")</f>
        <v>0</v>
      </c>
      <c r="J180" s="46">
        <f>IF($A$1='Data Entry'!$C181,'Data Entry'!K181,"")</f>
        <v>0</v>
      </c>
      <c r="K180" s="46">
        <f>IF($A$1='Data Entry'!$C181,'Data Entry'!L181,"")</f>
        <v>0</v>
      </c>
      <c r="L180" s="46">
        <f>IF($A$1='Data Entry'!$C181,'Data Entry'!M181,"")</f>
        <v>0</v>
      </c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</row>
    <row r="181" spans="1:36" ht="15.95" customHeight="1" x14ac:dyDescent="0.2">
      <c r="A181" s="43"/>
      <c r="B181" s="45">
        <v>30</v>
      </c>
      <c r="C181" s="46">
        <f>IF($A$1='Data Entry'!$C182,'Data Entry'!D182,"")</f>
        <v>0</v>
      </c>
      <c r="D181" s="46">
        <f>IF($A$1='Data Entry'!$C182,'Data Entry'!E182,"")</f>
        <v>0</v>
      </c>
      <c r="E181" s="46">
        <f>IF($A$1='Data Entry'!$C182,'Data Entry'!F182,"")</f>
        <v>0</v>
      </c>
      <c r="F181" s="46">
        <f>IF($A$1='Data Entry'!$C182,'Data Entry'!G182,"")</f>
        <v>0</v>
      </c>
      <c r="G181" s="46">
        <f>IF($A$1='Data Entry'!$C182,'Data Entry'!H182,"")</f>
        <v>0</v>
      </c>
      <c r="H181" s="46">
        <f>IF($A$1='Data Entry'!$C182,'Data Entry'!I182,"")</f>
        <v>0</v>
      </c>
      <c r="I181" s="46">
        <f>IF($A$1='Data Entry'!$C182,'Data Entry'!J182,"")</f>
        <v>0</v>
      </c>
      <c r="J181" s="46">
        <f>IF($A$1='Data Entry'!$C182,'Data Entry'!K182,"")</f>
        <v>0</v>
      </c>
      <c r="K181" s="46">
        <f>IF($A$1='Data Entry'!$C182,'Data Entry'!L182,"")</f>
        <v>0</v>
      </c>
      <c r="L181" s="46">
        <f>IF($A$1='Data Entry'!$C182,'Data Entry'!M182,"")</f>
        <v>0</v>
      </c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</row>
    <row r="182" spans="1:36" ht="15.95" customHeight="1" x14ac:dyDescent="0.2">
      <c r="A182" s="43"/>
      <c r="B182" s="45">
        <v>30</v>
      </c>
      <c r="C182" s="46">
        <f>IF($A$1='Data Entry'!$C183,'Data Entry'!D183,"")</f>
        <v>0</v>
      </c>
      <c r="D182" s="46">
        <f>IF($A$1='Data Entry'!$C183,'Data Entry'!E183,"")</f>
        <v>0</v>
      </c>
      <c r="E182" s="46">
        <f>IF($A$1='Data Entry'!$C183,'Data Entry'!F183,"")</f>
        <v>0</v>
      </c>
      <c r="F182" s="46">
        <f>IF($A$1='Data Entry'!$C183,'Data Entry'!G183,"")</f>
        <v>0</v>
      </c>
      <c r="G182" s="46">
        <f>IF($A$1='Data Entry'!$C183,'Data Entry'!H183,"")</f>
        <v>0</v>
      </c>
      <c r="H182" s="46">
        <f>IF($A$1='Data Entry'!$C183,'Data Entry'!I183,"")</f>
        <v>0</v>
      </c>
      <c r="I182" s="46">
        <f>IF($A$1='Data Entry'!$C183,'Data Entry'!J183,"")</f>
        <v>0</v>
      </c>
      <c r="J182" s="46">
        <f>IF($A$1='Data Entry'!$C183,'Data Entry'!K183,"")</f>
        <v>0</v>
      </c>
      <c r="K182" s="46">
        <f>IF($A$1='Data Entry'!$C183,'Data Entry'!L183,"")</f>
        <v>0</v>
      </c>
      <c r="L182" s="46">
        <f>IF($A$1='Data Entry'!$C183,'Data Entry'!M183,"")</f>
        <v>0</v>
      </c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</row>
    <row r="183" spans="1:36" ht="15.95" customHeight="1" x14ac:dyDescent="0.2">
      <c r="A183" s="43"/>
      <c r="B183" s="45">
        <v>31</v>
      </c>
      <c r="C183" s="46">
        <f>IF($A$1='Data Entry'!$C184,'Data Entry'!D184,"")</f>
        <v>0</v>
      </c>
      <c r="D183" s="46">
        <f>IF($A$1='Data Entry'!$C184,'Data Entry'!E184,"")</f>
        <v>0</v>
      </c>
      <c r="E183" s="46">
        <f>IF($A$1='Data Entry'!$C184,'Data Entry'!F184,"")</f>
        <v>0</v>
      </c>
      <c r="F183" s="46">
        <f>IF($A$1='Data Entry'!$C184,'Data Entry'!G184,"")</f>
        <v>0</v>
      </c>
      <c r="G183" s="46">
        <f>IF($A$1='Data Entry'!$C184,'Data Entry'!H184,"")</f>
        <v>0</v>
      </c>
      <c r="H183" s="46">
        <f>IF($A$1='Data Entry'!$C184,'Data Entry'!I184,"")</f>
        <v>0</v>
      </c>
      <c r="I183" s="46">
        <f>IF($A$1='Data Entry'!$C184,'Data Entry'!J184,"")</f>
        <v>0</v>
      </c>
      <c r="J183" s="46">
        <f>IF($A$1='Data Entry'!$C184,'Data Entry'!K184,"")</f>
        <v>0</v>
      </c>
      <c r="K183" s="46">
        <f>IF($A$1='Data Entry'!$C184,'Data Entry'!L184,"")</f>
        <v>0</v>
      </c>
      <c r="L183" s="46">
        <f>IF($A$1='Data Entry'!$C184,'Data Entry'!M184,"")</f>
        <v>0</v>
      </c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</row>
    <row r="184" spans="1:36" ht="15.95" customHeight="1" x14ac:dyDescent="0.2">
      <c r="A184" s="43"/>
      <c r="B184" s="45">
        <v>31</v>
      </c>
      <c r="C184" s="46">
        <f>IF($A$1='Data Entry'!$C185,'Data Entry'!D185,"")</f>
        <v>0</v>
      </c>
      <c r="D184" s="46">
        <f>IF($A$1='Data Entry'!$C185,'Data Entry'!E185,"")</f>
        <v>0</v>
      </c>
      <c r="E184" s="46">
        <f>IF($A$1='Data Entry'!$C185,'Data Entry'!F185,"")</f>
        <v>0</v>
      </c>
      <c r="F184" s="46">
        <f>IF($A$1='Data Entry'!$C185,'Data Entry'!G185,"")</f>
        <v>0</v>
      </c>
      <c r="G184" s="46">
        <f>IF($A$1='Data Entry'!$C185,'Data Entry'!H185,"")</f>
        <v>0</v>
      </c>
      <c r="H184" s="46">
        <f>IF($A$1='Data Entry'!$C185,'Data Entry'!I185,"")</f>
        <v>0</v>
      </c>
      <c r="I184" s="46">
        <f>IF($A$1='Data Entry'!$C185,'Data Entry'!J185,"")</f>
        <v>0</v>
      </c>
      <c r="J184" s="46">
        <f>IF($A$1='Data Entry'!$C185,'Data Entry'!K185,"")</f>
        <v>0</v>
      </c>
      <c r="K184" s="46">
        <f>IF($A$1='Data Entry'!$C185,'Data Entry'!L185,"")</f>
        <v>0</v>
      </c>
      <c r="L184" s="46">
        <f>IF($A$1='Data Entry'!$C185,'Data Entry'!M185,"")</f>
        <v>0</v>
      </c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</row>
    <row r="185" spans="1:36" ht="15.95" customHeight="1" x14ac:dyDescent="0.2">
      <c r="A185" s="43"/>
      <c r="B185" s="45">
        <v>31</v>
      </c>
      <c r="C185" s="46">
        <f>IF($A$1='Data Entry'!$C186,'Data Entry'!D186,"")</f>
        <v>0</v>
      </c>
      <c r="D185" s="46">
        <f>IF($A$1='Data Entry'!$C186,'Data Entry'!E186,"")</f>
        <v>0</v>
      </c>
      <c r="E185" s="46">
        <f>IF($A$1='Data Entry'!$C186,'Data Entry'!F186,"")</f>
        <v>0</v>
      </c>
      <c r="F185" s="46">
        <f>IF($A$1='Data Entry'!$C186,'Data Entry'!G186,"")</f>
        <v>0</v>
      </c>
      <c r="G185" s="46">
        <f>IF($A$1='Data Entry'!$C186,'Data Entry'!H186,"")</f>
        <v>0</v>
      </c>
      <c r="H185" s="46">
        <f>IF($A$1='Data Entry'!$C186,'Data Entry'!I186,"")</f>
        <v>0</v>
      </c>
      <c r="I185" s="46">
        <f>IF($A$1='Data Entry'!$C186,'Data Entry'!J186,"")</f>
        <v>0</v>
      </c>
      <c r="J185" s="46">
        <f>IF($A$1='Data Entry'!$C186,'Data Entry'!K186,"")</f>
        <v>0</v>
      </c>
      <c r="K185" s="46">
        <f>IF($A$1='Data Entry'!$C186,'Data Entry'!L186,"")</f>
        <v>0</v>
      </c>
      <c r="L185" s="46">
        <f>IF($A$1='Data Entry'!$C186,'Data Entry'!M186,"")</f>
        <v>0</v>
      </c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</row>
    <row r="186" spans="1:36" ht="15.95" customHeight="1" x14ac:dyDescent="0.2">
      <c r="A186" s="43"/>
      <c r="B186" s="45">
        <v>31</v>
      </c>
      <c r="C186" s="46">
        <f>IF($A$1='Data Entry'!$C187,'Data Entry'!D187,"")</f>
        <v>0</v>
      </c>
      <c r="D186" s="46">
        <f>IF($A$1='Data Entry'!$C187,'Data Entry'!E187,"")</f>
        <v>0</v>
      </c>
      <c r="E186" s="46">
        <f>IF($A$1='Data Entry'!$C187,'Data Entry'!F187,"")</f>
        <v>0</v>
      </c>
      <c r="F186" s="46">
        <f>IF($A$1='Data Entry'!$C187,'Data Entry'!G187,"")</f>
        <v>0</v>
      </c>
      <c r="G186" s="46">
        <f>IF($A$1='Data Entry'!$C187,'Data Entry'!H187,"")</f>
        <v>0</v>
      </c>
      <c r="H186" s="46">
        <f>IF($A$1='Data Entry'!$C187,'Data Entry'!I187,"")</f>
        <v>0</v>
      </c>
      <c r="I186" s="46">
        <f>IF($A$1='Data Entry'!$C187,'Data Entry'!J187,"")</f>
        <v>0</v>
      </c>
      <c r="J186" s="46">
        <f>IF($A$1='Data Entry'!$C187,'Data Entry'!K187,"")</f>
        <v>0</v>
      </c>
      <c r="K186" s="46">
        <f>IF($A$1='Data Entry'!$C187,'Data Entry'!L187,"")</f>
        <v>0</v>
      </c>
      <c r="L186" s="46">
        <f>IF($A$1='Data Entry'!$C187,'Data Entry'!M187,"")</f>
        <v>0</v>
      </c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</row>
    <row r="187" spans="1:36" ht="15.95" customHeight="1" x14ac:dyDescent="0.2">
      <c r="A187" s="43"/>
      <c r="B187" s="45">
        <v>31</v>
      </c>
      <c r="C187" s="46">
        <f>IF($A$1='Data Entry'!$C188,'Data Entry'!D188,"")</f>
        <v>0</v>
      </c>
      <c r="D187" s="46">
        <f>IF($A$1='Data Entry'!$C188,'Data Entry'!E188,"")</f>
        <v>0</v>
      </c>
      <c r="E187" s="46">
        <f>IF($A$1='Data Entry'!$C188,'Data Entry'!F188,"")</f>
        <v>0</v>
      </c>
      <c r="F187" s="46">
        <f>IF($A$1='Data Entry'!$C188,'Data Entry'!G188,"")</f>
        <v>0</v>
      </c>
      <c r="G187" s="46">
        <f>IF($A$1='Data Entry'!$C188,'Data Entry'!H188,"")</f>
        <v>0</v>
      </c>
      <c r="H187" s="46">
        <f>IF($A$1='Data Entry'!$C188,'Data Entry'!I188,"")</f>
        <v>0</v>
      </c>
      <c r="I187" s="46">
        <f>IF($A$1='Data Entry'!$C188,'Data Entry'!J188,"")</f>
        <v>0</v>
      </c>
      <c r="J187" s="46">
        <f>IF($A$1='Data Entry'!$C188,'Data Entry'!K188,"")</f>
        <v>0</v>
      </c>
      <c r="K187" s="46">
        <f>IF($A$1='Data Entry'!$C188,'Data Entry'!L188,"")</f>
        <v>0</v>
      </c>
      <c r="L187" s="46">
        <f>IF($A$1='Data Entry'!$C188,'Data Entry'!M188,"")</f>
        <v>0</v>
      </c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</row>
    <row r="188" spans="1:36" ht="15.95" customHeight="1" x14ac:dyDescent="0.2">
      <c r="A188" s="43"/>
      <c r="B188" s="45">
        <v>31</v>
      </c>
      <c r="C188" s="46">
        <f>IF($A$1='Data Entry'!$C189,'Data Entry'!D189,"")</f>
        <v>0</v>
      </c>
      <c r="D188" s="46">
        <f>IF($A$1='Data Entry'!$C189,'Data Entry'!E189,"")</f>
        <v>0</v>
      </c>
      <c r="E188" s="46">
        <f>IF($A$1='Data Entry'!$C189,'Data Entry'!F189,"")</f>
        <v>0</v>
      </c>
      <c r="F188" s="46">
        <f>IF($A$1='Data Entry'!$C189,'Data Entry'!G189,"")</f>
        <v>0</v>
      </c>
      <c r="G188" s="46">
        <f>IF($A$1='Data Entry'!$C189,'Data Entry'!H189,"")</f>
        <v>0</v>
      </c>
      <c r="H188" s="46">
        <f>IF($A$1='Data Entry'!$C189,'Data Entry'!I189,"")</f>
        <v>0</v>
      </c>
      <c r="I188" s="46">
        <f>IF($A$1='Data Entry'!$C189,'Data Entry'!J189,"")</f>
        <v>0</v>
      </c>
      <c r="J188" s="46">
        <f>IF($A$1='Data Entry'!$C189,'Data Entry'!K189,"")</f>
        <v>0</v>
      </c>
      <c r="K188" s="46">
        <f>IF($A$1='Data Entry'!$C189,'Data Entry'!L189,"")</f>
        <v>0</v>
      </c>
      <c r="L188" s="46">
        <f>IF($A$1='Data Entry'!$C189,'Data Entry'!M189,"")</f>
        <v>0</v>
      </c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</row>
    <row r="189" spans="1:36" ht="15.95" customHeight="1" x14ac:dyDescent="0.2">
      <c r="A189" s="43"/>
      <c r="B189" s="45">
        <v>32</v>
      </c>
      <c r="C189" s="46">
        <f>IF($A$1='Data Entry'!$C190,'Data Entry'!D190,"")</f>
        <v>0</v>
      </c>
      <c r="D189" s="46">
        <f>IF($A$1='Data Entry'!$C190,'Data Entry'!E190,"")</f>
        <v>0</v>
      </c>
      <c r="E189" s="46">
        <f>IF($A$1='Data Entry'!$C190,'Data Entry'!F190,"")</f>
        <v>0</v>
      </c>
      <c r="F189" s="46">
        <f>IF($A$1='Data Entry'!$C190,'Data Entry'!G190,"")</f>
        <v>0</v>
      </c>
      <c r="G189" s="46">
        <f>IF($A$1='Data Entry'!$C190,'Data Entry'!H190,"")</f>
        <v>0</v>
      </c>
      <c r="H189" s="46">
        <f>IF($A$1='Data Entry'!$C190,'Data Entry'!I190,"")</f>
        <v>0</v>
      </c>
      <c r="I189" s="46">
        <f>IF($A$1='Data Entry'!$C190,'Data Entry'!J190,"")</f>
        <v>0</v>
      </c>
      <c r="J189" s="46">
        <f>IF($A$1='Data Entry'!$C190,'Data Entry'!K190,"")</f>
        <v>0</v>
      </c>
      <c r="K189" s="46">
        <f>IF($A$1='Data Entry'!$C190,'Data Entry'!L190,"")</f>
        <v>0</v>
      </c>
      <c r="L189" s="46">
        <f>IF($A$1='Data Entry'!$C190,'Data Entry'!M190,"")</f>
        <v>0</v>
      </c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</row>
    <row r="190" spans="1:36" ht="15.95" customHeight="1" x14ac:dyDescent="0.2">
      <c r="A190" s="43"/>
      <c r="B190" s="45">
        <v>32</v>
      </c>
      <c r="C190" s="46">
        <f>IF($A$1='Data Entry'!$C191,'Data Entry'!D191,"")</f>
        <v>0</v>
      </c>
      <c r="D190" s="46">
        <f>IF($A$1='Data Entry'!$C191,'Data Entry'!E191,"")</f>
        <v>0</v>
      </c>
      <c r="E190" s="46">
        <f>IF($A$1='Data Entry'!$C191,'Data Entry'!F191,"")</f>
        <v>0</v>
      </c>
      <c r="F190" s="46">
        <f>IF($A$1='Data Entry'!$C191,'Data Entry'!G191,"")</f>
        <v>0</v>
      </c>
      <c r="G190" s="46">
        <f>IF($A$1='Data Entry'!$C191,'Data Entry'!H191,"")</f>
        <v>0</v>
      </c>
      <c r="H190" s="46">
        <f>IF($A$1='Data Entry'!$C191,'Data Entry'!I191,"")</f>
        <v>0</v>
      </c>
      <c r="I190" s="46">
        <f>IF($A$1='Data Entry'!$C191,'Data Entry'!J191,"")</f>
        <v>0</v>
      </c>
      <c r="J190" s="46">
        <f>IF($A$1='Data Entry'!$C191,'Data Entry'!K191,"")</f>
        <v>0</v>
      </c>
      <c r="K190" s="46">
        <f>IF($A$1='Data Entry'!$C191,'Data Entry'!L191,"")</f>
        <v>0</v>
      </c>
      <c r="L190" s="46">
        <f>IF($A$1='Data Entry'!$C191,'Data Entry'!M191,"")</f>
        <v>0</v>
      </c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</row>
    <row r="191" spans="1:36" ht="15.95" customHeight="1" x14ac:dyDescent="0.2">
      <c r="A191" s="43"/>
      <c r="B191" s="45">
        <v>32</v>
      </c>
      <c r="C191" s="46">
        <f>IF($A$1='Data Entry'!$C192,'Data Entry'!D192,"")</f>
        <v>0</v>
      </c>
      <c r="D191" s="46">
        <f>IF($A$1='Data Entry'!$C192,'Data Entry'!E192,"")</f>
        <v>0</v>
      </c>
      <c r="E191" s="46">
        <f>IF($A$1='Data Entry'!$C192,'Data Entry'!F192,"")</f>
        <v>0</v>
      </c>
      <c r="F191" s="46">
        <f>IF($A$1='Data Entry'!$C192,'Data Entry'!G192,"")</f>
        <v>0</v>
      </c>
      <c r="G191" s="46">
        <f>IF($A$1='Data Entry'!$C192,'Data Entry'!H192,"")</f>
        <v>0</v>
      </c>
      <c r="H191" s="46">
        <f>IF($A$1='Data Entry'!$C192,'Data Entry'!I192,"")</f>
        <v>0</v>
      </c>
      <c r="I191" s="46">
        <f>IF($A$1='Data Entry'!$C192,'Data Entry'!J192,"")</f>
        <v>0</v>
      </c>
      <c r="J191" s="46">
        <f>IF($A$1='Data Entry'!$C192,'Data Entry'!K192,"")</f>
        <v>0</v>
      </c>
      <c r="K191" s="46">
        <f>IF($A$1='Data Entry'!$C192,'Data Entry'!L192,"")</f>
        <v>0</v>
      </c>
      <c r="L191" s="46">
        <f>IF($A$1='Data Entry'!$C192,'Data Entry'!M192,"")</f>
        <v>0</v>
      </c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</row>
    <row r="192" spans="1:36" ht="15.95" customHeight="1" x14ac:dyDescent="0.2">
      <c r="A192" s="43"/>
      <c r="B192" s="45">
        <v>32</v>
      </c>
      <c r="C192" s="46">
        <f>IF($A$1='Data Entry'!$C193,'Data Entry'!D193,"")</f>
        <v>0</v>
      </c>
      <c r="D192" s="46">
        <f>IF($A$1='Data Entry'!$C193,'Data Entry'!E193,"")</f>
        <v>0</v>
      </c>
      <c r="E192" s="46">
        <f>IF($A$1='Data Entry'!$C193,'Data Entry'!F193,"")</f>
        <v>0</v>
      </c>
      <c r="F192" s="46">
        <f>IF($A$1='Data Entry'!$C193,'Data Entry'!G193,"")</f>
        <v>0</v>
      </c>
      <c r="G192" s="46">
        <f>IF($A$1='Data Entry'!$C193,'Data Entry'!H193,"")</f>
        <v>0</v>
      </c>
      <c r="H192" s="46">
        <f>IF($A$1='Data Entry'!$C193,'Data Entry'!I193,"")</f>
        <v>0</v>
      </c>
      <c r="I192" s="46">
        <f>IF($A$1='Data Entry'!$C193,'Data Entry'!J193,"")</f>
        <v>0</v>
      </c>
      <c r="J192" s="46">
        <f>IF($A$1='Data Entry'!$C193,'Data Entry'!K193,"")</f>
        <v>0</v>
      </c>
      <c r="K192" s="46">
        <f>IF($A$1='Data Entry'!$C193,'Data Entry'!L193,"")</f>
        <v>0</v>
      </c>
      <c r="L192" s="46">
        <f>IF($A$1='Data Entry'!$C193,'Data Entry'!M193,"")</f>
        <v>0</v>
      </c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</row>
    <row r="193" spans="1:36" ht="15.95" customHeight="1" x14ac:dyDescent="0.2">
      <c r="A193" s="43"/>
      <c r="B193" s="45">
        <v>32</v>
      </c>
      <c r="C193" s="46">
        <f>IF($A$1='Data Entry'!$C194,'Data Entry'!D194,"")</f>
        <v>0</v>
      </c>
      <c r="D193" s="46">
        <f>IF($A$1='Data Entry'!$C194,'Data Entry'!E194,"")</f>
        <v>0</v>
      </c>
      <c r="E193" s="46">
        <f>IF($A$1='Data Entry'!$C194,'Data Entry'!F194,"")</f>
        <v>0</v>
      </c>
      <c r="F193" s="46">
        <f>IF($A$1='Data Entry'!$C194,'Data Entry'!G194,"")</f>
        <v>0</v>
      </c>
      <c r="G193" s="46">
        <f>IF($A$1='Data Entry'!$C194,'Data Entry'!H194,"")</f>
        <v>0</v>
      </c>
      <c r="H193" s="46">
        <f>IF($A$1='Data Entry'!$C194,'Data Entry'!I194,"")</f>
        <v>0</v>
      </c>
      <c r="I193" s="46">
        <f>IF($A$1='Data Entry'!$C194,'Data Entry'!J194,"")</f>
        <v>0</v>
      </c>
      <c r="J193" s="46">
        <f>IF($A$1='Data Entry'!$C194,'Data Entry'!K194,"")</f>
        <v>0</v>
      </c>
      <c r="K193" s="46">
        <f>IF($A$1='Data Entry'!$C194,'Data Entry'!L194,"")</f>
        <v>0</v>
      </c>
      <c r="L193" s="46">
        <f>IF($A$1='Data Entry'!$C194,'Data Entry'!M194,"")</f>
        <v>0</v>
      </c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</row>
    <row r="194" spans="1:36" ht="15.95" customHeight="1" x14ac:dyDescent="0.2">
      <c r="A194" s="43"/>
      <c r="B194" s="45">
        <v>32</v>
      </c>
      <c r="C194" s="46">
        <f>IF($A$1='Data Entry'!$C195,'Data Entry'!D195,"")</f>
        <v>0</v>
      </c>
      <c r="D194" s="46">
        <f>IF($A$1='Data Entry'!$C195,'Data Entry'!E195,"")</f>
        <v>0</v>
      </c>
      <c r="E194" s="46">
        <f>IF($A$1='Data Entry'!$C195,'Data Entry'!F195,"")</f>
        <v>0</v>
      </c>
      <c r="F194" s="46">
        <f>IF($A$1='Data Entry'!$C195,'Data Entry'!G195,"")</f>
        <v>0</v>
      </c>
      <c r="G194" s="46">
        <f>IF($A$1='Data Entry'!$C195,'Data Entry'!H195,"")</f>
        <v>0</v>
      </c>
      <c r="H194" s="46">
        <f>IF($A$1='Data Entry'!$C195,'Data Entry'!I195,"")</f>
        <v>0</v>
      </c>
      <c r="I194" s="46">
        <f>IF($A$1='Data Entry'!$C195,'Data Entry'!J195,"")</f>
        <v>0</v>
      </c>
      <c r="J194" s="46">
        <f>IF($A$1='Data Entry'!$C195,'Data Entry'!K195,"")</f>
        <v>0</v>
      </c>
      <c r="K194" s="46">
        <f>IF($A$1='Data Entry'!$C195,'Data Entry'!L195,"")</f>
        <v>0</v>
      </c>
      <c r="L194" s="46">
        <f>IF($A$1='Data Entry'!$C195,'Data Entry'!M195,"")</f>
        <v>0</v>
      </c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</row>
    <row r="195" spans="1:36" ht="15.95" customHeight="1" x14ac:dyDescent="0.2">
      <c r="A195" s="43"/>
      <c r="B195" s="45">
        <v>33</v>
      </c>
      <c r="C195" s="46">
        <f>IF($A$1='Data Entry'!$C196,'Data Entry'!D196,"")</f>
        <v>0</v>
      </c>
      <c r="D195" s="46">
        <f>IF($A$1='Data Entry'!$C196,'Data Entry'!E196,"")</f>
        <v>0</v>
      </c>
      <c r="E195" s="46">
        <f>IF($A$1='Data Entry'!$C196,'Data Entry'!F196,"")</f>
        <v>0</v>
      </c>
      <c r="F195" s="46">
        <f>IF($A$1='Data Entry'!$C196,'Data Entry'!G196,"")</f>
        <v>0</v>
      </c>
      <c r="G195" s="46">
        <f>IF($A$1='Data Entry'!$C196,'Data Entry'!H196,"")</f>
        <v>0</v>
      </c>
      <c r="H195" s="46">
        <f>IF($A$1='Data Entry'!$C196,'Data Entry'!I196,"")</f>
        <v>0</v>
      </c>
      <c r="I195" s="46">
        <f>IF($A$1='Data Entry'!$C196,'Data Entry'!J196,"")</f>
        <v>0</v>
      </c>
      <c r="J195" s="46">
        <f>IF($A$1='Data Entry'!$C196,'Data Entry'!K196,"")</f>
        <v>0</v>
      </c>
      <c r="K195" s="46">
        <f>IF($A$1='Data Entry'!$C196,'Data Entry'!L196,"")</f>
        <v>0</v>
      </c>
      <c r="L195" s="46">
        <f>IF($A$1='Data Entry'!$C196,'Data Entry'!M196,"")</f>
        <v>0</v>
      </c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</row>
    <row r="196" spans="1:36" ht="15.95" customHeight="1" x14ac:dyDescent="0.2">
      <c r="A196" s="43"/>
      <c r="B196" s="45">
        <v>33</v>
      </c>
      <c r="C196" s="46">
        <f>IF($A$1='Data Entry'!$C197,'Data Entry'!D197,"")</f>
        <v>0</v>
      </c>
      <c r="D196" s="46">
        <f>IF($A$1='Data Entry'!$C197,'Data Entry'!E197,"")</f>
        <v>0</v>
      </c>
      <c r="E196" s="46">
        <f>IF($A$1='Data Entry'!$C197,'Data Entry'!F197,"")</f>
        <v>0</v>
      </c>
      <c r="F196" s="46">
        <f>IF($A$1='Data Entry'!$C197,'Data Entry'!G197,"")</f>
        <v>0</v>
      </c>
      <c r="G196" s="46">
        <f>IF($A$1='Data Entry'!$C197,'Data Entry'!H197,"")</f>
        <v>0</v>
      </c>
      <c r="H196" s="46">
        <f>IF($A$1='Data Entry'!$C197,'Data Entry'!I197,"")</f>
        <v>0</v>
      </c>
      <c r="I196" s="46">
        <f>IF($A$1='Data Entry'!$C197,'Data Entry'!J197,"")</f>
        <v>0</v>
      </c>
      <c r="J196" s="46">
        <f>IF($A$1='Data Entry'!$C197,'Data Entry'!K197,"")</f>
        <v>0</v>
      </c>
      <c r="K196" s="46">
        <f>IF($A$1='Data Entry'!$C197,'Data Entry'!L197,"")</f>
        <v>0</v>
      </c>
      <c r="L196" s="46">
        <f>IF($A$1='Data Entry'!$C197,'Data Entry'!M197,"")</f>
        <v>0</v>
      </c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</row>
    <row r="197" spans="1:36" ht="15.95" customHeight="1" x14ac:dyDescent="0.2">
      <c r="A197" s="43"/>
      <c r="B197" s="45">
        <v>33</v>
      </c>
      <c r="C197" s="46">
        <f>IF($A$1='Data Entry'!$C198,'Data Entry'!D198,"")</f>
        <v>0</v>
      </c>
      <c r="D197" s="46">
        <f>IF($A$1='Data Entry'!$C198,'Data Entry'!E198,"")</f>
        <v>0</v>
      </c>
      <c r="E197" s="46">
        <f>IF($A$1='Data Entry'!$C198,'Data Entry'!F198,"")</f>
        <v>0</v>
      </c>
      <c r="F197" s="46">
        <f>IF($A$1='Data Entry'!$C198,'Data Entry'!G198,"")</f>
        <v>0</v>
      </c>
      <c r="G197" s="46">
        <f>IF($A$1='Data Entry'!$C198,'Data Entry'!H198,"")</f>
        <v>0</v>
      </c>
      <c r="H197" s="46">
        <f>IF($A$1='Data Entry'!$C198,'Data Entry'!I198,"")</f>
        <v>0</v>
      </c>
      <c r="I197" s="46">
        <f>IF($A$1='Data Entry'!$C198,'Data Entry'!J198,"")</f>
        <v>0</v>
      </c>
      <c r="J197" s="46">
        <f>IF($A$1='Data Entry'!$C198,'Data Entry'!K198,"")</f>
        <v>0</v>
      </c>
      <c r="K197" s="46">
        <f>IF($A$1='Data Entry'!$C198,'Data Entry'!L198,"")</f>
        <v>0</v>
      </c>
      <c r="L197" s="46">
        <f>IF($A$1='Data Entry'!$C198,'Data Entry'!M198,"")</f>
        <v>0</v>
      </c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</row>
    <row r="198" spans="1:36" ht="15.95" customHeight="1" x14ac:dyDescent="0.2">
      <c r="A198" s="43"/>
      <c r="B198" s="45">
        <v>33</v>
      </c>
      <c r="C198" s="46">
        <f>IF($A$1='Data Entry'!$C199,'Data Entry'!D199,"")</f>
        <v>0</v>
      </c>
      <c r="D198" s="46">
        <f>IF($A$1='Data Entry'!$C199,'Data Entry'!E199,"")</f>
        <v>0</v>
      </c>
      <c r="E198" s="46">
        <f>IF($A$1='Data Entry'!$C199,'Data Entry'!F199,"")</f>
        <v>0</v>
      </c>
      <c r="F198" s="46">
        <f>IF($A$1='Data Entry'!$C199,'Data Entry'!G199,"")</f>
        <v>0</v>
      </c>
      <c r="G198" s="46">
        <f>IF($A$1='Data Entry'!$C199,'Data Entry'!H199,"")</f>
        <v>0</v>
      </c>
      <c r="H198" s="46">
        <f>IF($A$1='Data Entry'!$C199,'Data Entry'!I199,"")</f>
        <v>0</v>
      </c>
      <c r="I198" s="46">
        <f>IF($A$1='Data Entry'!$C199,'Data Entry'!J199,"")</f>
        <v>0</v>
      </c>
      <c r="J198" s="46">
        <f>IF($A$1='Data Entry'!$C199,'Data Entry'!K199,"")</f>
        <v>0</v>
      </c>
      <c r="K198" s="46">
        <f>IF($A$1='Data Entry'!$C199,'Data Entry'!L199,"")</f>
        <v>0</v>
      </c>
      <c r="L198" s="46">
        <f>IF($A$1='Data Entry'!$C199,'Data Entry'!M199,"")</f>
        <v>0</v>
      </c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</row>
    <row r="199" spans="1:36" ht="15.95" customHeight="1" x14ac:dyDescent="0.2">
      <c r="A199" s="43"/>
      <c r="B199" s="45">
        <v>33</v>
      </c>
      <c r="C199" s="46">
        <f>IF($A$1='Data Entry'!$C200,'Data Entry'!D200,"")</f>
        <v>0</v>
      </c>
      <c r="D199" s="46">
        <f>IF($A$1='Data Entry'!$C200,'Data Entry'!E200,"")</f>
        <v>0</v>
      </c>
      <c r="E199" s="46">
        <f>IF($A$1='Data Entry'!$C200,'Data Entry'!F200,"")</f>
        <v>0</v>
      </c>
      <c r="F199" s="46">
        <f>IF($A$1='Data Entry'!$C200,'Data Entry'!G200,"")</f>
        <v>0</v>
      </c>
      <c r="G199" s="46">
        <f>IF($A$1='Data Entry'!$C200,'Data Entry'!H200,"")</f>
        <v>0</v>
      </c>
      <c r="H199" s="46">
        <f>IF($A$1='Data Entry'!$C200,'Data Entry'!I200,"")</f>
        <v>0</v>
      </c>
      <c r="I199" s="46">
        <f>IF($A$1='Data Entry'!$C200,'Data Entry'!J200,"")</f>
        <v>0</v>
      </c>
      <c r="J199" s="46">
        <f>IF($A$1='Data Entry'!$C200,'Data Entry'!K200,"")</f>
        <v>0</v>
      </c>
      <c r="K199" s="46">
        <f>IF($A$1='Data Entry'!$C200,'Data Entry'!L200,"")</f>
        <v>0</v>
      </c>
      <c r="L199" s="46">
        <f>IF($A$1='Data Entry'!$C200,'Data Entry'!M200,"")</f>
        <v>0</v>
      </c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</row>
    <row r="200" spans="1:36" ht="15.95" customHeight="1" x14ac:dyDescent="0.2">
      <c r="A200" s="43"/>
      <c r="B200" s="45">
        <v>33</v>
      </c>
      <c r="C200" s="46">
        <f>IF($A$1='Data Entry'!$C201,'Data Entry'!D201,"")</f>
        <v>0</v>
      </c>
      <c r="D200" s="46">
        <f>IF($A$1='Data Entry'!$C201,'Data Entry'!E201,"")</f>
        <v>0</v>
      </c>
      <c r="E200" s="46">
        <f>IF($A$1='Data Entry'!$C201,'Data Entry'!F201,"")</f>
        <v>0</v>
      </c>
      <c r="F200" s="46">
        <f>IF($A$1='Data Entry'!$C201,'Data Entry'!G201,"")</f>
        <v>0</v>
      </c>
      <c r="G200" s="46">
        <f>IF($A$1='Data Entry'!$C201,'Data Entry'!H201,"")</f>
        <v>0</v>
      </c>
      <c r="H200" s="46">
        <f>IF($A$1='Data Entry'!$C201,'Data Entry'!I201,"")</f>
        <v>0</v>
      </c>
      <c r="I200" s="46">
        <f>IF($A$1='Data Entry'!$C201,'Data Entry'!J201,"")</f>
        <v>0</v>
      </c>
      <c r="J200" s="46">
        <f>IF($A$1='Data Entry'!$C201,'Data Entry'!K201,"")</f>
        <v>0</v>
      </c>
      <c r="K200" s="46">
        <f>IF($A$1='Data Entry'!$C201,'Data Entry'!L201,"")</f>
        <v>0</v>
      </c>
      <c r="L200" s="46">
        <f>IF($A$1='Data Entry'!$C201,'Data Entry'!M201,"")</f>
        <v>0</v>
      </c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</row>
    <row r="201" spans="1:36" ht="15.95" customHeight="1" x14ac:dyDescent="0.2">
      <c r="A201" s="43"/>
      <c r="B201" s="45">
        <v>34</v>
      </c>
      <c r="C201" s="46">
        <f>IF($A$1='Data Entry'!$C202,'Data Entry'!D202,"")</f>
        <v>0</v>
      </c>
      <c r="D201" s="46">
        <f>IF($A$1='Data Entry'!$C202,'Data Entry'!E202,"")</f>
        <v>0</v>
      </c>
      <c r="E201" s="46">
        <f>IF($A$1='Data Entry'!$C202,'Data Entry'!F202,"")</f>
        <v>0</v>
      </c>
      <c r="F201" s="46">
        <f>IF($A$1='Data Entry'!$C202,'Data Entry'!G202,"")</f>
        <v>0</v>
      </c>
      <c r="G201" s="46">
        <f>IF($A$1='Data Entry'!$C202,'Data Entry'!H202,"")</f>
        <v>0</v>
      </c>
      <c r="H201" s="46">
        <f>IF($A$1='Data Entry'!$C202,'Data Entry'!I202,"")</f>
        <v>0</v>
      </c>
      <c r="I201" s="46">
        <f>IF($A$1='Data Entry'!$C202,'Data Entry'!J202,"")</f>
        <v>0</v>
      </c>
      <c r="J201" s="46">
        <f>IF($A$1='Data Entry'!$C202,'Data Entry'!K202,"")</f>
        <v>0</v>
      </c>
      <c r="K201" s="46">
        <f>IF($A$1='Data Entry'!$C202,'Data Entry'!L202,"")</f>
        <v>0</v>
      </c>
      <c r="L201" s="46">
        <f>IF($A$1='Data Entry'!$C202,'Data Entry'!M202,"")</f>
        <v>0</v>
      </c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</row>
    <row r="202" spans="1:36" ht="15.95" customHeight="1" x14ac:dyDescent="0.2">
      <c r="A202" s="43"/>
      <c r="B202" s="45">
        <v>34</v>
      </c>
      <c r="C202" s="46">
        <f>IF($A$1='Data Entry'!$C203,'Data Entry'!D203,"")</f>
        <v>0</v>
      </c>
      <c r="D202" s="46">
        <f>IF($A$1='Data Entry'!$C203,'Data Entry'!E203,"")</f>
        <v>0</v>
      </c>
      <c r="E202" s="46">
        <f>IF($A$1='Data Entry'!$C203,'Data Entry'!F203,"")</f>
        <v>0</v>
      </c>
      <c r="F202" s="46">
        <f>IF($A$1='Data Entry'!$C203,'Data Entry'!G203,"")</f>
        <v>0</v>
      </c>
      <c r="G202" s="46">
        <f>IF($A$1='Data Entry'!$C203,'Data Entry'!H203,"")</f>
        <v>0</v>
      </c>
      <c r="H202" s="46">
        <f>IF($A$1='Data Entry'!$C203,'Data Entry'!I203,"")</f>
        <v>0</v>
      </c>
      <c r="I202" s="46">
        <f>IF($A$1='Data Entry'!$C203,'Data Entry'!J203,"")</f>
        <v>0</v>
      </c>
      <c r="J202" s="46">
        <f>IF($A$1='Data Entry'!$C203,'Data Entry'!K203,"")</f>
        <v>0</v>
      </c>
      <c r="K202" s="46">
        <f>IF($A$1='Data Entry'!$C203,'Data Entry'!L203,"")</f>
        <v>0</v>
      </c>
      <c r="L202" s="46">
        <f>IF($A$1='Data Entry'!$C203,'Data Entry'!M203,"")</f>
        <v>0</v>
      </c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</row>
    <row r="203" spans="1:36" ht="15.95" customHeight="1" x14ac:dyDescent="0.2">
      <c r="A203" s="43"/>
      <c r="B203" s="45">
        <v>34</v>
      </c>
      <c r="C203" s="46">
        <f>IF($A$1='Data Entry'!$C204,'Data Entry'!D204,"")</f>
        <v>0</v>
      </c>
      <c r="D203" s="46">
        <f>IF($A$1='Data Entry'!$C204,'Data Entry'!E204,"")</f>
        <v>0</v>
      </c>
      <c r="E203" s="46">
        <f>IF($A$1='Data Entry'!$C204,'Data Entry'!F204,"")</f>
        <v>0</v>
      </c>
      <c r="F203" s="46">
        <f>IF($A$1='Data Entry'!$C204,'Data Entry'!G204,"")</f>
        <v>0</v>
      </c>
      <c r="G203" s="46">
        <f>IF($A$1='Data Entry'!$C204,'Data Entry'!H204,"")</f>
        <v>0</v>
      </c>
      <c r="H203" s="46">
        <f>IF($A$1='Data Entry'!$C204,'Data Entry'!I204,"")</f>
        <v>0</v>
      </c>
      <c r="I203" s="46">
        <f>IF($A$1='Data Entry'!$C204,'Data Entry'!J204,"")</f>
        <v>0</v>
      </c>
      <c r="J203" s="46">
        <f>IF($A$1='Data Entry'!$C204,'Data Entry'!K204,"")</f>
        <v>0</v>
      </c>
      <c r="K203" s="46">
        <f>IF($A$1='Data Entry'!$C204,'Data Entry'!L204,"")</f>
        <v>0</v>
      </c>
      <c r="L203" s="46">
        <f>IF($A$1='Data Entry'!$C204,'Data Entry'!M204,"")</f>
        <v>0</v>
      </c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</row>
    <row r="204" spans="1:36" ht="15.95" customHeight="1" x14ac:dyDescent="0.2">
      <c r="A204" s="43"/>
      <c r="B204" s="45">
        <v>34</v>
      </c>
      <c r="C204" s="46">
        <f>IF($A$1='Data Entry'!$C205,'Data Entry'!D205,"")</f>
        <v>0</v>
      </c>
      <c r="D204" s="46">
        <f>IF($A$1='Data Entry'!$C205,'Data Entry'!E205,"")</f>
        <v>0</v>
      </c>
      <c r="E204" s="46">
        <f>IF($A$1='Data Entry'!$C205,'Data Entry'!F205,"")</f>
        <v>0</v>
      </c>
      <c r="F204" s="46">
        <f>IF($A$1='Data Entry'!$C205,'Data Entry'!G205,"")</f>
        <v>0</v>
      </c>
      <c r="G204" s="46">
        <f>IF($A$1='Data Entry'!$C205,'Data Entry'!H205,"")</f>
        <v>0</v>
      </c>
      <c r="H204" s="46">
        <f>IF($A$1='Data Entry'!$C205,'Data Entry'!I205,"")</f>
        <v>0</v>
      </c>
      <c r="I204" s="46">
        <f>IF($A$1='Data Entry'!$C205,'Data Entry'!J205,"")</f>
        <v>0</v>
      </c>
      <c r="J204" s="46">
        <f>IF($A$1='Data Entry'!$C205,'Data Entry'!K205,"")</f>
        <v>0</v>
      </c>
      <c r="K204" s="46">
        <f>IF($A$1='Data Entry'!$C205,'Data Entry'!L205,"")</f>
        <v>0</v>
      </c>
      <c r="L204" s="46">
        <f>IF($A$1='Data Entry'!$C205,'Data Entry'!M205,"")</f>
        <v>0</v>
      </c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</row>
    <row r="205" spans="1:36" ht="15.95" customHeight="1" x14ac:dyDescent="0.2">
      <c r="A205" s="43"/>
      <c r="B205" s="45">
        <v>34</v>
      </c>
      <c r="C205" s="46">
        <f>IF($A$1='Data Entry'!$C206,'Data Entry'!D206,"")</f>
        <v>0</v>
      </c>
      <c r="D205" s="46">
        <f>IF($A$1='Data Entry'!$C206,'Data Entry'!E206,"")</f>
        <v>0</v>
      </c>
      <c r="E205" s="46">
        <f>IF($A$1='Data Entry'!$C206,'Data Entry'!F206,"")</f>
        <v>0</v>
      </c>
      <c r="F205" s="46">
        <f>IF($A$1='Data Entry'!$C206,'Data Entry'!G206,"")</f>
        <v>0</v>
      </c>
      <c r="G205" s="46">
        <f>IF($A$1='Data Entry'!$C206,'Data Entry'!H206,"")</f>
        <v>0</v>
      </c>
      <c r="H205" s="46">
        <f>IF($A$1='Data Entry'!$C206,'Data Entry'!I206,"")</f>
        <v>0</v>
      </c>
      <c r="I205" s="46">
        <f>IF($A$1='Data Entry'!$C206,'Data Entry'!J206,"")</f>
        <v>0</v>
      </c>
      <c r="J205" s="46">
        <f>IF($A$1='Data Entry'!$C206,'Data Entry'!K206,"")</f>
        <v>0</v>
      </c>
      <c r="K205" s="46">
        <f>IF($A$1='Data Entry'!$C206,'Data Entry'!L206,"")</f>
        <v>0</v>
      </c>
      <c r="L205" s="46">
        <f>IF($A$1='Data Entry'!$C206,'Data Entry'!M206,"")</f>
        <v>0</v>
      </c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</row>
    <row r="206" spans="1:36" ht="15.95" customHeight="1" x14ac:dyDescent="0.2">
      <c r="A206" s="43"/>
      <c r="B206" s="45">
        <v>34</v>
      </c>
      <c r="C206" s="46">
        <f>IF($A$1='Data Entry'!$C207,'Data Entry'!D207,"")</f>
        <v>0</v>
      </c>
      <c r="D206" s="46">
        <f>IF($A$1='Data Entry'!$C207,'Data Entry'!E207,"")</f>
        <v>0</v>
      </c>
      <c r="E206" s="46">
        <f>IF($A$1='Data Entry'!$C207,'Data Entry'!F207,"")</f>
        <v>0</v>
      </c>
      <c r="F206" s="46">
        <f>IF($A$1='Data Entry'!$C207,'Data Entry'!G207,"")</f>
        <v>0</v>
      </c>
      <c r="G206" s="46">
        <f>IF($A$1='Data Entry'!$C207,'Data Entry'!H207,"")</f>
        <v>0</v>
      </c>
      <c r="H206" s="46">
        <f>IF($A$1='Data Entry'!$C207,'Data Entry'!I207,"")</f>
        <v>0</v>
      </c>
      <c r="I206" s="46">
        <f>IF($A$1='Data Entry'!$C207,'Data Entry'!J207,"")</f>
        <v>0</v>
      </c>
      <c r="J206" s="46">
        <f>IF($A$1='Data Entry'!$C207,'Data Entry'!K207,"")</f>
        <v>0</v>
      </c>
      <c r="K206" s="46">
        <f>IF($A$1='Data Entry'!$C207,'Data Entry'!L207,"")</f>
        <v>0</v>
      </c>
      <c r="L206" s="46">
        <f>IF($A$1='Data Entry'!$C207,'Data Entry'!M207,"")</f>
        <v>0</v>
      </c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</row>
    <row r="207" spans="1:36" ht="15.95" customHeight="1" x14ac:dyDescent="0.2">
      <c r="A207" s="43"/>
      <c r="B207" s="45">
        <v>35</v>
      </c>
      <c r="C207" s="46">
        <f>IF($A$1='Data Entry'!$C208,'Data Entry'!D208,"")</f>
        <v>0</v>
      </c>
      <c r="D207" s="46">
        <f>IF($A$1='Data Entry'!$C208,'Data Entry'!E208,"")</f>
        <v>0</v>
      </c>
      <c r="E207" s="46">
        <f>IF($A$1='Data Entry'!$C208,'Data Entry'!F208,"")</f>
        <v>0</v>
      </c>
      <c r="F207" s="46">
        <f>IF($A$1='Data Entry'!$C208,'Data Entry'!G208,"")</f>
        <v>0</v>
      </c>
      <c r="G207" s="46">
        <f>IF($A$1='Data Entry'!$C208,'Data Entry'!H208,"")</f>
        <v>0</v>
      </c>
      <c r="H207" s="46">
        <f>IF($A$1='Data Entry'!$C208,'Data Entry'!I208,"")</f>
        <v>0</v>
      </c>
      <c r="I207" s="46">
        <f>IF($A$1='Data Entry'!$C208,'Data Entry'!J208,"")</f>
        <v>0</v>
      </c>
      <c r="J207" s="46">
        <f>IF($A$1='Data Entry'!$C208,'Data Entry'!K208,"")</f>
        <v>0</v>
      </c>
      <c r="K207" s="46">
        <f>IF($A$1='Data Entry'!$C208,'Data Entry'!L208,"")</f>
        <v>0</v>
      </c>
      <c r="L207" s="46">
        <f>IF($A$1='Data Entry'!$C208,'Data Entry'!M208,"")</f>
        <v>0</v>
      </c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</row>
    <row r="208" spans="1:36" ht="15.95" customHeight="1" x14ac:dyDescent="0.2">
      <c r="A208" s="43"/>
      <c r="B208" s="45">
        <v>35</v>
      </c>
      <c r="C208" s="46">
        <f>IF($A$1='Data Entry'!$C209,'Data Entry'!D209,"")</f>
        <v>0</v>
      </c>
      <c r="D208" s="46">
        <f>IF($A$1='Data Entry'!$C209,'Data Entry'!E209,"")</f>
        <v>0</v>
      </c>
      <c r="E208" s="46">
        <f>IF($A$1='Data Entry'!$C209,'Data Entry'!F209,"")</f>
        <v>0</v>
      </c>
      <c r="F208" s="46">
        <f>IF($A$1='Data Entry'!$C209,'Data Entry'!G209,"")</f>
        <v>0</v>
      </c>
      <c r="G208" s="46">
        <f>IF($A$1='Data Entry'!$C209,'Data Entry'!H209,"")</f>
        <v>0</v>
      </c>
      <c r="H208" s="46">
        <f>IF($A$1='Data Entry'!$C209,'Data Entry'!I209,"")</f>
        <v>0</v>
      </c>
      <c r="I208" s="46">
        <f>IF($A$1='Data Entry'!$C209,'Data Entry'!J209,"")</f>
        <v>0</v>
      </c>
      <c r="J208" s="46">
        <f>IF($A$1='Data Entry'!$C209,'Data Entry'!K209,"")</f>
        <v>0</v>
      </c>
      <c r="K208" s="46">
        <f>IF($A$1='Data Entry'!$C209,'Data Entry'!L209,"")</f>
        <v>0</v>
      </c>
      <c r="L208" s="46">
        <f>IF($A$1='Data Entry'!$C209,'Data Entry'!M209,"")</f>
        <v>0</v>
      </c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</row>
    <row r="209" spans="1:36" ht="15.95" customHeight="1" x14ac:dyDescent="0.2">
      <c r="A209" s="43"/>
      <c r="B209" s="45">
        <v>35</v>
      </c>
      <c r="C209" s="46">
        <f>IF($A$1='Data Entry'!$C210,'Data Entry'!D210,"")</f>
        <v>0</v>
      </c>
      <c r="D209" s="46">
        <f>IF($A$1='Data Entry'!$C210,'Data Entry'!E210,"")</f>
        <v>0</v>
      </c>
      <c r="E209" s="46">
        <f>IF($A$1='Data Entry'!$C210,'Data Entry'!F210,"")</f>
        <v>0</v>
      </c>
      <c r="F209" s="46">
        <f>IF($A$1='Data Entry'!$C210,'Data Entry'!G210,"")</f>
        <v>0</v>
      </c>
      <c r="G209" s="46">
        <f>IF($A$1='Data Entry'!$C210,'Data Entry'!H210,"")</f>
        <v>0</v>
      </c>
      <c r="H209" s="46">
        <f>IF($A$1='Data Entry'!$C210,'Data Entry'!I210,"")</f>
        <v>0</v>
      </c>
      <c r="I209" s="46">
        <f>IF($A$1='Data Entry'!$C210,'Data Entry'!J210,"")</f>
        <v>0</v>
      </c>
      <c r="J209" s="46">
        <f>IF($A$1='Data Entry'!$C210,'Data Entry'!K210,"")</f>
        <v>0</v>
      </c>
      <c r="K209" s="46">
        <f>IF($A$1='Data Entry'!$C210,'Data Entry'!L210,"")</f>
        <v>0</v>
      </c>
      <c r="L209" s="46">
        <f>IF($A$1='Data Entry'!$C210,'Data Entry'!M210,"")</f>
        <v>0</v>
      </c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</row>
    <row r="210" spans="1:36" ht="15.95" customHeight="1" x14ac:dyDescent="0.2">
      <c r="A210" s="43"/>
      <c r="B210" s="45">
        <v>35</v>
      </c>
      <c r="C210" s="46">
        <f>IF($A$1='Data Entry'!$C211,'Data Entry'!D211,"")</f>
        <v>0</v>
      </c>
      <c r="D210" s="46">
        <f>IF($A$1='Data Entry'!$C211,'Data Entry'!E211,"")</f>
        <v>0</v>
      </c>
      <c r="E210" s="46">
        <f>IF($A$1='Data Entry'!$C211,'Data Entry'!F211,"")</f>
        <v>0</v>
      </c>
      <c r="F210" s="46">
        <f>IF($A$1='Data Entry'!$C211,'Data Entry'!G211,"")</f>
        <v>0</v>
      </c>
      <c r="G210" s="46">
        <f>IF($A$1='Data Entry'!$C211,'Data Entry'!H211,"")</f>
        <v>0</v>
      </c>
      <c r="H210" s="46">
        <f>IF($A$1='Data Entry'!$C211,'Data Entry'!I211,"")</f>
        <v>0</v>
      </c>
      <c r="I210" s="46">
        <f>IF($A$1='Data Entry'!$C211,'Data Entry'!J211,"")</f>
        <v>0</v>
      </c>
      <c r="J210" s="46">
        <f>IF($A$1='Data Entry'!$C211,'Data Entry'!K211,"")</f>
        <v>0</v>
      </c>
      <c r="K210" s="46">
        <f>IF($A$1='Data Entry'!$C211,'Data Entry'!L211,"")</f>
        <v>0</v>
      </c>
      <c r="L210" s="46">
        <f>IF($A$1='Data Entry'!$C211,'Data Entry'!M211,"")</f>
        <v>0</v>
      </c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</row>
    <row r="211" spans="1:36" ht="15.95" customHeight="1" x14ac:dyDescent="0.2">
      <c r="A211" s="43"/>
      <c r="B211" s="45">
        <v>35</v>
      </c>
      <c r="C211" s="46">
        <f>IF($A$1='Data Entry'!$C212,'Data Entry'!D212,"")</f>
        <v>0</v>
      </c>
      <c r="D211" s="46">
        <f>IF($A$1='Data Entry'!$C212,'Data Entry'!E212,"")</f>
        <v>0</v>
      </c>
      <c r="E211" s="46">
        <f>IF($A$1='Data Entry'!$C212,'Data Entry'!F212,"")</f>
        <v>0</v>
      </c>
      <c r="F211" s="46">
        <f>IF($A$1='Data Entry'!$C212,'Data Entry'!G212,"")</f>
        <v>0</v>
      </c>
      <c r="G211" s="46">
        <f>IF($A$1='Data Entry'!$C212,'Data Entry'!H212,"")</f>
        <v>0</v>
      </c>
      <c r="H211" s="46">
        <f>IF($A$1='Data Entry'!$C212,'Data Entry'!I212,"")</f>
        <v>0</v>
      </c>
      <c r="I211" s="46">
        <f>IF($A$1='Data Entry'!$C212,'Data Entry'!J212,"")</f>
        <v>0</v>
      </c>
      <c r="J211" s="46">
        <f>IF($A$1='Data Entry'!$C212,'Data Entry'!K212,"")</f>
        <v>0</v>
      </c>
      <c r="K211" s="46">
        <f>IF($A$1='Data Entry'!$C212,'Data Entry'!L212,"")</f>
        <v>0</v>
      </c>
      <c r="L211" s="46">
        <f>IF($A$1='Data Entry'!$C212,'Data Entry'!M212,"")</f>
        <v>0</v>
      </c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</row>
    <row r="212" spans="1:36" ht="15.95" customHeight="1" x14ac:dyDescent="0.2">
      <c r="A212" s="43"/>
      <c r="B212" s="45">
        <v>35</v>
      </c>
      <c r="C212" s="46">
        <f>IF($A$1='Data Entry'!$C213,'Data Entry'!D213,"")</f>
        <v>0</v>
      </c>
      <c r="D212" s="46">
        <f>IF($A$1='Data Entry'!$C213,'Data Entry'!E213,"")</f>
        <v>0</v>
      </c>
      <c r="E212" s="46">
        <f>IF($A$1='Data Entry'!$C213,'Data Entry'!F213,"")</f>
        <v>0</v>
      </c>
      <c r="F212" s="46">
        <f>IF($A$1='Data Entry'!$C213,'Data Entry'!G213,"")</f>
        <v>0</v>
      </c>
      <c r="G212" s="46">
        <f>IF($A$1='Data Entry'!$C213,'Data Entry'!H213,"")</f>
        <v>0</v>
      </c>
      <c r="H212" s="46">
        <f>IF($A$1='Data Entry'!$C213,'Data Entry'!I213,"")</f>
        <v>0</v>
      </c>
      <c r="I212" s="46">
        <f>IF($A$1='Data Entry'!$C213,'Data Entry'!J213,"")</f>
        <v>0</v>
      </c>
      <c r="J212" s="46">
        <f>IF($A$1='Data Entry'!$C213,'Data Entry'!K213,"")</f>
        <v>0</v>
      </c>
      <c r="K212" s="46">
        <f>IF($A$1='Data Entry'!$C213,'Data Entry'!L213,"")</f>
        <v>0</v>
      </c>
      <c r="L212" s="46">
        <f>IF($A$1='Data Entry'!$C213,'Data Entry'!M213,"")</f>
        <v>0</v>
      </c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</row>
    <row r="213" spans="1:36" ht="15.95" customHeight="1" x14ac:dyDescent="0.2">
      <c r="A213" s="43"/>
      <c r="B213" s="45">
        <v>36</v>
      </c>
      <c r="C213" s="46">
        <f>IF($A$1='Data Entry'!$C214,'Data Entry'!D214,"")</f>
        <v>0</v>
      </c>
      <c r="D213" s="46">
        <f>IF($A$1='Data Entry'!$C214,'Data Entry'!E214,"")</f>
        <v>0</v>
      </c>
      <c r="E213" s="46">
        <f>IF($A$1='Data Entry'!$C214,'Data Entry'!F214,"")</f>
        <v>0</v>
      </c>
      <c r="F213" s="46">
        <f>IF($A$1='Data Entry'!$C214,'Data Entry'!G214,"")</f>
        <v>0</v>
      </c>
      <c r="G213" s="46">
        <f>IF($A$1='Data Entry'!$C214,'Data Entry'!H214,"")</f>
        <v>0</v>
      </c>
      <c r="H213" s="46">
        <f>IF($A$1='Data Entry'!$C214,'Data Entry'!I214,"")</f>
        <v>0</v>
      </c>
      <c r="I213" s="46">
        <f>IF($A$1='Data Entry'!$C214,'Data Entry'!J214,"")</f>
        <v>0</v>
      </c>
      <c r="J213" s="46">
        <f>IF($A$1='Data Entry'!$C214,'Data Entry'!K214,"")</f>
        <v>0</v>
      </c>
      <c r="K213" s="46">
        <f>IF($A$1='Data Entry'!$C214,'Data Entry'!L214,"")</f>
        <v>0</v>
      </c>
      <c r="L213" s="46">
        <f>IF($A$1='Data Entry'!$C214,'Data Entry'!M214,"")</f>
        <v>0</v>
      </c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</row>
    <row r="214" spans="1:36" ht="15.95" customHeight="1" x14ac:dyDescent="0.2">
      <c r="A214" s="43"/>
      <c r="B214" s="45">
        <v>36</v>
      </c>
      <c r="C214" s="46">
        <f>IF($A$1='Data Entry'!$C215,'Data Entry'!D215,"")</f>
        <v>0</v>
      </c>
      <c r="D214" s="46">
        <f>IF($A$1='Data Entry'!$C215,'Data Entry'!E215,"")</f>
        <v>0</v>
      </c>
      <c r="E214" s="46">
        <f>IF($A$1='Data Entry'!$C215,'Data Entry'!F215,"")</f>
        <v>0</v>
      </c>
      <c r="F214" s="46">
        <f>IF($A$1='Data Entry'!$C215,'Data Entry'!G215,"")</f>
        <v>0</v>
      </c>
      <c r="G214" s="46">
        <f>IF($A$1='Data Entry'!$C215,'Data Entry'!H215,"")</f>
        <v>0</v>
      </c>
      <c r="H214" s="46">
        <f>IF($A$1='Data Entry'!$C215,'Data Entry'!I215,"")</f>
        <v>0</v>
      </c>
      <c r="I214" s="46">
        <f>IF($A$1='Data Entry'!$C215,'Data Entry'!J215,"")</f>
        <v>0</v>
      </c>
      <c r="J214" s="46">
        <f>IF($A$1='Data Entry'!$C215,'Data Entry'!K215,"")</f>
        <v>0</v>
      </c>
      <c r="K214" s="46">
        <f>IF($A$1='Data Entry'!$C215,'Data Entry'!L215,"")</f>
        <v>0</v>
      </c>
      <c r="L214" s="46">
        <f>IF($A$1='Data Entry'!$C215,'Data Entry'!M215,"")</f>
        <v>0</v>
      </c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</row>
    <row r="215" spans="1:36" ht="15.95" customHeight="1" x14ac:dyDescent="0.2">
      <c r="A215" s="43"/>
      <c r="B215" s="45">
        <v>36</v>
      </c>
      <c r="C215" s="46">
        <f>IF($A$1='Data Entry'!$C216,'Data Entry'!D216,"")</f>
        <v>0</v>
      </c>
      <c r="D215" s="46">
        <f>IF($A$1='Data Entry'!$C216,'Data Entry'!E216,"")</f>
        <v>0</v>
      </c>
      <c r="E215" s="46">
        <f>IF($A$1='Data Entry'!$C216,'Data Entry'!F216,"")</f>
        <v>0</v>
      </c>
      <c r="F215" s="46">
        <f>IF($A$1='Data Entry'!$C216,'Data Entry'!G216,"")</f>
        <v>0</v>
      </c>
      <c r="G215" s="46">
        <f>IF($A$1='Data Entry'!$C216,'Data Entry'!H216,"")</f>
        <v>0</v>
      </c>
      <c r="H215" s="46">
        <f>IF($A$1='Data Entry'!$C216,'Data Entry'!I216,"")</f>
        <v>0</v>
      </c>
      <c r="I215" s="46">
        <f>IF($A$1='Data Entry'!$C216,'Data Entry'!J216,"")</f>
        <v>0</v>
      </c>
      <c r="J215" s="46">
        <f>IF($A$1='Data Entry'!$C216,'Data Entry'!K216,"")</f>
        <v>0</v>
      </c>
      <c r="K215" s="46">
        <f>IF($A$1='Data Entry'!$C216,'Data Entry'!L216,"")</f>
        <v>0</v>
      </c>
      <c r="L215" s="46">
        <f>IF($A$1='Data Entry'!$C216,'Data Entry'!M216,"")</f>
        <v>0</v>
      </c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</row>
    <row r="216" spans="1:36" ht="15.95" customHeight="1" x14ac:dyDescent="0.2">
      <c r="A216" s="43"/>
      <c r="B216" s="45">
        <v>36</v>
      </c>
      <c r="C216" s="46">
        <f>IF($A$1='Data Entry'!$C217,'Data Entry'!D217,"")</f>
        <v>0</v>
      </c>
      <c r="D216" s="46">
        <f>IF($A$1='Data Entry'!$C217,'Data Entry'!E217,"")</f>
        <v>0</v>
      </c>
      <c r="E216" s="46">
        <f>IF($A$1='Data Entry'!$C217,'Data Entry'!F217,"")</f>
        <v>0</v>
      </c>
      <c r="F216" s="46">
        <f>IF($A$1='Data Entry'!$C217,'Data Entry'!G217,"")</f>
        <v>0</v>
      </c>
      <c r="G216" s="46">
        <f>IF($A$1='Data Entry'!$C217,'Data Entry'!H217,"")</f>
        <v>0</v>
      </c>
      <c r="H216" s="46">
        <f>IF($A$1='Data Entry'!$C217,'Data Entry'!I217,"")</f>
        <v>0</v>
      </c>
      <c r="I216" s="46">
        <f>IF($A$1='Data Entry'!$C217,'Data Entry'!J217,"")</f>
        <v>0</v>
      </c>
      <c r="J216" s="46">
        <f>IF($A$1='Data Entry'!$C217,'Data Entry'!K217,"")</f>
        <v>0</v>
      </c>
      <c r="K216" s="46">
        <f>IF($A$1='Data Entry'!$C217,'Data Entry'!L217,"")</f>
        <v>0</v>
      </c>
      <c r="L216" s="46">
        <f>IF($A$1='Data Entry'!$C217,'Data Entry'!M217,"")</f>
        <v>0</v>
      </c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</row>
    <row r="217" spans="1:36" ht="15.95" customHeight="1" x14ac:dyDescent="0.2">
      <c r="A217" s="43"/>
      <c r="B217" s="45">
        <v>36</v>
      </c>
      <c r="C217" s="46">
        <f>IF($A$1='Data Entry'!$C218,'Data Entry'!D218,"")</f>
        <v>0</v>
      </c>
      <c r="D217" s="46">
        <f>IF($A$1='Data Entry'!$C218,'Data Entry'!E218,"")</f>
        <v>0</v>
      </c>
      <c r="E217" s="46">
        <f>IF($A$1='Data Entry'!$C218,'Data Entry'!F218,"")</f>
        <v>0</v>
      </c>
      <c r="F217" s="46">
        <f>IF($A$1='Data Entry'!$C218,'Data Entry'!G218,"")</f>
        <v>0</v>
      </c>
      <c r="G217" s="46">
        <f>IF($A$1='Data Entry'!$C218,'Data Entry'!H218,"")</f>
        <v>0</v>
      </c>
      <c r="H217" s="46">
        <f>IF($A$1='Data Entry'!$C218,'Data Entry'!I218,"")</f>
        <v>0</v>
      </c>
      <c r="I217" s="46">
        <f>IF($A$1='Data Entry'!$C218,'Data Entry'!J218,"")</f>
        <v>0</v>
      </c>
      <c r="J217" s="46">
        <f>IF($A$1='Data Entry'!$C218,'Data Entry'!K218,"")</f>
        <v>0</v>
      </c>
      <c r="K217" s="46">
        <f>IF($A$1='Data Entry'!$C218,'Data Entry'!L218,"")</f>
        <v>0</v>
      </c>
      <c r="L217" s="46">
        <f>IF($A$1='Data Entry'!$C218,'Data Entry'!M218,"")</f>
        <v>0</v>
      </c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</row>
    <row r="218" spans="1:36" ht="15.95" customHeight="1" x14ac:dyDescent="0.2">
      <c r="A218" s="43"/>
      <c r="B218" s="45">
        <v>36</v>
      </c>
      <c r="C218" s="46">
        <f>IF($A$1='Data Entry'!$C219,'Data Entry'!D219,"")</f>
        <v>0</v>
      </c>
      <c r="D218" s="46">
        <f>IF($A$1='Data Entry'!$C219,'Data Entry'!E219,"")</f>
        <v>0</v>
      </c>
      <c r="E218" s="46">
        <f>IF($A$1='Data Entry'!$C219,'Data Entry'!F219,"")</f>
        <v>0</v>
      </c>
      <c r="F218" s="46">
        <f>IF($A$1='Data Entry'!$C219,'Data Entry'!G219,"")</f>
        <v>0</v>
      </c>
      <c r="G218" s="46">
        <f>IF($A$1='Data Entry'!$C219,'Data Entry'!H219,"")</f>
        <v>0</v>
      </c>
      <c r="H218" s="46">
        <f>IF($A$1='Data Entry'!$C219,'Data Entry'!I219,"")</f>
        <v>0</v>
      </c>
      <c r="I218" s="46">
        <f>IF($A$1='Data Entry'!$C219,'Data Entry'!J219,"")</f>
        <v>0</v>
      </c>
      <c r="J218" s="46">
        <f>IF($A$1='Data Entry'!$C219,'Data Entry'!K219,"")</f>
        <v>0</v>
      </c>
      <c r="K218" s="46">
        <f>IF($A$1='Data Entry'!$C219,'Data Entry'!L219,"")</f>
        <v>0</v>
      </c>
      <c r="L218" s="46">
        <f>IF($A$1='Data Entry'!$C219,'Data Entry'!M219,"")</f>
        <v>0</v>
      </c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</row>
    <row r="219" spans="1:36" ht="15.95" customHeight="1" x14ac:dyDescent="0.2">
      <c r="A219" s="43"/>
      <c r="B219" s="45">
        <v>37</v>
      </c>
      <c r="C219" s="46">
        <f>IF($A$1='Data Entry'!$C220,'Data Entry'!D220,"")</f>
        <v>0</v>
      </c>
      <c r="D219" s="46">
        <f>IF($A$1='Data Entry'!$C220,'Data Entry'!E220,"")</f>
        <v>0</v>
      </c>
      <c r="E219" s="46">
        <f>IF($A$1='Data Entry'!$C220,'Data Entry'!F220,"")</f>
        <v>0</v>
      </c>
      <c r="F219" s="46">
        <f>IF($A$1='Data Entry'!$C220,'Data Entry'!G220,"")</f>
        <v>0</v>
      </c>
      <c r="G219" s="46">
        <f>IF($A$1='Data Entry'!$C220,'Data Entry'!H220,"")</f>
        <v>0</v>
      </c>
      <c r="H219" s="46">
        <f>IF($A$1='Data Entry'!$C220,'Data Entry'!I220,"")</f>
        <v>0</v>
      </c>
      <c r="I219" s="46">
        <f>IF($A$1='Data Entry'!$C220,'Data Entry'!J220,"")</f>
        <v>0</v>
      </c>
      <c r="J219" s="46">
        <f>IF($A$1='Data Entry'!$C220,'Data Entry'!K220,"")</f>
        <v>0</v>
      </c>
      <c r="K219" s="46">
        <f>IF($A$1='Data Entry'!$C220,'Data Entry'!L220,"")</f>
        <v>0</v>
      </c>
      <c r="L219" s="46">
        <f>IF($A$1='Data Entry'!$C220,'Data Entry'!M220,"")</f>
        <v>0</v>
      </c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</row>
    <row r="220" spans="1:36" ht="15.95" customHeight="1" x14ac:dyDescent="0.2">
      <c r="A220" s="43"/>
      <c r="B220" s="45">
        <v>37</v>
      </c>
      <c r="C220" s="46">
        <f>IF($A$1='Data Entry'!$C221,'Data Entry'!D221,"")</f>
        <v>0</v>
      </c>
      <c r="D220" s="46">
        <f>IF($A$1='Data Entry'!$C221,'Data Entry'!E221,"")</f>
        <v>0</v>
      </c>
      <c r="E220" s="46">
        <f>IF($A$1='Data Entry'!$C221,'Data Entry'!F221,"")</f>
        <v>0</v>
      </c>
      <c r="F220" s="46">
        <f>IF($A$1='Data Entry'!$C221,'Data Entry'!G221,"")</f>
        <v>0</v>
      </c>
      <c r="G220" s="46">
        <f>IF($A$1='Data Entry'!$C221,'Data Entry'!H221,"")</f>
        <v>0</v>
      </c>
      <c r="H220" s="46">
        <f>IF($A$1='Data Entry'!$C221,'Data Entry'!I221,"")</f>
        <v>0</v>
      </c>
      <c r="I220" s="46">
        <f>IF($A$1='Data Entry'!$C221,'Data Entry'!J221,"")</f>
        <v>0</v>
      </c>
      <c r="J220" s="46">
        <f>IF($A$1='Data Entry'!$C221,'Data Entry'!K221,"")</f>
        <v>0</v>
      </c>
      <c r="K220" s="46">
        <f>IF($A$1='Data Entry'!$C221,'Data Entry'!L221,"")</f>
        <v>0</v>
      </c>
      <c r="L220" s="46">
        <f>IF($A$1='Data Entry'!$C221,'Data Entry'!M221,"")</f>
        <v>0</v>
      </c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</row>
    <row r="221" spans="1:36" ht="15.95" customHeight="1" x14ac:dyDescent="0.2">
      <c r="A221" s="43"/>
      <c r="B221" s="45">
        <v>37</v>
      </c>
      <c r="C221" s="46">
        <f>IF($A$1='Data Entry'!$C222,'Data Entry'!D222,"")</f>
        <v>0</v>
      </c>
      <c r="D221" s="46">
        <f>IF($A$1='Data Entry'!$C222,'Data Entry'!E222,"")</f>
        <v>0</v>
      </c>
      <c r="E221" s="46">
        <f>IF($A$1='Data Entry'!$C222,'Data Entry'!F222,"")</f>
        <v>0</v>
      </c>
      <c r="F221" s="46">
        <f>IF($A$1='Data Entry'!$C222,'Data Entry'!G222,"")</f>
        <v>0</v>
      </c>
      <c r="G221" s="46">
        <f>IF($A$1='Data Entry'!$C222,'Data Entry'!H222,"")</f>
        <v>0</v>
      </c>
      <c r="H221" s="46">
        <f>IF($A$1='Data Entry'!$C222,'Data Entry'!I222,"")</f>
        <v>0</v>
      </c>
      <c r="I221" s="46">
        <f>IF($A$1='Data Entry'!$C222,'Data Entry'!J222,"")</f>
        <v>0</v>
      </c>
      <c r="J221" s="46">
        <f>IF($A$1='Data Entry'!$C222,'Data Entry'!K222,"")</f>
        <v>0</v>
      </c>
      <c r="K221" s="46">
        <f>IF($A$1='Data Entry'!$C222,'Data Entry'!L222,"")</f>
        <v>0</v>
      </c>
      <c r="L221" s="46">
        <f>IF($A$1='Data Entry'!$C222,'Data Entry'!M222,"")</f>
        <v>0</v>
      </c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</row>
    <row r="222" spans="1:36" ht="15.95" customHeight="1" x14ac:dyDescent="0.2">
      <c r="A222" s="43"/>
      <c r="B222" s="45">
        <v>37</v>
      </c>
      <c r="C222" s="46">
        <f>IF($A$1='Data Entry'!$C223,'Data Entry'!D223,"")</f>
        <v>0</v>
      </c>
      <c r="D222" s="46">
        <f>IF($A$1='Data Entry'!$C223,'Data Entry'!E223,"")</f>
        <v>0</v>
      </c>
      <c r="E222" s="46">
        <f>IF($A$1='Data Entry'!$C223,'Data Entry'!F223,"")</f>
        <v>0</v>
      </c>
      <c r="F222" s="46">
        <f>IF($A$1='Data Entry'!$C223,'Data Entry'!G223,"")</f>
        <v>0</v>
      </c>
      <c r="G222" s="46">
        <f>IF($A$1='Data Entry'!$C223,'Data Entry'!H223,"")</f>
        <v>0</v>
      </c>
      <c r="H222" s="46">
        <f>IF($A$1='Data Entry'!$C223,'Data Entry'!I223,"")</f>
        <v>0</v>
      </c>
      <c r="I222" s="46">
        <f>IF($A$1='Data Entry'!$C223,'Data Entry'!J223,"")</f>
        <v>0</v>
      </c>
      <c r="J222" s="46">
        <f>IF($A$1='Data Entry'!$C223,'Data Entry'!K223,"")</f>
        <v>0</v>
      </c>
      <c r="K222" s="46">
        <f>IF($A$1='Data Entry'!$C223,'Data Entry'!L223,"")</f>
        <v>0</v>
      </c>
      <c r="L222" s="46">
        <f>IF($A$1='Data Entry'!$C223,'Data Entry'!M223,"")</f>
        <v>0</v>
      </c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</row>
    <row r="223" spans="1:36" ht="15.95" customHeight="1" x14ac:dyDescent="0.2">
      <c r="A223" s="43"/>
      <c r="B223" s="45">
        <v>37</v>
      </c>
      <c r="C223" s="46">
        <f>IF($A$1='Data Entry'!$C224,'Data Entry'!D224,"")</f>
        <v>0</v>
      </c>
      <c r="D223" s="46">
        <f>IF($A$1='Data Entry'!$C224,'Data Entry'!E224,"")</f>
        <v>0</v>
      </c>
      <c r="E223" s="46">
        <f>IF($A$1='Data Entry'!$C224,'Data Entry'!F224,"")</f>
        <v>0</v>
      </c>
      <c r="F223" s="46">
        <f>IF($A$1='Data Entry'!$C224,'Data Entry'!G224,"")</f>
        <v>0</v>
      </c>
      <c r="G223" s="46">
        <f>IF($A$1='Data Entry'!$C224,'Data Entry'!H224,"")</f>
        <v>0</v>
      </c>
      <c r="H223" s="46">
        <f>IF($A$1='Data Entry'!$C224,'Data Entry'!I224,"")</f>
        <v>0</v>
      </c>
      <c r="I223" s="46">
        <f>IF($A$1='Data Entry'!$C224,'Data Entry'!J224,"")</f>
        <v>0</v>
      </c>
      <c r="J223" s="46">
        <f>IF($A$1='Data Entry'!$C224,'Data Entry'!K224,"")</f>
        <v>0</v>
      </c>
      <c r="K223" s="46">
        <f>IF($A$1='Data Entry'!$C224,'Data Entry'!L224,"")</f>
        <v>0</v>
      </c>
      <c r="L223" s="46">
        <f>IF($A$1='Data Entry'!$C224,'Data Entry'!M224,"")</f>
        <v>0</v>
      </c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</row>
    <row r="224" spans="1:36" ht="15.95" customHeight="1" x14ac:dyDescent="0.2">
      <c r="A224" s="43"/>
      <c r="B224" s="45">
        <v>37</v>
      </c>
      <c r="C224" s="46">
        <f>IF($A$1='Data Entry'!$C225,'Data Entry'!D225,"")</f>
        <v>0</v>
      </c>
      <c r="D224" s="46">
        <f>IF($A$1='Data Entry'!$C225,'Data Entry'!E225,"")</f>
        <v>0</v>
      </c>
      <c r="E224" s="46">
        <f>IF($A$1='Data Entry'!$C225,'Data Entry'!F225,"")</f>
        <v>0</v>
      </c>
      <c r="F224" s="46">
        <f>IF($A$1='Data Entry'!$C225,'Data Entry'!G225,"")</f>
        <v>0</v>
      </c>
      <c r="G224" s="46">
        <f>IF($A$1='Data Entry'!$C225,'Data Entry'!H225,"")</f>
        <v>0</v>
      </c>
      <c r="H224" s="46">
        <f>IF($A$1='Data Entry'!$C225,'Data Entry'!I225,"")</f>
        <v>0</v>
      </c>
      <c r="I224" s="46">
        <f>IF($A$1='Data Entry'!$C225,'Data Entry'!J225,"")</f>
        <v>0</v>
      </c>
      <c r="J224" s="46">
        <f>IF($A$1='Data Entry'!$C225,'Data Entry'!K225,"")</f>
        <v>0</v>
      </c>
      <c r="K224" s="46">
        <f>IF($A$1='Data Entry'!$C225,'Data Entry'!L225,"")</f>
        <v>0</v>
      </c>
      <c r="L224" s="46">
        <f>IF($A$1='Data Entry'!$C225,'Data Entry'!M225,"")</f>
        <v>0</v>
      </c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</row>
    <row r="225" spans="1:36" ht="15.95" customHeight="1" x14ac:dyDescent="0.2">
      <c r="A225" s="43"/>
      <c r="B225" s="45">
        <v>38</v>
      </c>
      <c r="C225" s="46">
        <f>IF($A$1='Data Entry'!$C226,'Data Entry'!D226,"")</f>
        <v>0</v>
      </c>
      <c r="D225" s="46">
        <f>IF($A$1='Data Entry'!$C226,'Data Entry'!E226,"")</f>
        <v>0</v>
      </c>
      <c r="E225" s="46">
        <f>IF($A$1='Data Entry'!$C226,'Data Entry'!F226,"")</f>
        <v>0</v>
      </c>
      <c r="F225" s="46">
        <f>IF($A$1='Data Entry'!$C226,'Data Entry'!G226,"")</f>
        <v>0</v>
      </c>
      <c r="G225" s="46">
        <f>IF($A$1='Data Entry'!$C226,'Data Entry'!H226,"")</f>
        <v>0</v>
      </c>
      <c r="H225" s="46">
        <f>IF($A$1='Data Entry'!$C226,'Data Entry'!I226,"")</f>
        <v>0</v>
      </c>
      <c r="I225" s="46">
        <f>IF($A$1='Data Entry'!$C226,'Data Entry'!J226,"")</f>
        <v>0</v>
      </c>
      <c r="J225" s="46">
        <f>IF($A$1='Data Entry'!$C226,'Data Entry'!K226,"")</f>
        <v>0</v>
      </c>
      <c r="K225" s="46">
        <f>IF($A$1='Data Entry'!$C226,'Data Entry'!L226,"")</f>
        <v>0</v>
      </c>
      <c r="L225" s="46">
        <f>IF($A$1='Data Entry'!$C226,'Data Entry'!M226,"")</f>
        <v>0</v>
      </c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</row>
    <row r="226" spans="1:36" ht="15.95" customHeight="1" x14ac:dyDescent="0.2">
      <c r="A226" s="43"/>
      <c r="B226" s="45">
        <v>38</v>
      </c>
      <c r="C226" s="46">
        <f>IF($A$1='Data Entry'!$C227,'Data Entry'!D227,"")</f>
        <v>0</v>
      </c>
      <c r="D226" s="46">
        <f>IF($A$1='Data Entry'!$C227,'Data Entry'!E227,"")</f>
        <v>0</v>
      </c>
      <c r="E226" s="46">
        <f>IF($A$1='Data Entry'!$C227,'Data Entry'!F227,"")</f>
        <v>0</v>
      </c>
      <c r="F226" s="46">
        <f>IF($A$1='Data Entry'!$C227,'Data Entry'!G227,"")</f>
        <v>0</v>
      </c>
      <c r="G226" s="46">
        <f>IF($A$1='Data Entry'!$C227,'Data Entry'!H227,"")</f>
        <v>0</v>
      </c>
      <c r="H226" s="46">
        <f>IF($A$1='Data Entry'!$C227,'Data Entry'!I227,"")</f>
        <v>0</v>
      </c>
      <c r="I226" s="46">
        <f>IF($A$1='Data Entry'!$C227,'Data Entry'!J227,"")</f>
        <v>0</v>
      </c>
      <c r="J226" s="46">
        <f>IF($A$1='Data Entry'!$C227,'Data Entry'!K227,"")</f>
        <v>0</v>
      </c>
      <c r="K226" s="46">
        <f>IF($A$1='Data Entry'!$C227,'Data Entry'!L227,"")</f>
        <v>0</v>
      </c>
      <c r="L226" s="46">
        <f>IF($A$1='Data Entry'!$C227,'Data Entry'!M227,"")</f>
        <v>0</v>
      </c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</row>
    <row r="227" spans="1:36" ht="15.95" customHeight="1" x14ac:dyDescent="0.2">
      <c r="A227" s="43"/>
      <c r="B227" s="45">
        <v>38</v>
      </c>
      <c r="C227" s="46">
        <f>IF($A$1='Data Entry'!$C228,'Data Entry'!D228,"")</f>
        <v>0</v>
      </c>
      <c r="D227" s="46">
        <f>IF($A$1='Data Entry'!$C228,'Data Entry'!E228,"")</f>
        <v>0</v>
      </c>
      <c r="E227" s="46">
        <f>IF($A$1='Data Entry'!$C228,'Data Entry'!F228,"")</f>
        <v>0</v>
      </c>
      <c r="F227" s="46">
        <f>IF($A$1='Data Entry'!$C228,'Data Entry'!G228,"")</f>
        <v>0</v>
      </c>
      <c r="G227" s="46">
        <f>IF($A$1='Data Entry'!$C228,'Data Entry'!H228,"")</f>
        <v>0</v>
      </c>
      <c r="H227" s="46">
        <f>IF($A$1='Data Entry'!$C228,'Data Entry'!I228,"")</f>
        <v>0</v>
      </c>
      <c r="I227" s="46">
        <f>IF($A$1='Data Entry'!$C228,'Data Entry'!J228,"")</f>
        <v>0</v>
      </c>
      <c r="J227" s="46">
        <f>IF($A$1='Data Entry'!$C228,'Data Entry'!K228,"")</f>
        <v>0</v>
      </c>
      <c r="K227" s="46">
        <f>IF($A$1='Data Entry'!$C228,'Data Entry'!L228,"")</f>
        <v>0</v>
      </c>
      <c r="L227" s="46">
        <f>IF($A$1='Data Entry'!$C228,'Data Entry'!M228,"")</f>
        <v>0</v>
      </c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</row>
    <row r="228" spans="1:36" ht="15.95" customHeight="1" x14ac:dyDescent="0.2">
      <c r="A228" s="43"/>
      <c r="B228" s="45">
        <v>38</v>
      </c>
      <c r="C228" s="46">
        <f>IF($A$1='Data Entry'!$C229,'Data Entry'!D229,"")</f>
        <v>0</v>
      </c>
      <c r="D228" s="46">
        <f>IF($A$1='Data Entry'!$C229,'Data Entry'!E229,"")</f>
        <v>0</v>
      </c>
      <c r="E228" s="46">
        <f>IF($A$1='Data Entry'!$C229,'Data Entry'!F229,"")</f>
        <v>0</v>
      </c>
      <c r="F228" s="46">
        <f>IF($A$1='Data Entry'!$C229,'Data Entry'!G229,"")</f>
        <v>0</v>
      </c>
      <c r="G228" s="46">
        <f>IF($A$1='Data Entry'!$C229,'Data Entry'!H229,"")</f>
        <v>0</v>
      </c>
      <c r="H228" s="46">
        <f>IF($A$1='Data Entry'!$C229,'Data Entry'!I229,"")</f>
        <v>0</v>
      </c>
      <c r="I228" s="46">
        <f>IF($A$1='Data Entry'!$C229,'Data Entry'!J229,"")</f>
        <v>0</v>
      </c>
      <c r="J228" s="46">
        <f>IF($A$1='Data Entry'!$C229,'Data Entry'!K229,"")</f>
        <v>0</v>
      </c>
      <c r="K228" s="46">
        <f>IF($A$1='Data Entry'!$C229,'Data Entry'!L229,"")</f>
        <v>0</v>
      </c>
      <c r="L228" s="46">
        <f>IF($A$1='Data Entry'!$C229,'Data Entry'!M229,"")</f>
        <v>0</v>
      </c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</row>
    <row r="229" spans="1:36" ht="15.95" customHeight="1" x14ac:dyDescent="0.2">
      <c r="A229" s="43"/>
      <c r="B229" s="45">
        <v>38</v>
      </c>
      <c r="C229" s="46">
        <f>IF($A$1='Data Entry'!$C230,'Data Entry'!D230,"")</f>
        <v>0</v>
      </c>
      <c r="D229" s="46">
        <f>IF($A$1='Data Entry'!$C230,'Data Entry'!E230,"")</f>
        <v>0</v>
      </c>
      <c r="E229" s="46">
        <f>IF($A$1='Data Entry'!$C230,'Data Entry'!F230,"")</f>
        <v>0</v>
      </c>
      <c r="F229" s="46">
        <f>IF($A$1='Data Entry'!$C230,'Data Entry'!G230,"")</f>
        <v>0</v>
      </c>
      <c r="G229" s="46">
        <f>IF($A$1='Data Entry'!$C230,'Data Entry'!H230,"")</f>
        <v>0</v>
      </c>
      <c r="H229" s="46">
        <f>IF($A$1='Data Entry'!$C230,'Data Entry'!I230,"")</f>
        <v>0</v>
      </c>
      <c r="I229" s="46">
        <f>IF($A$1='Data Entry'!$C230,'Data Entry'!J230,"")</f>
        <v>0</v>
      </c>
      <c r="J229" s="46">
        <f>IF($A$1='Data Entry'!$C230,'Data Entry'!K230,"")</f>
        <v>0</v>
      </c>
      <c r="K229" s="46">
        <f>IF($A$1='Data Entry'!$C230,'Data Entry'!L230,"")</f>
        <v>0</v>
      </c>
      <c r="L229" s="46">
        <f>IF($A$1='Data Entry'!$C230,'Data Entry'!M230,"")</f>
        <v>0</v>
      </c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</row>
    <row r="230" spans="1:36" ht="15.95" customHeight="1" x14ac:dyDescent="0.2">
      <c r="A230" s="43"/>
      <c r="B230" s="45">
        <v>38</v>
      </c>
      <c r="C230" s="46">
        <f>IF($A$1='Data Entry'!$C231,'Data Entry'!D231,"")</f>
        <v>0</v>
      </c>
      <c r="D230" s="46">
        <f>IF($A$1='Data Entry'!$C231,'Data Entry'!E231,"")</f>
        <v>0</v>
      </c>
      <c r="E230" s="46">
        <f>IF($A$1='Data Entry'!$C231,'Data Entry'!F231,"")</f>
        <v>0</v>
      </c>
      <c r="F230" s="46">
        <f>IF($A$1='Data Entry'!$C231,'Data Entry'!G231,"")</f>
        <v>0</v>
      </c>
      <c r="G230" s="46">
        <f>IF($A$1='Data Entry'!$C231,'Data Entry'!H231,"")</f>
        <v>0</v>
      </c>
      <c r="H230" s="46">
        <f>IF($A$1='Data Entry'!$C231,'Data Entry'!I231,"")</f>
        <v>0</v>
      </c>
      <c r="I230" s="46">
        <f>IF($A$1='Data Entry'!$C231,'Data Entry'!J231,"")</f>
        <v>0</v>
      </c>
      <c r="J230" s="46">
        <f>IF($A$1='Data Entry'!$C231,'Data Entry'!K231,"")</f>
        <v>0</v>
      </c>
      <c r="K230" s="46">
        <f>IF($A$1='Data Entry'!$C231,'Data Entry'!L231,"")</f>
        <v>0</v>
      </c>
      <c r="L230" s="46">
        <f>IF($A$1='Data Entry'!$C231,'Data Entry'!M231,"")</f>
        <v>0</v>
      </c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</row>
    <row r="231" spans="1:36" ht="15.95" customHeight="1" x14ac:dyDescent="0.2">
      <c r="A231" s="43"/>
      <c r="B231" s="45">
        <v>39</v>
      </c>
      <c r="C231" s="46">
        <f>IF($A$1='Data Entry'!$C232,'Data Entry'!D232,"")</f>
        <v>0</v>
      </c>
      <c r="D231" s="46">
        <f>IF($A$1='Data Entry'!$C232,'Data Entry'!E232,"")</f>
        <v>0</v>
      </c>
      <c r="E231" s="46">
        <f>IF($A$1='Data Entry'!$C232,'Data Entry'!F232,"")</f>
        <v>0</v>
      </c>
      <c r="F231" s="46">
        <f>IF($A$1='Data Entry'!$C232,'Data Entry'!G232,"")</f>
        <v>0</v>
      </c>
      <c r="G231" s="46">
        <f>IF($A$1='Data Entry'!$C232,'Data Entry'!H232,"")</f>
        <v>0</v>
      </c>
      <c r="H231" s="46">
        <f>IF($A$1='Data Entry'!$C232,'Data Entry'!I232,"")</f>
        <v>0</v>
      </c>
      <c r="I231" s="46">
        <f>IF($A$1='Data Entry'!$C232,'Data Entry'!J232,"")</f>
        <v>0</v>
      </c>
      <c r="J231" s="46">
        <f>IF($A$1='Data Entry'!$C232,'Data Entry'!K232,"")</f>
        <v>0</v>
      </c>
      <c r="K231" s="46">
        <f>IF($A$1='Data Entry'!$C232,'Data Entry'!L232,"")</f>
        <v>0</v>
      </c>
      <c r="L231" s="46">
        <f>IF($A$1='Data Entry'!$C232,'Data Entry'!M232,"")</f>
        <v>0</v>
      </c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</row>
    <row r="232" spans="1:36" ht="15.95" customHeight="1" x14ac:dyDescent="0.2">
      <c r="A232" s="43"/>
      <c r="B232" s="45">
        <v>39</v>
      </c>
      <c r="C232" s="46">
        <f>IF($A$1='Data Entry'!$C233,'Data Entry'!D233,"")</f>
        <v>0</v>
      </c>
      <c r="D232" s="46">
        <f>IF($A$1='Data Entry'!$C233,'Data Entry'!E233,"")</f>
        <v>0</v>
      </c>
      <c r="E232" s="46">
        <f>IF($A$1='Data Entry'!$C233,'Data Entry'!F233,"")</f>
        <v>0</v>
      </c>
      <c r="F232" s="46">
        <f>IF($A$1='Data Entry'!$C233,'Data Entry'!G233,"")</f>
        <v>0</v>
      </c>
      <c r="G232" s="46">
        <f>IF($A$1='Data Entry'!$C233,'Data Entry'!H233,"")</f>
        <v>0</v>
      </c>
      <c r="H232" s="46">
        <f>IF($A$1='Data Entry'!$C233,'Data Entry'!I233,"")</f>
        <v>0</v>
      </c>
      <c r="I232" s="46">
        <f>IF($A$1='Data Entry'!$C233,'Data Entry'!J233,"")</f>
        <v>0</v>
      </c>
      <c r="J232" s="46">
        <f>IF($A$1='Data Entry'!$C233,'Data Entry'!K233,"")</f>
        <v>0</v>
      </c>
      <c r="K232" s="46">
        <f>IF($A$1='Data Entry'!$C233,'Data Entry'!L233,"")</f>
        <v>0</v>
      </c>
      <c r="L232" s="46">
        <f>IF($A$1='Data Entry'!$C233,'Data Entry'!M233,"")</f>
        <v>0</v>
      </c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</row>
    <row r="233" spans="1:36" ht="15.95" customHeight="1" x14ac:dyDescent="0.2">
      <c r="A233" s="43"/>
      <c r="B233" s="45">
        <v>39</v>
      </c>
      <c r="C233" s="46">
        <f>IF($A$1='Data Entry'!$C234,'Data Entry'!D234,"")</f>
        <v>0</v>
      </c>
      <c r="D233" s="46">
        <f>IF($A$1='Data Entry'!$C234,'Data Entry'!E234,"")</f>
        <v>0</v>
      </c>
      <c r="E233" s="46">
        <f>IF($A$1='Data Entry'!$C234,'Data Entry'!F234,"")</f>
        <v>0</v>
      </c>
      <c r="F233" s="46">
        <f>IF($A$1='Data Entry'!$C234,'Data Entry'!G234,"")</f>
        <v>0</v>
      </c>
      <c r="G233" s="46">
        <f>IF($A$1='Data Entry'!$C234,'Data Entry'!H234,"")</f>
        <v>0</v>
      </c>
      <c r="H233" s="46">
        <f>IF($A$1='Data Entry'!$C234,'Data Entry'!I234,"")</f>
        <v>0</v>
      </c>
      <c r="I233" s="46">
        <f>IF($A$1='Data Entry'!$C234,'Data Entry'!J234,"")</f>
        <v>0</v>
      </c>
      <c r="J233" s="46">
        <f>IF($A$1='Data Entry'!$C234,'Data Entry'!K234,"")</f>
        <v>0</v>
      </c>
      <c r="K233" s="46">
        <f>IF($A$1='Data Entry'!$C234,'Data Entry'!L234,"")</f>
        <v>0</v>
      </c>
      <c r="L233" s="46">
        <f>IF($A$1='Data Entry'!$C234,'Data Entry'!M234,"")</f>
        <v>0</v>
      </c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</row>
    <row r="234" spans="1:36" ht="15.95" customHeight="1" x14ac:dyDescent="0.2">
      <c r="A234" s="43"/>
      <c r="B234" s="45">
        <v>39</v>
      </c>
      <c r="C234" s="46">
        <f>IF($A$1='Data Entry'!$C235,'Data Entry'!D235,"")</f>
        <v>0</v>
      </c>
      <c r="D234" s="46">
        <f>IF($A$1='Data Entry'!$C235,'Data Entry'!E235,"")</f>
        <v>0</v>
      </c>
      <c r="E234" s="46">
        <f>IF($A$1='Data Entry'!$C235,'Data Entry'!F235,"")</f>
        <v>0</v>
      </c>
      <c r="F234" s="46">
        <f>IF($A$1='Data Entry'!$C235,'Data Entry'!G235,"")</f>
        <v>0</v>
      </c>
      <c r="G234" s="46">
        <f>IF($A$1='Data Entry'!$C235,'Data Entry'!H235,"")</f>
        <v>0</v>
      </c>
      <c r="H234" s="46">
        <f>IF($A$1='Data Entry'!$C235,'Data Entry'!I235,"")</f>
        <v>0</v>
      </c>
      <c r="I234" s="46">
        <f>IF($A$1='Data Entry'!$C235,'Data Entry'!J235,"")</f>
        <v>0</v>
      </c>
      <c r="J234" s="46">
        <f>IF($A$1='Data Entry'!$C235,'Data Entry'!K235,"")</f>
        <v>0</v>
      </c>
      <c r="K234" s="46">
        <f>IF($A$1='Data Entry'!$C235,'Data Entry'!L235,"")</f>
        <v>0</v>
      </c>
      <c r="L234" s="46">
        <f>IF($A$1='Data Entry'!$C235,'Data Entry'!M235,"")</f>
        <v>0</v>
      </c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</row>
    <row r="235" spans="1:36" ht="15.95" customHeight="1" x14ac:dyDescent="0.2">
      <c r="A235" s="43"/>
      <c r="B235" s="45">
        <v>39</v>
      </c>
      <c r="C235" s="46">
        <f>IF($A$1='Data Entry'!$C236,'Data Entry'!D236,"")</f>
        <v>0</v>
      </c>
      <c r="D235" s="46">
        <f>IF($A$1='Data Entry'!$C236,'Data Entry'!E236,"")</f>
        <v>0</v>
      </c>
      <c r="E235" s="46">
        <f>IF($A$1='Data Entry'!$C236,'Data Entry'!F236,"")</f>
        <v>0</v>
      </c>
      <c r="F235" s="46">
        <f>IF($A$1='Data Entry'!$C236,'Data Entry'!G236,"")</f>
        <v>0</v>
      </c>
      <c r="G235" s="46">
        <f>IF($A$1='Data Entry'!$C236,'Data Entry'!H236,"")</f>
        <v>0</v>
      </c>
      <c r="H235" s="46">
        <f>IF($A$1='Data Entry'!$C236,'Data Entry'!I236,"")</f>
        <v>0</v>
      </c>
      <c r="I235" s="46">
        <f>IF($A$1='Data Entry'!$C236,'Data Entry'!J236,"")</f>
        <v>0</v>
      </c>
      <c r="J235" s="46">
        <f>IF($A$1='Data Entry'!$C236,'Data Entry'!K236,"")</f>
        <v>0</v>
      </c>
      <c r="K235" s="46">
        <f>IF($A$1='Data Entry'!$C236,'Data Entry'!L236,"")</f>
        <v>0</v>
      </c>
      <c r="L235" s="46">
        <f>IF($A$1='Data Entry'!$C236,'Data Entry'!M236,"")</f>
        <v>0</v>
      </c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</row>
    <row r="236" spans="1:36" ht="15.95" customHeight="1" x14ac:dyDescent="0.2">
      <c r="A236" s="43"/>
      <c r="B236" s="45">
        <v>39</v>
      </c>
      <c r="C236" s="46">
        <f>IF($A$1='Data Entry'!$C237,'Data Entry'!D237,"")</f>
        <v>0</v>
      </c>
      <c r="D236" s="46">
        <f>IF($A$1='Data Entry'!$C237,'Data Entry'!E237,"")</f>
        <v>0</v>
      </c>
      <c r="E236" s="46">
        <f>IF($A$1='Data Entry'!$C237,'Data Entry'!F237,"")</f>
        <v>0</v>
      </c>
      <c r="F236" s="46">
        <f>IF($A$1='Data Entry'!$C237,'Data Entry'!G237,"")</f>
        <v>0</v>
      </c>
      <c r="G236" s="46">
        <f>IF($A$1='Data Entry'!$C237,'Data Entry'!H237,"")</f>
        <v>0</v>
      </c>
      <c r="H236" s="46">
        <f>IF($A$1='Data Entry'!$C237,'Data Entry'!I237,"")</f>
        <v>0</v>
      </c>
      <c r="I236" s="46">
        <f>IF($A$1='Data Entry'!$C237,'Data Entry'!J237,"")</f>
        <v>0</v>
      </c>
      <c r="J236" s="46">
        <f>IF($A$1='Data Entry'!$C237,'Data Entry'!K237,"")</f>
        <v>0</v>
      </c>
      <c r="K236" s="46">
        <f>IF($A$1='Data Entry'!$C237,'Data Entry'!L237,"")</f>
        <v>0</v>
      </c>
      <c r="L236" s="46">
        <f>IF($A$1='Data Entry'!$C237,'Data Entry'!M237,"")</f>
        <v>0</v>
      </c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</row>
    <row r="237" spans="1:36" ht="15.95" customHeight="1" x14ac:dyDescent="0.2">
      <c r="A237" s="43"/>
      <c r="B237" s="45">
        <v>40</v>
      </c>
      <c r="C237" s="46">
        <f>IF($A$1='Data Entry'!$C238,'Data Entry'!D238,"")</f>
        <v>0</v>
      </c>
      <c r="D237" s="46">
        <f>IF($A$1='Data Entry'!$C238,'Data Entry'!E238,"")</f>
        <v>0</v>
      </c>
      <c r="E237" s="46">
        <f>IF($A$1='Data Entry'!$C238,'Data Entry'!F238,"")</f>
        <v>0</v>
      </c>
      <c r="F237" s="46">
        <f>IF($A$1='Data Entry'!$C238,'Data Entry'!G238,"")</f>
        <v>0</v>
      </c>
      <c r="G237" s="46">
        <f>IF($A$1='Data Entry'!$C238,'Data Entry'!H238,"")</f>
        <v>0</v>
      </c>
      <c r="H237" s="46">
        <f>IF($A$1='Data Entry'!$C238,'Data Entry'!I238,"")</f>
        <v>0</v>
      </c>
      <c r="I237" s="46">
        <f>IF($A$1='Data Entry'!$C238,'Data Entry'!J238,"")</f>
        <v>0</v>
      </c>
      <c r="J237" s="46">
        <f>IF($A$1='Data Entry'!$C238,'Data Entry'!K238,"")</f>
        <v>0</v>
      </c>
      <c r="K237" s="46">
        <f>IF($A$1='Data Entry'!$C238,'Data Entry'!L238,"")</f>
        <v>0</v>
      </c>
      <c r="L237" s="46">
        <f>IF($A$1='Data Entry'!$C238,'Data Entry'!M238,"")</f>
        <v>0</v>
      </c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</row>
    <row r="238" spans="1:36" ht="15.95" customHeight="1" x14ac:dyDescent="0.2">
      <c r="A238" s="43"/>
      <c r="B238" s="45">
        <v>40</v>
      </c>
      <c r="C238" s="46">
        <f>IF($A$1='Data Entry'!$C239,'Data Entry'!D239,"")</f>
        <v>0</v>
      </c>
      <c r="D238" s="46">
        <f>IF($A$1='Data Entry'!$C239,'Data Entry'!E239,"")</f>
        <v>0</v>
      </c>
      <c r="E238" s="46">
        <f>IF($A$1='Data Entry'!$C239,'Data Entry'!F239,"")</f>
        <v>0</v>
      </c>
      <c r="F238" s="46">
        <f>IF($A$1='Data Entry'!$C239,'Data Entry'!G239,"")</f>
        <v>0</v>
      </c>
      <c r="G238" s="46">
        <f>IF($A$1='Data Entry'!$C239,'Data Entry'!H239,"")</f>
        <v>0</v>
      </c>
      <c r="H238" s="46">
        <f>IF($A$1='Data Entry'!$C239,'Data Entry'!I239,"")</f>
        <v>0</v>
      </c>
      <c r="I238" s="46">
        <f>IF($A$1='Data Entry'!$C239,'Data Entry'!J239,"")</f>
        <v>0</v>
      </c>
      <c r="J238" s="46">
        <f>IF($A$1='Data Entry'!$C239,'Data Entry'!K239,"")</f>
        <v>0</v>
      </c>
      <c r="K238" s="46">
        <f>IF($A$1='Data Entry'!$C239,'Data Entry'!L239,"")</f>
        <v>0</v>
      </c>
      <c r="L238" s="46">
        <f>IF($A$1='Data Entry'!$C239,'Data Entry'!M239,"")</f>
        <v>0</v>
      </c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</row>
    <row r="239" spans="1:36" ht="15.95" customHeight="1" x14ac:dyDescent="0.2">
      <c r="A239" s="43"/>
      <c r="B239" s="45">
        <v>40</v>
      </c>
      <c r="C239" s="46">
        <f>IF($A$1='Data Entry'!$C240,'Data Entry'!D240,"")</f>
        <v>0</v>
      </c>
      <c r="D239" s="46">
        <f>IF($A$1='Data Entry'!$C240,'Data Entry'!E240,"")</f>
        <v>0</v>
      </c>
      <c r="E239" s="46">
        <f>IF($A$1='Data Entry'!$C240,'Data Entry'!F240,"")</f>
        <v>0</v>
      </c>
      <c r="F239" s="46">
        <f>IF($A$1='Data Entry'!$C240,'Data Entry'!G240,"")</f>
        <v>0</v>
      </c>
      <c r="G239" s="46">
        <f>IF($A$1='Data Entry'!$C240,'Data Entry'!H240,"")</f>
        <v>0</v>
      </c>
      <c r="H239" s="46">
        <f>IF($A$1='Data Entry'!$C240,'Data Entry'!I240,"")</f>
        <v>0</v>
      </c>
      <c r="I239" s="46">
        <f>IF($A$1='Data Entry'!$C240,'Data Entry'!J240,"")</f>
        <v>0</v>
      </c>
      <c r="J239" s="46">
        <f>IF($A$1='Data Entry'!$C240,'Data Entry'!K240,"")</f>
        <v>0</v>
      </c>
      <c r="K239" s="46">
        <f>IF($A$1='Data Entry'!$C240,'Data Entry'!L240,"")</f>
        <v>0</v>
      </c>
      <c r="L239" s="46">
        <f>IF($A$1='Data Entry'!$C240,'Data Entry'!M240,"")</f>
        <v>0</v>
      </c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</row>
    <row r="240" spans="1:36" ht="15.95" customHeight="1" x14ac:dyDescent="0.2">
      <c r="A240" s="43"/>
      <c r="B240" s="45">
        <v>40</v>
      </c>
      <c r="C240" s="46">
        <f>IF($A$1='Data Entry'!$C241,'Data Entry'!D241,"")</f>
        <v>0</v>
      </c>
      <c r="D240" s="46">
        <f>IF($A$1='Data Entry'!$C241,'Data Entry'!E241,"")</f>
        <v>0</v>
      </c>
      <c r="E240" s="46">
        <f>IF($A$1='Data Entry'!$C241,'Data Entry'!F241,"")</f>
        <v>0</v>
      </c>
      <c r="F240" s="46">
        <f>IF($A$1='Data Entry'!$C241,'Data Entry'!G241,"")</f>
        <v>0</v>
      </c>
      <c r="G240" s="46">
        <f>IF($A$1='Data Entry'!$C241,'Data Entry'!H241,"")</f>
        <v>0</v>
      </c>
      <c r="H240" s="46">
        <f>IF($A$1='Data Entry'!$C241,'Data Entry'!I241,"")</f>
        <v>0</v>
      </c>
      <c r="I240" s="46">
        <f>IF($A$1='Data Entry'!$C241,'Data Entry'!J241,"")</f>
        <v>0</v>
      </c>
      <c r="J240" s="46">
        <f>IF($A$1='Data Entry'!$C241,'Data Entry'!K241,"")</f>
        <v>0</v>
      </c>
      <c r="K240" s="46">
        <f>IF($A$1='Data Entry'!$C241,'Data Entry'!L241,"")</f>
        <v>0</v>
      </c>
      <c r="L240" s="46">
        <f>IF($A$1='Data Entry'!$C241,'Data Entry'!M241,"")</f>
        <v>0</v>
      </c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</row>
    <row r="241" spans="1:36" ht="15.95" customHeight="1" x14ac:dyDescent="0.2">
      <c r="A241" s="43"/>
      <c r="B241" s="45">
        <v>40</v>
      </c>
      <c r="C241" s="46">
        <f>IF($A$1='Data Entry'!$C242,'Data Entry'!D242,"")</f>
        <v>0</v>
      </c>
      <c r="D241" s="46">
        <f>IF($A$1='Data Entry'!$C242,'Data Entry'!E242,"")</f>
        <v>0</v>
      </c>
      <c r="E241" s="46">
        <f>IF($A$1='Data Entry'!$C242,'Data Entry'!F242,"")</f>
        <v>0</v>
      </c>
      <c r="F241" s="46">
        <f>IF($A$1='Data Entry'!$C242,'Data Entry'!G242,"")</f>
        <v>0</v>
      </c>
      <c r="G241" s="46">
        <f>IF($A$1='Data Entry'!$C242,'Data Entry'!H242,"")</f>
        <v>0</v>
      </c>
      <c r="H241" s="46">
        <f>IF($A$1='Data Entry'!$C242,'Data Entry'!I242,"")</f>
        <v>0</v>
      </c>
      <c r="I241" s="46">
        <f>IF($A$1='Data Entry'!$C242,'Data Entry'!J242,"")</f>
        <v>0</v>
      </c>
      <c r="J241" s="46">
        <f>IF($A$1='Data Entry'!$C242,'Data Entry'!K242,"")</f>
        <v>0</v>
      </c>
      <c r="K241" s="46">
        <f>IF($A$1='Data Entry'!$C242,'Data Entry'!L242,"")</f>
        <v>0</v>
      </c>
      <c r="L241" s="46">
        <f>IF($A$1='Data Entry'!$C242,'Data Entry'!M242,"")</f>
        <v>0</v>
      </c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</row>
    <row r="242" spans="1:36" ht="15.95" customHeight="1" x14ac:dyDescent="0.2">
      <c r="A242" s="43"/>
      <c r="B242" s="45">
        <v>40</v>
      </c>
      <c r="C242" s="46">
        <f>IF($A$1='Data Entry'!$C243,'Data Entry'!D243,"")</f>
        <v>0</v>
      </c>
      <c r="D242" s="46">
        <f>IF($A$1='Data Entry'!$C243,'Data Entry'!E243,"")</f>
        <v>0</v>
      </c>
      <c r="E242" s="46">
        <f>IF($A$1='Data Entry'!$C243,'Data Entry'!F243,"")</f>
        <v>0</v>
      </c>
      <c r="F242" s="46">
        <f>IF($A$1='Data Entry'!$C243,'Data Entry'!G243,"")</f>
        <v>0</v>
      </c>
      <c r="G242" s="46">
        <f>IF($A$1='Data Entry'!$C243,'Data Entry'!H243,"")</f>
        <v>0</v>
      </c>
      <c r="H242" s="46">
        <f>IF($A$1='Data Entry'!$C243,'Data Entry'!I243,"")</f>
        <v>0</v>
      </c>
      <c r="I242" s="46">
        <f>IF($A$1='Data Entry'!$C243,'Data Entry'!J243,"")</f>
        <v>0</v>
      </c>
      <c r="J242" s="46">
        <f>IF($A$1='Data Entry'!$C243,'Data Entry'!K243,"")</f>
        <v>0</v>
      </c>
      <c r="K242" s="46">
        <f>IF($A$1='Data Entry'!$C243,'Data Entry'!L243,"")</f>
        <v>0</v>
      </c>
      <c r="L242" s="46">
        <f>IF($A$1='Data Entry'!$C243,'Data Entry'!M243,"")</f>
        <v>0</v>
      </c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</row>
    <row r="243" spans="1:36" ht="15.95" customHeight="1" x14ac:dyDescent="0.2">
      <c r="A243" s="43"/>
      <c r="B243" s="45">
        <v>41</v>
      </c>
      <c r="C243" s="46">
        <f>IF($A$1='Data Entry'!$C244,'Data Entry'!D244,"")</f>
        <v>0</v>
      </c>
      <c r="D243" s="46">
        <f>IF($A$1='Data Entry'!$C244,'Data Entry'!E244,"")</f>
        <v>0</v>
      </c>
      <c r="E243" s="46">
        <f>IF($A$1='Data Entry'!$C244,'Data Entry'!F244,"")</f>
        <v>0</v>
      </c>
      <c r="F243" s="46">
        <f>IF($A$1='Data Entry'!$C244,'Data Entry'!G244,"")</f>
        <v>0</v>
      </c>
      <c r="G243" s="46">
        <f>IF($A$1='Data Entry'!$C244,'Data Entry'!H244,"")</f>
        <v>0</v>
      </c>
      <c r="H243" s="46">
        <f>IF($A$1='Data Entry'!$C244,'Data Entry'!I244,"")</f>
        <v>0</v>
      </c>
      <c r="I243" s="46">
        <f>IF($A$1='Data Entry'!$C244,'Data Entry'!J244,"")</f>
        <v>0</v>
      </c>
      <c r="J243" s="46">
        <f>IF($A$1='Data Entry'!$C244,'Data Entry'!K244,"")</f>
        <v>0</v>
      </c>
      <c r="K243" s="46">
        <f>IF($A$1='Data Entry'!$C244,'Data Entry'!L244,"")</f>
        <v>0</v>
      </c>
      <c r="L243" s="46">
        <f>IF($A$1='Data Entry'!$C244,'Data Entry'!M244,"")</f>
        <v>0</v>
      </c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</row>
    <row r="244" spans="1:36" ht="15.95" customHeight="1" x14ac:dyDescent="0.2">
      <c r="A244" s="43"/>
      <c r="B244" s="45">
        <v>41</v>
      </c>
      <c r="C244" s="46">
        <f>IF($A$1='Data Entry'!$C245,'Data Entry'!D245,"")</f>
        <v>0</v>
      </c>
      <c r="D244" s="46">
        <f>IF($A$1='Data Entry'!$C245,'Data Entry'!E245,"")</f>
        <v>0</v>
      </c>
      <c r="E244" s="46">
        <f>IF($A$1='Data Entry'!$C245,'Data Entry'!F245,"")</f>
        <v>0</v>
      </c>
      <c r="F244" s="46">
        <f>IF($A$1='Data Entry'!$C245,'Data Entry'!G245,"")</f>
        <v>0</v>
      </c>
      <c r="G244" s="46">
        <f>IF($A$1='Data Entry'!$C245,'Data Entry'!H245,"")</f>
        <v>0</v>
      </c>
      <c r="H244" s="46">
        <f>IF($A$1='Data Entry'!$C245,'Data Entry'!I245,"")</f>
        <v>0</v>
      </c>
      <c r="I244" s="46">
        <f>IF($A$1='Data Entry'!$C245,'Data Entry'!J245,"")</f>
        <v>0</v>
      </c>
      <c r="J244" s="46">
        <f>IF($A$1='Data Entry'!$C245,'Data Entry'!K245,"")</f>
        <v>0</v>
      </c>
      <c r="K244" s="46">
        <f>IF($A$1='Data Entry'!$C245,'Data Entry'!L245,"")</f>
        <v>0</v>
      </c>
      <c r="L244" s="46">
        <f>IF($A$1='Data Entry'!$C245,'Data Entry'!M245,"")</f>
        <v>0</v>
      </c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</row>
    <row r="245" spans="1:36" ht="15.95" customHeight="1" x14ac:dyDescent="0.2">
      <c r="A245" s="43"/>
      <c r="B245" s="45">
        <v>41</v>
      </c>
      <c r="C245" s="46">
        <f>IF($A$1='Data Entry'!$C246,'Data Entry'!D246,"")</f>
        <v>0</v>
      </c>
      <c r="D245" s="46">
        <f>IF($A$1='Data Entry'!$C246,'Data Entry'!E246,"")</f>
        <v>0</v>
      </c>
      <c r="E245" s="46">
        <f>IF($A$1='Data Entry'!$C246,'Data Entry'!F246,"")</f>
        <v>0</v>
      </c>
      <c r="F245" s="46">
        <f>IF($A$1='Data Entry'!$C246,'Data Entry'!G246,"")</f>
        <v>0</v>
      </c>
      <c r="G245" s="46">
        <f>IF($A$1='Data Entry'!$C246,'Data Entry'!H246,"")</f>
        <v>0</v>
      </c>
      <c r="H245" s="46">
        <f>IF($A$1='Data Entry'!$C246,'Data Entry'!I246,"")</f>
        <v>0</v>
      </c>
      <c r="I245" s="46">
        <f>IF($A$1='Data Entry'!$C246,'Data Entry'!J246,"")</f>
        <v>0</v>
      </c>
      <c r="J245" s="46">
        <f>IF($A$1='Data Entry'!$C246,'Data Entry'!K246,"")</f>
        <v>0</v>
      </c>
      <c r="K245" s="46">
        <f>IF($A$1='Data Entry'!$C246,'Data Entry'!L246,"")</f>
        <v>0</v>
      </c>
      <c r="L245" s="46">
        <f>IF($A$1='Data Entry'!$C246,'Data Entry'!M246,"")</f>
        <v>0</v>
      </c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</row>
    <row r="246" spans="1:36" ht="15.95" customHeight="1" x14ac:dyDescent="0.2">
      <c r="A246" s="43"/>
      <c r="B246" s="45">
        <v>41</v>
      </c>
      <c r="C246" s="46">
        <f>IF($A$1='Data Entry'!$C247,'Data Entry'!D247,"")</f>
        <v>0</v>
      </c>
      <c r="D246" s="46">
        <f>IF($A$1='Data Entry'!$C247,'Data Entry'!E247,"")</f>
        <v>0</v>
      </c>
      <c r="E246" s="46">
        <f>IF($A$1='Data Entry'!$C247,'Data Entry'!F247,"")</f>
        <v>0</v>
      </c>
      <c r="F246" s="46">
        <f>IF($A$1='Data Entry'!$C247,'Data Entry'!G247,"")</f>
        <v>0</v>
      </c>
      <c r="G246" s="46">
        <f>IF($A$1='Data Entry'!$C247,'Data Entry'!H247,"")</f>
        <v>0</v>
      </c>
      <c r="H246" s="46">
        <f>IF($A$1='Data Entry'!$C247,'Data Entry'!I247,"")</f>
        <v>0</v>
      </c>
      <c r="I246" s="46">
        <f>IF($A$1='Data Entry'!$C247,'Data Entry'!J247,"")</f>
        <v>0</v>
      </c>
      <c r="J246" s="46">
        <f>IF($A$1='Data Entry'!$C247,'Data Entry'!K247,"")</f>
        <v>0</v>
      </c>
      <c r="K246" s="46">
        <f>IF($A$1='Data Entry'!$C247,'Data Entry'!L247,"")</f>
        <v>0</v>
      </c>
      <c r="L246" s="46">
        <f>IF($A$1='Data Entry'!$C247,'Data Entry'!M247,"")</f>
        <v>0</v>
      </c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</row>
    <row r="247" spans="1:36" ht="15.95" customHeight="1" x14ac:dyDescent="0.2">
      <c r="A247" s="43"/>
      <c r="B247" s="45">
        <v>41</v>
      </c>
      <c r="C247" s="46">
        <f>IF($A$1='Data Entry'!$C248,'Data Entry'!D248,"")</f>
        <v>0</v>
      </c>
      <c r="D247" s="46">
        <f>IF($A$1='Data Entry'!$C248,'Data Entry'!E248,"")</f>
        <v>0</v>
      </c>
      <c r="E247" s="46">
        <f>IF($A$1='Data Entry'!$C248,'Data Entry'!F248,"")</f>
        <v>0</v>
      </c>
      <c r="F247" s="46">
        <f>IF($A$1='Data Entry'!$C248,'Data Entry'!G248,"")</f>
        <v>0</v>
      </c>
      <c r="G247" s="46">
        <f>IF($A$1='Data Entry'!$C248,'Data Entry'!H248,"")</f>
        <v>0</v>
      </c>
      <c r="H247" s="46">
        <f>IF($A$1='Data Entry'!$C248,'Data Entry'!I248,"")</f>
        <v>0</v>
      </c>
      <c r="I247" s="46">
        <f>IF($A$1='Data Entry'!$C248,'Data Entry'!J248,"")</f>
        <v>0</v>
      </c>
      <c r="J247" s="46">
        <f>IF($A$1='Data Entry'!$C248,'Data Entry'!K248,"")</f>
        <v>0</v>
      </c>
      <c r="K247" s="46">
        <f>IF($A$1='Data Entry'!$C248,'Data Entry'!L248,"")</f>
        <v>0</v>
      </c>
      <c r="L247" s="46">
        <f>IF($A$1='Data Entry'!$C248,'Data Entry'!M248,"")</f>
        <v>0</v>
      </c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</row>
    <row r="248" spans="1:36" ht="15.95" customHeight="1" x14ac:dyDescent="0.2">
      <c r="A248" s="43"/>
      <c r="B248" s="45">
        <v>41</v>
      </c>
      <c r="C248" s="46">
        <f>IF($A$1='Data Entry'!$C249,'Data Entry'!D249,"")</f>
        <v>0</v>
      </c>
      <c r="D248" s="46">
        <f>IF($A$1='Data Entry'!$C249,'Data Entry'!E249,"")</f>
        <v>0</v>
      </c>
      <c r="E248" s="46">
        <f>IF($A$1='Data Entry'!$C249,'Data Entry'!F249,"")</f>
        <v>0</v>
      </c>
      <c r="F248" s="46">
        <f>IF($A$1='Data Entry'!$C249,'Data Entry'!G249,"")</f>
        <v>0</v>
      </c>
      <c r="G248" s="46">
        <f>IF($A$1='Data Entry'!$C249,'Data Entry'!H249,"")</f>
        <v>0</v>
      </c>
      <c r="H248" s="46">
        <f>IF($A$1='Data Entry'!$C249,'Data Entry'!I249,"")</f>
        <v>0</v>
      </c>
      <c r="I248" s="46">
        <f>IF($A$1='Data Entry'!$C249,'Data Entry'!J249,"")</f>
        <v>0</v>
      </c>
      <c r="J248" s="46">
        <f>IF($A$1='Data Entry'!$C249,'Data Entry'!K249,"")</f>
        <v>0</v>
      </c>
      <c r="K248" s="46">
        <f>IF($A$1='Data Entry'!$C249,'Data Entry'!L249,"")</f>
        <v>0</v>
      </c>
      <c r="L248" s="46">
        <f>IF($A$1='Data Entry'!$C249,'Data Entry'!M249,"")</f>
        <v>0</v>
      </c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</row>
    <row r="249" spans="1:36" ht="15.95" customHeight="1" x14ac:dyDescent="0.2">
      <c r="A249" s="43"/>
      <c r="B249" s="45">
        <v>42</v>
      </c>
      <c r="C249" s="46">
        <f>IF($A$1='Data Entry'!$C250,'Data Entry'!D250,"")</f>
        <v>0</v>
      </c>
      <c r="D249" s="46">
        <f>IF($A$1='Data Entry'!$C250,'Data Entry'!E250,"")</f>
        <v>0</v>
      </c>
      <c r="E249" s="46">
        <f>IF($A$1='Data Entry'!$C250,'Data Entry'!F250,"")</f>
        <v>0</v>
      </c>
      <c r="F249" s="46">
        <f>IF($A$1='Data Entry'!$C250,'Data Entry'!G250,"")</f>
        <v>0</v>
      </c>
      <c r="G249" s="46">
        <f>IF($A$1='Data Entry'!$C250,'Data Entry'!H250,"")</f>
        <v>0</v>
      </c>
      <c r="H249" s="46">
        <f>IF($A$1='Data Entry'!$C250,'Data Entry'!I250,"")</f>
        <v>0</v>
      </c>
      <c r="I249" s="46">
        <f>IF($A$1='Data Entry'!$C250,'Data Entry'!J250,"")</f>
        <v>0</v>
      </c>
      <c r="J249" s="46">
        <f>IF($A$1='Data Entry'!$C250,'Data Entry'!K250,"")</f>
        <v>0</v>
      </c>
      <c r="K249" s="46">
        <f>IF($A$1='Data Entry'!$C250,'Data Entry'!L250,"")</f>
        <v>0</v>
      </c>
      <c r="L249" s="46">
        <f>IF($A$1='Data Entry'!$C250,'Data Entry'!M250,"")</f>
        <v>0</v>
      </c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</row>
    <row r="250" spans="1:36" ht="15.95" customHeight="1" x14ac:dyDescent="0.2">
      <c r="A250" s="43"/>
      <c r="B250" s="45">
        <v>42</v>
      </c>
      <c r="C250" s="46">
        <f>IF($A$1='Data Entry'!$C251,'Data Entry'!D251,"")</f>
        <v>0</v>
      </c>
      <c r="D250" s="46">
        <f>IF($A$1='Data Entry'!$C251,'Data Entry'!E251,"")</f>
        <v>0</v>
      </c>
      <c r="E250" s="46">
        <f>IF($A$1='Data Entry'!$C251,'Data Entry'!F251,"")</f>
        <v>0</v>
      </c>
      <c r="F250" s="46">
        <f>IF($A$1='Data Entry'!$C251,'Data Entry'!G251,"")</f>
        <v>0</v>
      </c>
      <c r="G250" s="46">
        <f>IF($A$1='Data Entry'!$C251,'Data Entry'!H251,"")</f>
        <v>0</v>
      </c>
      <c r="H250" s="46">
        <f>IF($A$1='Data Entry'!$C251,'Data Entry'!I251,"")</f>
        <v>0</v>
      </c>
      <c r="I250" s="46">
        <f>IF($A$1='Data Entry'!$C251,'Data Entry'!J251,"")</f>
        <v>0</v>
      </c>
      <c r="J250" s="46">
        <f>IF($A$1='Data Entry'!$C251,'Data Entry'!K251,"")</f>
        <v>0</v>
      </c>
      <c r="K250" s="46">
        <f>IF($A$1='Data Entry'!$C251,'Data Entry'!L251,"")</f>
        <v>0</v>
      </c>
      <c r="L250" s="46">
        <f>IF($A$1='Data Entry'!$C251,'Data Entry'!M251,"")</f>
        <v>0</v>
      </c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</row>
    <row r="251" spans="1:36" ht="15.95" customHeight="1" x14ac:dyDescent="0.2">
      <c r="A251" s="43"/>
      <c r="B251" s="45">
        <v>42</v>
      </c>
      <c r="C251" s="46">
        <f>IF($A$1='Data Entry'!$C252,'Data Entry'!D252,"")</f>
        <v>0</v>
      </c>
      <c r="D251" s="46">
        <f>IF($A$1='Data Entry'!$C252,'Data Entry'!E252,"")</f>
        <v>0</v>
      </c>
      <c r="E251" s="46">
        <f>IF($A$1='Data Entry'!$C252,'Data Entry'!F252,"")</f>
        <v>0</v>
      </c>
      <c r="F251" s="46">
        <f>IF($A$1='Data Entry'!$C252,'Data Entry'!G252,"")</f>
        <v>0</v>
      </c>
      <c r="G251" s="46">
        <f>IF($A$1='Data Entry'!$C252,'Data Entry'!H252,"")</f>
        <v>0</v>
      </c>
      <c r="H251" s="46">
        <f>IF($A$1='Data Entry'!$C252,'Data Entry'!I252,"")</f>
        <v>0</v>
      </c>
      <c r="I251" s="46">
        <f>IF($A$1='Data Entry'!$C252,'Data Entry'!J252,"")</f>
        <v>0</v>
      </c>
      <c r="J251" s="46">
        <f>IF($A$1='Data Entry'!$C252,'Data Entry'!K252,"")</f>
        <v>0</v>
      </c>
      <c r="K251" s="46">
        <f>IF($A$1='Data Entry'!$C252,'Data Entry'!L252,"")</f>
        <v>0</v>
      </c>
      <c r="L251" s="46">
        <f>IF($A$1='Data Entry'!$C252,'Data Entry'!M252,"")</f>
        <v>0</v>
      </c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</row>
    <row r="252" spans="1:36" ht="15.95" customHeight="1" x14ac:dyDescent="0.2">
      <c r="A252" s="43"/>
      <c r="B252" s="45">
        <v>42</v>
      </c>
      <c r="C252" s="46">
        <f>IF($A$1='Data Entry'!$C253,'Data Entry'!D253,"")</f>
        <v>0</v>
      </c>
      <c r="D252" s="46">
        <f>IF($A$1='Data Entry'!$C253,'Data Entry'!E253,"")</f>
        <v>0</v>
      </c>
      <c r="E252" s="46">
        <f>IF($A$1='Data Entry'!$C253,'Data Entry'!F253,"")</f>
        <v>0</v>
      </c>
      <c r="F252" s="46">
        <f>IF($A$1='Data Entry'!$C253,'Data Entry'!G253,"")</f>
        <v>0</v>
      </c>
      <c r="G252" s="46">
        <f>IF($A$1='Data Entry'!$C253,'Data Entry'!H253,"")</f>
        <v>0</v>
      </c>
      <c r="H252" s="46">
        <f>IF($A$1='Data Entry'!$C253,'Data Entry'!I253,"")</f>
        <v>0</v>
      </c>
      <c r="I252" s="46">
        <f>IF($A$1='Data Entry'!$C253,'Data Entry'!J253,"")</f>
        <v>0</v>
      </c>
      <c r="J252" s="46">
        <f>IF($A$1='Data Entry'!$C253,'Data Entry'!K253,"")</f>
        <v>0</v>
      </c>
      <c r="K252" s="46">
        <f>IF($A$1='Data Entry'!$C253,'Data Entry'!L253,"")</f>
        <v>0</v>
      </c>
      <c r="L252" s="46">
        <f>IF($A$1='Data Entry'!$C253,'Data Entry'!M253,"")</f>
        <v>0</v>
      </c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</row>
    <row r="253" spans="1:36" ht="15.95" customHeight="1" x14ac:dyDescent="0.2">
      <c r="A253" s="43"/>
      <c r="B253" s="45">
        <v>42</v>
      </c>
      <c r="C253" s="46">
        <f>IF($A$1='Data Entry'!$C254,'Data Entry'!D254,"")</f>
        <v>0</v>
      </c>
      <c r="D253" s="46">
        <f>IF($A$1='Data Entry'!$C254,'Data Entry'!E254,"")</f>
        <v>0</v>
      </c>
      <c r="E253" s="46">
        <f>IF($A$1='Data Entry'!$C254,'Data Entry'!F254,"")</f>
        <v>0</v>
      </c>
      <c r="F253" s="46">
        <f>IF($A$1='Data Entry'!$C254,'Data Entry'!G254,"")</f>
        <v>0</v>
      </c>
      <c r="G253" s="46">
        <f>IF($A$1='Data Entry'!$C254,'Data Entry'!H254,"")</f>
        <v>0</v>
      </c>
      <c r="H253" s="46">
        <f>IF($A$1='Data Entry'!$C254,'Data Entry'!I254,"")</f>
        <v>0</v>
      </c>
      <c r="I253" s="46">
        <f>IF($A$1='Data Entry'!$C254,'Data Entry'!J254,"")</f>
        <v>0</v>
      </c>
      <c r="J253" s="46">
        <f>IF($A$1='Data Entry'!$C254,'Data Entry'!K254,"")</f>
        <v>0</v>
      </c>
      <c r="K253" s="46">
        <f>IF($A$1='Data Entry'!$C254,'Data Entry'!L254,"")</f>
        <v>0</v>
      </c>
      <c r="L253" s="46">
        <f>IF($A$1='Data Entry'!$C254,'Data Entry'!M254,"")</f>
        <v>0</v>
      </c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</row>
    <row r="254" spans="1:36" ht="15.95" customHeight="1" x14ac:dyDescent="0.2">
      <c r="A254" s="43"/>
      <c r="B254" s="45">
        <v>42</v>
      </c>
      <c r="C254" s="46">
        <f>IF($A$1='Data Entry'!$C255,'Data Entry'!D255,"")</f>
        <v>0</v>
      </c>
      <c r="D254" s="46">
        <f>IF($A$1='Data Entry'!$C255,'Data Entry'!E255,"")</f>
        <v>0</v>
      </c>
      <c r="E254" s="46">
        <f>IF($A$1='Data Entry'!$C255,'Data Entry'!F255,"")</f>
        <v>0</v>
      </c>
      <c r="F254" s="46">
        <f>IF($A$1='Data Entry'!$C255,'Data Entry'!G255,"")</f>
        <v>0</v>
      </c>
      <c r="G254" s="46">
        <f>IF($A$1='Data Entry'!$C255,'Data Entry'!H255,"")</f>
        <v>0</v>
      </c>
      <c r="H254" s="46">
        <f>IF($A$1='Data Entry'!$C255,'Data Entry'!I255,"")</f>
        <v>0</v>
      </c>
      <c r="I254" s="46">
        <f>IF($A$1='Data Entry'!$C255,'Data Entry'!J255,"")</f>
        <v>0</v>
      </c>
      <c r="J254" s="46">
        <f>IF($A$1='Data Entry'!$C255,'Data Entry'!K255,"")</f>
        <v>0</v>
      </c>
      <c r="K254" s="46">
        <f>IF($A$1='Data Entry'!$C255,'Data Entry'!L255,"")</f>
        <v>0</v>
      </c>
      <c r="L254" s="46">
        <f>IF($A$1='Data Entry'!$C255,'Data Entry'!M255,"")</f>
        <v>0</v>
      </c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</row>
    <row r="255" spans="1:36" ht="15.95" customHeight="1" x14ac:dyDescent="0.2">
      <c r="A255" s="43"/>
      <c r="B255" s="45">
        <v>43</v>
      </c>
      <c r="C255" s="46">
        <f>IF($A$1='Data Entry'!$C256,'Data Entry'!D256,"")</f>
        <v>0</v>
      </c>
      <c r="D255" s="46">
        <f>IF($A$1='Data Entry'!$C256,'Data Entry'!E256,"")</f>
        <v>0</v>
      </c>
      <c r="E255" s="46">
        <f>IF($A$1='Data Entry'!$C256,'Data Entry'!F256,"")</f>
        <v>0</v>
      </c>
      <c r="F255" s="46">
        <f>IF($A$1='Data Entry'!$C256,'Data Entry'!G256,"")</f>
        <v>0</v>
      </c>
      <c r="G255" s="46">
        <f>IF($A$1='Data Entry'!$C256,'Data Entry'!H256,"")</f>
        <v>0</v>
      </c>
      <c r="H255" s="46">
        <f>IF($A$1='Data Entry'!$C256,'Data Entry'!I256,"")</f>
        <v>0</v>
      </c>
      <c r="I255" s="46">
        <f>IF($A$1='Data Entry'!$C256,'Data Entry'!J256,"")</f>
        <v>0</v>
      </c>
      <c r="J255" s="46">
        <f>IF($A$1='Data Entry'!$C256,'Data Entry'!K256,"")</f>
        <v>0</v>
      </c>
      <c r="K255" s="46">
        <f>IF($A$1='Data Entry'!$C256,'Data Entry'!L256,"")</f>
        <v>0</v>
      </c>
      <c r="L255" s="46">
        <f>IF($A$1='Data Entry'!$C256,'Data Entry'!M256,"")</f>
        <v>0</v>
      </c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</row>
    <row r="256" spans="1:36" ht="15.95" customHeight="1" x14ac:dyDescent="0.2">
      <c r="A256" s="43"/>
      <c r="B256" s="45">
        <v>43</v>
      </c>
      <c r="C256" s="46">
        <f>IF($A$1='Data Entry'!$C257,'Data Entry'!D257,"")</f>
        <v>0</v>
      </c>
      <c r="D256" s="46">
        <f>IF($A$1='Data Entry'!$C257,'Data Entry'!E257,"")</f>
        <v>0</v>
      </c>
      <c r="E256" s="46">
        <f>IF($A$1='Data Entry'!$C257,'Data Entry'!F257,"")</f>
        <v>0</v>
      </c>
      <c r="F256" s="46">
        <f>IF($A$1='Data Entry'!$C257,'Data Entry'!G257,"")</f>
        <v>0</v>
      </c>
      <c r="G256" s="46">
        <f>IF($A$1='Data Entry'!$C257,'Data Entry'!H257,"")</f>
        <v>0</v>
      </c>
      <c r="H256" s="46">
        <f>IF($A$1='Data Entry'!$C257,'Data Entry'!I257,"")</f>
        <v>0</v>
      </c>
      <c r="I256" s="46">
        <f>IF($A$1='Data Entry'!$C257,'Data Entry'!J257,"")</f>
        <v>0</v>
      </c>
      <c r="J256" s="46">
        <f>IF($A$1='Data Entry'!$C257,'Data Entry'!K257,"")</f>
        <v>0</v>
      </c>
      <c r="K256" s="46">
        <f>IF($A$1='Data Entry'!$C257,'Data Entry'!L257,"")</f>
        <v>0</v>
      </c>
      <c r="L256" s="46">
        <f>IF($A$1='Data Entry'!$C257,'Data Entry'!M257,"")</f>
        <v>0</v>
      </c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</row>
    <row r="257" spans="1:36" ht="15.95" customHeight="1" x14ac:dyDescent="0.2">
      <c r="A257" s="43"/>
      <c r="B257" s="45">
        <v>43</v>
      </c>
      <c r="C257" s="46">
        <f>IF($A$1='Data Entry'!$C258,'Data Entry'!D258,"")</f>
        <v>0</v>
      </c>
      <c r="D257" s="46">
        <f>IF($A$1='Data Entry'!$C258,'Data Entry'!E258,"")</f>
        <v>0</v>
      </c>
      <c r="E257" s="46">
        <f>IF($A$1='Data Entry'!$C258,'Data Entry'!F258,"")</f>
        <v>0</v>
      </c>
      <c r="F257" s="46">
        <f>IF($A$1='Data Entry'!$C258,'Data Entry'!G258,"")</f>
        <v>0</v>
      </c>
      <c r="G257" s="46">
        <f>IF($A$1='Data Entry'!$C258,'Data Entry'!H258,"")</f>
        <v>0</v>
      </c>
      <c r="H257" s="46">
        <f>IF($A$1='Data Entry'!$C258,'Data Entry'!I258,"")</f>
        <v>0</v>
      </c>
      <c r="I257" s="46">
        <f>IF($A$1='Data Entry'!$C258,'Data Entry'!J258,"")</f>
        <v>0</v>
      </c>
      <c r="J257" s="46">
        <f>IF($A$1='Data Entry'!$C258,'Data Entry'!K258,"")</f>
        <v>0</v>
      </c>
      <c r="K257" s="46">
        <f>IF($A$1='Data Entry'!$C258,'Data Entry'!L258,"")</f>
        <v>0</v>
      </c>
      <c r="L257" s="46">
        <f>IF($A$1='Data Entry'!$C258,'Data Entry'!M258,"")</f>
        <v>0</v>
      </c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</row>
    <row r="258" spans="1:36" ht="15.95" customHeight="1" x14ac:dyDescent="0.2">
      <c r="A258" s="43"/>
      <c r="B258" s="45">
        <v>43</v>
      </c>
      <c r="C258" s="46">
        <f>IF($A$1='Data Entry'!$C259,'Data Entry'!D259,"")</f>
        <v>0</v>
      </c>
      <c r="D258" s="46">
        <f>IF($A$1='Data Entry'!$C259,'Data Entry'!E259,"")</f>
        <v>0</v>
      </c>
      <c r="E258" s="46">
        <f>IF($A$1='Data Entry'!$C259,'Data Entry'!F259,"")</f>
        <v>0</v>
      </c>
      <c r="F258" s="46">
        <f>IF($A$1='Data Entry'!$C259,'Data Entry'!G259,"")</f>
        <v>0</v>
      </c>
      <c r="G258" s="46">
        <f>IF($A$1='Data Entry'!$C259,'Data Entry'!H259,"")</f>
        <v>0</v>
      </c>
      <c r="H258" s="46">
        <f>IF($A$1='Data Entry'!$C259,'Data Entry'!I259,"")</f>
        <v>0</v>
      </c>
      <c r="I258" s="46">
        <f>IF($A$1='Data Entry'!$C259,'Data Entry'!J259,"")</f>
        <v>0</v>
      </c>
      <c r="J258" s="46">
        <f>IF($A$1='Data Entry'!$C259,'Data Entry'!K259,"")</f>
        <v>0</v>
      </c>
      <c r="K258" s="46">
        <f>IF($A$1='Data Entry'!$C259,'Data Entry'!L259,"")</f>
        <v>0</v>
      </c>
      <c r="L258" s="46">
        <f>IF($A$1='Data Entry'!$C259,'Data Entry'!M259,"")</f>
        <v>0</v>
      </c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</row>
    <row r="259" spans="1:36" ht="15.95" customHeight="1" x14ac:dyDescent="0.2">
      <c r="A259" s="43"/>
      <c r="B259" s="45">
        <v>43</v>
      </c>
      <c r="C259" s="46">
        <f>IF($A$1='Data Entry'!$C260,'Data Entry'!D260,"")</f>
        <v>0</v>
      </c>
      <c r="D259" s="46">
        <f>IF($A$1='Data Entry'!$C260,'Data Entry'!E260,"")</f>
        <v>0</v>
      </c>
      <c r="E259" s="46">
        <f>IF($A$1='Data Entry'!$C260,'Data Entry'!F260,"")</f>
        <v>0</v>
      </c>
      <c r="F259" s="46">
        <f>IF($A$1='Data Entry'!$C260,'Data Entry'!G260,"")</f>
        <v>0</v>
      </c>
      <c r="G259" s="46">
        <f>IF($A$1='Data Entry'!$C260,'Data Entry'!H260,"")</f>
        <v>0</v>
      </c>
      <c r="H259" s="46">
        <f>IF($A$1='Data Entry'!$C260,'Data Entry'!I260,"")</f>
        <v>0</v>
      </c>
      <c r="I259" s="46">
        <f>IF($A$1='Data Entry'!$C260,'Data Entry'!J260,"")</f>
        <v>0</v>
      </c>
      <c r="J259" s="46">
        <f>IF($A$1='Data Entry'!$C260,'Data Entry'!K260,"")</f>
        <v>0</v>
      </c>
      <c r="K259" s="46">
        <f>IF($A$1='Data Entry'!$C260,'Data Entry'!L260,"")</f>
        <v>0</v>
      </c>
      <c r="L259" s="46">
        <f>IF($A$1='Data Entry'!$C260,'Data Entry'!M260,"")</f>
        <v>0</v>
      </c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</row>
    <row r="260" spans="1:36" ht="15.95" customHeight="1" x14ac:dyDescent="0.2">
      <c r="A260" s="43"/>
      <c r="B260" s="45">
        <v>43</v>
      </c>
      <c r="C260" s="46">
        <f>IF($A$1='Data Entry'!$C261,'Data Entry'!D261,"")</f>
        <v>0</v>
      </c>
      <c r="D260" s="46">
        <f>IF($A$1='Data Entry'!$C261,'Data Entry'!E261,"")</f>
        <v>0</v>
      </c>
      <c r="E260" s="46">
        <f>IF($A$1='Data Entry'!$C261,'Data Entry'!F261,"")</f>
        <v>0</v>
      </c>
      <c r="F260" s="46">
        <f>IF($A$1='Data Entry'!$C261,'Data Entry'!G261,"")</f>
        <v>0</v>
      </c>
      <c r="G260" s="46">
        <f>IF($A$1='Data Entry'!$C261,'Data Entry'!H261,"")</f>
        <v>0</v>
      </c>
      <c r="H260" s="46">
        <f>IF($A$1='Data Entry'!$C261,'Data Entry'!I261,"")</f>
        <v>0</v>
      </c>
      <c r="I260" s="46">
        <f>IF($A$1='Data Entry'!$C261,'Data Entry'!J261,"")</f>
        <v>0</v>
      </c>
      <c r="J260" s="46">
        <f>IF($A$1='Data Entry'!$C261,'Data Entry'!K261,"")</f>
        <v>0</v>
      </c>
      <c r="K260" s="46">
        <f>IF($A$1='Data Entry'!$C261,'Data Entry'!L261,"")</f>
        <v>0</v>
      </c>
      <c r="L260" s="46">
        <f>IF($A$1='Data Entry'!$C261,'Data Entry'!M261,"")</f>
        <v>0</v>
      </c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</row>
    <row r="261" spans="1:36" ht="15.95" customHeight="1" x14ac:dyDescent="0.2">
      <c r="A261" s="43"/>
      <c r="B261" s="45">
        <v>44</v>
      </c>
      <c r="C261" s="46">
        <f>IF($A$1='Data Entry'!$C262,'Data Entry'!D262,"")</f>
        <v>0</v>
      </c>
      <c r="D261" s="46">
        <f>IF($A$1='Data Entry'!$C262,'Data Entry'!E262,"")</f>
        <v>0</v>
      </c>
      <c r="E261" s="46">
        <f>IF($A$1='Data Entry'!$C262,'Data Entry'!F262,"")</f>
        <v>0</v>
      </c>
      <c r="F261" s="46">
        <f>IF($A$1='Data Entry'!$C262,'Data Entry'!G262,"")</f>
        <v>0</v>
      </c>
      <c r="G261" s="46">
        <f>IF($A$1='Data Entry'!$C262,'Data Entry'!H262,"")</f>
        <v>0</v>
      </c>
      <c r="H261" s="46">
        <f>IF($A$1='Data Entry'!$C262,'Data Entry'!I262,"")</f>
        <v>0</v>
      </c>
      <c r="I261" s="46">
        <f>IF($A$1='Data Entry'!$C262,'Data Entry'!J262,"")</f>
        <v>0</v>
      </c>
      <c r="J261" s="46">
        <f>IF($A$1='Data Entry'!$C262,'Data Entry'!K262,"")</f>
        <v>0</v>
      </c>
      <c r="K261" s="46">
        <f>IF($A$1='Data Entry'!$C262,'Data Entry'!L262,"")</f>
        <v>0</v>
      </c>
      <c r="L261" s="46">
        <f>IF($A$1='Data Entry'!$C262,'Data Entry'!M262,"")</f>
        <v>0</v>
      </c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</row>
    <row r="262" spans="1:36" ht="15.95" customHeight="1" x14ac:dyDescent="0.2">
      <c r="A262" s="43"/>
      <c r="B262" s="45">
        <v>44</v>
      </c>
      <c r="C262" s="46">
        <f>IF($A$1='Data Entry'!$C263,'Data Entry'!D263,"")</f>
        <v>0</v>
      </c>
      <c r="D262" s="46">
        <f>IF($A$1='Data Entry'!$C263,'Data Entry'!E263,"")</f>
        <v>0</v>
      </c>
      <c r="E262" s="46">
        <f>IF($A$1='Data Entry'!$C263,'Data Entry'!F263,"")</f>
        <v>0</v>
      </c>
      <c r="F262" s="46">
        <f>IF($A$1='Data Entry'!$C263,'Data Entry'!G263,"")</f>
        <v>0</v>
      </c>
      <c r="G262" s="46">
        <f>IF($A$1='Data Entry'!$C263,'Data Entry'!H263,"")</f>
        <v>0</v>
      </c>
      <c r="H262" s="46">
        <f>IF($A$1='Data Entry'!$C263,'Data Entry'!I263,"")</f>
        <v>0</v>
      </c>
      <c r="I262" s="46">
        <f>IF($A$1='Data Entry'!$C263,'Data Entry'!J263,"")</f>
        <v>0</v>
      </c>
      <c r="J262" s="46">
        <f>IF($A$1='Data Entry'!$C263,'Data Entry'!K263,"")</f>
        <v>0</v>
      </c>
      <c r="K262" s="46">
        <f>IF($A$1='Data Entry'!$C263,'Data Entry'!L263,"")</f>
        <v>0</v>
      </c>
      <c r="L262" s="46">
        <f>IF($A$1='Data Entry'!$C263,'Data Entry'!M263,"")</f>
        <v>0</v>
      </c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</row>
    <row r="263" spans="1:36" ht="15.95" customHeight="1" x14ac:dyDescent="0.2">
      <c r="A263" s="43"/>
      <c r="B263" s="45">
        <v>44</v>
      </c>
      <c r="C263" s="46">
        <f>IF($A$1='Data Entry'!$C264,'Data Entry'!D264,"")</f>
        <v>0</v>
      </c>
      <c r="D263" s="46">
        <f>IF($A$1='Data Entry'!$C264,'Data Entry'!E264,"")</f>
        <v>0</v>
      </c>
      <c r="E263" s="46">
        <f>IF($A$1='Data Entry'!$C264,'Data Entry'!F264,"")</f>
        <v>0</v>
      </c>
      <c r="F263" s="46">
        <f>IF($A$1='Data Entry'!$C264,'Data Entry'!G264,"")</f>
        <v>0</v>
      </c>
      <c r="G263" s="46">
        <f>IF($A$1='Data Entry'!$C264,'Data Entry'!H264,"")</f>
        <v>0</v>
      </c>
      <c r="H263" s="46">
        <f>IF($A$1='Data Entry'!$C264,'Data Entry'!I264,"")</f>
        <v>0</v>
      </c>
      <c r="I263" s="46">
        <f>IF($A$1='Data Entry'!$C264,'Data Entry'!J264,"")</f>
        <v>0</v>
      </c>
      <c r="J263" s="46">
        <f>IF($A$1='Data Entry'!$C264,'Data Entry'!K264,"")</f>
        <v>0</v>
      </c>
      <c r="K263" s="46">
        <f>IF($A$1='Data Entry'!$C264,'Data Entry'!L264,"")</f>
        <v>0</v>
      </c>
      <c r="L263" s="46">
        <f>IF($A$1='Data Entry'!$C264,'Data Entry'!M264,"")</f>
        <v>0</v>
      </c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</row>
    <row r="264" spans="1:36" ht="15.95" customHeight="1" x14ac:dyDescent="0.2">
      <c r="A264" s="43"/>
      <c r="B264" s="45">
        <v>44</v>
      </c>
      <c r="C264" s="46">
        <f>IF($A$1='Data Entry'!$C265,'Data Entry'!D265,"")</f>
        <v>0</v>
      </c>
      <c r="D264" s="46">
        <f>IF($A$1='Data Entry'!$C265,'Data Entry'!E265,"")</f>
        <v>0</v>
      </c>
      <c r="E264" s="46">
        <f>IF($A$1='Data Entry'!$C265,'Data Entry'!F265,"")</f>
        <v>0</v>
      </c>
      <c r="F264" s="46">
        <f>IF($A$1='Data Entry'!$C265,'Data Entry'!G265,"")</f>
        <v>0</v>
      </c>
      <c r="G264" s="46">
        <f>IF($A$1='Data Entry'!$C265,'Data Entry'!H265,"")</f>
        <v>0</v>
      </c>
      <c r="H264" s="46">
        <f>IF($A$1='Data Entry'!$C265,'Data Entry'!I265,"")</f>
        <v>0</v>
      </c>
      <c r="I264" s="46">
        <f>IF($A$1='Data Entry'!$C265,'Data Entry'!J265,"")</f>
        <v>0</v>
      </c>
      <c r="J264" s="46">
        <f>IF($A$1='Data Entry'!$C265,'Data Entry'!K265,"")</f>
        <v>0</v>
      </c>
      <c r="K264" s="46">
        <f>IF($A$1='Data Entry'!$C265,'Data Entry'!L265,"")</f>
        <v>0</v>
      </c>
      <c r="L264" s="46">
        <f>IF($A$1='Data Entry'!$C265,'Data Entry'!M265,"")</f>
        <v>0</v>
      </c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</row>
    <row r="265" spans="1:36" ht="15.95" customHeight="1" x14ac:dyDescent="0.2">
      <c r="A265" s="43"/>
      <c r="B265" s="45">
        <v>44</v>
      </c>
      <c r="C265" s="46">
        <f>IF($A$1='Data Entry'!$C266,'Data Entry'!D266,"")</f>
        <v>0</v>
      </c>
      <c r="D265" s="46">
        <f>IF($A$1='Data Entry'!$C266,'Data Entry'!E266,"")</f>
        <v>0</v>
      </c>
      <c r="E265" s="46">
        <f>IF($A$1='Data Entry'!$C266,'Data Entry'!F266,"")</f>
        <v>0</v>
      </c>
      <c r="F265" s="46">
        <f>IF($A$1='Data Entry'!$C266,'Data Entry'!G266,"")</f>
        <v>0</v>
      </c>
      <c r="G265" s="46">
        <f>IF($A$1='Data Entry'!$C266,'Data Entry'!H266,"")</f>
        <v>0</v>
      </c>
      <c r="H265" s="46">
        <f>IF($A$1='Data Entry'!$C266,'Data Entry'!I266,"")</f>
        <v>0</v>
      </c>
      <c r="I265" s="46">
        <f>IF($A$1='Data Entry'!$C266,'Data Entry'!J266,"")</f>
        <v>0</v>
      </c>
      <c r="J265" s="46">
        <f>IF($A$1='Data Entry'!$C266,'Data Entry'!K266,"")</f>
        <v>0</v>
      </c>
      <c r="K265" s="46">
        <f>IF($A$1='Data Entry'!$C266,'Data Entry'!L266,"")</f>
        <v>0</v>
      </c>
      <c r="L265" s="46">
        <f>IF($A$1='Data Entry'!$C266,'Data Entry'!M266,"")</f>
        <v>0</v>
      </c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</row>
    <row r="266" spans="1:36" ht="15.95" customHeight="1" x14ac:dyDescent="0.2">
      <c r="A266" s="43"/>
      <c r="B266" s="45">
        <v>44</v>
      </c>
      <c r="C266" s="46">
        <f>IF($A$1='Data Entry'!$C267,'Data Entry'!D267,"")</f>
        <v>0</v>
      </c>
      <c r="D266" s="46">
        <f>IF($A$1='Data Entry'!$C267,'Data Entry'!E267,"")</f>
        <v>0</v>
      </c>
      <c r="E266" s="46">
        <f>IF($A$1='Data Entry'!$C267,'Data Entry'!F267,"")</f>
        <v>0</v>
      </c>
      <c r="F266" s="46">
        <f>IF($A$1='Data Entry'!$C267,'Data Entry'!G267,"")</f>
        <v>0</v>
      </c>
      <c r="G266" s="46">
        <f>IF($A$1='Data Entry'!$C267,'Data Entry'!H267,"")</f>
        <v>0</v>
      </c>
      <c r="H266" s="46">
        <f>IF($A$1='Data Entry'!$C267,'Data Entry'!I267,"")</f>
        <v>0</v>
      </c>
      <c r="I266" s="46">
        <f>IF($A$1='Data Entry'!$C267,'Data Entry'!J267,"")</f>
        <v>0</v>
      </c>
      <c r="J266" s="46">
        <f>IF($A$1='Data Entry'!$C267,'Data Entry'!K267,"")</f>
        <v>0</v>
      </c>
      <c r="K266" s="46">
        <f>IF($A$1='Data Entry'!$C267,'Data Entry'!L267,"")</f>
        <v>0</v>
      </c>
      <c r="L266" s="46">
        <f>IF($A$1='Data Entry'!$C267,'Data Entry'!M267,"")</f>
        <v>0</v>
      </c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</row>
    <row r="267" spans="1:36" ht="15.95" customHeight="1" x14ac:dyDescent="0.2">
      <c r="A267" s="43"/>
      <c r="B267" s="45">
        <v>45</v>
      </c>
      <c r="C267" s="46">
        <f>IF($A$1='Data Entry'!$C268,'Data Entry'!D268,"")</f>
        <v>0</v>
      </c>
      <c r="D267" s="46">
        <f>IF($A$1='Data Entry'!$C268,'Data Entry'!E268,"")</f>
        <v>0</v>
      </c>
      <c r="E267" s="46">
        <f>IF($A$1='Data Entry'!$C268,'Data Entry'!F268,"")</f>
        <v>0</v>
      </c>
      <c r="F267" s="46">
        <f>IF($A$1='Data Entry'!$C268,'Data Entry'!G268,"")</f>
        <v>0</v>
      </c>
      <c r="G267" s="46">
        <f>IF($A$1='Data Entry'!$C268,'Data Entry'!H268,"")</f>
        <v>0</v>
      </c>
      <c r="H267" s="46">
        <f>IF($A$1='Data Entry'!$C268,'Data Entry'!I268,"")</f>
        <v>0</v>
      </c>
      <c r="I267" s="46">
        <f>IF($A$1='Data Entry'!$C268,'Data Entry'!J268,"")</f>
        <v>0</v>
      </c>
      <c r="J267" s="46">
        <f>IF($A$1='Data Entry'!$C268,'Data Entry'!K268,"")</f>
        <v>0</v>
      </c>
      <c r="K267" s="46">
        <f>IF($A$1='Data Entry'!$C268,'Data Entry'!L268,"")</f>
        <v>0</v>
      </c>
      <c r="L267" s="46">
        <f>IF($A$1='Data Entry'!$C268,'Data Entry'!M268,"")</f>
        <v>0</v>
      </c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</row>
    <row r="268" spans="1:36" ht="15.95" customHeight="1" x14ac:dyDescent="0.2">
      <c r="A268" s="43"/>
      <c r="B268" s="45">
        <v>45</v>
      </c>
      <c r="C268" s="46">
        <f>IF($A$1='Data Entry'!$C269,'Data Entry'!D269,"")</f>
        <v>0</v>
      </c>
      <c r="D268" s="46">
        <f>IF($A$1='Data Entry'!$C269,'Data Entry'!E269,"")</f>
        <v>0</v>
      </c>
      <c r="E268" s="46">
        <f>IF($A$1='Data Entry'!$C269,'Data Entry'!F269,"")</f>
        <v>0</v>
      </c>
      <c r="F268" s="46">
        <f>IF($A$1='Data Entry'!$C269,'Data Entry'!G269,"")</f>
        <v>0</v>
      </c>
      <c r="G268" s="46">
        <f>IF($A$1='Data Entry'!$C269,'Data Entry'!H269,"")</f>
        <v>0</v>
      </c>
      <c r="H268" s="46">
        <f>IF($A$1='Data Entry'!$C269,'Data Entry'!I269,"")</f>
        <v>0</v>
      </c>
      <c r="I268" s="46">
        <f>IF($A$1='Data Entry'!$C269,'Data Entry'!J269,"")</f>
        <v>0</v>
      </c>
      <c r="J268" s="46">
        <f>IF($A$1='Data Entry'!$C269,'Data Entry'!K269,"")</f>
        <v>0</v>
      </c>
      <c r="K268" s="46">
        <f>IF($A$1='Data Entry'!$C269,'Data Entry'!L269,"")</f>
        <v>0</v>
      </c>
      <c r="L268" s="46">
        <f>IF($A$1='Data Entry'!$C269,'Data Entry'!M269,"")</f>
        <v>0</v>
      </c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</row>
    <row r="269" spans="1:36" ht="15.95" customHeight="1" x14ac:dyDescent="0.2">
      <c r="A269" s="43"/>
      <c r="B269" s="45">
        <v>45</v>
      </c>
      <c r="C269" s="46">
        <f>IF($A$1='Data Entry'!$C270,'Data Entry'!D270,"")</f>
        <v>0</v>
      </c>
      <c r="D269" s="46">
        <f>IF($A$1='Data Entry'!$C270,'Data Entry'!E270,"")</f>
        <v>0</v>
      </c>
      <c r="E269" s="46">
        <f>IF($A$1='Data Entry'!$C270,'Data Entry'!F270,"")</f>
        <v>0</v>
      </c>
      <c r="F269" s="46">
        <f>IF($A$1='Data Entry'!$C270,'Data Entry'!G270,"")</f>
        <v>0</v>
      </c>
      <c r="G269" s="46">
        <f>IF($A$1='Data Entry'!$C270,'Data Entry'!H270,"")</f>
        <v>0</v>
      </c>
      <c r="H269" s="46">
        <f>IF($A$1='Data Entry'!$C270,'Data Entry'!I270,"")</f>
        <v>0</v>
      </c>
      <c r="I269" s="46">
        <f>IF($A$1='Data Entry'!$C270,'Data Entry'!J270,"")</f>
        <v>0</v>
      </c>
      <c r="J269" s="46">
        <f>IF($A$1='Data Entry'!$C270,'Data Entry'!K270,"")</f>
        <v>0</v>
      </c>
      <c r="K269" s="46">
        <f>IF($A$1='Data Entry'!$C270,'Data Entry'!L270,"")</f>
        <v>0</v>
      </c>
      <c r="L269" s="46">
        <f>IF($A$1='Data Entry'!$C270,'Data Entry'!M270,"")</f>
        <v>0</v>
      </c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</row>
    <row r="270" spans="1:36" ht="15.95" customHeight="1" x14ac:dyDescent="0.2">
      <c r="A270" s="43"/>
      <c r="B270" s="45">
        <v>45</v>
      </c>
      <c r="C270" s="46">
        <f>IF($A$1='Data Entry'!$C271,'Data Entry'!D271,"")</f>
        <v>0</v>
      </c>
      <c r="D270" s="46">
        <f>IF($A$1='Data Entry'!$C271,'Data Entry'!E271,"")</f>
        <v>0</v>
      </c>
      <c r="E270" s="46">
        <f>IF($A$1='Data Entry'!$C271,'Data Entry'!F271,"")</f>
        <v>0</v>
      </c>
      <c r="F270" s="46">
        <f>IF($A$1='Data Entry'!$C271,'Data Entry'!G271,"")</f>
        <v>0</v>
      </c>
      <c r="G270" s="46">
        <f>IF($A$1='Data Entry'!$C271,'Data Entry'!H271,"")</f>
        <v>0</v>
      </c>
      <c r="H270" s="46">
        <f>IF($A$1='Data Entry'!$C271,'Data Entry'!I271,"")</f>
        <v>0</v>
      </c>
      <c r="I270" s="46">
        <f>IF($A$1='Data Entry'!$C271,'Data Entry'!J271,"")</f>
        <v>0</v>
      </c>
      <c r="J270" s="46">
        <f>IF($A$1='Data Entry'!$C271,'Data Entry'!K271,"")</f>
        <v>0</v>
      </c>
      <c r="K270" s="46">
        <f>IF($A$1='Data Entry'!$C271,'Data Entry'!L271,"")</f>
        <v>0</v>
      </c>
      <c r="L270" s="46">
        <f>IF($A$1='Data Entry'!$C271,'Data Entry'!M271,"")</f>
        <v>0</v>
      </c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</row>
    <row r="271" spans="1:36" ht="15.95" customHeight="1" x14ac:dyDescent="0.2">
      <c r="A271" s="43"/>
      <c r="B271" s="45">
        <v>45</v>
      </c>
      <c r="C271" s="46">
        <f>IF($A$1='Data Entry'!$C272,'Data Entry'!D272,"")</f>
        <v>0</v>
      </c>
      <c r="D271" s="46">
        <f>IF($A$1='Data Entry'!$C272,'Data Entry'!E272,"")</f>
        <v>0</v>
      </c>
      <c r="E271" s="46">
        <f>IF($A$1='Data Entry'!$C272,'Data Entry'!F272,"")</f>
        <v>0</v>
      </c>
      <c r="F271" s="46">
        <f>IF($A$1='Data Entry'!$C272,'Data Entry'!G272,"")</f>
        <v>0</v>
      </c>
      <c r="G271" s="46">
        <f>IF($A$1='Data Entry'!$C272,'Data Entry'!H272,"")</f>
        <v>0</v>
      </c>
      <c r="H271" s="46">
        <f>IF($A$1='Data Entry'!$C272,'Data Entry'!I272,"")</f>
        <v>0</v>
      </c>
      <c r="I271" s="46">
        <f>IF($A$1='Data Entry'!$C272,'Data Entry'!J272,"")</f>
        <v>0</v>
      </c>
      <c r="J271" s="46">
        <f>IF($A$1='Data Entry'!$C272,'Data Entry'!K272,"")</f>
        <v>0</v>
      </c>
      <c r="K271" s="46">
        <f>IF($A$1='Data Entry'!$C272,'Data Entry'!L272,"")</f>
        <v>0</v>
      </c>
      <c r="L271" s="46">
        <f>IF($A$1='Data Entry'!$C272,'Data Entry'!M272,"")</f>
        <v>0</v>
      </c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</row>
    <row r="272" spans="1:36" ht="15.95" customHeight="1" x14ac:dyDescent="0.2">
      <c r="A272" s="43"/>
      <c r="B272" s="45">
        <v>45</v>
      </c>
      <c r="C272" s="46">
        <f>IF($A$1='Data Entry'!$C273,'Data Entry'!D273,"")</f>
        <v>0</v>
      </c>
      <c r="D272" s="46">
        <f>IF($A$1='Data Entry'!$C273,'Data Entry'!E273,"")</f>
        <v>0</v>
      </c>
      <c r="E272" s="46">
        <f>IF($A$1='Data Entry'!$C273,'Data Entry'!F273,"")</f>
        <v>0</v>
      </c>
      <c r="F272" s="46">
        <f>IF($A$1='Data Entry'!$C273,'Data Entry'!G273,"")</f>
        <v>0</v>
      </c>
      <c r="G272" s="46">
        <f>IF($A$1='Data Entry'!$C273,'Data Entry'!H273,"")</f>
        <v>0</v>
      </c>
      <c r="H272" s="46">
        <f>IF($A$1='Data Entry'!$C273,'Data Entry'!I273,"")</f>
        <v>0</v>
      </c>
      <c r="I272" s="46">
        <f>IF($A$1='Data Entry'!$C273,'Data Entry'!J273,"")</f>
        <v>0</v>
      </c>
      <c r="J272" s="46">
        <f>IF($A$1='Data Entry'!$C273,'Data Entry'!K273,"")</f>
        <v>0</v>
      </c>
      <c r="K272" s="46">
        <f>IF($A$1='Data Entry'!$C273,'Data Entry'!L273,"")</f>
        <v>0</v>
      </c>
      <c r="L272" s="46">
        <f>IF($A$1='Data Entry'!$C273,'Data Entry'!M273,"")</f>
        <v>0</v>
      </c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</row>
    <row r="273" spans="1:36" ht="15.95" customHeight="1" x14ac:dyDescent="0.2">
      <c r="A273" s="43"/>
      <c r="B273" s="45">
        <v>46</v>
      </c>
      <c r="C273" s="46">
        <f>IF($A$1='Data Entry'!$C274,'Data Entry'!D274,"")</f>
        <v>0</v>
      </c>
      <c r="D273" s="46">
        <f>IF($A$1='Data Entry'!$C274,'Data Entry'!E274,"")</f>
        <v>0</v>
      </c>
      <c r="E273" s="46">
        <f>IF($A$1='Data Entry'!$C274,'Data Entry'!F274,"")</f>
        <v>0</v>
      </c>
      <c r="F273" s="46">
        <f>IF($A$1='Data Entry'!$C274,'Data Entry'!G274,"")</f>
        <v>0</v>
      </c>
      <c r="G273" s="46">
        <f>IF($A$1='Data Entry'!$C274,'Data Entry'!H274,"")</f>
        <v>0</v>
      </c>
      <c r="H273" s="46">
        <f>IF($A$1='Data Entry'!$C274,'Data Entry'!I274,"")</f>
        <v>0</v>
      </c>
      <c r="I273" s="46">
        <f>IF($A$1='Data Entry'!$C274,'Data Entry'!J274,"")</f>
        <v>0</v>
      </c>
      <c r="J273" s="46">
        <f>IF($A$1='Data Entry'!$C274,'Data Entry'!K274,"")</f>
        <v>0</v>
      </c>
      <c r="K273" s="46">
        <f>IF($A$1='Data Entry'!$C274,'Data Entry'!L274,"")</f>
        <v>0</v>
      </c>
      <c r="L273" s="46">
        <f>IF($A$1='Data Entry'!$C274,'Data Entry'!M274,"")</f>
        <v>0</v>
      </c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</row>
    <row r="274" spans="1:36" ht="15.95" customHeight="1" x14ac:dyDescent="0.2">
      <c r="A274" s="43"/>
      <c r="B274" s="45">
        <v>46</v>
      </c>
      <c r="C274" s="46">
        <f>IF($A$1='Data Entry'!$C275,'Data Entry'!D275,"")</f>
        <v>0</v>
      </c>
      <c r="D274" s="46">
        <f>IF($A$1='Data Entry'!$C275,'Data Entry'!E275,"")</f>
        <v>0</v>
      </c>
      <c r="E274" s="46">
        <f>IF($A$1='Data Entry'!$C275,'Data Entry'!F275,"")</f>
        <v>0</v>
      </c>
      <c r="F274" s="46">
        <f>IF($A$1='Data Entry'!$C275,'Data Entry'!G275,"")</f>
        <v>0</v>
      </c>
      <c r="G274" s="46">
        <f>IF($A$1='Data Entry'!$C275,'Data Entry'!H275,"")</f>
        <v>0</v>
      </c>
      <c r="H274" s="46">
        <f>IF($A$1='Data Entry'!$C275,'Data Entry'!I275,"")</f>
        <v>0</v>
      </c>
      <c r="I274" s="46">
        <f>IF($A$1='Data Entry'!$C275,'Data Entry'!J275,"")</f>
        <v>0</v>
      </c>
      <c r="J274" s="46">
        <f>IF($A$1='Data Entry'!$C275,'Data Entry'!K275,"")</f>
        <v>0</v>
      </c>
      <c r="K274" s="46">
        <f>IF($A$1='Data Entry'!$C275,'Data Entry'!L275,"")</f>
        <v>0</v>
      </c>
      <c r="L274" s="46">
        <f>IF($A$1='Data Entry'!$C275,'Data Entry'!M275,"")</f>
        <v>0</v>
      </c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</row>
    <row r="275" spans="1:36" ht="15.95" customHeight="1" x14ac:dyDescent="0.2">
      <c r="A275" s="43"/>
      <c r="B275" s="45">
        <v>46</v>
      </c>
      <c r="C275" s="46">
        <f>IF($A$1='Data Entry'!$C276,'Data Entry'!D276,"")</f>
        <v>0</v>
      </c>
      <c r="D275" s="46">
        <f>IF($A$1='Data Entry'!$C276,'Data Entry'!E276,"")</f>
        <v>0</v>
      </c>
      <c r="E275" s="46">
        <f>IF($A$1='Data Entry'!$C276,'Data Entry'!F276,"")</f>
        <v>0</v>
      </c>
      <c r="F275" s="46">
        <f>IF($A$1='Data Entry'!$C276,'Data Entry'!G276,"")</f>
        <v>0</v>
      </c>
      <c r="G275" s="46">
        <f>IF($A$1='Data Entry'!$C276,'Data Entry'!H276,"")</f>
        <v>0</v>
      </c>
      <c r="H275" s="46">
        <f>IF($A$1='Data Entry'!$C276,'Data Entry'!I276,"")</f>
        <v>0</v>
      </c>
      <c r="I275" s="46">
        <f>IF($A$1='Data Entry'!$C276,'Data Entry'!J276,"")</f>
        <v>0</v>
      </c>
      <c r="J275" s="46">
        <f>IF($A$1='Data Entry'!$C276,'Data Entry'!K276,"")</f>
        <v>0</v>
      </c>
      <c r="K275" s="46">
        <f>IF($A$1='Data Entry'!$C276,'Data Entry'!L276,"")</f>
        <v>0</v>
      </c>
      <c r="L275" s="46">
        <f>IF($A$1='Data Entry'!$C276,'Data Entry'!M276,"")</f>
        <v>0</v>
      </c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</row>
    <row r="276" spans="1:36" ht="15.95" customHeight="1" x14ac:dyDescent="0.2">
      <c r="A276" s="43"/>
      <c r="B276" s="45">
        <v>46</v>
      </c>
      <c r="C276" s="46">
        <f>IF($A$1='Data Entry'!$C277,'Data Entry'!D277,"")</f>
        <v>0</v>
      </c>
      <c r="D276" s="46">
        <f>IF($A$1='Data Entry'!$C277,'Data Entry'!E277,"")</f>
        <v>0</v>
      </c>
      <c r="E276" s="46">
        <f>IF($A$1='Data Entry'!$C277,'Data Entry'!F277,"")</f>
        <v>0</v>
      </c>
      <c r="F276" s="46">
        <f>IF($A$1='Data Entry'!$C277,'Data Entry'!G277,"")</f>
        <v>0</v>
      </c>
      <c r="G276" s="46">
        <f>IF($A$1='Data Entry'!$C277,'Data Entry'!H277,"")</f>
        <v>0</v>
      </c>
      <c r="H276" s="46">
        <f>IF($A$1='Data Entry'!$C277,'Data Entry'!I277,"")</f>
        <v>0</v>
      </c>
      <c r="I276" s="46">
        <f>IF($A$1='Data Entry'!$C277,'Data Entry'!J277,"")</f>
        <v>0</v>
      </c>
      <c r="J276" s="46">
        <f>IF($A$1='Data Entry'!$C277,'Data Entry'!K277,"")</f>
        <v>0</v>
      </c>
      <c r="K276" s="46">
        <f>IF($A$1='Data Entry'!$C277,'Data Entry'!L277,"")</f>
        <v>0</v>
      </c>
      <c r="L276" s="46">
        <f>IF($A$1='Data Entry'!$C277,'Data Entry'!M277,"")</f>
        <v>0</v>
      </c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</row>
    <row r="277" spans="1:36" ht="15.95" customHeight="1" x14ac:dyDescent="0.2">
      <c r="A277" s="43"/>
      <c r="B277" s="45">
        <v>46</v>
      </c>
      <c r="C277" s="46">
        <f>IF($A$1='Data Entry'!$C278,'Data Entry'!D278,"")</f>
        <v>0</v>
      </c>
      <c r="D277" s="46">
        <f>IF($A$1='Data Entry'!$C278,'Data Entry'!E278,"")</f>
        <v>0</v>
      </c>
      <c r="E277" s="46">
        <f>IF($A$1='Data Entry'!$C278,'Data Entry'!F278,"")</f>
        <v>0</v>
      </c>
      <c r="F277" s="46">
        <f>IF($A$1='Data Entry'!$C278,'Data Entry'!G278,"")</f>
        <v>0</v>
      </c>
      <c r="G277" s="46">
        <f>IF($A$1='Data Entry'!$C278,'Data Entry'!H278,"")</f>
        <v>0</v>
      </c>
      <c r="H277" s="46">
        <f>IF($A$1='Data Entry'!$C278,'Data Entry'!I278,"")</f>
        <v>0</v>
      </c>
      <c r="I277" s="46">
        <f>IF($A$1='Data Entry'!$C278,'Data Entry'!J278,"")</f>
        <v>0</v>
      </c>
      <c r="J277" s="46">
        <f>IF($A$1='Data Entry'!$C278,'Data Entry'!K278,"")</f>
        <v>0</v>
      </c>
      <c r="K277" s="46">
        <f>IF($A$1='Data Entry'!$C278,'Data Entry'!L278,"")</f>
        <v>0</v>
      </c>
      <c r="L277" s="46">
        <f>IF($A$1='Data Entry'!$C278,'Data Entry'!M278,"")</f>
        <v>0</v>
      </c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</row>
    <row r="278" spans="1:36" ht="15.95" customHeight="1" x14ac:dyDescent="0.2">
      <c r="A278" s="43"/>
      <c r="B278" s="45">
        <v>46</v>
      </c>
      <c r="C278" s="46">
        <f>IF($A$1='Data Entry'!$C279,'Data Entry'!D279,"")</f>
        <v>0</v>
      </c>
      <c r="D278" s="46">
        <f>IF($A$1='Data Entry'!$C279,'Data Entry'!E279,"")</f>
        <v>0</v>
      </c>
      <c r="E278" s="46">
        <f>IF($A$1='Data Entry'!$C279,'Data Entry'!F279,"")</f>
        <v>0</v>
      </c>
      <c r="F278" s="46">
        <f>IF($A$1='Data Entry'!$C279,'Data Entry'!G279,"")</f>
        <v>0</v>
      </c>
      <c r="G278" s="46">
        <f>IF($A$1='Data Entry'!$C279,'Data Entry'!H279,"")</f>
        <v>0</v>
      </c>
      <c r="H278" s="46">
        <f>IF($A$1='Data Entry'!$C279,'Data Entry'!I279,"")</f>
        <v>0</v>
      </c>
      <c r="I278" s="46">
        <f>IF($A$1='Data Entry'!$C279,'Data Entry'!J279,"")</f>
        <v>0</v>
      </c>
      <c r="J278" s="46">
        <f>IF($A$1='Data Entry'!$C279,'Data Entry'!K279,"")</f>
        <v>0</v>
      </c>
      <c r="K278" s="46">
        <f>IF($A$1='Data Entry'!$C279,'Data Entry'!L279,"")</f>
        <v>0</v>
      </c>
      <c r="L278" s="46">
        <f>IF($A$1='Data Entry'!$C279,'Data Entry'!M279,"")</f>
        <v>0</v>
      </c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</row>
    <row r="279" spans="1:36" ht="15.95" customHeight="1" x14ac:dyDescent="0.2">
      <c r="A279" s="43"/>
      <c r="B279" s="45">
        <v>47</v>
      </c>
      <c r="C279" s="46">
        <f>IF($A$1='Data Entry'!$C280,'Data Entry'!D280,"")</f>
        <v>0</v>
      </c>
      <c r="D279" s="46">
        <f>IF($A$1='Data Entry'!$C280,'Data Entry'!E280,"")</f>
        <v>0</v>
      </c>
      <c r="E279" s="46">
        <f>IF($A$1='Data Entry'!$C280,'Data Entry'!F280,"")</f>
        <v>0</v>
      </c>
      <c r="F279" s="46">
        <f>IF($A$1='Data Entry'!$C280,'Data Entry'!G280,"")</f>
        <v>0</v>
      </c>
      <c r="G279" s="46">
        <f>IF($A$1='Data Entry'!$C280,'Data Entry'!H280,"")</f>
        <v>0</v>
      </c>
      <c r="H279" s="46">
        <f>IF($A$1='Data Entry'!$C280,'Data Entry'!I280,"")</f>
        <v>0</v>
      </c>
      <c r="I279" s="46">
        <f>IF($A$1='Data Entry'!$C280,'Data Entry'!J280,"")</f>
        <v>0</v>
      </c>
      <c r="J279" s="46">
        <f>IF($A$1='Data Entry'!$C280,'Data Entry'!K280,"")</f>
        <v>0</v>
      </c>
      <c r="K279" s="46">
        <f>IF($A$1='Data Entry'!$C280,'Data Entry'!L280,"")</f>
        <v>0</v>
      </c>
      <c r="L279" s="46">
        <f>IF($A$1='Data Entry'!$C280,'Data Entry'!M280,"")</f>
        <v>0</v>
      </c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</row>
    <row r="280" spans="1:36" ht="15.95" customHeight="1" x14ac:dyDescent="0.2">
      <c r="A280" s="43"/>
      <c r="B280" s="45">
        <v>47</v>
      </c>
      <c r="C280" s="46">
        <f>IF($A$1='Data Entry'!$C281,'Data Entry'!D281,"")</f>
        <v>0</v>
      </c>
      <c r="D280" s="46">
        <f>IF($A$1='Data Entry'!$C281,'Data Entry'!E281,"")</f>
        <v>0</v>
      </c>
      <c r="E280" s="46">
        <f>IF($A$1='Data Entry'!$C281,'Data Entry'!F281,"")</f>
        <v>0</v>
      </c>
      <c r="F280" s="46">
        <f>IF($A$1='Data Entry'!$C281,'Data Entry'!G281,"")</f>
        <v>0</v>
      </c>
      <c r="G280" s="46">
        <f>IF($A$1='Data Entry'!$C281,'Data Entry'!H281,"")</f>
        <v>0</v>
      </c>
      <c r="H280" s="46">
        <f>IF($A$1='Data Entry'!$C281,'Data Entry'!I281,"")</f>
        <v>0</v>
      </c>
      <c r="I280" s="46">
        <f>IF($A$1='Data Entry'!$C281,'Data Entry'!J281,"")</f>
        <v>0</v>
      </c>
      <c r="J280" s="46">
        <f>IF($A$1='Data Entry'!$C281,'Data Entry'!K281,"")</f>
        <v>0</v>
      </c>
      <c r="K280" s="46">
        <f>IF($A$1='Data Entry'!$C281,'Data Entry'!L281,"")</f>
        <v>0</v>
      </c>
      <c r="L280" s="46">
        <f>IF($A$1='Data Entry'!$C281,'Data Entry'!M281,"")</f>
        <v>0</v>
      </c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</row>
    <row r="281" spans="1:36" ht="15.95" customHeight="1" x14ac:dyDescent="0.2">
      <c r="A281" s="43"/>
      <c r="B281" s="45">
        <v>47</v>
      </c>
      <c r="C281" s="46">
        <f>IF($A$1='Data Entry'!$C282,'Data Entry'!D282,"")</f>
        <v>0</v>
      </c>
      <c r="D281" s="46">
        <f>IF($A$1='Data Entry'!$C282,'Data Entry'!E282,"")</f>
        <v>0</v>
      </c>
      <c r="E281" s="46">
        <f>IF($A$1='Data Entry'!$C282,'Data Entry'!F282,"")</f>
        <v>0</v>
      </c>
      <c r="F281" s="46">
        <f>IF($A$1='Data Entry'!$C282,'Data Entry'!G282,"")</f>
        <v>0</v>
      </c>
      <c r="G281" s="46">
        <f>IF($A$1='Data Entry'!$C282,'Data Entry'!H282,"")</f>
        <v>0</v>
      </c>
      <c r="H281" s="46">
        <f>IF($A$1='Data Entry'!$C282,'Data Entry'!I282,"")</f>
        <v>0</v>
      </c>
      <c r="I281" s="46">
        <f>IF($A$1='Data Entry'!$C282,'Data Entry'!J282,"")</f>
        <v>0</v>
      </c>
      <c r="J281" s="46">
        <f>IF($A$1='Data Entry'!$C282,'Data Entry'!K282,"")</f>
        <v>0</v>
      </c>
      <c r="K281" s="46">
        <f>IF($A$1='Data Entry'!$C282,'Data Entry'!L282,"")</f>
        <v>0</v>
      </c>
      <c r="L281" s="46">
        <f>IF($A$1='Data Entry'!$C282,'Data Entry'!M282,"")</f>
        <v>0</v>
      </c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</row>
    <row r="282" spans="1:36" ht="15.95" customHeight="1" x14ac:dyDescent="0.2">
      <c r="A282" s="43"/>
      <c r="B282" s="45">
        <v>47</v>
      </c>
      <c r="C282" s="46">
        <f>IF($A$1='Data Entry'!$C283,'Data Entry'!D283,"")</f>
        <v>0</v>
      </c>
      <c r="D282" s="46">
        <f>IF($A$1='Data Entry'!$C283,'Data Entry'!E283,"")</f>
        <v>0</v>
      </c>
      <c r="E282" s="46">
        <f>IF($A$1='Data Entry'!$C283,'Data Entry'!F283,"")</f>
        <v>0</v>
      </c>
      <c r="F282" s="46">
        <f>IF($A$1='Data Entry'!$C283,'Data Entry'!G283,"")</f>
        <v>0</v>
      </c>
      <c r="G282" s="46">
        <f>IF($A$1='Data Entry'!$C283,'Data Entry'!H283,"")</f>
        <v>0</v>
      </c>
      <c r="H282" s="46">
        <f>IF($A$1='Data Entry'!$C283,'Data Entry'!I283,"")</f>
        <v>0</v>
      </c>
      <c r="I282" s="46">
        <f>IF($A$1='Data Entry'!$C283,'Data Entry'!J283,"")</f>
        <v>0</v>
      </c>
      <c r="J282" s="46">
        <f>IF($A$1='Data Entry'!$C283,'Data Entry'!K283,"")</f>
        <v>0</v>
      </c>
      <c r="K282" s="46">
        <f>IF($A$1='Data Entry'!$C283,'Data Entry'!L283,"")</f>
        <v>0</v>
      </c>
      <c r="L282" s="46">
        <f>IF($A$1='Data Entry'!$C283,'Data Entry'!M283,"")</f>
        <v>0</v>
      </c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</row>
    <row r="283" spans="1:36" ht="15.95" customHeight="1" x14ac:dyDescent="0.2">
      <c r="A283" s="43"/>
      <c r="B283" s="45">
        <v>47</v>
      </c>
      <c r="C283" s="46">
        <f>IF($A$1='Data Entry'!$C284,'Data Entry'!D284,"")</f>
        <v>0</v>
      </c>
      <c r="D283" s="46">
        <f>IF($A$1='Data Entry'!$C284,'Data Entry'!E284,"")</f>
        <v>0</v>
      </c>
      <c r="E283" s="46">
        <f>IF($A$1='Data Entry'!$C284,'Data Entry'!F284,"")</f>
        <v>0</v>
      </c>
      <c r="F283" s="46">
        <f>IF($A$1='Data Entry'!$C284,'Data Entry'!G284,"")</f>
        <v>0</v>
      </c>
      <c r="G283" s="46">
        <f>IF($A$1='Data Entry'!$C284,'Data Entry'!H284,"")</f>
        <v>0</v>
      </c>
      <c r="H283" s="46">
        <f>IF($A$1='Data Entry'!$C284,'Data Entry'!I284,"")</f>
        <v>0</v>
      </c>
      <c r="I283" s="46">
        <f>IF($A$1='Data Entry'!$C284,'Data Entry'!J284,"")</f>
        <v>0</v>
      </c>
      <c r="J283" s="46">
        <f>IF($A$1='Data Entry'!$C284,'Data Entry'!K284,"")</f>
        <v>0</v>
      </c>
      <c r="K283" s="46">
        <f>IF($A$1='Data Entry'!$C284,'Data Entry'!L284,"")</f>
        <v>0</v>
      </c>
      <c r="L283" s="46">
        <f>IF($A$1='Data Entry'!$C284,'Data Entry'!M284,"")</f>
        <v>0</v>
      </c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</row>
    <row r="284" spans="1:36" ht="15.95" customHeight="1" x14ac:dyDescent="0.2">
      <c r="A284" s="43"/>
      <c r="B284" s="45">
        <v>47</v>
      </c>
      <c r="C284" s="46">
        <f>IF($A$1='Data Entry'!$C285,'Data Entry'!D285,"")</f>
        <v>0</v>
      </c>
      <c r="D284" s="46">
        <f>IF($A$1='Data Entry'!$C285,'Data Entry'!E285,"")</f>
        <v>0</v>
      </c>
      <c r="E284" s="46">
        <f>IF($A$1='Data Entry'!$C285,'Data Entry'!F285,"")</f>
        <v>0</v>
      </c>
      <c r="F284" s="46">
        <f>IF($A$1='Data Entry'!$C285,'Data Entry'!G285,"")</f>
        <v>0</v>
      </c>
      <c r="G284" s="46">
        <f>IF($A$1='Data Entry'!$C285,'Data Entry'!H285,"")</f>
        <v>0</v>
      </c>
      <c r="H284" s="46">
        <f>IF($A$1='Data Entry'!$C285,'Data Entry'!I285,"")</f>
        <v>0</v>
      </c>
      <c r="I284" s="46">
        <f>IF($A$1='Data Entry'!$C285,'Data Entry'!J285,"")</f>
        <v>0</v>
      </c>
      <c r="J284" s="46">
        <f>IF($A$1='Data Entry'!$C285,'Data Entry'!K285,"")</f>
        <v>0</v>
      </c>
      <c r="K284" s="46">
        <f>IF($A$1='Data Entry'!$C285,'Data Entry'!L285,"")</f>
        <v>0</v>
      </c>
      <c r="L284" s="46">
        <f>IF($A$1='Data Entry'!$C285,'Data Entry'!M285,"")</f>
        <v>0</v>
      </c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</row>
    <row r="285" spans="1:36" ht="15.95" customHeight="1" x14ac:dyDescent="0.2">
      <c r="A285" s="43"/>
      <c r="B285" s="45">
        <v>48</v>
      </c>
      <c r="C285" s="46">
        <f>IF($A$1='Data Entry'!$C286,'Data Entry'!D286,"")</f>
        <v>0</v>
      </c>
      <c r="D285" s="46">
        <f>IF($A$1='Data Entry'!$C286,'Data Entry'!E286,"")</f>
        <v>0</v>
      </c>
      <c r="E285" s="46">
        <f>IF($A$1='Data Entry'!$C286,'Data Entry'!F286,"")</f>
        <v>0</v>
      </c>
      <c r="F285" s="46">
        <f>IF($A$1='Data Entry'!$C286,'Data Entry'!G286,"")</f>
        <v>0</v>
      </c>
      <c r="G285" s="46">
        <f>IF($A$1='Data Entry'!$C286,'Data Entry'!H286,"")</f>
        <v>0</v>
      </c>
      <c r="H285" s="46">
        <f>IF($A$1='Data Entry'!$C286,'Data Entry'!I286,"")</f>
        <v>0</v>
      </c>
      <c r="I285" s="46">
        <f>IF($A$1='Data Entry'!$C286,'Data Entry'!J286,"")</f>
        <v>0</v>
      </c>
      <c r="J285" s="46">
        <f>IF($A$1='Data Entry'!$C286,'Data Entry'!K286,"")</f>
        <v>0</v>
      </c>
      <c r="K285" s="46">
        <f>IF($A$1='Data Entry'!$C286,'Data Entry'!L286,"")</f>
        <v>0</v>
      </c>
      <c r="L285" s="46">
        <f>IF($A$1='Data Entry'!$C286,'Data Entry'!M286,"")</f>
        <v>0</v>
      </c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</row>
    <row r="286" spans="1:36" ht="15.95" customHeight="1" x14ac:dyDescent="0.2">
      <c r="A286" s="43"/>
      <c r="B286" s="45">
        <v>48</v>
      </c>
      <c r="C286" s="46">
        <f>IF($A$1='Data Entry'!$C287,'Data Entry'!D287,"")</f>
        <v>0</v>
      </c>
      <c r="D286" s="46">
        <f>IF($A$1='Data Entry'!$C287,'Data Entry'!E287,"")</f>
        <v>0</v>
      </c>
      <c r="E286" s="46">
        <f>IF($A$1='Data Entry'!$C287,'Data Entry'!F287,"")</f>
        <v>0</v>
      </c>
      <c r="F286" s="46">
        <f>IF($A$1='Data Entry'!$C287,'Data Entry'!G287,"")</f>
        <v>0</v>
      </c>
      <c r="G286" s="46">
        <f>IF($A$1='Data Entry'!$C287,'Data Entry'!H287,"")</f>
        <v>0</v>
      </c>
      <c r="H286" s="46">
        <f>IF($A$1='Data Entry'!$C287,'Data Entry'!I287,"")</f>
        <v>0</v>
      </c>
      <c r="I286" s="46">
        <f>IF($A$1='Data Entry'!$C287,'Data Entry'!J287,"")</f>
        <v>0</v>
      </c>
      <c r="J286" s="46">
        <f>IF($A$1='Data Entry'!$C287,'Data Entry'!K287,"")</f>
        <v>0</v>
      </c>
      <c r="K286" s="46">
        <f>IF($A$1='Data Entry'!$C287,'Data Entry'!L287,"")</f>
        <v>0</v>
      </c>
      <c r="L286" s="46">
        <f>IF($A$1='Data Entry'!$C287,'Data Entry'!M287,"")</f>
        <v>0</v>
      </c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</row>
    <row r="287" spans="1:36" ht="15.95" customHeight="1" x14ac:dyDescent="0.2">
      <c r="A287" s="43"/>
      <c r="B287" s="45">
        <v>48</v>
      </c>
      <c r="C287" s="46">
        <f>IF($A$1='Data Entry'!$C288,'Data Entry'!D288,"")</f>
        <v>0</v>
      </c>
      <c r="D287" s="46">
        <f>IF($A$1='Data Entry'!$C288,'Data Entry'!E288,"")</f>
        <v>0</v>
      </c>
      <c r="E287" s="46">
        <f>IF($A$1='Data Entry'!$C288,'Data Entry'!F288,"")</f>
        <v>0</v>
      </c>
      <c r="F287" s="46">
        <f>IF($A$1='Data Entry'!$C288,'Data Entry'!G288,"")</f>
        <v>0</v>
      </c>
      <c r="G287" s="46">
        <f>IF($A$1='Data Entry'!$C288,'Data Entry'!H288,"")</f>
        <v>0</v>
      </c>
      <c r="H287" s="46">
        <f>IF($A$1='Data Entry'!$C288,'Data Entry'!I288,"")</f>
        <v>0</v>
      </c>
      <c r="I287" s="46">
        <f>IF($A$1='Data Entry'!$C288,'Data Entry'!J288,"")</f>
        <v>0</v>
      </c>
      <c r="J287" s="46">
        <f>IF($A$1='Data Entry'!$C288,'Data Entry'!K288,"")</f>
        <v>0</v>
      </c>
      <c r="K287" s="46">
        <f>IF($A$1='Data Entry'!$C288,'Data Entry'!L288,"")</f>
        <v>0</v>
      </c>
      <c r="L287" s="46">
        <f>IF($A$1='Data Entry'!$C288,'Data Entry'!M288,"")</f>
        <v>0</v>
      </c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</row>
    <row r="288" spans="1:36" ht="15.95" customHeight="1" x14ac:dyDescent="0.2">
      <c r="A288" s="43"/>
      <c r="B288" s="45">
        <v>48</v>
      </c>
      <c r="C288" s="46">
        <f>IF($A$1='Data Entry'!$C289,'Data Entry'!D289,"")</f>
        <v>0</v>
      </c>
      <c r="D288" s="46">
        <f>IF($A$1='Data Entry'!$C289,'Data Entry'!E289,"")</f>
        <v>0</v>
      </c>
      <c r="E288" s="46">
        <f>IF($A$1='Data Entry'!$C289,'Data Entry'!F289,"")</f>
        <v>0</v>
      </c>
      <c r="F288" s="46">
        <f>IF($A$1='Data Entry'!$C289,'Data Entry'!G289,"")</f>
        <v>0</v>
      </c>
      <c r="G288" s="46">
        <f>IF($A$1='Data Entry'!$C289,'Data Entry'!H289,"")</f>
        <v>0</v>
      </c>
      <c r="H288" s="46">
        <f>IF($A$1='Data Entry'!$C289,'Data Entry'!I289,"")</f>
        <v>0</v>
      </c>
      <c r="I288" s="46">
        <f>IF($A$1='Data Entry'!$C289,'Data Entry'!J289,"")</f>
        <v>0</v>
      </c>
      <c r="J288" s="46">
        <f>IF($A$1='Data Entry'!$C289,'Data Entry'!K289,"")</f>
        <v>0</v>
      </c>
      <c r="K288" s="46">
        <f>IF($A$1='Data Entry'!$C289,'Data Entry'!L289,"")</f>
        <v>0</v>
      </c>
      <c r="L288" s="46">
        <f>IF($A$1='Data Entry'!$C289,'Data Entry'!M289,"")</f>
        <v>0</v>
      </c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</row>
    <row r="289" spans="1:36" ht="15.95" customHeight="1" x14ac:dyDescent="0.2">
      <c r="A289" s="43"/>
      <c r="B289" s="45">
        <v>48</v>
      </c>
      <c r="C289" s="46">
        <f>IF($A$1='Data Entry'!$C290,'Data Entry'!D290,"")</f>
        <v>0</v>
      </c>
      <c r="D289" s="46">
        <f>IF($A$1='Data Entry'!$C290,'Data Entry'!E290,"")</f>
        <v>0</v>
      </c>
      <c r="E289" s="46">
        <f>IF($A$1='Data Entry'!$C290,'Data Entry'!F290,"")</f>
        <v>0</v>
      </c>
      <c r="F289" s="46">
        <f>IF($A$1='Data Entry'!$C290,'Data Entry'!G290,"")</f>
        <v>0</v>
      </c>
      <c r="G289" s="46">
        <f>IF($A$1='Data Entry'!$C290,'Data Entry'!H290,"")</f>
        <v>0</v>
      </c>
      <c r="H289" s="46">
        <f>IF($A$1='Data Entry'!$C290,'Data Entry'!I290,"")</f>
        <v>0</v>
      </c>
      <c r="I289" s="46">
        <f>IF($A$1='Data Entry'!$C290,'Data Entry'!J290,"")</f>
        <v>0</v>
      </c>
      <c r="J289" s="46">
        <f>IF($A$1='Data Entry'!$C290,'Data Entry'!K290,"")</f>
        <v>0</v>
      </c>
      <c r="K289" s="46">
        <f>IF($A$1='Data Entry'!$C290,'Data Entry'!L290,"")</f>
        <v>0</v>
      </c>
      <c r="L289" s="46">
        <f>IF($A$1='Data Entry'!$C290,'Data Entry'!M290,"")</f>
        <v>0</v>
      </c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</row>
    <row r="290" spans="1:36" ht="15.95" customHeight="1" x14ac:dyDescent="0.2">
      <c r="A290" s="43"/>
      <c r="B290" s="45">
        <v>48</v>
      </c>
      <c r="C290" s="46">
        <f>IF($A$1='Data Entry'!$C291,'Data Entry'!D291,"")</f>
        <v>0</v>
      </c>
      <c r="D290" s="46">
        <f>IF($A$1='Data Entry'!$C291,'Data Entry'!E291,"")</f>
        <v>0</v>
      </c>
      <c r="E290" s="46">
        <f>IF($A$1='Data Entry'!$C291,'Data Entry'!F291,"")</f>
        <v>0</v>
      </c>
      <c r="F290" s="46">
        <f>IF($A$1='Data Entry'!$C291,'Data Entry'!G291,"")</f>
        <v>0</v>
      </c>
      <c r="G290" s="46">
        <f>IF($A$1='Data Entry'!$C291,'Data Entry'!H291,"")</f>
        <v>0</v>
      </c>
      <c r="H290" s="46">
        <f>IF($A$1='Data Entry'!$C291,'Data Entry'!I291,"")</f>
        <v>0</v>
      </c>
      <c r="I290" s="46">
        <f>IF($A$1='Data Entry'!$C291,'Data Entry'!J291,"")</f>
        <v>0</v>
      </c>
      <c r="J290" s="46">
        <f>IF($A$1='Data Entry'!$C291,'Data Entry'!K291,"")</f>
        <v>0</v>
      </c>
      <c r="K290" s="46">
        <f>IF($A$1='Data Entry'!$C291,'Data Entry'!L291,"")</f>
        <v>0</v>
      </c>
      <c r="L290" s="46">
        <f>IF($A$1='Data Entry'!$C291,'Data Entry'!M291,"")</f>
        <v>0</v>
      </c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</row>
    <row r="291" spans="1:36" ht="15.95" customHeight="1" x14ac:dyDescent="0.2">
      <c r="A291" s="43"/>
      <c r="B291" s="45">
        <v>49</v>
      </c>
      <c r="C291" s="46">
        <f>IF($A$1='Data Entry'!$C292,'Data Entry'!D292,"")</f>
        <v>0</v>
      </c>
      <c r="D291" s="46">
        <f>IF($A$1='Data Entry'!$C292,'Data Entry'!E292,"")</f>
        <v>0</v>
      </c>
      <c r="E291" s="46">
        <f>IF($A$1='Data Entry'!$C292,'Data Entry'!F292,"")</f>
        <v>0</v>
      </c>
      <c r="F291" s="46">
        <f>IF($A$1='Data Entry'!$C292,'Data Entry'!G292,"")</f>
        <v>0</v>
      </c>
      <c r="G291" s="46">
        <f>IF($A$1='Data Entry'!$C292,'Data Entry'!H292,"")</f>
        <v>0</v>
      </c>
      <c r="H291" s="46">
        <f>IF($A$1='Data Entry'!$C292,'Data Entry'!I292,"")</f>
        <v>0</v>
      </c>
      <c r="I291" s="46">
        <f>IF($A$1='Data Entry'!$C292,'Data Entry'!J292,"")</f>
        <v>0</v>
      </c>
      <c r="J291" s="46">
        <f>IF($A$1='Data Entry'!$C292,'Data Entry'!K292,"")</f>
        <v>0</v>
      </c>
      <c r="K291" s="46">
        <f>IF($A$1='Data Entry'!$C292,'Data Entry'!L292,"")</f>
        <v>0</v>
      </c>
      <c r="L291" s="46">
        <f>IF($A$1='Data Entry'!$C292,'Data Entry'!M292,"")</f>
        <v>0</v>
      </c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</row>
    <row r="292" spans="1:36" ht="15.95" customHeight="1" x14ac:dyDescent="0.2">
      <c r="A292" s="43"/>
      <c r="B292" s="45">
        <v>49</v>
      </c>
      <c r="C292" s="46">
        <f>IF($A$1='Data Entry'!$C293,'Data Entry'!D293,"")</f>
        <v>0</v>
      </c>
      <c r="D292" s="46">
        <f>IF($A$1='Data Entry'!$C293,'Data Entry'!E293,"")</f>
        <v>0</v>
      </c>
      <c r="E292" s="46">
        <f>IF($A$1='Data Entry'!$C293,'Data Entry'!F293,"")</f>
        <v>0</v>
      </c>
      <c r="F292" s="46">
        <f>IF($A$1='Data Entry'!$C293,'Data Entry'!G293,"")</f>
        <v>0</v>
      </c>
      <c r="G292" s="46">
        <f>IF($A$1='Data Entry'!$C293,'Data Entry'!H293,"")</f>
        <v>0</v>
      </c>
      <c r="H292" s="46">
        <f>IF($A$1='Data Entry'!$C293,'Data Entry'!I293,"")</f>
        <v>0</v>
      </c>
      <c r="I292" s="46">
        <f>IF($A$1='Data Entry'!$C293,'Data Entry'!J293,"")</f>
        <v>0</v>
      </c>
      <c r="J292" s="46">
        <f>IF($A$1='Data Entry'!$C293,'Data Entry'!K293,"")</f>
        <v>0</v>
      </c>
      <c r="K292" s="46">
        <f>IF($A$1='Data Entry'!$C293,'Data Entry'!L293,"")</f>
        <v>0</v>
      </c>
      <c r="L292" s="46">
        <f>IF($A$1='Data Entry'!$C293,'Data Entry'!M293,"")</f>
        <v>0</v>
      </c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</row>
    <row r="293" spans="1:36" ht="15.95" customHeight="1" x14ac:dyDescent="0.2">
      <c r="A293" s="43"/>
      <c r="B293" s="45">
        <v>49</v>
      </c>
      <c r="C293" s="46">
        <f>IF($A$1='Data Entry'!$C294,'Data Entry'!D294,"")</f>
        <v>0</v>
      </c>
      <c r="D293" s="46">
        <f>IF($A$1='Data Entry'!$C294,'Data Entry'!E294,"")</f>
        <v>0</v>
      </c>
      <c r="E293" s="46">
        <f>IF($A$1='Data Entry'!$C294,'Data Entry'!F294,"")</f>
        <v>0</v>
      </c>
      <c r="F293" s="46">
        <f>IF($A$1='Data Entry'!$C294,'Data Entry'!G294,"")</f>
        <v>0</v>
      </c>
      <c r="G293" s="46">
        <f>IF($A$1='Data Entry'!$C294,'Data Entry'!H294,"")</f>
        <v>0</v>
      </c>
      <c r="H293" s="46">
        <f>IF($A$1='Data Entry'!$C294,'Data Entry'!I294,"")</f>
        <v>0</v>
      </c>
      <c r="I293" s="46">
        <f>IF($A$1='Data Entry'!$C294,'Data Entry'!J294,"")</f>
        <v>0</v>
      </c>
      <c r="J293" s="46">
        <f>IF($A$1='Data Entry'!$C294,'Data Entry'!K294,"")</f>
        <v>0</v>
      </c>
      <c r="K293" s="46">
        <f>IF($A$1='Data Entry'!$C294,'Data Entry'!L294,"")</f>
        <v>0</v>
      </c>
      <c r="L293" s="46">
        <f>IF($A$1='Data Entry'!$C294,'Data Entry'!M294,"")</f>
        <v>0</v>
      </c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</row>
    <row r="294" spans="1:36" ht="15.95" customHeight="1" x14ac:dyDescent="0.2">
      <c r="A294" s="43"/>
      <c r="B294" s="45">
        <v>49</v>
      </c>
      <c r="C294" s="46">
        <f>IF($A$1='Data Entry'!$C295,'Data Entry'!D295,"")</f>
        <v>0</v>
      </c>
      <c r="D294" s="46">
        <f>IF($A$1='Data Entry'!$C295,'Data Entry'!E295,"")</f>
        <v>0</v>
      </c>
      <c r="E294" s="46">
        <f>IF($A$1='Data Entry'!$C295,'Data Entry'!F295,"")</f>
        <v>0</v>
      </c>
      <c r="F294" s="46">
        <f>IF($A$1='Data Entry'!$C295,'Data Entry'!G295,"")</f>
        <v>0</v>
      </c>
      <c r="G294" s="46">
        <f>IF($A$1='Data Entry'!$C295,'Data Entry'!H295,"")</f>
        <v>0</v>
      </c>
      <c r="H294" s="46">
        <f>IF($A$1='Data Entry'!$C295,'Data Entry'!I295,"")</f>
        <v>0</v>
      </c>
      <c r="I294" s="46">
        <f>IF($A$1='Data Entry'!$C295,'Data Entry'!J295,"")</f>
        <v>0</v>
      </c>
      <c r="J294" s="46">
        <f>IF($A$1='Data Entry'!$C295,'Data Entry'!K295,"")</f>
        <v>0</v>
      </c>
      <c r="K294" s="46">
        <f>IF($A$1='Data Entry'!$C295,'Data Entry'!L295,"")</f>
        <v>0</v>
      </c>
      <c r="L294" s="46">
        <f>IF($A$1='Data Entry'!$C295,'Data Entry'!M295,"")</f>
        <v>0</v>
      </c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</row>
    <row r="295" spans="1:36" ht="15.95" customHeight="1" x14ac:dyDescent="0.2">
      <c r="A295" s="43"/>
      <c r="B295" s="45">
        <v>49</v>
      </c>
      <c r="C295" s="46">
        <f>IF($A$1='Data Entry'!$C296,'Data Entry'!D296,"")</f>
        <v>0</v>
      </c>
      <c r="D295" s="46">
        <f>IF($A$1='Data Entry'!$C296,'Data Entry'!E296,"")</f>
        <v>0</v>
      </c>
      <c r="E295" s="46">
        <f>IF($A$1='Data Entry'!$C296,'Data Entry'!F296,"")</f>
        <v>0</v>
      </c>
      <c r="F295" s="46">
        <f>IF($A$1='Data Entry'!$C296,'Data Entry'!G296,"")</f>
        <v>0</v>
      </c>
      <c r="G295" s="46">
        <f>IF($A$1='Data Entry'!$C296,'Data Entry'!H296,"")</f>
        <v>0</v>
      </c>
      <c r="H295" s="46">
        <f>IF($A$1='Data Entry'!$C296,'Data Entry'!I296,"")</f>
        <v>0</v>
      </c>
      <c r="I295" s="46">
        <f>IF($A$1='Data Entry'!$C296,'Data Entry'!J296,"")</f>
        <v>0</v>
      </c>
      <c r="J295" s="46">
        <f>IF($A$1='Data Entry'!$C296,'Data Entry'!K296,"")</f>
        <v>0</v>
      </c>
      <c r="K295" s="46">
        <f>IF($A$1='Data Entry'!$C296,'Data Entry'!L296,"")</f>
        <v>0</v>
      </c>
      <c r="L295" s="46">
        <f>IF($A$1='Data Entry'!$C296,'Data Entry'!M296,"")</f>
        <v>0</v>
      </c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</row>
    <row r="296" spans="1:36" ht="15.95" customHeight="1" x14ac:dyDescent="0.2">
      <c r="A296" s="43"/>
      <c r="B296" s="45">
        <v>49</v>
      </c>
      <c r="C296" s="46">
        <f>IF($A$1='Data Entry'!$C297,'Data Entry'!D297,"")</f>
        <v>0</v>
      </c>
      <c r="D296" s="46">
        <f>IF($A$1='Data Entry'!$C297,'Data Entry'!E297,"")</f>
        <v>0</v>
      </c>
      <c r="E296" s="46">
        <f>IF($A$1='Data Entry'!$C297,'Data Entry'!F297,"")</f>
        <v>0</v>
      </c>
      <c r="F296" s="46">
        <f>IF($A$1='Data Entry'!$C297,'Data Entry'!G297,"")</f>
        <v>0</v>
      </c>
      <c r="G296" s="46">
        <f>IF($A$1='Data Entry'!$C297,'Data Entry'!H297,"")</f>
        <v>0</v>
      </c>
      <c r="H296" s="46">
        <f>IF($A$1='Data Entry'!$C297,'Data Entry'!I297,"")</f>
        <v>0</v>
      </c>
      <c r="I296" s="46">
        <f>IF($A$1='Data Entry'!$C297,'Data Entry'!J297,"")</f>
        <v>0</v>
      </c>
      <c r="J296" s="46">
        <f>IF($A$1='Data Entry'!$C297,'Data Entry'!K297,"")</f>
        <v>0</v>
      </c>
      <c r="K296" s="46">
        <f>IF($A$1='Data Entry'!$C297,'Data Entry'!L297,"")</f>
        <v>0</v>
      </c>
      <c r="L296" s="46">
        <f>IF($A$1='Data Entry'!$C297,'Data Entry'!M297,"")</f>
        <v>0</v>
      </c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</row>
    <row r="297" spans="1:36" ht="15.95" customHeight="1" x14ac:dyDescent="0.2">
      <c r="A297" s="43"/>
      <c r="B297" s="45">
        <v>50</v>
      </c>
      <c r="C297" s="46">
        <f>IF($A$1='Data Entry'!$C298,'Data Entry'!D298,"")</f>
        <v>0</v>
      </c>
      <c r="D297" s="46">
        <f>IF($A$1='Data Entry'!$C298,'Data Entry'!E298,"")</f>
        <v>0</v>
      </c>
      <c r="E297" s="46">
        <f>IF($A$1='Data Entry'!$C298,'Data Entry'!F298,"")</f>
        <v>0</v>
      </c>
      <c r="F297" s="46">
        <f>IF($A$1='Data Entry'!$C298,'Data Entry'!G298,"")</f>
        <v>0</v>
      </c>
      <c r="G297" s="46">
        <f>IF($A$1='Data Entry'!$C298,'Data Entry'!H298,"")</f>
        <v>0</v>
      </c>
      <c r="H297" s="46">
        <f>IF($A$1='Data Entry'!$C298,'Data Entry'!I298,"")</f>
        <v>0</v>
      </c>
      <c r="I297" s="46">
        <f>IF($A$1='Data Entry'!$C298,'Data Entry'!J298,"")</f>
        <v>0</v>
      </c>
      <c r="J297" s="46">
        <f>IF($A$1='Data Entry'!$C298,'Data Entry'!K298,"")</f>
        <v>0</v>
      </c>
      <c r="K297" s="46">
        <f>IF($A$1='Data Entry'!$C298,'Data Entry'!L298,"")</f>
        <v>0</v>
      </c>
      <c r="L297" s="46">
        <f>IF($A$1='Data Entry'!$C298,'Data Entry'!M298,"")</f>
        <v>0</v>
      </c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</row>
    <row r="298" spans="1:36" ht="15.95" customHeight="1" x14ac:dyDescent="0.2">
      <c r="A298" s="43"/>
      <c r="B298" s="45">
        <v>50</v>
      </c>
      <c r="C298" s="46">
        <f>IF($A$1='Data Entry'!$C299,'Data Entry'!D299,"")</f>
        <v>0</v>
      </c>
      <c r="D298" s="46">
        <f>IF($A$1='Data Entry'!$C299,'Data Entry'!E299,"")</f>
        <v>0</v>
      </c>
      <c r="E298" s="46">
        <f>IF($A$1='Data Entry'!$C299,'Data Entry'!F299,"")</f>
        <v>0</v>
      </c>
      <c r="F298" s="46">
        <f>IF($A$1='Data Entry'!$C299,'Data Entry'!G299,"")</f>
        <v>0</v>
      </c>
      <c r="G298" s="46">
        <f>IF($A$1='Data Entry'!$C299,'Data Entry'!H299,"")</f>
        <v>0</v>
      </c>
      <c r="H298" s="46">
        <f>IF($A$1='Data Entry'!$C299,'Data Entry'!I299,"")</f>
        <v>0</v>
      </c>
      <c r="I298" s="46">
        <f>IF($A$1='Data Entry'!$C299,'Data Entry'!J299,"")</f>
        <v>0</v>
      </c>
      <c r="J298" s="46">
        <f>IF($A$1='Data Entry'!$C299,'Data Entry'!K299,"")</f>
        <v>0</v>
      </c>
      <c r="K298" s="46">
        <f>IF($A$1='Data Entry'!$C299,'Data Entry'!L299,"")</f>
        <v>0</v>
      </c>
      <c r="L298" s="46">
        <f>IF($A$1='Data Entry'!$C299,'Data Entry'!M299,"")</f>
        <v>0</v>
      </c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</row>
    <row r="299" spans="1:36" ht="15.95" customHeight="1" x14ac:dyDescent="0.2">
      <c r="A299" s="43"/>
      <c r="B299" s="45">
        <v>50</v>
      </c>
      <c r="C299" s="46">
        <f>IF($A$1='Data Entry'!$C300,'Data Entry'!D300,"")</f>
        <v>0</v>
      </c>
      <c r="D299" s="46">
        <f>IF($A$1='Data Entry'!$C300,'Data Entry'!E300,"")</f>
        <v>0</v>
      </c>
      <c r="E299" s="46">
        <f>IF($A$1='Data Entry'!$C300,'Data Entry'!F300,"")</f>
        <v>0</v>
      </c>
      <c r="F299" s="46">
        <f>IF($A$1='Data Entry'!$C300,'Data Entry'!G300,"")</f>
        <v>0</v>
      </c>
      <c r="G299" s="46">
        <f>IF($A$1='Data Entry'!$C300,'Data Entry'!H300,"")</f>
        <v>0</v>
      </c>
      <c r="H299" s="46">
        <f>IF($A$1='Data Entry'!$C300,'Data Entry'!I300,"")</f>
        <v>0</v>
      </c>
      <c r="I299" s="46">
        <f>IF($A$1='Data Entry'!$C300,'Data Entry'!J300,"")</f>
        <v>0</v>
      </c>
      <c r="J299" s="46">
        <f>IF($A$1='Data Entry'!$C300,'Data Entry'!K300,"")</f>
        <v>0</v>
      </c>
      <c r="K299" s="46">
        <f>IF($A$1='Data Entry'!$C300,'Data Entry'!L300,"")</f>
        <v>0</v>
      </c>
      <c r="L299" s="46">
        <f>IF($A$1='Data Entry'!$C300,'Data Entry'!M300,"")</f>
        <v>0</v>
      </c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</row>
    <row r="300" spans="1:36" ht="15.95" customHeight="1" x14ac:dyDescent="0.2">
      <c r="A300" s="43"/>
      <c r="B300" s="45">
        <v>50</v>
      </c>
      <c r="C300" s="46">
        <f>IF($A$1='Data Entry'!$C301,'Data Entry'!D301,"")</f>
        <v>0</v>
      </c>
      <c r="D300" s="46">
        <f>IF($A$1='Data Entry'!$C301,'Data Entry'!E301,"")</f>
        <v>0</v>
      </c>
      <c r="E300" s="46">
        <f>IF($A$1='Data Entry'!$C301,'Data Entry'!F301,"")</f>
        <v>0</v>
      </c>
      <c r="F300" s="46">
        <f>IF($A$1='Data Entry'!$C301,'Data Entry'!G301,"")</f>
        <v>0</v>
      </c>
      <c r="G300" s="46">
        <f>IF($A$1='Data Entry'!$C301,'Data Entry'!H301,"")</f>
        <v>0</v>
      </c>
      <c r="H300" s="46">
        <f>IF($A$1='Data Entry'!$C301,'Data Entry'!I301,"")</f>
        <v>0</v>
      </c>
      <c r="I300" s="46">
        <f>IF($A$1='Data Entry'!$C301,'Data Entry'!J301,"")</f>
        <v>0</v>
      </c>
      <c r="J300" s="46">
        <f>IF($A$1='Data Entry'!$C301,'Data Entry'!K301,"")</f>
        <v>0</v>
      </c>
      <c r="K300" s="46">
        <f>IF($A$1='Data Entry'!$C301,'Data Entry'!L301,"")</f>
        <v>0</v>
      </c>
      <c r="L300" s="46">
        <f>IF($A$1='Data Entry'!$C301,'Data Entry'!M301,"")</f>
        <v>0</v>
      </c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</row>
    <row r="301" spans="1:36" ht="15.95" customHeight="1" x14ac:dyDescent="0.2">
      <c r="A301" s="43"/>
      <c r="B301" s="45">
        <v>50</v>
      </c>
      <c r="C301" s="46">
        <f>IF($A$1='Data Entry'!$C302,'Data Entry'!D302,"")</f>
        <v>0</v>
      </c>
      <c r="D301" s="46">
        <f>IF($A$1='Data Entry'!$C302,'Data Entry'!E302,"")</f>
        <v>0</v>
      </c>
      <c r="E301" s="46">
        <f>IF($A$1='Data Entry'!$C302,'Data Entry'!F302,"")</f>
        <v>0</v>
      </c>
      <c r="F301" s="46">
        <f>IF($A$1='Data Entry'!$C302,'Data Entry'!G302,"")</f>
        <v>0</v>
      </c>
      <c r="G301" s="46">
        <f>IF($A$1='Data Entry'!$C302,'Data Entry'!H302,"")</f>
        <v>0</v>
      </c>
      <c r="H301" s="46">
        <f>IF($A$1='Data Entry'!$C302,'Data Entry'!I302,"")</f>
        <v>0</v>
      </c>
      <c r="I301" s="46">
        <f>IF($A$1='Data Entry'!$C302,'Data Entry'!J302,"")</f>
        <v>0</v>
      </c>
      <c r="J301" s="46">
        <f>IF($A$1='Data Entry'!$C302,'Data Entry'!K302,"")</f>
        <v>0</v>
      </c>
      <c r="K301" s="46">
        <f>IF($A$1='Data Entry'!$C302,'Data Entry'!L302,"")</f>
        <v>0</v>
      </c>
      <c r="L301" s="46">
        <f>IF($A$1='Data Entry'!$C302,'Data Entry'!M302,"")</f>
        <v>0</v>
      </c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</row>
    <row r="302" spans="1:36" ht="15.95" customHeight="1" x14ac:dyDescent="0.2">
      <c r="A302" s="43"/>
      <c r="B302" s="45">
        <v>50</v>
      </c>
      <c r="C302" s="46">
        <f>IF($A$1='Data Entry'!$C303,'Data Entry'!D303,"")</f>
        <v>0</v>
      </c>
      <c r="D302" s="46">
        <f>IF($A$1='Data Entry'!$C303,'Data Entry'!E303,"")</f>
        <v>0</v>
      </c>
      <c r="E302" s="46">
        <f>IF($A$1='Data Entry'!$C303,'Data Entry'!F303,"")</f>
        <v>0</v>
      </c>
      <c r="F302" s="46">
        <f>IF($A$1='Data Entry'!$C303,'Data Entry'!G303,"")</f>
        <v>0</v>
      </c>
      <c r="G302" s="46">
        <f>IF($A$1='Data Entry'!$C303,'Data Entry'!H303,"")</f>
        <v>0</v>
      </c>
      <c r="H302" s="46">
        <f>IF($A$1='Data Entry'!$C303,'Data Entry'!I303,"")</f>
        <v>0</v>
      </c>
      <c r="I302" s="46">
        <f>IF($A$1='Data Entry'!$C303,'Data Entry'!J303,"")</f>
        <v>0</v>
      </c>
      <c r="J302" s="46">
        <f>IF($A$1='Data Entry'!$C303,'Data Entry'!K303,"")</f>
        <v>0</v>
      </c>
      <c r="K302" s="46">
        <f>IF($A$1='Data Entry'!$C303,'Data Entry'!L303,"")</f>
        <v>0</v>
      </c>
      <c r="L302" s="46">
        <f>IF($A$1='Data Entry'!$C303,'Data Entry'!M303,"")</f>
        <v>0</v>
      </c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</row>
    <row r="303" spans="1:36" ht="15.95" customHeight="1" x14ac:dyDescent="0.2">
      <c r="A303" s="43"/>
      <c r="B303" s="45">
        <v>51</v>
      </c>
      <c r="C303" s="46">
        <f>IF($A$1='Data Entry'!$C304,'Data Entry'!D304,"")</f>
        <v>0</v>
      </c>
      <c r="D303" s="46">
        <f>IF($A$1='Data Entry'!$C304,'Data Entry'!E304,"")</f>
        <v>0</v>
      </c>
      <c r="E303" s="46">
        <f>IF($A$1='Data Entry'!$C304,'Data Entry'!F304,"")</f>
        <v>0</v>
      </c>
      <c r="F303" s="46">
        <f>IF($A$1='Data Entry'!$C304,'Data Entry'!G304,"")</f>
        <v>0</v>
      </c>
      <c r="G303" s="46">
        <f>IF($A$1='Data Entry'!$C304,'Data Entry'!H304,"")</f>
        <v>0</v>
      </c>
      <c r="H303" s="46">
        <f>IF($A$1='Data Entry'!$C304,'Data Entry'!I304,"")</f>
        <v>0</v>
      </c>
      <c r="I303" s="46">
        <f>IF($A$1='Data Entry'!$C304,'Data Entry'!J304,"")</f>
        <v>0</v>
      </c>
      <c r="J303" s="46">
        <f>IF($A$1='Data Entry'!$C304,'Data Entry'!K304,"")</f>
        <v>0</v>
      </c>
      <c r="K303" s="46">
        <f>IF($A$1='Data Entry'!$C304,'Data Entry'!L304,"")</f>
        <v>0</v>
      </c>
      <c r="L303" s="46">
        <f>IF($A$1='Data Entry'!$C304,'Data Entry'!M304,"")</f>
        <v>0</v>
      </c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</row>
    <row r="304" spans="1:36" ht="15.95" customHeight="1" x14ac:dyDescent="0.2">
      <c r="A304" s="43"/>
      <c r="B304" s="45">
        <v>51</v>
      </c>
      <c r="C304" s="46">
        <f>IF($A$1='Data Entry'!$C305,'Data Entry'!D305,"")</f>
        <v>0</v>
      </c>
      <c r="D304" s="46">
        <f>IF($A$1='Data Entry'!$C305,'Data Entry'!E305,"")</f>
        <v>0</v>
      </c>
      <c r="E304" s="46">
        <f>IF($A$1='Data Entry'!$C305,'Data Entry'!F305,"")</f>
        <v>0</v>
      </c>
      <c r="F304" s="46">
        <f>IF($A$1='Data Entry'!$C305,'Data Entry'!G305,"")</f>
        <v>0</v>
      </c>
      <c r="G304" s="46">
        <f>IF($A$1='Data Entry'!$C305,'Data Entry'!H305,"")</f>
        <v>0</v>
      </c>
      <c r="H304" s="46">
        <f>IF($A$1='Data Entry'!$C305,'Data Entry'!I305,"")</f>
        <v>0</v>
      </c>
      <c r="I304" s="46">
        <f>IF($A$1='Data Entry'!$C305,'Data Entry'!J305,"")</f>
        <v>0</v>
      </c>
      <c r="J304" s="46">
        <f>IF($A$1='Data Entry'!$C305,'Data Entry'!K305,"")</f>
        <v>0</v>
      </c>
      <c r="K304" s="46">
        <f>IF($A$1='Data Entry'!$C305,'Data Entry'!L305,"")</f>
        <v>0</v>
      </c>
      <c r="L304" s="46">
        <f>IF($A$1='Data Entry'!$C305,'Data Entry'!M305,"")</f>
        <v>0</v>
      </c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</row>
    <row r="305" spans="1:36" ht="15.95" customHeight="1" x14ac:dyDescent="0.2">
      <c r="A305" s="43"/>
      <c r="B305" s="45">
        <v>51</v>
      </c>
      <c r="C305" s="46">
        <f>IF($A$1='Data Entry'!$C306,'Data Entry'!D306,"")</f>
        <v>0</v>
      </c>
      <c r="D305" s="46">
        <f>IF($A$1='Data Entry'!$C306,'Data Entry'!E306,"")</f>
        <v>0</v>
      </c>
      <c r="E305" s="46">
        <f>IF($A$1='Data Entry'!$C306,'Data Entry'!F306,"")</f>
        <v>0</v>
      </c>
      <c r="F305" s="46">
        <f>IF($A$1='Data Entry'!$C306,'Data Entry'!G306,"")</f>
        <v>0</v>
      </c>
      <c r="G305" s="46">
        <f>IF($A$1='Data Entry'!$C306,'Data Entry'!H306,"")</f>
        <v>0</v>
      </c>
      <c r="H305" s="46">
        <f>IF($A$1='Data Entry'!$C306,'Data Entry'!I306,"")</f>
        <v>0</v>
      </c>
      <c r="I305" s="46">
        <f>IF($A$1='Data Entry'!$C306,'Data Entry'!J306,"")</f>
        <v>0</v>
      </c>
      <c r="J305" s="46">
        <f>IF($A$1='Data Entry'!$C306,'Data Entry'!K306,"")</f>
        <v>0</v>
      </c>
      <c r="K305" s="46">
        <f>IF($A$1='Data Entry'!$C306,'Data Entry'!L306,"")</f>
        <v>0</v>
      </c>
      <c r="L305" s="46">
        <f>IF($A$1='Data Entry'!$C306,'Data Entry'!M306,"")</f>
        <v>0</v>
      </c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</row>
    <row r="306" spans="1:36" ht="15.95" customHeight="1" x14ac:dyDescent="0.2">
      <c r="A306" s="43"/>
      <c r="B306" s="45">
        <v>51</v>
      </c>
      <c r="C306" s="46">
        <f>IF($A$1='Data Entry'!$C307,'Data Entry'!D307,"")</f>
        <v>0</v>
      </c>
      <c r="D306" s="46">
        <f>IF($A$1='Data Entry'!$C307,'Data Entry'!E307,"")</f>
        <v>0</v>
      </c>
      <c r="E306" s="46">
        <f>IF($A$1='Data Entry'!$C307,'Data Entry'!F307,"")</f>
        <v>0</v>
      </c>
      <c r="F306" s="46">
        <f>IF($A$1='Data Entry'!$C307,'Data Entry'!G307,"")</f>
        <v>0</v>
      </c>
      <c r="G306" s="46">
        <f>IF($A$1='Data Entry'!$C307,'Data Entry'!H307,"")</f>
        <v>0</v>
      </c>
      <c r="H306" s="46">
        <f>IF($A$1='Data Entry'!$C307,'Data Entry'!I307,"")</f>
        <v>0</v>
      </c>
      <c r="I306" s="46">
        <f>IF($A$1='Data Entry'!$C307,'Data Entry'!J307,"")</f>
        <v>0</v>
      </c>
      <c r="J306" s="46">
        <f>IF($A$1='Data Entry'!$C307,'Data Entry'!K307,"")</f>
        <v>0</v>
      </c>
      <c r="K306" s="46">
        <f>IF($A$1='Data Entry'!$C307,'Data Entry'!L307,"")</f>
        <v>0</v>
      </c>
      <c r="L306" s="46">
        <f>IF($A$1='Data Entry'!$C307,'Data Entry'!M307,"")</f>
        <v>0</v>
      </c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</row>
    <row r="307" spans="1:36" ht="15.95" customHeight="1" x14ac:dyDescent="0.2">
      <c r="A307" s="43"/>
      <c r="B307" s="45">
        <v>51</v>
      </c>
      <c r="C307" s="46">
        <f>IF($A$1='Data Entry'!$C308,'Data Entry'!D308,"")</f>
        <v>0</v>
      </c>
      <c r="D307" s="46">
        <f>IF($A$1='Data Entry'!$C308,'Data Entry'!E308,"")</f>
        <v>0</v>
      </c>
      <c r="E307" s="46">
        <f>IF($A$1='Data Entry'!$C308,'Data Entry'!F308,"")</f>
        <v>0</v>
      </c>
      <c r="F307" s="46">
        <f>IF($A$1='Data Entry'!$C308,'Data Entry'!G308,"")</f>
        <v>0</v>
      </c>
      <c r="G307" s="46">
        <f>IF($A$1='Data Entry'!$C308,'Data Entry'!H308,"")</f>
        <v>0</v>
      </c>
      <c r="H307" s="46">
        <f>IF($A$1='Data Entry'!$C308,'Data Entry'!I308,"")</f>
        <v>0</v>
      </c>
      <c r="I307" s="46">
        <f>IF($A$1='Data Entry'!$C308,'Data Entry'!J308,"")</f>
        <v>0</v>
      </c>
      <c r="J307" s="46">
        <f>IF($A$1='Data Entry'!$C308,'Data Entry'!K308,"")</f>
        <v>0</v>
      </c>
      <c r="K307" s="46">
        <f>IF($A$1='Data Entry'!$C308,'Data Entry'!L308,"")</f>
        <v>0</v>
      </c>
      <c r="L307" s="46">
        <f>IF($A$1='Data Entry'!$C308,'Data Entry'!M308,"")</f>
        <v>0</v>
      </c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</row>
    <row r="308" spans="1:36" ht="15.95" customHeight="1" x14ac:dyDescent="0.2">
      <c r="A308" s="43"/>
      <c r="B308" s="45">
        <v>51</v>
      </c>
      <c r="C308" s="46">
        <f>IF($A$1='Data Entry'!$C309,'Data Entry'!D309,"")</f>
        <v>0</v>
      </c>
      <c r="D308" s="46">
        <f>IF($A$1='Data Entry'!$C309,'Data Entry'!E309,"")</f>
        <v>0</v>
      </c>
      <c r="E308" s="46">
        <f>IF($A$1='Data Entry'!$C309,'Data Entry'!F309,"")</f>
        <v>0</v>
      </c>
      <c r="F308" s="46">
        <f>IF($A$1='Data Entry'!$C309,'Data Entry'!G309,"")</f>
        <v>0</v>
      </c>
      <c r="G308" s="46">
        <f>IF($A$1='Data Entry'!$C309,'Data Entry'!H309,"")</f>
        <v>0</v>
      </c>
      <c r="H308" s="46">
        <f>IF($A$1='Data Entry'!$C309,'Data Entry'!I309,"")</f>
        <v>0</v>
      </c>
      <c r="I308" s="46">
        <f>IF($A$1='Data Entry'!$C309,'Data Entry'!J309,"")</f>
        <v>0</v>
      </c>
      <c r="J308" s="46">
        <f>IF($A$1='Data Entry'!$C309,'Data Entry'!K309,"")</f>
        <v>0</v>
      </c>
      <c r="K308" s="46">
        <f>IF($A$1='Data Entry'!$C309,'Data Entry'!L309,"")</f>
        <v>0</v>
      </c>
      <c r="L308" s="46">
        <f>IF($A$1='Data Entry'!$C309,'Data Entry'!M309,"")</f>
        <v>0</v>
      </c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</row>
    <row r="309" spans="1:36" ht="15.95" customHeight="1" x14ac:dyDescent="0.2">
      <c r="A309" s="43"/>
      <c r="B309" s="45">
        <v>52</v>
      </c>
      <c r="C309" s="46">
        <f>IF($A$1='Data Entry'!$C310,'Data Entry'!D310,"")</f>
        <v>0</v>
      </c>
      <c r="D309" s="46">
        <f>IF($A$1='Data Entry'!$C310,'Data Entry'!E310,"")</f>
        <v>0</v>
      </c>
      <c r="E309" s="46">
        <f>IF($A$1='Data Entry'!$C310,'Data Entry'!F310,"")</f>
        <v>0</v>
      </c>
      <c r="F309" s="46">
        <f>IF($A$1='Data Entry'!$C310,'Data Entry'!G310,"")</f>
        <v>0</v>
      </c>
      <c r="G309" s="46">
        <f>IF($A$1='Data Entry'!$C310,'Data Entry'!H310,"")</f>
        <v>0</v>
      </c>
      <c r="H309" s="46">
        <f>IF($A$1='Data Entry'!$C310,'Data Entry'!I310,"")</f>
        <v>0</v>
      </c>
      <c r="I309" s="46">
        <f>IF($A$1='Data Entry'!$C310,'Data Entry'!J310,"")</f>
        <v>0</v>
      </c>
      <c r="J309" s="46">
        <f>IF($A$1='Data Entry'!$C310,'Data Entry'!K310,"")</f>
        <v>0</v>
      </c>
      <c r="K309" s="46">
        <f>IF($A$1='Data Entry'!$C310,'Data Entry'!L310,"")</f>
        <v>0</v>
      </c>
      <c r="L309" s="46">
        <f>IF($A$1='Data Entry'!$C310,'Data Entry'!M310,"")</f>
        <v>0</v>
      </c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</row>
    <row r="310" spans="1:36" ht="15.95" customHeight="1" x14ac:dyDescent="0.2">
      <c r="A310" s="43"/>
      <c r="B310" s="45">
        <v>52</v>
      </c>
      <c r="C310" s="46">
        <f>IF($A$1='Data Entry'!$C311,'Data Entry'!D311,"")</f>
        <v>0</v>
      </c>
      <c r="D310" s="46">
        <f>IF($A$1='Data Entry'!$C311,'Data Entry'!E311,"")</f>
        <v>0</v>
      </c>
      <c r="E310" s="46">
        <f>IF($A$1='Data Entry'!$C311,'Data Entry'!F311,"")</f>
        <v>0</v>
      </c>
      <c r="F310" s="46">
        <f>IF($A$1='Data Entry'!$C311,'Data Entry'!G311,"")</f>
        <v>0</v>
      </c>
      <c r="G310" s="46">
        <f>IF($A$1='Data Entry'!$C311,'Data Entry'!H311,"")</f>
        <v>0</v>
      </c>
      <c r="H310" s="46">
        <f>IF($A$1='Data Entry'!$C311,'Data Entry'!I311,"")</f>
        <v>0</v>
      </c>
      <c r="I310" s="46">
        <f>IF($A$1='Data Entry'!$C311,'Data Entry'!J311,"")</f>
        <v>0</v>
      </c>
      <c r="J310" s="46">
        <f>IF($A$1='Data Entry'!$C311,'Data Entry'!K311,"")</f>
        <v>0</v>
      </c>
      <c r="K310" s="46">
        <f>IF($A$1='Data Entry'!$C311,'Data Entry'!L311,"")</f>
        <v>0</v>
      </c>
      <c r="L310" s="46">
        <f>IF($A$1='Data Entry'!$C311,'Data Entry'!M311,"")</f>
        <v>0</v>
      </c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</row>
    <row r="311" spans="1:36" ht="15.95" customHeight="1" x14ac:dyDescent="0.2">
      <c r="A311" s="43"/>
      <c r="B311" s="45">
        <v>52</v>
      </c>
      <c r="C311" s="46">
        <f>IF($A$1='Data Entry'!$C312,'Data Entry'!D312,"")</f>
        <v>0</v>
      </c>
      <c r="D311" s="46">
        <f>IF($A$1='Data Entry'!$C312,'Data Entry'!E312,"")</f>
        <v>0</v>
      </c>
      <c r="E311" s="46">
        <f>IF($A$1='Data Entry'!$C312,'Data Entry'!F312,"")</f>
        <v>0</v>
      </c>
      <c r="F311" s="46">
        <f>IF($A$1='Data Entry'!$C312,'Data Entry'!G312,"")</f>
        <v>0</v>
      </c>
      <c r="G311" s="46">
        <f>IF($A$1='Data Entry'!$C312,'Data Entry'!H312,"")</f>
        <v>0</v>
      </c>
      <c r="H311" s="46">
        <f>IF($A$1='Data Entry'!$C312,'Data Entry'!I312,"")</f>
        <v>0</v>
      </c>
      <c r="I311" s="46">
        <f>IF($A$1='Data Entry'!$C312,'Data Entry'!J312,"")</f>
        <v>0</v>
      </c>
      <c r="J311" s="46">
        <f>IF($A$1='Data Entry'!$C312,'Data Entry'!K312,"")</f>
        <v>0</v>
      </c>
      <c r="K311" s="46">
        <f>IF($A$1='Data Entry'!$C312,'Data Entry'!L312,"")</f>
        <v>0</v>
      </c>
      <c r="L311" s="46">
        <f>IF($A$1='Data Entry'!$C312,'Data Entry'!M312,"")</f>
        <v>0</v>
      </c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</row>
    <row r="312" spans="1:36" ht="15.95" customHeight="1" x14ac:dyDescent="0.2">
      <c r="A312" s="43"/>
      <c r="B312" s="45">
        <v>52</v>
      </c>
      <c r="C312" s="46">
        <f>IF($A$1='Data Entry'!$C313,'Data Entry'!D313,"")</f>
        <v>0</v>
      </c>
      <c r="D312" s="46">
        <f>IF($A$1='Data Entry'!$C313,'Data Entry'!E313,"")</f>
        <v>0</v>
      </c>
      <c r="E312" s="46">
        <f>IF($A$1='Data Entry'!$C313,'Data Entry'!F313,"")</f>
        <v>0</v>
      </c>
      <c r="F312" s="46">
        <f>IF($A$1='Data Entry'!$C313,'Data Entry'!G313,"")</f>
        <v>0</v>
      </c>
      <c r="G312" s="46">
        <f>IF($A$1='Data Entry'!$C313,'Data Entry'!H313,"")</f>
        <v>0</v>
      </c>
      <c r="H312" s="46">
        <f>IF($A$1='Data Entry'!$C313,'Data Entry'!I313,"")</f>
        <v>0</v>
      </c>
      <c r="I312" s="46">
        <f>IF($A$1='Data Entry'!$C313,'Data Entry'!J313,"")</f>
        <v>0</v>
      </c>
      <c r="J312" s="46">
        <f>IF($A$1='Data Entry'!$C313,'Data Entry'!K313,"")</f>
        <v>0</v>
      </c>
      <c r="K312" s="46">
        <f>IF($A$1='Data Entry'!$C313,'Data Entry'!L313,"")</f>
        <v>0</v>
      </c>
      <c r="L312" s="46">
        <f>IF($A$1='Data Entry'!$C313,'Data Entry'!M313,"")</f>
        <v>0</v>
      </c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</row>
    <row r="313" spans="1:36" ht="15.95" customHeight="1" x14ac:dyDescent="0.2">
      <c r="A313" s="43"/>
      <c r="B313" s="45">
        <v>52</v>
      </c>
      <c r="C313" s="46">
        <f>IF($A$1='Data Entry'!$C314,'Data Entry'!D314,"")</f>
        <v>0</v>
      </c>
      <c r="D313" s="46">
        <f>IF($A$1='Data Entry'!$C314,'Data Entry'!E314,"")</f>
        <v>0</v>
      </c>
      <c r="E313" s="46">
        <f>IF($A$1='Data Entry'!$C314,'Data Entry'!F314,"")</f>
        <v>0</v>
      </c>
      <c r="F313" s="46">
        <f>IF($A$1='Data Entry'!$C314,'Data Entry'!G314,"")</f>
        <v>0</v>
      </c>
      <c r="G313" s="46">
        <f>IF($A$1='Data Entry'!$C314,'Data Entry'!H314,"")</f>
        <v>0</v>
      </c>
      <c r="H313" s="46">
        <f>IF($A$1='Data Entry'!$C314,'Data Entry'!I314,"")</f>
        <v>0</v>
      </c>
      <c r="I313" s="46">
        <f>IF($A$1='Data Entry'!$C314,'Data Entry'!J314,"")</f>
        <v>0</v>
      </c>
      <c r="J313" s="46">
        <f>IF($A$1='Data Entry'!$C314,'Data Entry'!K314,"")</f>
        <v>0</v>
      </c>
      <c r="K313" s="46">
        <f>IF($A$1='Data Entry'!$C314,'Data Entry'!L314,"")</f>
        <v>0</v>
      </c>
      <c r="L313" s="46">
        <f>IF($A$1='Data Entry'!$C314,'Data Entry'!M314,"")</f>
        <v>0</v>
      </c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</row>
    <row r="314" spans="1:36" ht="15.95" customHeight="1" x14ac:dyDescent="0.2">
      <c r="A314" s="43"/>
      <c r="B314" s="45">
        <v>52</v>
      </c>
      <c r="C314" s="46">
        <f>IF($A$1='Data Entry'!$C315,'Data Entry'!D315,"")</f>
        <v>0</v>
      </c>
      <c r="D314" s="46">
        <f>IF($A$1='Data Entry'!$C315,'Data Entry'!E315,"")</f>
        <v>0</v>
      </c>
      <c r="E314" s="46">
        <f>IF($A$1='Data Entry'!$C315,'Data Entry'!F315,"")</f>
        <v>0</v>
      </c>
      <c r="F314" s="46">
        <f>IF($A$1='Data Entry'!$C315,'Data Entry'!G315,"")</f>
        <v>0</v>
      </c>
      <c r="G314" s="46">
        <f>IF($A$1='Data Entry'!$C315,'Data Entry'!H315,"")</f>
        <v>0</v>
      </c>
      <c r="H314" s="46">
        <f>IF($A$1='Data Entry'!$C315,'Data Entry'!I315,"")</f>
        <v>0</v>
      </c>
      <c r="I314" s="46">
        <f>IF($A$1='Data Entry'!$C315,'Data Entry'!J315,"")</f>
        <v>0</v>
      </c>
      <c r="J314" s="46">
        <f>IF($A$1='Data Entry'!$C315,'Data Entry'!K315,"")</f>
        <v>0</v>
      </c>
      <c r="K314" s="46">
        <f>IF($A$1='Data Entry'!$C315,'Data Entry'!L315,"")</f>
        <v>0</v>
      </c>
      <c r="L314" s="46">
        <f>IF($A$1='Data Entry'!$C315,'Data Entry'!M315,"")</f>
        <v>0</v>
      </c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</row>
    <row r="315" spans="1:36" ht="15.95" customHeight="1" x14ac:dyDescent="0.2">
      <c r="A315" s="43"/>
      <c r="B315" s="45">
        <v>53</v>
      </c>
      <c r="C315" s="46">
        <f>IF($A$1='Data Entry'!$C316,'Data Entry'!D316,"")</f>
        <v>0</v>
      </c>
      <c r="D315" s="46">
        <f>IF($A$1='Data Entry'!$C316,'Data Entry'!E316,"")</f>
        <v>0</v>
      </c>
      <c r="E315" s="46">
        <f>IF($A$1='Data Entry'!$C316,'Data Entry'!F316,"")</f>
        <v>0</v>
      </c>
      <c r="F315" s="46">
        <f>IF($A$1='Data Entry'!$C316,'Data Entry'!G316,"")</f>
        <v>0</v>
      </c>
      <c r="G315" s="46">
        <f>IF($A$1='Data Entry'!$C316,'Data Entry'!H316,"")</f>
        <v>0</v>
      </c>
      <c r="H315" s="46">
        <f>IF($A$1='Data Entry'!$C316,'Data Entry'!I316,"")</f>
        <v>0</v>
      </c>
      <c r="I315" s="46">
        <f>IF($A$1='Data Entry'!$C316,'Data Entry'!J316,"")</f>
        <v>0</v>
      </c>
      <c r="J315" s="46">
        <f>IF($A$1='Data Entry'!$C316,'Data Entry'!K316,"")</f>
        <v>0</v>
      </c>
      <c r="K315" s="46">
        <f>IF($A$1='Data Entry'!$C316,'Data Entry'!L316,"")</f>
        <v>0</v>
      </c>
      <c r="L315" s="46">
        <f>IF($A$1='Data Entry'!$C316,'Data Entry'!M316,"")</f>
        <v>0</v>
      </c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</row>
    <row r="316" spans="1:36" ht="15.95" customHeight="1" x14ac:dyDescent="0.2">
      <c r="A316" s="43"/>
      <c r="B316" s="45">
        <v>53</v>
      </c>
      <c r="C316" s="46">
        <f>IF($A$1='Data Entry'!$C317,'Data Entry'!D317,"")</f>
        <v>0</v>
      </c>
      <c r="D316" s="46">
        <f>IF($A$1='Data Entry'!$C317,'Data Entry'!E317,"")</f>
        <v>0</v>
      </c>
      <c r="E316" s="46">
        <f>IF($A$1='Data Entry'!$C317,'Data Entry'!F317,"")</f>
        <v>0</v>
      </c>
      <c r="F316" s="46">
        <f>IF($A$1='Data Entry'!$C317,'Data Entry'!G317,"")</f>
        <v>0</v>
      </c>
      <c r="G316" s="46">
        <f>IF($A$1='Data Entry'!$C317,'Data Entry'!H317,"")</f>
        <v>0</v>
      </c>
      <c r="H316" s="46">
        <f>IF($A$1='Data Entry'!$C317,'Data Entry'!I317,"")</f>
        <v>0</v>
      </c>
      <c r="I316" s="46">
        <f>IF($A$1='Data Entry'!$C317,'Data Entry'!J317,"")</f>
        <v>0</v>
      </c>
      <c r="J316" s="46">
        <f>IF($A$1='Data Entry'!$C317,'Data Entry'!K317,"")</f>
        <v>0</v>
      </c>
      <c r="K316" s="46">
        <f>IF($A$1='Data Entry'!$C317,'Data Entry'!L317,"")</f>
        <v>0</v>
      </c>
      <c r="L316" s="46">
        <f>IF($A$1='Data Entry'!$C317,'Data Entry'!M317,"")</f>
        <v>0</v>
      </c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</row>
    <row r="317" spans="1:36" ht="15.95" customHeight="1" x14ac:dyDescent="0.2">
      <c r="A317" s="43"/>
      <c r="B317" s="45">
        <v>53</v>
      </c>
      <c r="C317" s="46">
        <f>IF($A$1='Data Entry'!$C318,'Data Entry'!D318,"")</f>
        <v>0</v>
      </c>
      <c r="D317" s="46">
        <f>IF($A$1='Data Entry'!$C318,'Data Entry'!E318,"")</f>
        <v>0</v>
      </c>
      <c r="E317" s="46">
        <f>IF($A$1='Data Entry'!$C318,'Data Entry'!F318,"")</f>
        <v>0</v>
      </c>
      <c r="F317" s="46">
        <f>IF($A$1='Data Entry'!$C318,'Data Entry'!G318,"")</f>
        <v>0</v>
      </c>
      <c r="G317" s="46">
        <f>IF($A$1='Data Entry'!$C318,'Data Entry'!H318,"")</f>
        <v>0</v>
      </c>
      <c r="H317" s="46">
        <f>IF($A$1='Data Entry'!$C318,'Data Entry'!I318,"")</f>
        <v>0</v>
      </c>
      <c r="I317" s="46">
        <f>IF($A$1='Data Entry'!$C318,'Data Entry'!J318,"")</f>
        <v>0</v>
      </c>
      <c r="J317" s="46">
        <f>IF($A$1='Data Entry'!$C318,'Data Entry'!K318,"")</f>
        <v>0</v>
      </c>
      <c r="K317" s="46">
        <f>IF($A$1='Data Entry'!$C318,'Data Entry'!L318,"")</f>
        <v>0</v>
      </c>
      <c r="L317" s="46">
        <f>IF($A$1='Data Entry'!$C318,'Data Entry'!M318,"")</f>
        <v>0</v>
      </c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</row>
    <row r="318" spans="1:36" ht="15.95" customHeight="1" x14ac:dyDescent="0.2">
      <c r="A318" s="43"/>
      <c r="B318" s="45">
        <v>53</v>
      </c>
      <c r="C318" s="46">
        <f>IF($A$1='Data Entry'!$C319,'Data Entry'!D319,"")</f>
        <v>0</v>
      </c>
      <c r="D318" s="46">
        <f>IF($A$1='Data Entry'!$C319,'Data Entry'!E319,"")</f>
        <v>0</v>
      </c>
      <c r="E318" s="46">
        <f>IF($A$1='Data Entry'!$C319,'Data Entry'!F319,"")</f>
        <v>0</v>
      </c>
      <c r="F318" s="46">
        <f>IF($A$1='Data Entry'!$C319,'Data Entry'!G319,"")</f>
        <v>0</v>
      </c>
      <c r="G318" s="46">
        <f>IF($A$1='Data Entry'!$C319,'Data Entry'!H319,"")</f>
        <v>0</v>
      </c>
      <c r="H318" s="46">
        <f>IF($A$1='Data Entry'!$C319,'Data Entry'!I319,"")</f>
        <v>0</v>
      </c>
      <c r="I318" s="46">
        <f>IF($A$1='Data Entry'!$C319,'Data Entry'!J319,"")</f>
        <v>0</v>
      </c>
      <c r="J318" s="46">
        <f>IF($A$1='Data Entry'!$C319,'Data Entry'!K319,"")</f>
        <v>0</v>
      </c>
      <c r="K318" s="46">
        <f>IF($A$1='Data Entry'!$C319,'Data Entry'!L319,"")</f>
        <v>0</v>
      </c>
      <c r="L318" s="46">
        <f>IF($A$1='Data Entry'!$C319,'Data Entry'!M319,"")</f>
        <v>0</v>
      </c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</row>
    <row r="319" spans="1:36" ht="15.95" customHeight="1" x14ac:dyDescent="0.2">
      <c r="A319" s="43"/>
      <c r="B319" s="45">
        <v>53</v>
      </c>
      <c r="C319" s="46">
        <f>IF($A$1='Data Entry'!$C320,'Data Entry'!D320,"")</f>
        <v>0</v>
      </c>
      <c r="D319" s="46">
        <f>IF($A$1='Data Entry'!$C320,'Data Entry'!E320,"")</f>
        <v>0</v>
      </c>
      <c r="E319" s="46">
        <f>IF($A$1='Data Entry'!$C320,'Data Entry'!F320,"")</f>
        <v>0</v>
      </c>
      <c r="F319" s="46">
        <f>IF($A$1='Data Entry'!$C320,'Data Entry'!G320,"")</f>
        <v>0</v>
      </c>
      <c r="G319" s="46">
        <f>IF($A$1='Data Entry'!$C320,'Data Entry'!H320,"")</f>
        <v>0</v>
      </c>
      <c r="H319" s="46">
        <f>IF($A$1='Data Entry'!$C320,'Data Entry'!I320,"")</f>
        <v>0</v>
      </c>
      <c r="I319" s="46">
        <f>IF($A$1='Data Entry'!$C320,'Data Entry'!J320,"")</f>
        <v>0</v>
      </c>
      <c r="J319" s="46">
        <f>IF($A$1='Data Entry'!$C320,'Data Entry'!K320,"")</f>
        <v>0</v>
      </c>
      <c r="K319" s="46">
        <f>IF($A$1='Data Entry'!$C320,'Data Entry'!L320,"")</f>
        <v>0</v>
      </c>
      <c r="L319" s="46">
        <f>IF($A$1='Data Entry'!$C320,'Data Entry'!M320,"")</f>
        <v>0</v>
      </c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</row>
    <row r="320" spans="1:36" ht="15.95" customHeight="1" x14ac:dyDescent="0.2">
      <c r="A320" s="43"/>
      <c r="B320" s="45">
        <v>53</v>
      </c>
      <c r="C320" s="46">
        <f>IF($A$1='Data Entry'!$C321,'Data Entry'!D321,"")</f>
        <v>0</v>
      </c>
      <c r="D320" s="46">
        <f>IF($A$1='Data Entry'!$C321,'Data Entry'!E321,"")</f>
        <v>0</v>
      </c>
      <c r="E320" s="46">
        <f>IF($A$1='Data Entry'!$C321,'Data Entry'!F321,"")</f>
        <v>0</v>
      </c>
      <c r="F320" s="46">
        <f>IF($A$1='Data Entry'!$C321,'Data Entry'!G321,"")</f>
        <v>0</v>
      </c>
      <c r="G320" s="46">
        <f>IF($A$1='Data Entry'!$C321,'Data Entry'!H321,"")</f>
        <v>0</v>
      </c>
      <c r="H320" s="46">
        <f>IF($A$1='Data Entry'!$C321,'Data Entry'!I321,"")</f>
        <v>0</v>
      </c>
      <c r="I320" s="46">
        <f>IF($A$1='Data Entry'!$C321,'Data Entry'!J321,"")</f>
        <v>0</v>
      </c>
      <c r="J320" s="46">
        <f>IF($A$1='Data Entry'!$C321,'Data Entry'!K321,"")</f>
        <v>0</v>
      </c>
      <c r="K320" s="46">
        <f>IF($A$1='Data Entry'!$C321,'Data Entry'!L321,"")</f>
        <v>0</v>
      </c>
      <c r="L320" s="46">
        <f>IF($A$1='Data Entry'!$C321,'Data Entry'!M321,"")</f>
        <v>0</v>
      </c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</row>
    <row r="321" spans="1:36" ht="15.95" customHeight="1" x14ac:dyDescent="0.2">
      <c r="A321" s="43"/>
      <c r="B321" s="45">
        <v>54</v>
      </c>
      <c r="C321" s="46">
        <f>IF($A$1='Data Entry'!$C322,'Data Entry'!D322,"")</f>
        <v>0</v>
      </c>
      <c r="D321" s="46">
        <f>IF($A$1='Data Entry'!$C322,'Data Entry'!E322,"")</f>
        <v>0</v>
      </c>
      <c r="E321" s="46">
        <f>IF($A$1='Data Entry'!$C322,'Data Entry'!F322,"")</f>
        <v>0</v>
      </c>
      <c r="F321" s="46">
        <f>IF($A$1='Data Entry'!$C322,'Data Entry'!G322,"")</f>
        <v>0</v>
      </c>
      <c r="G321" s="46">
        <f>IF($A$1='Data Entry'!$C322,'Data Entry'!H322,"")</f>
        <v>0</v>
      </c>
      <c r="H321" s="46">
        <f>IF($A$1='Data Entry'!$C322,'Data Entry'!I322,"")</f>
        <v>0</v>
      </c>
      <c r="I321" s="46">
        <f>IF($A$1='Data Entry'!$C322,'Data Entry'!J322,"")</f>
        <v>0</v>
      </c>
      <c r="J321" s="46">
        <f>IF($A$1='Data Entry'!$C322,'Data Entry'!K322,"")</f>
        <v>0</v>
      </c>
      <c r="K321" s="46">
        <f>IF($A$1='Data Entry'!$C322,'Data Entry'!L322,"")</f>
        <v>0</v>
      </c>
      <c r="L321" s="46">
        <f>IF($A$1='Data Entry'!$C322,'Data Entry'!M322,"")</f>
        <v>0</v>
      </c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</row>
    <row r="322" spans="1:36" ht="15.95" customHeight="1" x14ac:dyDescent="0.2">
      <c r="A322" s="43"/>
      <c r="B322" s="45">
        <v>54</v>
      </c>
      <c r="C322" s="46">
        <f>IF($A$1='Data Entry'!$C323,'Data Entry'!D323,"")</f>
        <v>0</v>
      </c>
      <c r="D322" s="46">
        <f>IF($A$1='Data Entry'!$C323,'Data Entry'!E323,"")</f>
        <v>0</v>
      </c>
      <c r="E322" s="46">
        <f>IF($A$1='Data Entry'!$C323,'Data Entry'!F323,"")</f>
        <v>0</v>
      </c>
      <c r="F322" s="46">
        <f>IF($A$1='Data Entry'!$C323,'Data Entry'!G323,"")</f>
        <v>0</v>
      </c>
      <c r="G322" s="46">
        <f>IF($A$1='Data Entry'!$C323,'Data Entry'!H323,"")</f>
        <v>0</v>
      </c>
      <c r="H322" s="46">
        <f>IF($A$1='Data Entry'!$C323,'Data Entry'!I323,"")</f>
        <v>0</v>
      </c>
      <c r="I322" s="46">
        <f>IF($A$1='Data Entry'!$C323,'Data Entry'!J323,"")</f>
        <v>0</v>
      </c>
      <c r="J322" s="46">
        <f>IF($A$1='Data Entry'!$C323,'Data Entry'!K323,"")</f>
        <v>0</v>
      </c>
      <c r="K322" s="46">
        <f>IF($A$1='Data Entry'!$C323,'Data Entry'!L323,"")</f>
        <v>0</v>
      </c>
      <c r="L322" s="46">
        <f>IF($A$1='Data Entry'!$C323,'Data Entry'!M323,"")</f>
        <v>0</v>
      </c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</row>
    <row r="323" spans="1:36" ht="15.95" customHeight="1" x14ac:dyDescent="0.2">
      <c r="A323" s="43"/>
      <c r="B323" s="45">
        <v>54</v>
      </c>
      <c r="C323" s="46">
        <f>IF($A$1='Data Entry'!$C324,'Data Entry'!D324,"")</f>
        <v>0</v>
      </c>
      <c r="D323" s="46">
        <f>IF($A$1='Data Entry'!$C324,'Data Entry'!E324,"")</f>
        <v>0</v>
      </c>
      <c r="E323" s="46">
        <f>IF($A$1='Data Entry'!$C324,'Data Entry'!F324,"")</f>
        <v>0</v>
      </c>
      <c r="F323" s="46">
        <f>IF($A$1='Data Entry'!$C324,'Data Entry'!G324,"")</f>
        <v>0</v>
      </c>
      <c r="G323" s="46">
        <f>IF($A$1='Data Entry'!$C324,'Data Entry'!H324,"")</f>
        <v>0</v>
      </c>
      <c r="H323" s="46">
        <f>IF($A$1='Data Entry'!$C324,'Data Entry'!I324,"")</f>
        <v>0</v>
      </c>
      <c r="I323" s="46">
        <f>IF($A$1='Data Entry'!$C324,'Data Entry'!J324,"")</f>
        <v>0</v>
      </c>
      <c r="J323" s="46">
        <f>IF($A$1='Data Entry'!$C324,'Data Entry'!K324,"")</f>
        <v>0</v>
      </c>
      <c r="K323" s="46">
        <f>IF($A$1='Data Entry'!$C324,'Data Entry'!L324,"")</f>
        <v>0</v>
      </c>
      <c r="L323" s="46">
        <f>IF($A$1='Data Entry'!$C324,'Data Entry'!M324,"")</f>
        <v>0</v>
      </c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</row>
    <row r="324" spans="1:36" ht="15.95" customHeight="1" x14ac:dyDescent="0.2">
      <c r="A324" s="43"/>
      <c r="B324" s="45">
        <v>54</v>
      </c>
      <c r="C324" s="46">
        <f>IF($A$1='Data Entry'!$C325,'Data Entry'!D325,"")</f>
        <v>0</v>
      </c>
      <c r="D324" s="46">
        <f>IF($A$1='Data Entry'!$C325,'Data Entry'!E325,"")</f>
        <v>0</v>
      </c>
      <c r="E324" s="46">
        <f>IF($A$1='Data Entry'!$C325,'Data Entry'!F325,"")</f>
        <v>0</v>
      </c>
      <c r="F324" s="46">
        <f>IF($A$1='Data Entry'!$C325,'Data Entry'!G325,"")</f>
        <v>0</v>
      </c>
      <c r="G324" s="46">
        <f>IF($A$1='Data Entry'!$C325,'Data Entry'!H325,"")</f>
        <v>0</v>
      </c>
      <c r="H324" s="46">
        <f>IF($A$1='Data Entry'!$C325,'Data Entry'!I325,"")</f>
        <v>0</v>
      </c>
      <c r="I324" s="46">
        <f>IF($A$1='Data Entry'!$C325,'Data Entry'!J325,"")</f>
        <v>0</v>
      </c>
      <c r="J324" s="46">
        <f>IF($A$1='Data Entry'!$C325,'Data Entry'!K325,"")</f>
        <v>0</v>
      </c>
      <c r="K324" s="46">
        <f>IF($A$1='Data Entry'!$C325,'Data Entry'!L325,"")</f>
        <v>0</v>
      </c>
      <c r="L324" s="46">
        <f>IF($A$1='Data Entry'!$C325,'Data Entry'!M325,"")</f>
        <v>0</v>
      </c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</row>
    <row r="325" spans="1:36" ht="15.95" customHeight="1" x14ac:dyDescent="0.2">
      <c r="A325" s="43"/>
      <c r="B325" s="45">
        <v>54</v>
      </c>
      <c r="C325" s="46">
        <f>IF($A$1='Data Entry'!$C326,'Data Entry'!D326,"")</f>
        <v>0</v>
      </c>
      <c r="D325" s="46">
        <f>IF($A$1='Data Entry'!$C326,'Data Entry'!E326,"")</f>
        <v>0</v>
      </c>
      <c r="E325" s="46">
        <f>IF($A$1='Data Entry'!$C326,'Data Entry'!F326,"")</f>
        <v>0</v>
      </c>
      <c r="F325" s="46">
        <f>IF($A$1='Data Entry'!$C326,'Data Entry'!G326,"")</f>
        <v>0</v>
      </c>
      <c r="G325" s="46">
        <f>IF($A$1='Data Entry'!$C326,'Data Entry'!H326,"")</f>
        <v>0</v>
      </c>
      <c r="H325" s="46">
        <f>IF($A$1='Data Entry'!$C326,'Data Entry'!I326,"")</f>
        <v>0</v>
      </c>
      <c r="I325" s="46">
        <f>IF($A$1='Data Entry'!$C326,'Data Entry'!J326,"")</f>
        <v>0</v>
      </c>
      <c r="J325" s="46">
        <f>IF($A$1='Data Entry'!$C326,'Data Entry'!K326,"")</f>
        <v>0</v>
      </c>
      <c r="K325" s="46">
        <f>IF($A$1='Data Entry'!$C326,'Data Entry'!L326,"")</f>
        <v>0</v>
      </c>
      <c r="L325" s="46">
        <f>IF($A$1='Data Entry'!$C326,'Data Entry'!M326,"")</f>
        <v>0</v>
      </c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</row>
    <row r="326" spans="1:36" ht="15.95" customHeight="1" x14ac:dyDescent="0.2">
      <c r="A326" s="43"/>
      <c r="B326" s="45">
        <v>54</v>
      </c>
      <c r="C326" s="46">
        <f>IF($A$1='Data Entry'!$C327,'Data Entry'!D327,"")</f>
        <v>0</v>
      </c>
      <c r="D326" s="46">
        <f>IF($A$1='Data Entry'!$C327,'Data Entry'!E327,"")</f>
        <v>0</v>
      </c>
      <c r="E326" s="46">
        <f>IF($A$1='Data Entry'!$C327,'Data Entry'!F327,"")</f>
        <v>0</v>
      </c>
      <c r="F326" s="46">
        <f>IF($A$1='Data Entry'!$C327,'Data Entry'!G327,"")</f>
        <v>0</v>
      </c>
      <c r="G326" s="46">
        <f>IF($A$1='Data Entry'!$C327,'Data Entry'!H327,"")</f>
        <v>0</v>
      </c>
      <c r="H326" s="46">
        <f>IF($A$1='Data Entry'!$C327,'Data Entry'!I327,"")</f>
        <v>0</v>
      </c>
      <c r="I326" s="46">
        <f>IF($A$1='Data Entry'!$C327,'Data Entry'!J327,"")</f>
        <v>0</v>
      </c>
      <c r="J326" s="46">
        <f>IF($A$1='Data Entry'!$C327,'Data Entry'!K327,"")</f>
        <v>0</v>
      </c>
      <c r="K326" s="46">
        <f>IF($A$1='Data Entry'!$C327,'Data Entry'!L327,"")</f>
        <v>0</v>
      </c>
      <c r="L326" s="46">
        <f>IF($A$1='Data Entry'!$C327,'Data Entry'!M327,"")</f>
        <v>0</v>
      </c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</row>
    <row r="327" spans="1:36" ht="15.95" customHeight="1" x14ac:dyDescent="0.2">
      <c r="A327" s="43"/>
      <c r="B327" s="45">
        <v>55</v>
      </c>
      <c r="C327" s="46">
        <f>IF($A$1='Data Entry'!$C328,'Data Entry'!D328,"")</f>
        <v>0</v>
      </c>
      <c r="D327" s="46">
        <f>IF($A$1='Data Entry'!$C328,'Data Entry'!E328,"")</f>
        <v>0</v>
      </c>
      <c r="E327" s="46">
        <f>IF($A$1='Data Entry'!$C328,'Data Entry'!F328,"")</f>
        <v>0</v>
      </c>
      <c r="F327" s="46">
        <f>IF($A$1='Data Entry'!$C328,'Data Entry'!G328,"")</f>
        <v>0</v>
      </c>
      <c r="G327" s="46">
        <f>IF($A$1='Data Entry'!$C328,'Data Entry'!H328,"")</f>
        <v>0</v>
      </c>
      <c r="H327" s="46">
        <f>IF($A$1='Data Entry'!$C328,'Data Entry'!I328,"")</f>
        <v>0</v>
      </c>
      <c r="I327" s="46">
        <f>IF($A$1='Data Entry'!$C328,'Data Entry'!J328,"")</f>
        <v>0</v>
      </c>
      <c r="J327" s="46">
        <f>IF($A$1='Data Entry'!$C328,'Data Entry'!K328,"")</f>
        <v>0</v>
      </c>
      <c r="K327" s="46">
        <f>IF($A$1='Data Entry'!$C328,'Data Entry'!L328,"")</f>
        <v>0</v>
      </c>
      <c r="L327" s="46">
        <f>IF($A$1='Data Entry'!$C328,'Data Entry'!M328,"")</f>
        <v>0</v>
      </c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</row>
    <row r="328" spans="1:36" ht="15.95" customHeight="1" x14ac:dyDescent="0.2">
      <c r="A328" s="43"/>
      <c r="B328" s="45">
        <v>55</v>
      </c>
      <c r="C328" s="46">
        <f>IF($A$1='Data Entry'!$C329,'Data Entry'!D329,"")</f>
        <v>0</v>
      </c>
      <c r="D328" s="46">
        <f>IF($A$1='Data Entry'!$C329,'Data Entry'!E329,"")</f>
        <v>0</v>
      </c>
      <c r="E328" s="46">
        <f>IF($A$1='Data Entry'!$C329,'Data Entry'!F329,"")</f>
        <v>0</v>
      </c>
      <c r="F328" s="46">
        <f>IF($A$1='Data Entry'!$C329,'Data Entry'!G329,"")</f>
        <v>0</v>
      </c>
      <c r="G328" s="46">
        <f>IF($A$1='Data Entry'!$C329,'Data Entry'!H329,"")</f>
        <v>0</v>
      </c>
      <c r="H328" s="46">
        <f>IF($A$1='Data Entry'!$C329,'Data Entry'!I329,"")</f>
        <v>0</v>
      </c>
      <c r="I328" s="46">
        <f>IF($A$1='Data Entry'!$C329,'Data Entry'!J329,"")</f>
        <v>0</v>
      </c>
      <c r="J328" s="46">
        <f>IF($A$1='Data Entry'!$C329,'Data Entry'!K329,"")</f>
        <v>0</v>
      </c>
      <c r="K328" s="46">
        <f>IF($A$1='Data Entry'!$C329,'Data Entry'!L329,"")</f>
        <v>0</v>
      </c>
      <c r="L328" s="46">
        <f>IF($A$1='Data Entry'!$C329,'Data Entry'!M329,"")</f>
        <v>0</v>
      </c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</row>
    <row r="329" spans="1:36" ht="15.95" customHeight="1" x14ac:dyDescent="0.2">
      <c r="A329" s="43"/>
      <c r="B329" s="45">
        <v>55</v>
      </c>
      <c r="C329" s="46">
        <f>IF($A$1='Data Entry'!$C330,'Data Entry'!D330,"")</f>
        <v>0</v>
      </c>
      <c r="D329" s="46">
        <f>IF($A$1='Data Entry'!$C330,'Data Entry'!E330,"")</f>
        <v>0</v>
      </c>
      <c r="E329" s="46">
        <f>IF($A$1='Data Entry'!$C330,'Data Entry'!F330,"")</f>
        <v>0</v>
      </c>
      <c r="F329" s="46">
        <f>IF($A$1='Data Entry'!$C330,'Data Entry'!G330,"")</f>
        <v>0</v>
      </c>
      <c r="G329" s="46">
        <f>IF($A$1='Data Entry'!$C330,'Data Entry'!H330,"")</f>
        <v>0</v>
      </c>
      <c r="H329" s="46">
        <f>IF($A$1='Data Entry'!$C330,'Data Entry'!I330,"")</f>
        <v>0</v>
      </c>
      <c r="I329" s="46">
        <f>IF($A$1='Data Entry'!$C330,'Data Entry'!J330,"")</f>
        <v>0</v>
      </c>
      <c r="J329" s="46">
        <f>IF($A$1='Data Entry'!$C330,'Data Entry'!K330,"")</f>
        <v>0</v>
      </c>
      <c r="K329" s="46">
        <f>IF($A$1='Data Entry'!$C330,'Data Entry'!L330,"")</f>
        <v>0</v>
      </c>
      <c r="L329" s="46">
        <f>IF($A$1='Data Entry'!$C330,'Data Entry'!M330,"")</f>
        <v>0</v>
      </c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</row>
    <row r="330" spans="1:36" ht="15.95" customHeight="1" x14ac:dyDescent="0.2">
      <c r="A330" s="43"/>
      <c r="B330" s="45">
        <v>55</v>
      </c>
      <c r="C330" s="46">
        <f>IF($A$1='Data Entry'!$C331,'Data Entry'!D331,"")</f>
        <v>0</v>
      </c>
      <c r="D330" s="46">
        <f>IF($A$1='Data Entry'!$C331,'Data Entry'!E331,"")</f>
        <v>0</v>
      </c>
      <c r="E330" s="46">
        <f>IF($A$1='Data Entry'!$C331,'Data Entry'!F331,"")</f>
        <v>0</v>
      </c>
      <c r="F330" s="46">
        <f>IF($A$1='Data Entry'!$C331,'Data Entry'!G331,"")</f>
        <v>0</v>
      </c>
      <c r="G330" s="46">
        <f>IF($A$1='Data Entry'!$C331,'Data Entry'!H331,"")</f>
        <v>0</v>
      </c>
      <c r="H330" s="46">
        <f>IF($A$1='Data Entry'!$C331,'Data Entry'!I331,"")</f>
        <v>0</v>
      </c>
      <c r="I330" s="46">
        <f>IF($A$1='Data Entry'!$C331,'Data Entry'!J331,"")</f>
        <v>0</v>
      </c>
      <c r="J330" s="46">
        <f>IF($A$1='Data Entry'!$C331,'Data Entry'!K331,"")</f>
        <v>0</v>
      </c>
      <c r="K330" s="46">
        <f>IF($A$1='Data Entry'!$C331,'Data Entry'!L331,"")</f>
        <v>0</v>
      </c>
      <c r="L330" s="46">
        <f>IF($A$1='Data Entry'!$C331,'Data Entry'!M331,"")</f>
        <v>0</v>
      </c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</row>
    <row r="331" spans="1:36" ht="15.95" customHeight="1" x14ac:dyDescent="0.2">
      <c r="A331" s="43"/>
      <c r="B331" s="45">
        <v>55</v>
      </c>
      <c r="C331" s="46">
        <f>IF($A$1='Data Entry'!$C332,'Data Entry'!D332,"")</f>
        <v>0</v>
      </c>
      <c r="D331" s="46">
        <f>IF($A$1='Data Entry'!$C332,'Data Entry'!E332,"")</f>
        <v>0</v>
      </c>
      <c r="E331" s="46">
        <f>IF($A$1='Data Entry'!$C332,'Data Entry'!F332,"")</f>
        <v>0</v>
      </c>
      <c r="F331" s="46">
        <f>IF($A$1='Data Entry'!$C332,'Data Entry'!G332,"")</f>
        <v>0</v>
      </c>
      <c r="G331" s="46">
        <f>IF($A$1='Data Entry'!$C332,'Data Entry'!H332,"")</f>
        <v>0</v>
      </c>
      <c r="H331" s="46">
        <f>IF($A$1='Data Entry'!$C332,'Data Entry'!I332,"")</f>
        <v>0</v>
      </c>
      <c r="I331" s="46">
        <f>IF($A$1='Data Entry'!$C332,'Data Entry'!J332,"")</f>
        <v>0</v>
      </c>
      <c r="J331" s="46">
        <f>IF($A$1='Data Entry'!$C332,'Data Entry'!K332,"")</f>
        <v>0</v>
      </c>
      <c r="K331" s="46">
        <f>IF($A$1='Data Entry'!$C332,'Data Entry'!L332,"")</f>
        <v>0</v>
      </c>
      <c r="L331" s="46">
        <f>IF($A$1='Data Entry'!$C332,'Data Entry'!M332,"")</f>
        <v>0</v>
      </c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</row>
    <row r="332" spans="1:36" ht="15.95" customHeight="1" x14ac:dyDescent="0.2">
      <c r="A332" s="43"/>
      <c r="B332" s="45">
        <v>55</v>
      </c>
      <c r="C332" s="46">
        <f>IF($A$1='Data Entry'!$C333,'Data Entry'!D333,"")</f>
        <v>0</v>
      </c>
      <c r="D332" s="46">
        <f>IF($A$1='Data Entry'!$C333,'Data Entry'!E333,"")</f>
        <v>0</v>
      </c>
      <c r="E332" s="46">
        <f>IF($A$1='Data Entry'!$C333,'Data Entry'!F333,"")</f>
        <v>0</v>
      </c>
      <c r="F332" s="46">
        <f>IF($A$1='Data Entry'!$C333,'Data Entry'!G333,"")</f>
        <v>0</v>
      </c>
      <c r="G332" s="46">
        <f>IF($A$1='Data Entry'!$C333,'Data Entry'!H333,"")</f>
        <v>0</v>
      </c>
      <c r="H332" s="46">
        <f>IF($A$1='Data Entry'!$C333,'Data Entry'!I333,"")</f>
        <v>0</v>
      </c>
      <c r="I332" s="46">
        <f>IF($A$1='Data Entry'!$C333,'Data Entry'!J333,"")</f>
        <v>0</v>
      </c>
      <c r="J332" s="46">
        <f>IF($A$1='Data Entry'!$C333,'Data Entry'!K333,"")</f>
        <v>0</v>
      </c>
      <c r="K332" s="46">
        <f>IF($A$1='Data Entry'!$C333,'Data Entry'!L333,"")</f>
        <v>0</v>
      </c>
      <c r="L332" s="46">
        <f>IF($A$1='Data Entry'!$C333,'Data Entry'!M333,"")</f>
        <v>0</v>
      </c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</row>
    <row r="333" spans="1:36" ht="15.95" customHeight="1" x14ac:dyDescent="0.2">
      <c r="A333" s="43"/>
      <c r="B333" s="45">
        <v>56</v>
      </c>
      <c r="C333" s="46">
        <f>IF($A$1='Data Entry'!$C334,'Data Entry'!D334,"")</f>
        <v>0</v>
      </c>
      <c r="D333" s="46">
        <f>IF($A$1='Data Entry'!$C334,'Data Entry'!E334,"")</f>
        <v>0</v>
      </c>
      <c r="E333" s="46">
        <f>IF($A$1='Data Entry'!$C334,'Data Entry'!F334,"")</f>
        <v>0</v>
      </c>
      <c r="F333" s="46">
        <f>IF($A$1='Data Entry'!$C334,'Data Entry'!G334,"")</f>
        <v>0</v>
      </c>
      <c r="G333" s="46">
        <f>IF($A$1='Data Entry'!$C334,'Data Entry'!H334,"")</f>
        <v>0</v>
      </c>
      <c r="H333" s="46">
        <f>IF($A$1='Data Entry'!$C334,'Data Entry'!I334,"")</f>
        <v>0</v>
      </c>
      <c r="I333" s="46">
        <f>IF($A$1='Data Entry'!$C334,'Data Entry'!J334,"")</f>
        <v>0</v>
      </c>
      <c r="J333" s="46">
        <f>IF($A$1='Data Entry'!$C334,'Data Entry'!K334,"")</f>
        <v>0</v>
      </c>
      <c r="K333" s="46">
        <f>IF($A$1='Data Entry'!$C334,'Data Entry'!L334,"")</f>
        <v>0</v>
      </c>
      <c r="L333" s="46">
        <f>IF($A$1='Data Entry'!$C334,'Data Entry'!M334,"")</f>
        <v>0</v>
      </c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</row>
    <row r="334" spans="1:36" ht="15.95" customHeight="1" x14ac:dyDescent="0.2">
      <c r="A334" s="43"/>
      <c r="B334" s="45">
        <v>56</v>
      </c>
      <c r="C334" s="46">
        <f>IF($A$1='Data Entry'!$C335,'Data Entry'!D335,"")</f>
        <v>0</v>
      </c>
      <c r="D334" s="46">
        <f>IF($A$1='Data Entry'!$C335,'Data Entry'!E335,"")</f>
        <v>0</v>
      </c>
      <c r="E334" s="46">
        <f>IF($A$1='Data Entry'!$C335,'Data Entry'!F335,"")</f>
        <v>0</v>
      </c>
      <c r="F334" s="46">
        <f>IF($A$1='Data Entry'!$C335,'Data Entry'!G335,"")</f>
        <v>0</v>
      </c>
      <c r="G334" s="46">
        <f>IF($A$1='Data Entry'!$C335,'Data Entry'!H335,"")</f>
        <v>0</v>
      </c>
      <c r="H334" s="46">
        <f>IF($A$1='Data Entry'!$C335,'Data Entry'!I335,"")</f>
        <v>0</v>
      </c>
      <c r="I334" s="46">
        <f>IF($A$1='Data Entry'!$C335,'Data Entry'!J335,"")</f>
        <v>0</v>
      </c>
      <c r="J334" s="46">
        <f>IF($A$1='Data Entry'!$C335,'Data Entry'!K335,"")</f>
        <v>0</v>
      </c>
      <c r="K334" s="46">
        <f>IF($A$1='Data Entry'!$C335,'Data Entry'!L335,"")</f>
        <v>0</v>
      </c>
      <c r="L334" s="46">
        <f>IF($A$1='Data Entry'!$C335,'Data Entry'!M335,"")</f>
        <v>0</v>
      </c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</row>
    <row r="335" spans="1:36" ht="15.95" customHeight="1" x14ac:dyDescent="0.2">
      <c r="A335" s="43"/>
      <c r="B335" s="45">
        <v>56</v>
      </c>
      <c r="C335" s="46">
        <f>IF($A$1='Data Entry'!$C336,'Data Entry'!D336,"")</f>
        <v>0</v>
      </c>
      <c r="D335" s="46">
        <f>IF($A$1='Data Entry'!$C336,'Data Entry'!E336,"")</f>
        <v>0</v>
      </c>
      <c r="E335" s="46">
        <f>IF($A$1='Data Entry'!$C336,'Data Entry'!F336,"")</f>
        <v>0</v>
      </c>
      <c r="F335" s="46">
        <f>IF($A$1='Data Entry'!$C336,'Data Entry'!G336,"")</f>
        <v>0</v>
      </c>
      <c r="G335" s="46">
        <f>IF($A$1='Data Entry'!$C336,'Data Entry'!H336,"")</f>
        <v>0</v>
      </c>
      <c r="H335" s="46">
        <f>IF($A$1='Data Entry'!$C336,'Data Entry'!I336,"")</f>
        <v>0</v>
      </c>
      <c r="I335" s="46">
        <f>IF($A$1='Data Entry'!$C336,'Data Entry'!J336,"")</f>
        <v>0</v>
      </c>
      <c r="J335" s="46">
        <f>IF($A$1='Data Entry'!$C336,'Data Entry'!K336,"")</f>
        <v>0</v>
      </c>
      <c r="K335" s="46">
        <f>IF($A$1='Data Entry'!$C336,'Data Entry'!L336,"")</f>
        <v>0</v>
      </c>
      <c r="L335" s="46">
        <f>IF($A$1='Data Entry'!$C336,'Data Entry'!M336,"")</f>
        <v>0</v>
      </c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</row>
    <row r="336" spans="1:36" ht="15.95" customHeight="1" x14ac:dyDescent="0.2">
      <c r="A336" s="43"/>
      <c r="B336" s="45">
        <v>56</v>
      </c>
      <c r="C336" s="46">
        <f>IF($A$1='Data Entry'!$C337,'Data Entry'!D337,"")</f>
        <v>0</v>
      </c>
      <c r="D336" s="46">
        <f>IF($A$1='Data Entry'!$C337,'Data Entry'!E337,"")</f>
        <v>0</v>
      </c>
      <c r="E336" s="46">
        <f>IF($A$1='Data Entry'!$C337,'Data Entry'!F337,"")</f>
        <v>0</v>
      </c>
      <c r="F336" s="46">
        <f>IF($A$1='Data Entry'!$C337,'Data Entry'!G337,"")</f>
        <v>0</v>
      </c>
      <c r="G336" s="46">
        <f>IF($A$1='Data Entry'!$C337,'Data Entry'!H337,"")</f>
        <v>0</v>
      </c>
      <c r="H336" s="46">
        <f>IF($A$1='Data Entry'!$C337,'Data Entry'!I337,"")</f>
        <v>0</v>
      </c>
      <c r="I336" s="46">
        <f>IF($A$1='Data Entry'!$C337,'Data Entry'!J337,"")</f>
        <v>0</v>
      </c>
      <c r="J336" s="46">
        <f>IF($A$1='Data Entry'!$C337,'Data Entry'!K337,"")</f>
        <v>0</v>
      </c>
      <c r="K336" s="46">
        <f>IF($A$1='Data Entry'!$C337,'Data Entry'!L337,"")</f>
        <v>0</v>
      </c>
      <c r="L336" s="46">
        <f>IF($A$1='Data Entry'!$C337,'Data Entry'!M337,"")</f>
        <v>0</v>
      </c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</row>
    <row r="337" spans="1:36" ht="15.95" customHeight="1" x14ac:dyDescent="0.2">
      <c r="A337" s="43"/>
      <c r="B337" s="45">
        <v>56</v>
      </c>
      <c r="C337" s="46">
        <f>IF($A$1='Data Entry'!$C338,'Data Entry'!D338,"")</f>
        <v>0</v>
      </c>
      <c r="D337" s="46">
        <f>IF($A$1='Data Entry'!$C338,'Data Entry'!E338,"")</f>
        <v>0</v>
      </c>
      <c r="E337" s="46">
        <f>IF($A$1='Data Entry'!$C338,'Data Entry'!F338,"")</f>
        <v>0</v>
      </c>
      <c r="F337" s="46">
        <f>IF($A$1='Data Entry'!$C338,'Data Entry'!G338,"")</f>
        <v>0</v>
      </c>
      <c r="G337" s="46">
        <f>IF($A$1='Data Entry'!$C338,'Data Entry'!H338,"")</f>
        <v>0</v>
      </c>
      <c r="H337" s="46">
        <f>IF($A$1='Data Entry'!$C338,'Data Entry'!I338,"")</f>
        <v>0</v>
      </c>
      <c r="I337" s="46">
        <f>IF($A$1='Data Entry'!$C338,'Data Entry'!J338,"")</f>
        <v>0</v>
      </c>
      <c r="J337" s="46">
        <f>IF($A$1='Data Entry'!$C338,'Data Entry'!K338,"")</f>
        <v>0</v>
      </c>
      <c r="K337" s="46">
        <f>IF($A$1='Data Entry'!$C338,'Data Entry'!L338,"")</f>
        <v>0</v>
      </c>
      <c r="L337" s="46">
        <f>IF($A$1='Data Entry'!$C338,'Data Entry'!M338,"")</f>
        <v>0</v>
      </c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</row>
    <row r="338" spans="1:36" ht="15.95" customHeight="1" x14ac:dyDescent="0.2">
      <c r="A338" s="43"/>
      <c r="B338" s="45">
        <v>56</v>
      </c>
      <c r="C338" s="46">
        <f>IF($A$1='Data Entry'!$C339,'Data Entry'!D339,"")</f>
        <v>0</v>
      </c>
      <c r="D338" s="46">
        <f>IF($A$1='Data Entry'!$C339,'Data Entry'!E339,"")</f>
        <v>0</v>
      </c>
      <c r="E338" s="46">
        <f>IF($A$1='Data Entry'!$C339,'Data Entry'!F339,"")</f>
        <v>0</v>
      </c>
      <c r="F338" s="46">
        <f>IF($A$1='Data Entry'!$C339,'Data Entry'!G339,"")</f>
        <v>0</v>
      </c>
      <c r="G338" s="46">
        <f>IF($A$1='Data Entry'!$C339,'Data Entry'!H339,"")</f>
        <v>0</v>
      </c>
      <c r="H338" s="46">
        <f>IF($A$1='Data Entry'!$C339,'Data Entry'!I339,"")</f>
        <v>0</v>
      </c>
      <c r="I338" s="46">
        <f>IF($A$1='Data Entry'!$C339,'Data Entry'!J339,"")</f>
        <v>0</v>
      </c>
      <c r="J338" s="46">
        <f>IF($A$1='Data Entry'!$C339,'Data Entry'!K339,"")</f>
        <v>0</v>
      </c>
      <c r="K338" s="46">
        <f>IF($A$1='Data Entry'!$C339,'Data Entry'!L339,"")</f>
        <v>0</v>
      </c>
      <c r="L338" s="46">
        <f>IF($A$1='Data Entry'!$C339,'Data Entry'!M339,"")</f>
        <v>0</v>
      </c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</row>
    <row r="339" spans="1:36" ht="15.95" customHeight="1" x14ac:dyDescent="0.2">
      <c r="A339" s="43"/>
      <c r="B339" s="45">
        <v>57</v>
      </c>
      <c r="C339" s="46">
        <f>IF($A$1='Data Entry'!$C340,'Data Entry'!D340,"")</f>
        <v>0</v>
      </c>
      <c r="D339" s="46">
        <f>IF($A$1='Data Entry'!$C340,'Data Entry'!E340,"")</f>
        <v>0</v>
      </c>
      <c r="E339" s="46">
        <f>IF($A$1='Data Entry'!$C340,'Data Entry'!F340,"")</f>
        <v>0</v>
      </c>
      <c r="F339" s="46">
        <f>IF($A$1='Data Entry'!$C340,'Data Entry'!G340,"")</f>
        <v>0</v>
      </c>
      <c r="G339" s="46">
        <f>IF($A$1='Data Entry'!$C340,'Data Entry'!H340,"")</f>
        <v>0</v>
      </c>
      <c r="H339" s="46">
        <f>IF($A$1='Data Entry'!$C340,'Data Entry'!I340,"")</f>
        <v>0</v>
      </c>
      <c r="I339" s="46">
        <f>IF($A$1='Data Entry'!$C340,'Data Entry'!J340,"")</f>
        <v>0</v>
      </c>
      <c r="J339" s="46">
        <f>IF($A$1='Data Entry'!$C340,'Data Entry'!K340,"")</f>
        <v>0</v>
      </c>
      <c r="K339" s="46">
        <f>IF($A$1='Data Entry'!$C340,'Data Entry'!L340,"")</f>
        <v>0</v>
      </c>
      <c r="L339" s="46">
        <f>IF($A$1='Data Entry'!$C340,'Data Entry'!M340,"")</f>
        <v>0</v>
      </c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</row>
    <row r="340" spans="1:36" ht="15.95" customHeight="1" x14ac:dyDescent="0.2">
      <c r="A340" s="43"/>
      <c r="B340" s="45">
        <v>57</v>
      </c>
      <c r="C340" s="46">
        <f>IF($A$1='Data Entry'!$C341,'Data Entry'!D341,"")</f>
        <v>0</v>
      </c>
      <c r="D340" s="46">
        <f>IF($A$1='Data Entry'!$C341,'Data Entry'!E341,"")</f>
        <v>0</v>
      </c>
      <c r="E340" s="46">
        <f>IF($A$1='Data Entry'!$C341,'Data Entry'!F341,"")</f>
        <v>0</v>
      </c>
      <c r="F340" s="46">
        <f>IF($A$1='Data Entry'!$C341,'Data Entry'!G341,"")</f>
        <v>0</v>
      </c>
      <c r="G340" s="46">
        <f>IF($A$1='Data Entry'!$C341,'Data Entry'!H341,"")</f>
        <v>0</v>
      </c>
      <c r="H340" s="46">
        <f>IF($A$1='Data Entry'!$C341,'Data Entry'!I341,"")</f>
        <v>0</v>
      </c>
      <c r="I340" s="46">
        <f>IF($A$1='Data Entry'!$C341,'Data Entry'!J341,"")</f>
        <v>0</v>
      </c>
      <c r="J340" s="46">
        <f>IF($A$1='Data Entry'!$C341,'Data Entry'!K341,"")</f>
        <v>0</v>
      </c>
      <c r="K340" s="46">
        <f>IF($A$1='Data Entry'!$C341,'Data Entry'!L341,"")</f>
        <v>0</v>
      </c>
      <c r="L340" s="46">
        <f>IF($A$1='Data Entry'!$C341,'Data Entry'!M341,"")</f>
        <v>0</v>
      </c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</row>
    <row r="341" spans="1:36" ht="15.95" customHeight="1" x14ac:dyDescent="0.2">
      <c r="A341" s="43"/>
      <c r="B341" s="45">
        <v>57</v>
      </c>
      <c r="C341" s="46">
        <f>IF($A$1='Data Entry'!$C342,'Data Entry'!D342,"")</f>
        <v>0</v>
      </c>
      <c r="D341" s="46">
        <f>IF($A$1='Data Entry'!$C342,'Data Entry'!E342,"")</f>
        <v>0</v>
      </c>
      <c r="E341" s="46">
        <f>IF($A$1='Data Entry'!$C342,'Data Entry'!F342,"")</f>
        <v>0</v>
      </c>
      <c r="F341" s="46">
        <f>IF($A$1='Data Entry'!$C342,'Data Entry'!G342,"")</f>
        <v>0</v>
      </c>
      <c r="G341" s="46">
        <f>IF($A$1='Data Entry'!$C342,'Data Entry'!H342,"")</f>
        <v>0</v>
      </c>
      <c r="H341" s="46">
        <f>IF($A$1='Data Entry'!$C342,'Data Entry'!I342,"")</f>
        <v>0</v>
      </c>
      <c r="I341" s="46">
        <f>IF($A$1='Data Entry'!$C342,'Data Entry'!J342,"")</f>
        <v>0</v>
      </c>
      <c r="J341" s="46">
        <f>IF($A$1='Data Entry'!$C342,'Data Entry'!K342,"")</f>
        <v>0</v>
      </c>
      <c r="K341" s="46">
        <f>IF($A$1='Data Entry'!$C342,'Data Entry'!L342,"")</f>
        <v>0</v>
      </c>
      <c r="L341" s="46">
        <f>IF($A$1='Data Entry'!$C342,'Data Entry'!M342,"")</f>
        <v>0</v>
      </c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</row>
    <row r="342" spans="1:36" ht="15.95" customHeight="1" x14ac:dyDescent="0.2">
      <c r="A342" s="43"/>
      <c r="B342" s="45">
        <v>57</v>
      </c>
      <c r="C342" s="46">
        <f>IF($A$1='Data Entry'!$C343,'Data Entry'!D343,"")</f>
        <v>0</v>
      </c>
      <c r="D342" s="46">
        <f>IF($A$1='Data Entry'!$C343,'Data Entry'!E343,"")</f>
        <v>0</v>
      </c>
      <c r="E342" s="46">
        <f>IF($A$1='Data Entry'!$C343,'Data Entry'!F343,"")</f>
        <v>0</v>
      </c>
      <c r="F342" s="46">
        <f>IF($A$1='Data Entry'!$C343,'Data Entry'!G343,"")</f>
        <v>0</v>
      </c>
      <c r="G342" s="46">
        <f>IF($A$1='Data Entry'!$C343,'Data Entry'!H343,"")</f>
        <v>0</v>
      </c>
      <c r="H342" s="46">
        <f>IF($A$1='Data Entry'!$C343,'Data Entry'!I343,"")</f>
        <v>0</v>
      </c>
      <c r="I342" s="46">
        <f>IF($A$1='Data Entry'!$C343,'Data Entry'!J343,"")</f>
        <v>0</v>
      </c>
      <c r="J342" s="46">
        <f>IF($A$1='Data Entry'!$C343,'Data Entry'!K343,"")</f>
        <v>0</v>
      </c>
      <c r="K342" s="46">
        <f>IF($A$1='Data Entry'!$C343,'Data Entry'!L343,"")</f>
        <v>0</v>
      </c>
      <c r="L342" s="46">
        <f>IF($A$1='Data Entry'!$C343,'Data Entry'!M343,"")</f>
        <v>0</v>
      </c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</row>
    <row r="343" spans="1:36" ht="15.95" customHeight="1" x14ac:dyDescent="0.2">
      <c r="A343" s="43"/>
      <c r="B343" s="45">
        <v>57</v>
      </c>
      <c r="C343" s="46">
        <f>IF($A$1='Data Entry'!$C344,'Data Entry'!D344,"")</f>
        <v>0</v>
      </c>
      <c r="D343" s="46">
        <f>IF($A$1='Data Entry'!$C344,'Data Entry'!E344,"")</f>
        <v>0</v>
      </c>
      <c r="E343" s="46">
        <f>IF($A$1='Data Entry'!$C344,'Data Entry'!F344,"")</f>
        <v>0</v>
      </c>
      <c r="F343" s="46">
        <f>IF($A$1='Data Entry'!$C344,'Data Entry'!G344,"")</f>
        <v>0</v>
      </c>
      <c r="G343" s="46">
        <f>IF($A$1='Data Entry'!$C344,'Data Entry'!H344,"")</f>
        <v>0</v>
      </c>
      <c r="H343" s="46">
        <f>IF($A$1='Data Entry'!$C344,'Data Entry'!I344,"")</f>
        <v>0</v>
      </c>
      <c r="I343" s="46">
        <f>IF($A$1='Data Entry'!$C344,'Data Entry'!J344,"")</f>
        <v>0</v>
      </c>
      <c r="J343" s="46">
        <f>IF($A$1='Data Entry'!$C344,'Data Entry'!K344,"")</f>
        <v>0</v>
      </c>
      <c r="K343" s="46">
        <f>IF($A$1='Data Entry'!$C344,'Data Entry'!L344,"")</f>
        <v>0</v>
      </c>
      <c r="L343" s="46">
        <f>IF($A$1='Data Entry'!$C344,'Data Entry'!M344,"")</f>
        <v>0</v>
      </c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</row>
    <row r="344" spans="1:36" ht="15.95" customHeight="1" x14ac:dyDescent="0.2">
      <c r="A344" s="43"/>
      <c r="B344" s="45">
        <v>57</v>
      </c>
      <c r="C344" s="46">
        <f>IF($A$1='Data Entry'!$C345,'Data Entry'!D345,"")</f>
        <v>0</v>
      </c>
      <c r="D344" s="46">
        <f>IF($A$1='Data Entry'!$C345,'Data Entry'!E345,"")</f>
        <v>0</v>
      </c>
      <c r="E344" s="46">
        <f>IF($A$1='Data Entry'!$C345,'Data Entry'!F345,"")</f>
        <v>0</v>
      </c>
      <c r="F344" s="46">
        <f>IF($A$1='Data Entry'!$C345,'Data Entry'!G345,"")</f>
        <v>0</v>
      </c>
      <c r="G344" s="46">
        <f>IF($A$1='Data Entry'!$C345,'Data Entry'!H345,"")</f>
        <v>0</v>
      </c>
      <c r="H344" s="46">
        <f>IF($A$1='Data Entry'!$C345,'Data Entry'!I345,"")</f>
        <v>0</v>
      </c>
      <c r="I344" s="46">
        <f>IF($A$1='Data Entry'!$C345,'Data Entry'!J345,"")</f>
        <v>0</v>
      </c>
      <c r="J344" s="46">
        <f>IF($A$1='Data Entry'!$C345,'Data Entry'!K345,"")</f>
        <v>0</v>
      </c>
      <c r="K344" s="46">
        <f>IF($A$1='Data Entry'!$C345,'Data Entry'!L345,"")</f>
        <v>0</v>
      </c>
      <c r="L344" s="46">
        <f>IF($A$1='Data Entry'!$C345,'Data Entry'!M345,"")</f>
        <v>0</v>
      </c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</row>
    <row r="345" spans="1:36" ht="15.95" customHeight="1" x14ac:dyDescent="0.2">
      <c r="A345" s="43"/>
      <c r="B345" s="45">
        <v>58</v>
      </c>
      <c r="C345" s="46">
        <f>IF($A$1='Data Entry'!$C346,'Data Entry'!D346,"")</f>
        <v>0</v>
      </c>
      <c r="D345" s="46">
        <f>IF($A$1='Data Entry'!$C346,'Data Entry'!E346,"")</f>
        <v>0</v>
      </c>
      <c r="E345" s="46">
        <f>IF($A$1='Data Entry'!$C346,'Data Entry'!F346,"")</f>
        <v>0</v>
      </c>
      <c r="F345" s="46">
        <f>IF($A$1='Data Entry'!$C346,'Data Entry'!G346,"")</f>
        <v>0</v>
      </c>
      <c r="G345" s="46">
        <f>IF($A$1='Data Entry'!$C346,'Data Entry'!H346,"")</f>
        <v>0</v>
      </c>
      <c r="H345" s="46">
        <f>IF($A$1='Data Entry'!$C346,'Data Entry'!I346,"")</f>
        <v>0</v>
      </c>
      <c r="I345" s="46">
        <f>IF($A$1='Data Entry'!$C346,'Data Entry'!J346,"")</f>
        <v>0</v>
      </c>
      <c r="J345" s="46">
        <f>IF($A$1='Data Entry'!$C346,'Data Entry'!K346,"")</f>
        <v>0</v>
      </c>
      <c r="K345" s="46">
        <f>IF($A$1='Data Entry'!$C346,'Data Entry'!L346,"")</f>
        <v>0</v>
      </c>
      <c r="L345" s="46">
        <f>IF($A$1='Data Entry'!$C346,'Data Entry'!M346,"")</f>
        <v>0</v>
      </c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</row>
    <row r="346" spans="1:36" ht="15.95" customHeight="1" x14ac:dyDescent="0.2">
      <c r="A346" s="43"/>
      <c r="B346" s="45">
        <v>58</v>
      </c>
      <c r="C346" s="46">
        <f>IF($A$1='Data Entry'!$C347,'Data Entry'!D347,"")</f>
        <v>0</v>
      </c>
      <c r="D346" s="46">
        <f>IF($A$1='Data Entry'!$C347,'Data Entry'!E347,"")</f>
        <v>0</v>
      </c>
      <c r="E346" s="46">
        <f>IF($A$1='Data Entry'!$C347,'Data Entry'!F347,"")</f>
        <v>0</v>
      </c>
      <c r="F346" s="46">
        <f>IF($A$1='Data Entry'!$C347,'Data Entry'!G347,"")</f>
        <v>0</v>
      </c>
      <c r="G346" s="46">
        <f>IF($A$1='Data Entry'!$C347,'Data Entry'!H347,"")</f>
        <v>0</v>
      </c>
      <c r="H346" s="46">
        <f>IF($A$1='Data Entry'!$C347,'Data Entry'!I347,"")</f>
        <v>0</v>
      </c>
      <c r="I346" s="46">
        <f>IF($A$1='Data Entry'!$C347,'Data Entry'!J347,"")</f>
        <v>0</v>
      </c>
      <c r="J346" s="46">
        <f>IF($A$1='Data Entry'!$C347,'Data Entry'!K347,"")</f>
        <v>0</v>
      </c>
      <c r="K346" s="46">
        <f>IF($A$1='Data Entry'!$C347,'Data Entry'!L347,"")</f>
        <v>0</v>
      </c>
      <c r="L346" s="46">
        <f>IF($A$1='Data Entry'!$C347,'Data Entry'!M347,"")</f>
        <v>0</v>
      </c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</row>
    <row r="347" spans="1:36" ht="15.95" customHeight="1" x14ac:dyDescent="0.2">
      <c r="A347" s="43"/>
      <c r="B347" s="45">
        <v>58</v>
      </c>
      <c r="C347" s="46">
        <f>IF($A$1='Data Entry'!$C348,'Data Entry'!D348,"")</f>
        <v>0</v>
      </c>
      <c r="D347" s="46">
        <f>IF($A$1='Data Entry'!$C348,'Data Entry'!E348,"")</f>
        <v>0</v>
      </c>
      <c r="E347" s="46">
        <f>IF($A$1='Data Entry'!$C348,'Data Entry'!F348,"")</f>
        <v>0</v>
      </c>
      <c r="F347" s="46">
        <f>IF($A$1='Data Entry'!$C348,'Data Entry'!G348,"")</f>
        <v>0</v>
      </c>
      <c r="G347" s="46">
        <f>IF($A$1='Data Entry'!$C348,'Data Entry'!H348,"")</f>
        <v>0</v>
      </c>
      <c r="H347" s="46">
        <f>IF($A$1='Data Entry'!$C348,'Data Entry'!I348,"")</f>
        <v>0</v>
      </c>
      <c r="I347" s="46">
        <f>IF($A$1='Data Entry'!$C348,'Data Entry'!J348,"")</f>
        <v>0</v>
      </c>
      <c r="J347" s="46">
        <f>IF($A$1='Data Entry'!$C348,'Data Entry'!K348,"")</f>
        <v>0</v>
      </c>
      <c r="K347" s="46">
        <f>IF($A$1='Data Entry'!$C348,'Data Entry'!L348,"")</f>
        <v>0</v>
      </c>
      <c r="L347" s="46">
        <f>IF($A$1='Data Entry'!$C348,'Data Entry'!M348,"")</f>
        <v>0</v>
      </c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</row>
    <row r="348" spans="1:36" ht="15.95" customHeight="1" x14ac:dyDescent="0.2">
      <c r="A348" s="43"/>
      <c r="B348" s="45">
        <v>58</v>
      </c>
      <c r="C348" s="46">
        <f>IF($A$1='Data Entry'!$C349,'Data Entry'!D349,"")</f>
        <v>0</v>
      </c>
      <c r="D348" s="46">
        <f>IF($A$1='Data Entry'!$C349,'Data Entry'!E349,"")</f>
        <v>0</v>
      </c>
      <c r="E348" s="46">
        <f>IF($A$1='Data Entry'!$C349,'Data Entry'!F349,"")</f>
        <v>0</v>
      </c>
      <c r="F348" s="46">
        <f>IF($A$1='Data Entry'!$C349,'Data Entry'!G349,"")</f>
        <v>0</v>
      </c>
      <c r="G348" s="46">
        <f>IF($A$1='Data Entry'!$C349,'Data Entry'!H349,"")</f>
        <v>0</v>
      </c>
      <c r="H348" s="46">
        <f>IF($A$1='Data Entry'!$C349,'Data Entry'!I349,"")</f>
        <v>0</v>
      </c>
      <c r="I348" s="46">
        <f>IF($A$1='Data Entry'!$C349,'Data Entry'!J349,"")</f>
        <v>0</v>
      </c>
      <c r="J348" s="46">
        <f>IF($A$1='Data Entry'!$C349,'Data Entry'!K349,"")</f>
        <v>0</v>
      </c>
      <c r="K348" s="46">
        <f>IF($A$1='Data Entry'!$C349,'Data Entry'!L349,"")</f>
        <v>0</v>
      </c>
      <c r="L348" s="46">
        <f>IF($A$1='Data Entry'!$C349,'Data Entry'!M349,"")</f>
        <v>0</v>
      </c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</row>
    <row r="349" spans="1:36" ht="15.95" customHeight="1" x14ac:dyDescent="0.2">
      <c r="A349" s="43"/>
      <c r="B349" s="45">
        <v>58</v>
      </c>
      <c r="C349" s="46">
        <f>IF($A$1='Data Entry'!$C350,'Data Entry'!D350,"")</f>
        <v>0</v>
      </c>
      <c r="D349" s="46">
        <f>IF($A$1='Data Entry'!$C350,'Data Entry'!E350,"")</f>
        <v>0</v>
      </c>
      <c r="E349" s="46">
        <f>IF($A$1='Data Entry'!$C350,'Data Entry'!F350,"")</f>
        <v>0</v>
      </c>
      <c r="F349" s="46">
        <f>IF($A$1='Data Entry'!$C350,'Data Entry'!G350,"")</f>
        <v>0</v>
      </c>
      <c r="G349" s="46">
        <f>IF($A$1='Data Entry'!$C350,'Data Entry'!H350,"")</f>
        <v>0</v>
      </c>
      <c r="H349" s="46">
        <f>IF($A$1='Data Entry'!$C350,'Data Entry'!I350,"")</f>
        <v>0</v>
      </c>
      <c r="I349" s="46">
        <f>IF($A$1='Data Entry'!$C350,'Data Entry'!J350,"")</f>
        <v>0</v>
      </c>
      <c r="J349" s="46">
        <f>IF($A$1='Data Entry'!$C350,'Data Entry'!K350,"")</f>
        <v>0</v>
      </c>
      <c r="K349" s="46">
        <f>IF($A$1='Data Entry'!$C350,'Data Entry'!L350,"")</f>
        <v>0</v>
      </c>
      <c r="L349" s="46">
        <f>IF($A$1='Data Entry'!$C350,'Data Entry'!M350,"")</f>
        <v>0</v>
      </c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</row>
    <row r="350" spans="1:36" ht="15.95" customHeight="1" x14ac:dyDescent="0.2">
      <c r="A350" s="43"/>
      <c r="B350" s="45">
        <v>58</v>
      </c>
      <c r="C350" s="46">
        <f>IF($A$1='Data Entry'!$C351,'Data Entry'!D351,"")</f>
        <v>0</v>
      </c>
      <c r="D350" s="46">
        <f>IF($A$1='Data Entry'!$C351,'Data Entry'!E351,"")</f>
        <v>0</v>
      </c>
      <c r="E350" s="46">
        <f>IF($A$1='Data Entry'!$C351,'Data Entry'!F351,"")</f>
        <v>0</v>
      </c>
      <c r="F350" s="46">
        <f>IF($A$1='Data Entry'!$C351,'Data Entry'!G351,"")</f>
        <v>0</v>
      </c>
      <c r="G350" s="46">
        <f>IF($A$1='Data Entry'!$C351,'Data Entry'!H351,"")</f>
        <v>0</v>
      </c>
      <c r="H350" s="46">
        <f>IF($A$1='Data Entry'!$C351,'Data Entry'!I351,"")</f>
        <v>0</v>
      </c>
      <c r="I350" s="46">
        <f>IF($A$1='Data Entry'!$C351,'Data Entry'!J351,"")</f>
        <v>0</v>
      </c>
      <c r="J350" s="46">
        <f>IF($A$1='Data Entry'!$C351,'Data Entry'!K351,"")</f>
        <v>0</v>
      </c>
      <c r="K350" s="46">
        <f>IF($A$1='Data Entry'!$C351,'Data Entry'!L351,"")</f>
        <v>0</v>
      </c>
      <c r="L350" s="46">
        <f>IF($A$1='Data Entry'!$C351,'Data Entry'!M351,"")</f>
        <v>0</v>
      </c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</row>
    <row r="351" spans="1:36" ht="15.95" customHeight="1" x14ac:dyDescent="0.2">
      <c r="A351" s="43"/>
      <c r="B351" s="45">
        <v>59</v>
      </c>
      <c r="C351" s="46">
        <f>IF($A$1='Data Entry'!$C352,'Data Entry'!D352,"")</f>
        <v>0</v>
      </c>
      <c r="D351" s="46">
        <f>IF($A$1='Data Entry'!$C352,'Data Entry'!E352,"")</f>
        <v>0</v>
      </c>
      <c r="E351" s="46">
        <f>IF($A$1='Data Entry'!$C352,'Data Entry'!F352,"")</f>
        <v>0</v>
      </c>
      <c r="F351" s="46">
        <f>IF($A$1='Data Entry'!$C352,'Data Entry'!G352,"")</f>
        <v>0</v>
      </c>
      <c r="G351" s="46">
        <f>IF($A$1='Data Entry'!$C352,'Data Entry'!H352,"")</f>
        <v>0</v>
      </c>
      <c r="H351" s="46">
        <f>IF($A$1='Data Entry'!$C352,'Data Entry'!I352,"")</f>
        <v>0</v>
      </c>
      <c r="I351" s="46">
        <f>IF($A$1='Data Entry'!$C352,'Data Entry'!J352,"")</f>
        <v>0</v>
      </c>
      <c r="J351" s="46">
        <f>IF($A$1='Data Entry'!$C352,'Data Entry'!K352,"")</f>
        <v>0</v>
      </c>
      <c r="K351" s="46">
        <f>IF($A$1='Data Entry'!$C352,'Data Entry'!L352,"")</f>
        <v>0</v>
      </c>
      <c r="L351" s="46">
        <f>IF($A$1='Data Entry'!$C352,'Data Entry'!M352,"")</f>
        <v>0</v>
      </c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</row>
    <row r="352" spans="1:36" ht="15.95" customHeight="1" x14ac:dyDescent="0.2">
      <c r="A352" s="43"/>
      <c r="B352" s="45">
        <v>59</v>
      </c>
      <c r="C352" s="46">
        <f>IF($A$1='Data Entry'!$C353,'Data Entry'!D353,"")</f>
        <v>0</v>
      </c>
      <c r="D352" s="46">
        <f>IF($A$1='Data Entry'!$C353,'Data Entry'!E353,"")</f>
        <v>0</v>
      </c>
      <c r="E352" s="46">
        <f>IF($A$1='Data Entry'!$C353,'Data Entry'!F353,"")</f>
        <v>0</v>
      </c>
      <c r="F352" s="46">
        <f>IF($A$1='Data Entry'!$C353,'Data Entry'!G353,"")</f>
        <v>0</v>
      </c>
      <c r="G352" s="46">
        <f>IF($A$1='Data Entry'!$C353,'Data Entry'!H353,"")</f>
        <v>0</v>
      </c>
      <c r="H352" s="46">
        <f>IF($A$1='Data Entry'!$C353,'Data Entry'!I353,"")</f>
        <v>0</v>
      </c>
      <c r="I352" s="46">
        <f>IF($A$1='Data Entry'!$C353,'Data Entry'!J353,"")</f>
        <v>0</v>
      </c>
      <c r="J352" s="46">
        <f>IF($A$1='Data Entry'!$C353,'Data Entry'!K353,"")</f>
        <v>0</v>
      </c>
      <c r="K352" s="46">
        <f>IF($A$1='Data Entry'!$C353,'Data Entry'!L353,"")</f>
        <v>0</v>
      </c>
      <c r="L352" s="46">
        <f>IF($A$1='Data Entry'!$C353,'Data Entry'!M353,"")</f>
        <v>0</v>
      </c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</row>
    <row r="353" spans="1:36" ht="15.95" customHeight="1" x14ac:dyDescent="0.2">
      <c r="A353" s="43"/>
      <c r="B353" s="45">
        <v>59</v>
      </c>
      <c r="C353" s="46">
        <f>IF($A$1='Data Entry'!$C354,'Data Entry'!D354,"")</f>
        <v>0</v>
      </c>
      <c r="D353" s="46">
        <f>IF($A$1='Data Entry'!$C354,'Data Entry'!E354,"")</f>
        <v>0</v>
      </c>
      <c r="E353" s="46">
        <f>IF($A$1='Data Entry'!$C354,'Data Entry'!F354,"")</f>
        <v>0</v>
      </c>
      <c r="F353" s="46">
        <f>IF($A$1='Data Entry'!$C354,'Data Entry'!G354,"")</f>
        <v>0</v>
      </c>
      <c r="G353" s="46">
        <f>IF($A$1='Data Entry'!$C354,'Data Entry'!H354,"")</f>
        <v>0</v>
      </c>
      <c r="H353" s="46">
        <f>IF($A$1='Data Entry'!$C354,'Data Entry'!I354,"")</f>
        <v>0</v>
      </c>
      <c r="I353" s="46">
        <f>IF($A$1='Data Entry'!$C354,'Data Entry'!J354,"")</f>
        <v>0</v>
      </c>
      <c r="J353" s="46">
        <f>IF($A$1='Data Entry'!$C354,'Data Entry'!K354,"")</f>
        <v>0</v>
      </c>
      <c r="K353" s="46">
        <f>IF($A$1='Data Entry'!$C354,'Data Entry'!L354,"")</f>
        <v>0</v>
      </c>
      <c r="L353" s="46">
        <f>IF($A$1='Data Entry'!$C354,'Data Entry'!M354,"")</f>
        <v>0</v>
      </c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</row>
    <row r="354" spans="1:36" ht="15.95" customHeight="1" x14ac:dyDescent="0.2">
      <c r="A354" s="43"/>
      <c r="B354" s="45">
        <v>59</v>
      </c>
      <c r="C354" s="46">
        <f>IF($A$1='Data Entry'!$C355,'Data Entry'!D355,"")</f>
        <v>0</v>
      </c>
      <c r="D354" s="46">
        <f>IF($A$1='Data Entry'!$C355,'Data Entry'!E355,"")</f>
        <v>0</v>
      </c>
      <c r="E354" s="46">
        <f>IF($A$1='Data Entry'!$C355,'Data Entry'!F355,"")</f>
        <v>0</v>
      </c>
      <c r="F354" s="46">
        <f>IF($A$1='Data Entry'!$C355,'Data Entry'!G355,"")</f>
        <v>0</v>
      </c>
      <c r="G354" s="46">
        <f>IF($A$1='Data Entry'!$C355,'Data Entry'!H355,"")</f>
        <v>0</v>
      </c>
      <c r="H354" s="46">
        <f>IF($A$1='Data Entry'!$C355,'Data Entry'!I355,"")</f>
        <v>0</v>
      </c>
      <c r="I354" s="46">
        <f>IF($A$1='Data Entry'!$C355,'Data Entry'!J355,"")</f>
        <v>0</v>
      </c>
      <c r="J354" s="46">
        <f>IF($A$1='Data Entry'!$C355,'Data Entry'!K355,"")</f>
        <v>0</v>
      </c>
      <c r="K354" s="46">
        <f>IF($A$1='Data Entry'!$C355,'Data Entry'!L355,"")</f>
        <v>0</v>
      </c>
      <c r="L354" s="46">
        <f>IF($A$1='Data Entry'!$C355,'Data Entry'!M355,"")</f>
        <v>0</v>
      </c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</row>
    <row r="355" spans="1:36" ht="15.95" customHeight="1" x14ac:dyDescent="0.2">
      <c r="A355" s="43"/>
      <c r="B355" s="45">
        <v>59</v>
      </c>
      <c r="C355" s="46">
        <f>IF($A$1='Data Entry'!$C356,'Data Entry'!D356,"")</f>
        <v>0</v>
      </c>
      <c r="D355" s="46">
        <f>IF($A$1='Data Entry'!$C356,'Data Entry'!E356,"")</f>
        <v>0</v>
      </c>
      <c r="E355" s="46">
        <f>IF($A$1='Data Entry'!$C356,'Data Entry'!F356,"")</f>
        <v>0</v>
      </c>
      <c r="F355" s="46">
        <f>IF($A$1='Data Entry'!$C356,'Data Entry'!G356,"")</f>
        <v>0</v>
      </c>
      <c r="G355" s="46">
        <f>IF($A$1='Data Entry'!$C356,'Data Entry'!H356,"")</f>
        <v>0</v>
      </c>
      <c r="H355" s="46">
        <f>IF($A$1='Data Entry'!$C356,'Data Entry'!I356,"")</f>
        <v>0</v>
      </c>
      <c r="I355" s="46">
        <f>IF($A$1='Data Entry'!$C356,'Data Entry'!J356,"")</f>
        <v>0</v>
      </c>
      <c r="J355" s="46">
        <f>IF($A$1='Data Entry'!$C356,'Data Entry'!K356,"")</f>
        <v>0</v>
      </c>
      <c r="K355" s="46">
        <f>IF($A$1='Data Entry'!$C356,'Data Entry'!L356,"")</f>
        <v>0</v>
      </c>
      <c r="L355" s="46">
        <f>IF($A$1='Data Entry'!$C356,'Data Entry'!M356,"")</f>
        <v>0</v>
      </c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</row>
    <row r="356" spans="1:36" ht="15.95" customHeight="1" x14ac:dyDescent="0.2">
      <c r="A356" s="43"/>
      <c r="B356" s="45">
        <v>59</v>
      </c>
      <c r="C356" s="46">
        <f>IF($A$1='Data Entry'!$C357,'Data Entry'!D357,"")</f>
        <v>0</v>
      </c>
      <c r="D356" s="46">
        <f>IF($A$1='Data Entry'!$C357,'Data Entry'!E357,"")</f>
        <v>0</v>
      </c>
      <c r="E356" s="46">
        <f>IF($A$1='Data Entry'!$C357,'Data Entry'!F357,"")</f>
        <v>0</v>
      </c>
      <c r="F356" s="46">
        <f>IF($A$1='Data Entry'!$C357,'Data Entry'!G357,"")</f>
        <v>0</v>
      </c>
      <c r="G356" s="46">
        <f>IF($A$1='Data Entry'!$C357,'Data Entry'!H357,"")</f>
        <v>0</v>
      </c>
      <c r="H356" s="46">
        <f>IF($A$1='Data Entry'!$C357,'Data Entry'!I357,"")</f>
        <v>0</v>
      </c>
      <c r="I356" s="46">
        <f>IF($A$1='Data Entry'!$C357,'Data Entry'!J357,"")</f>
        <v>0</v>
      </c>
      <c r="J356" s="46">
        <f>IF($A$1='Data Entry'!$C357,'Data Entry'!K357,"")</f>
        <v>0</v>
      </c>
      <c r="K356" s="46">
        <f>IF($A$1='Data Entry'!$C357,'Data Entry'!L357,"")</f>
        <v>0</v>
      </c>
      <c r="L356" s="46">
        <f>IF($A$1='Data Entry'!$C357,'Data Entry'!M357,"")</f>
        <v>0</v>
      </c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</row>
    <row r="357" spans="1:36" ht="15.95" customHeight="1" x14ac:dyDescent="0.2">
      <c r="A357" s="43"/>
      <c r="B357" s="45">
        <v>60</v>
      </c>
      <c r="C357" s="46">
        <f>IF($A$1='Data Entry'!$C358,'Data Entry'!D358,"")</f>
        <v>0</v>
      </c>
      <c r="D357" s="46">
        <f>IF($A$1='Data Entry'!$C358,'Data Entry'!E358,"")</f>
        <v>0</v>
      </c>
      <c r="E357" s="46">
        <f>IF($A$1='Data Entry'!$C358,'Data Entry'!F358,"")</f>
        <v>0</v>
      </c>
      <c r="F357" s="46">
        <f>IF($A$1='Data Entry'!$C358,'Data Entry'!G358,"")</f>
        <v>0</v>
      </c>
      <c r="G357" s="46">
        <f>IF($A$1='Data Entry'!$C358,'Data Entry'!H358,"")</f>
        <v>0</v>
      </c>
      <c r="H357" s="46">
        <f>IF($A$1='Data Entry'!$C358,'Data Entry'!I358,"")</f>
        <v>0</v>
      </c>
      <c r="I357" s="46">
        <f>IF($A$1='Data Entry'!$C358,'Data Entry'!J358,"")</f>
        <v>0</v>
      </c>
      <c r="J357" s="46">
        <f>IF($A$1='Data Entry'!$C358,'Data Entry'!K358,"")</f>
        <v>0</v>
      </c>
      <c r="K357" s="46">
        <f>IF($A$1='Data Entry'!$C358,'Data Entry'!L358,"")</f>
        <v>0</v>
      </c>
      <c r="L357" s="46">
        <f>IF($A$1='Data Entry'!$C358,'Data Entry'!M358,"")</f>
        <v>0</v>
      </c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</row>
    <row r="358" spans="1:36" ht="15.95" customHeight="1" x14ac:dyDescent="0.2">
      <c r="A358" s="43"/>
      <c r="B358" s="45">
        <v>60</v>
      </c>
      <c r="C358" s="46">
        <f>IF($A$1='Data Entry'!$C359,'Data Entry'!D359,"")</f>
        <v>0</v>
      </c>
      <c r="D358" s="46">
        <f>IF($A$1='Data Entry'!$C359,'Data Entry'!E359,"")</f>
        <v>0</v>
      </c>
      <c r="E358" s="46">
        <f>IF($A$1='Data Entry'!$C359,'Data Entry'!F359,"")</f>
        <v>0</v>
      </c>
      <c r="F358" s="46">
        <f>IF($A$1='Data Entry'!$C359,'Data Entry'!G359,"")</f>
        <v>0</v>
      </c>
      <c r="G358" s="46">
        <f>IF($A$1='Data Entry'!$C359,'Data Entry'!H359,"")</f>
        <v>0</v>
      </c>
      <c r="H358" s="46">
        <f>IF($A$1='Data Entry'!$C359,'Data Entry'!I359,"")</f>
        <v>0</v>
      </c>
      <c r="I358" s="46">
        <f>IF($A$1='Data Entry'!$C359,'Data Entry'!J359,"")</f>
        <v>0</v>
      </c>
      <c r="J358" s="46">
        <f>IF($A$1='Data Entry'!$C359,'Data Entry'!K359,"")</f>
        <v>0</v>
      </c>
      <c r="K358" s="46">
        <f>IF($A$1='Data Entry'!$C359,'Data Entry'!L359,"")</f>
        <v>0</v>
      </c>
      <c r="L358" s="46">
        <f>IF($A$1='Data Entry'!$C359,'Data Entry'!M359,"")</f>
        <v>0</v>
      </c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</row>
    <row r="359" spans="1:36" ht="15.95" customHeight="1" x14ac:dyDescent="0.2">
      <c r="A359" s="43"/>
      <c r="B359" s="45">
        <v>60</v>
      </c>
      <c r="C359" s="46">
        <f>IF($A$1='Data Entry'!$C360,'Data Entry'!D360,"")</f>
        <v>0</v>
      </c>
      <c r="D359" s="46">
        <f>IF($A$1='Data Entry'!$C360,'Data Entry'!E360,"")</f>
        <v>0</v>
      </c>
      <c r="E359" s="46">
        <f>IF($A$1='Data Entry'!$C360,'Data Entry'!F360,"")</f>
        <v>0</v>
      </c>
      <c r="F359" s="46">
        <f>IF($A$1='Data Entry'!$C360,'Data Entry'!G360,"")</f>
        <v>0</v>
      </c>
      <c r="G359" s="46">
        <f>IF($A$1='Data Entry'!$C360,'Data Entry'!H360,"")</f>
        <v>0</v>
      </c>
      <c r="H359" s="46">
        <f>IF($A$1='Data Entry'!$C360,'Data Entry'!I360,"")</f>
        <v>0</v>
      </c>
      <c r="I359" s="46">
        <f>IF($A$1='Data Entry'!$C360,'Data Entry'!J360,"")</f>
        <v>0</v>
      </c>
      <c r="J359" s="46">
        <f>IF($A$1='Data Entry'!$C360,'Data Entry'!K360,"")</f>
        <v>0</v>
      </c>
      <c r="K359" s="46">
        <f>IF($A$1='Data Entry'!$C360,'Data Entry'!L360,"")</f>
        <v>0</v>
      </c>
      <c r="L359" s="46">
        <f>IF($A$1='Data Entry'!$C360,'Data Entry'!M360,"")</f>
        <v>0</v>
      </c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</row>
    <row r="360" spans="1:36" ht="15.95" customHeight="1" x14ac:dyDescent="0.2">
      <c r="A360" s="43"/>
      <c r="B360" s="45">
        <v>60</v>
      </c>
      <c r="C360" s="46">
        <f>IF($A$1='Data Entry'!$C361,'Data Entry'!D361,"")</f>
        <v>0</v>
      </c>
      <c r="D360" s="46">
        <f>IF($A$1='Data Entry'!$C361,'Data Entry'!E361,"")</f>
        <v>0</v>
      </c>
      <c r="E360" s="46">
        <f>IF($A$1='Data Entry'!$C361,'Data Entry'!F361,"")</f>
        <v>0</v>
      </c>
      <c r="F360" s="46">
        <f>IF($A$1='Data Entry'!$C361,'Data Entry'!G361,"")</f>
        <v>0</v>
      </c>
      <c r="G360" s="46">
        <f>IF($A$1='Data Entry'!$C361,'Data Entry'!H361,"")</f>
        <v>0</v>
      </c>
      <c r="H360" s="46">
        <f>IF($A$1='Data Entry'!$C361,'Data Entry'!I361,"")</f>
        <v>0</v>
      </c>
      <c r="I360" s="46">
        <f>IF($A$1='Data Entry'!$C361,'Data Entry'!J361,"")</f>
        <v>0</v>
      </c>
      <c r="J360" s="46">
        <f>IF($A$1='Data Entry'!$C361,'Data Entry'!K361,"")</f>
        <v>0</v>
      </c>
      <c r="K360" s="46">
        <f>IF($A$1='Data Entry'!$C361,'Data Entry'!L361,"")</f>
        <v>0</v>
      </c>
      <c r="L360" s="46">
        <f>IF($A$1='Data Entry'!$C361,'Data Entry'!M361,"")</f>
        <v>0</v>
      </c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</row>
    <row r="361" spans="1:36" ht="15.95" customHeight="1" x14ac:dyDescent="0.2">
      <c r="A361" s="43"/>
      <c r="B361" s="45">
        <v>60</v>
      </c>
      <c r="C361" s="46">
        <f>IF($A$1='Data Entry'!$C362,'Data Entry'!D362,"")</f>
        <v>0</v>
      </c>
      <c r="D361" s="46">
        <f>IF($A$1='Data Entry'!$C362,'Data Entry'!E362,"")</f>
        <v>0</v>
      </c>
      <c r="E361" s="46">
        <f>IF($A$1='Data Entry'!$C362,'Data Entry'!F362,"")</f>
        <v>0</v>
      </c>
      <c r="F361" s="46">
        <f>IF($A$1='Data Entry'!$C362,'Data Entry'!G362,"")</f>
        <v>0</v>
      </c>
      <c r="G361" s="46">
        <f>IF($A$1='Data Entry'!$C362,'Data Entry'!H362,"")</f>
        <v>0</v>
      </c>
      <c r="H361" s="46">
        <f>IF($A$1='Data Entry'!$C362,'Data Entry'!I362,"")</f>
        <v>0</v>
      </c>
      <c r="I361" s="46">
        <f>IF($A$1='Data Entry'!$C362,'Data Entry'!J362,"")</f>
        <v>0</v>
      </c>
      <c r="J361" s="46">
        <f>IF($A$1='Data Entry'!$C362,'Data Entry'!K362,"")</f>
        <v>0</v>
      </c>
      <c r="K361" s="46">
        <f>IF($A$1='Data Entry'!$C362,'Data Entry'!L362,"")</f>
        <v>0</v>
      </c>
      <c r="L361" s="46">
        <f>IF($A$1='Data Entry'!$C362,'Data Entry'!M362,"")</f>
        <v>0</v>
      </c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</row>
    <row r="362" spans="1:36" ht="15.95" customHeight="1" x14ac:dyDescent="0.2">
      <c r="A362" s="43"/>
      <c r="B362" s="45">
        <v>60</v>
      </c>
      <c r="C362" s="46">
        <f>IF($A$1='Data Entry'!$C363,'Data Entry'!D363,"")</f>
        <v>0</v>
      </c>
      <c r="D362" s="46">
        <f>IF($A$1='Data Entry'!$C363,'Data Entry'!E363,"")</f>
        <v>0</v>
      </c>
      <c r="E362" s="46">
        <f>IF($A$1='Data Entry'!$C363,'Data Entry'!F363,"")</f>
        <v>0</v>
      </c>
      <c r="F362" s="46">
        <f>IF($A$1='Data Entry'!$C363,'Data Entry'!G363,"")</f>
        <v>0</v>
      </c>
      <c r="G362" s="46">
        <f>IF($A$1='Data Entry'!$C363,'Data Entry'!H363,"")</f>
        <v>0</v>
      </c>
      <c r="H362" s="46">
        <f>IF($A$1='Data Entry'!$C363,'Data Entry'!I363,"")</f>
        <v>0</v>
      </c>
      <c r="I362" s="46">
        <f>IF($A$1='Data Entry'!$C363,'Data Entry'!J363,"")</f>
        <v>0</v>
      </c>
      <c r="J362" s="46">
        <f>IF($A$1='Data Entry'!$C363,'Data Entry'!K363,"")</f>
        <v>0</v>
      </c>
      <c r="K362" s="46">
        <f>IF($A$1='Data Entry'!$C363,'Data Entry'!L363,"")</f>
        <v>0</v>
      </c>
      <c r="L362" s="46">
        <f>IF($A$1='Data Entry'!$C363,'Data Entry'!M363,"")</f>
        <v>0</v>
      </c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</row>
    <row r="363" spans="1:36" ht="15.95" customHeight="1" x14ac:dyDescent="0.2">
      <c r="A363" s="43"/>
      <c r="B363" s="45">
        <v>61</v>
      </c>
      <c r="C363" s="46">
        <f>IF($A$1='Data Entry'!$C364,'Data Entry'!D364,"")</f>
        <v>0</v>
      </c>
      <c r="D363" s="46">
        <f>IF($A$1='Data Entry'!$C364,'Data Entry'!E364,"")</f>
        <v>0</v>
      </c>
      <c r="E363" s="46">
        <f>IF($A$1='Data Entry'!$C364,'Data Entry'!F364,"")</f>
        <v>0</v>
      </c>
      <c r="F363" s="46">
        <f>IF($A$1='Data Entry'!$C364,'Data Entry'!G364,"")</f>
        <v>0</v>
      </c>
      <c r="G363" s="46">
        <f>IF($A$1='Data Entry'!$C364,'Data Entry'!H364,"")</f>
        <v>0</v>
      </c>
      <c r="H363" s="46">
        <f>IF($A$1='Data Entry'!$C364,'Data Entry'!I364,"")</f>
        <v>0</v>
      </c>
      <c r="I363" s="46">
        <f>IF($A$1='Data Entry'!$C364,'Data Entry'!J364,"")</f>
        <v>0</v>
      </c>
      <c r="J363" s="46">
        <f>IF($A$1='Data Entry'!$C364,'Data Entry'!K364,"")</f>
        <v>0</v>
      </c>
      <c r="K363" s="46">
        <f>IF($A$1='Data Entry'!$C364,'Data Entry'!L364,"")</f>
        <v>0</v>
      </c>
      <c r="L363" s="46">
        <f>IF($A$1='Data Entry'!$C364,'Data Entry'!M364,"")</f>
        <v>0</v>
      </c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</row>
    <row r="364" spans="1:36" ht="15.95" customHeight="1" x14ac:dyDescent="0.2">
      <c r="A364" s="43"/>
      <c r="B364" s="45">
        <v>61</v>
      </c>
      <c r="C364" s="46">
        <f>IF($A$1='Data Entry'!$C365,'Data Entry'!D365,"")</f>
        <v>0</v>
      </c>
      <c r="D364" s="46">
        <f>IF($A$1='Data Entry'!$C365,'Data Entry'!E365,"")</f>
        <v>0</v>
      </c>
      <c r="E364" s="46">
        <f>IF($A$1='Data Entry'!$C365,'Data Entry'!F365,"")</f>
        <v>0</v>
      </c>
      <c r="F364" s="46">
        <f>IF($A$1='Data Entry'!$C365,'Data Entry'!G365,"")</f>
        <v>0</v>
      </c>
      <c r="G364" s="46">
        <f>IF($A$1='Data Entry'!$C365,'Data Entry'!H365,"")</f>
        <v>0</v>
      </c>
      <c r="H364" s="46">
        <f>IF($A$1='Data Entry'!$C365,'Data Entry'!I365,"")</f>
        <v>0</v>
      </c>
      <c r="I364" s="46">
        <f>IF($A$1='Data Entry'!$C365,'Data Entry'!J365,"")</f>
        <v>0</v>
      </c>
      <c r="J364" s="46">
        <f>IF($A$1='Data Entry'!$C365,'Data Entry'!K365,"")</f>
        <v>0</v>
      </c>
      <c r="K364" s="46">
        <f>IF($A$1='Data Entry'!$C365,'Data Entry'!L365,"")</f>
        <v>0</v>
      </c>
      <c r="L364" s="46">
        <f>IF($A$1='Data Entry'!$C365,'Data Entry'!M365,"")</f>
        <v>0</v>
      </c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</row>
    <row r="365" spans="1:36" ht="15.95" customHeight="1" x14ac:dyDescent="0.2">
      <c r="A365" s="43"/>
      <c r="B365" s="45">
        <v>61</v>
      </c>
      <c r="C365" s="46">
        <f>IF($A$1='Data Entry'!$C366,'Data Entry'!D366,"")</f>
        <v>0</v>
      </c>
      <c r="D365" s="46">
        <f>IF($A$1='Data Entry'!$C366,'Data Entry'!E366,"")</f>
        <v>0</v>
      </c>
      <c r="E365" s="46">
        <f>IF($A$1='Data Entry'!$C366,'Data Entry'!F366,"")</f>
        <v>0</v>
      </c>
      <c r="F365" s="46">
        <f>IF($A$1='Data Entry'!$C366,'Data Entry'!G366,"")</f>
        <v>0</v>
      </c>
      <c r="G365" s="46">
        <f>IF($A$1='Data Entry'!$C366,'Data Entry'!H366,"")</f>
        <v>0</v>
      </c>
      <c r="H365" s="46">
        <f>IF($A$1='Data Entry'!$C366,'Data Entry'!I366,"")</f>
        <v>0</v>
      </c>
      <c r="I365" s="46">
        <f>IF($A$1='Data Entry'!$C366,'Data Entry'!J366,"")</f>
        <v>0</v>
      </c>
      <c r="J365" s="46">
        <f>IF($A$1='Data Entry'!$C366,'Data Entry'!K366,"")</f>
        <v>0</v>
      </c>
      <c r="K365" s="46">
        <f>IF($A$1='Data Entry'!$C366,'Data Entry'!L366,"")</f>
        <v>0</v>
      </c>
      <c r="L365" s="46">
        <f>IF($A$1='Data Entry'!$C366,'Data Entry'!M366,"")</f>
        <v>0</v>
      </c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</row>
    <row r="366" spans="1:36" ht="15.95" customHeight="1" x14ac:dyDescent="0.2">
      <c r="A366" s="43"/>
      <c r="B366" s="45">
        <v>61</v>
      </c>
      <c r="C366" s="46">
        <f>IF($A$1='Data Entry'!$C367,'Data Entry'!D367,"")</f>
        <v>0</v>
      </c>
      <c r="D366" s="46">
        <f>IF($A$1='Data Entry'!$C367,'Data Entry'!E367,"")</f>
        <v>0</v>
      </c>
      <c r="E366" s="46">
        <f>IF($A$1='Data Entry'!$C367,'Data Entry'!F367,"")</f>
        <v>0</v>
      </c>
      <c r="F366" s="46">
        <f>IF($A$1='Data Entry'!$C367,'Data Entry'!G367,"")</f>
        <v>0</v>
      </c>
      <c r="G366" s="46">
        <f>IF($A$1='Data Entry'!$C367,'Data Entry'!H367,"")</f>
        <v>0</v>
      </c>
      <c r="H366" s="46">
        <f>IF($A$1='Data Entry'!$C367,'Data Entry'!I367,"")</f>
        <v>0</v>
      </c>
      <c r="I366" s="46">
        <f>IF($A$1='Data Entry'!$C367,'Data Entry'!J367,"")</f>
        <v>0</v>
      </c>
      <c r="J366" s="46">
        <f>IF($A$1='Data Entry'!$C367,'Data Entry'!K367,"")</f>
        <v>0</v>
      </c>
      <c r="K366" s="46">
        <f>IF($A$1='Data Entry'!$C367,'Data Entry'!L367,"")</f>
        <v>0</v>
      </c>
      <c r="L366" s="46">
        <f>IF($A$1='Data Entry'!$C367,'Data Entry'!M367,"")</f>
        <v>0</v>
      </c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</row>
    <row r="367" spans="1:36" ht="15.95" customHeight="1" x14ac:dyDescent="0.2">
      <c r="A367" s="43"/>
      <c r="B367" s="45">
        <v>61</v>
      </c>
      <c r="C367" s="46">
        <f>IF($A$1='Data Entry'!$C368,'Data Entry'!D368,"")</f>
        <v>0</v>
      </c>
      <c r="D367" s="46">
        <f>IF($A$1='Data Entry'!$C368,'Data Entry'!E368,"")</f>
        <v>0</v>
      </c>
      <c r="E367" s="46">
        <f>IF($A$1='Data Entry'!$C368,'Data Entry'!F368,"")</f>
        <v>0</v>
      </c>
      <c r="F367" s="46">
        <f>IF($A$1='Data Entry'!$C368,'Data Entry'!G368,"")</f>
        <v>0</v>
      </c>
      <c r="G367" s="46">
        <f>IF($A$1='Data Entry'!$C368,'Data Entry'!H368,"")</f>
        <v>0</v>
      </c>
      <c r="H367" s="46">
        <f>IF($A$1='Data Entry'!$C368,'Data Entry'!I368,"")</f>
        <v>0</v>
      </c>
      <c r="I367" s="46">
        <f>IF($A$1='Data Entry'!$C368,'Data Entry'!J368,"")</f>
        <v>0</v>
      </c>
      <c r="J367" s="46">
        <f>IF($A$1='Data Entry'!$C368,'Data Entry'!K368,"")</f>
        <v>0</v>
      </c>
      <c r="K367" s="46">
        <f>IF($A$1='Data Entry'!$C368,'Data Entry'!L368,"")</f>
        <v>0</v>
      </c>
      <c r="L367" s="46">
        <f>IF($A$1='Data Entry'!$C368,'Data Entry'!M368,"")</f>
        <v>0</v>
      </c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</row>
    <row r="368" spans="1:36" ht="15.95" customHeight="1" x14ac:dyDescent="0.2">
      <c r="A368" s="43"/>
      <c r="B368" s="45">
        <v>61</v>
      </c>
      <c r="C368" s="46">
        <f>IF($A$1='Data Entry'!$C369,'Data Entry'!D369,"")</f>
        <v>0</v>
      </c>
      <c r="D368" s="46">
        <f>IF($A$1='Data Entry'!$C369,'Data Entry'!E369,"")</f>
        <v>0</v>
      </c>
      <c r="E368" s="46">
        <f>IF($A$1='Data Entry'!$C369,'Data Entry'!F369,"")</f>
        <v>0</v>
      </c>
      <c r="F368" s="46">
        <f>IF($A$1='Data Entry'!$C369,'Data Entry'!G369,"")</f>
        <v>0</v>
      </c>
      <c r="G368" s="46">
        <f>IF($A$1='Data Entry'!$C369,'Data Entry'!H369,"")</f>
        <v>0</v>
      </c>
      <c r="H368" s="46">
        <f>IF($A$1='Data Entry'!$C369,'Data Entry'!I369,"")</f>
        <v>0</v>
      </c>
      <c r="I368" s="46">
        <f>IF($A$1='Data Entry'!$C369,'Data Entry'!J369,"")</f>
        <v>0</v>
      </c>
      <c r="J368" s="46">
        <f>IF($A$1='Data Entry'!$C369,'Data Entry'!K369,"")</f>
        <v>0</v>
      </c>
      <c r="K368" s="46">
        <f>IF($A$1='Data Entry'!$C369,'Data Entry'!L369,"")</f>
        <v>0</v>
      </c>
      <c r="L368" s="46">
        <f>IF($A$1='Data Entry'!$C369,'Data Entry'!M369,"")</f>
        <v>0</v>
      </c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</row>
    <row r="369" spans="1:36" ht="15.95" customHeight="1" x14ac:dyDescent="0.2">
      <c r="A369" s="43"/>
      <c r="B369" s="45">
        <v>62</v>
      </c>
      <c r="C369" s="46">
        <f>IF($A$1='Data Entry'!$C370,'Data Entry'!D370,"")</f>
        <v>0</v>
      </c>
      <c r="D369" s="46">
        <f>IF($A$1='Data Entry'!$C370,'Data Entry'!E370,"")</f>
        <v>0</v>
      </c>
      <c r="E369" s="46">
        <f>IF($A$1='Data Entry'!$C370,'Data Entry'!F370,"")</f>
        <v>0</v>
      </c>
      <c r="F369" s="46">
        <f>IF($A$1='Data Entry'!$C370,'Data Entry'!G370,"")</f>
        <v>0</v>
      </c>
      <c r="G369" s="46">
        <f>IF($A$1='Data Entry'!$C370,'Data Entry'!H370,"")</f>
        <v>0</v>
      </c>
      <c r="H369" s="46">
        <f>IF($A$1='Data Entry'!$C370,'Data Entry'!I370,"")</f>
        <v>0</v>
      </c>
      <c r="I369" s="46">
        <f>IF($A$1='Data Entry'!$C370,'Data Entry'!J370,"")</f>
        <v>0</v>
      </c>
      <c r="J369" s="46">
        <f>IF($A$1='Data Entry'!$C370,'Data Entry'!K370,"")</f>
        <v>0</v>
      </c>
      <c r="K369" s="46">
        <f>IF($A$1='Data Entry'!$C370,'Data Entry'!L370,"")</f>
        <v>0</v>
      </c>
      <c r="L369" s="46">
        <f>IF($A$1='Data Entry'!$C370,'Data Entry'!M370,"")</f>
        <v>0</v>
      </c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</row>
    <row r="370" spans="1:36" ht="15.95" customHeight="1" x14ac:dyDescent="0.2">
      <c r="A370" s="43"/>
      <c r="B370" s="45">
        <v>62</v>
      </c>
      <c r="C370" s="46">
        <f>IF($A$1='Data Entry'!$C371,'Data Entry'!D371,"")</f>
        <v>0</v>
      </c>
      <c r="D370" s="46">
        <f>IF($A$1='Data Entry'!$C371,'Data Entry'!E371,"")</f>
        <v>0</v>
      </c>
      <c r="E370" s="46">
        <f>IF($A$1='Data Entry'!$C371,'Data Entry'!F371,"")</f>
        <v>0</v>
      </c>
      <c r="F370" s="46">
        <f>IF($A$1='Data Entry'!$C371,'Data Entry'!G371,"")</f>
        <v>0</v>
      </c>
      <c r="G370" s="46">
        <f>IF($A$1='Data Entry'!$C371,'Data Entry'!H371,"")</f>
        <v>0</v>
      </c>
      <c r="H370" s="46">
        <f>IF($A$1='Data Entry'!$C371,'Data Entry'!I371,"")</f>
        <v>0</v>
      </c>
      <c r="I370" s="46">
        <f>IF($A$1='Data Entry'!$C371,'Data Entry'!J371,"")</f>
        <v>0</v>
      </c>
      <c r="J370" s="46">
        <f>IF($A$1='Data Entry'!$C371,'Data Entry'!K371,"")</f>
        <v>0</v>
      </c>
      <c r="K370" s="46">
        <f>IF($A$1='Data Entry'!$C371,'Data Entry'!L371,"")</f>
        <v>0</v>
      </c>
      <c r="L370" s="46">
        <f>IF($A$1='Data Entry'!$C371,'Data Entry'!M371,"")</f>
        <v>0</v>
      </c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</row>
    <row r="371" spans="1:36" ht="15.95" customHeight="1" x14ac:dyDescent="0.2">
      <c r="A371" s="43"/>
      <c r="B371" s="45">
        <v>62</v>
      </c>
      <c r="C371" s="46">
        <f>IF($A$1='Data Entry'!$C372,'Data Entry'!D372,"")</f>
        <v>0</v>
      </c>
      <c r="D371" s="46">
        <f>IF($A$1='Data Entry'!$C372,'Data Entry'!E372,"")</f>
        <v>0</v>
      </c>
      <c r="E371" s="46">
        <f>IF($A$1='Data Entry'!$C372,'Data Entry'!F372,"")</f>
        <v>0</v>
      </c>
      <c r="F371" s="46">
        <f>IF($A$1='Data Entry'!$C372,'Data Entry'!G372,"")</f>
        <v>0</v>
      </c>
      <c r="G371" s="46">
        <f>IF($A$1='Data Entry'!$C372,'Data Entry'!H372,"")</f>
        <v>0</v>
      </c>
      <c r="H371" s="46">
        <f>IF($A$1='Data Entry'!$C372,'Data Entry'!I372,"")</f>
        <v>0</v>
      </c>
      <c r="I371" s="46">
        <f>IF($A$1='Data Entry'!$C372,'Data Entry'!J372,"")</f>
        <v>0</v>
      </c>
      <c r="J371" s="46">
        <f>IF($A$1='Data Entry'!$C372,'Data Entry'!K372,"")</f>
        <v>0</v>
      </c>
      <c r="K371" s="46">
        <f>IF($A$1='Data Entry'!$C372,'Data Entry'!L372,"")</f>
        <v>0</v>
      </c>
      <c r="L371" s="46">
        <f>IF($A$1='Data Entry'!$C372,'Data Entry'!M372,"")</f>
        <v>0</v>
      </c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</row>
    <row r="372" spans="1:36" ht="15.95" customHeight="1" x14ac:dyDescent="0.2">
      <c r="A372" s="43"/>
      <c r="B372" s="45">
        <v>62</v>
      </c>
      <c r="C372" s="46">
        <f>IF($A$1='Data Entry'!$C373,'Data Entry'!D373,"")</f>
        <v>0</v>
      </c>
      <c r="D372" s="46">
        <f>IF($A$1='Data Entry'!$C373,'Data Entry'!E373,"")</f>
        <v>0</v>
      </c>
      <c r="E372" s="46">
        <f>IF($A$1='Data Entry'!$C373,'Data Entry'!F373,"")</f>
        <v>0</v>
      </c>
      <c r="F372" s="46">
        <f>IF($A$1='Data Entry'!$C373,'Data Entry'!G373,"")</f>
        <v>0</v>
      </c>
      <c r="G372" s="46">
        <f>IF($A$1='Data Entry'!$C373,'Data Entry'!H373,"")</f>
        <v>0</v>
      </c>
      <c r="H372" s="46">
        <f>IF($A$1='Data Entry'!$C373,'Data Entry'!I373,"")</f>
        <v>0</v>
      </c>
      <c r="I372" s="46">
        <f>IF($A$1='Data Entry'!$C373,'Data Entry'!J373,"")</f>
        <v>0</v>
      </c>
      <c r="J372" s="46">
        <f>IF($A$1='Data Entry'!$C373,'Data Entry'!K373,"")</f>
        <v>0</v>
      </c>
      <c r="K372" s="46">
        <f>IF($A$1='Data Entry'!$C373,'Data Entry'!L373,"")</f>
        <v>0</v>
      </c>
      <c r="L372" s="46">
        <f>IF($A$1='Data Entry'!$C373,'Data Entry'!M373,"")</f>
        <v>0</v>
      </c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</row>
    <row r="373" spans="1:36" ht="15.95" customHeight="1" x14ac:dyDescent="0.2">
      <c r="A373" s="43"/>
      <c r="B373" s="45">
        <v>62</v>
      </c>
      <c r="C373" s="46">
        <f>IF($A$1='Data Entry'!$C374,'Data Entry'!D374,"")</f>
        <v>0</v>
      </c>
      <c r="D373" s="46">
        <f>IF($A$1='Data Entry'!$C374,'Data Entry'!E374,"")</f>
        <v>0</v>
      </c>
      <c r="E373" s="46">
        <f>IF($A$1='Data Entry'!$C374,'Data Entry'!F374,"")</f>
        <v>0</v>
      </c>
      <c r="F373" s="46">
        <f>IF($A$1='Data Entry'!$C374,'Data Entry'!G374,"")</f>
        <v>0</v>
      </c>
      <c r="G373" s="46">
        <f>IF($A$1='Data Entry'!$C374,'Data Entry'!H374,"")</f>
        <v>0</v>
      </c>
      <c r="H373" s="46">
        <f>IF($A$1='Data Entry'!$C374,'Data Entry'!I374,"")</f>
        <v>0</v>
      </c>
      <c r="I373" s="46">
        <f>IF($A$1='Data Entry'!$C374,'Data Entry'!J374,"")</f>
        <v>0</v>
      </c>
      <c r="J373" s="46">
        <f>IF($A$1='Data Entry'!$C374,'Data Entry'!K374,"")</f>
        <v>0</v>
      </c>
      <c r="K373" s="46">
        <f>IF($A$1='Data Entry'!$C374,'Data Entry'!L374,"")</f>
        <v>0</v>
      </c>
      <c r="L373" s="46">
        <f>IF($A$1='Data Entry'!$C374,'Data Entry'!M374,"")</f>
        <v>0</v>
      </c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</row>
    <row r="374" spans="1:36" ht="15.95" customHeight="1" x14ac:dyDescent="0.2">
      <c r="A374" s="43"/>
      <c r="B374" s="45">
        <v>62</v>
      </c>
      <c r="C374" s="46">
        <f>IF($A$1='Data Entry'!$C375,'Data Entry'!D375,"")</f>
        <v>0</v>
      </c>
      <c r="D374" s="46">
        <f>IF($A$1='Data Entry'!$C375,'Data Entry'!E375,"")</f>
        <v>0</v>
      </c>
      <c r="E374" s="46">
        <f>IF($A$1='Data Entry'!$C375,'Data Entry'!F375,"")</f>
        <v>0</v>
      </c>
      <c r="F374" s="46">
        <f>IF($A$1='Data Entry'!$C375,'Data Entry'!G375,"")</f>
        <v>0</v>
      </c>
      <c r="G374" s="46">
        <f>IF($A$1='Data Entry'!$C375,'Data Entry'!H375,"")</f>
        <v>0</v>
      </c>
      <c r="H374" s="46">
        <f>IF($A$1='Data Entry'!$C375,'Data Entry'!I375,"")</f>
        <v>0</v>
      </c>
      <c r="I374" s="46">
        <f>IF($A$1='Data Entry'!$C375,'Data Entry'!J375,"")</f>
        <v>0</v>
      </c>
      <c r="J374" s="46">
        <f>IF($A$1='Data Entry'!$C375,'Data Entry'!K375,"")</f>
        <v>0</v>
      </c>
      <c r="K374" s="46">
        <f>IF($A$1='Data Entry'!$C375,'Data Entry'!L375,"")</f>
        <v>0</v>
      </c>
      <c r="L374" s="46">
        <f>IF($A$1='Data Entry'!$C375,'Data Entry'!M375,"")</f>
        <v>0</v>
      </c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</row>
    <row r="375" spans="1:36" ht="15.95" customHeight="1" x14ac:dyDescent="0.2">
      <c r="A375" s="43"/>
      <c r="B375" s="45">
        <v>63</v>
      </c>
      <c r="C375" s="46">
        <f>IF($A$1='Data Entry'!$C376,'Data Entry'!D376,"")</f>
        <v>0</v>
      </c>
      <c r="D375" s="46">
        <f>IF($A$1='Data Entry'!$C376,'Data Entry'!E376,"")</f>
        <v>0</v>
      </c>
      <c r="E375" s="46">
        <f>IF($A$1='Data Entry'!$C376,'Data Entry'!F376,"")</f>
        <v>0</v>
      </c>
      <c r="F375" s="46">
        <f>IF($A$1='Data Entry'!$C376,'Data Entry'!G376,"")</f>
        <v>0</v>
      </c>
      <c r="G375" s="46">
        <f>IF($A$1='Data Entry'!$C376,'Data Entry'!H376,"")</f>
        <v>0</v>
      </c>
      <c r="H375" s="46">
        <f>IF($A$1='Data Entry'!$C376,'Data Entry'!I376,"")</f>
        <v>0</v>
      </c>
      <c r="I375" s="46">
        <f>IF($A$1='Data Entry'!$C376,'Data Entry'!J376,"")</f>
        <v>0</v>
      </c>
      <c r="J375" s="46">
        <f>IF($A$1='Data Entry'!$C376,'Data Entry'!K376,"")</f>
        <v>0</v>
      </c>
      <c r="K375" s="46">
        <f>IF($A$1='Data Entry'!$C376,'Data Entry'!L376,"")</f>
        <v>0</v>
      </c>
      <c r="L375" s="46">
        <f>IF($A$1='Data Entry'!$C376,'Data Entry'!M376,"")</f>
        <v>0</v>
      </c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</row>
    <row r="376" spans="1:36" ht="15.95" customHeight="1" x14ac:dyDescent="0.2">
      <c r="A376" s="43"/>
      <c r="B376" s="45">
        <v>63</v>
      </c>
      <c r="C376" s="46">
        <f>IF($A$1='Data Entry'!$C377,'Data Entry'!D377,"")</f>
        <v>0</v>
      </c>
      <c r="D376" s="46">
        <f>IF($A$1='Data Entry'!$C377,'Data Entry'!E377,"")</f>
        <v>0</v>
      </c>
      <c r="E376" s="46">
        <f>IF($A$1='Data Entry'!$C377,'Data Entry'!F377,"")</f>
        <v>0</v>
      </c>
      <c r="F376" s="46">
        <f>IF($A$1='Data Entry'!$C377,'Data Entry'!G377,"")</f>
        <v>0</v>
      </c>
      <c r="G376" s="46">
        <f>IF($A$1='Data Entry'!$C377,'Data Entry'!H377,"")</f>
        <v>0</v>
      </c>
      <c r="H376" s="46">
        <f>IF($A$1='Data Entry'!$C377,'Data Entry'!I377,"")</f>
        <v>0</v>
      </c>
      <c r="I376" s="46">
        <f>IF($A$1='Data Entry'!$C377,'Data Entry'!J377,"")</f>
        <v>0</v>
      </c>
      <c r="J376" s="46">
        <f>IF($A$1='Data Entry'!$C377,'Data Entry'!K377,"")</f>
        <v>0</v>
      </c>
      <c r="K376" s="46">
        <f>IF($A$1='Data Entry'!$C377,'Data Entry'!L377,"")</f>
        <v>0</v>
      </c>
      <c r="L376" s="46">
        <f>IF($A$1='Data Entry'!$C377,'Data Entry'!M377,"")</f>
        <v>0</v>
      </c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</row>
    <row r="377" spans="1:36" ht="15.95" customHeight="1" x14ac:dyDescent="0.2">
      <c r="A377" s="43"/>
      <c r="B377" s="45">
        <v>63</v>
      </c>
      <c r="C377" s="46">
        <f>IF($A$1='Data Entry'!$C378,'Data Entry'!D378,"")</f>
        <v>0</v>
      </c>
      <c r="D377" s="46">
        <f>IF($A$1='Data Entry'!$C378,'Data Entry'!E378,"")</f>
        <v>0</v>
      </c>
      <c r="E377" s="46">
        <f>IF($A$1='Data Entry'!$C378,'Data Entry'!F378,"")</f>
        <v>0</v>
      </c>
      <c r="F377" s="46">
        <f>IF($A$1='Data Entry'!$C378,'Data Entry'!G378,"")</f>
        <v>0</v>
      </c>
      <c r="G377" s="46">
        <f>IF($A$1='Data Entry'!$C378,'Data Entry'!H378,"")</f>
        <v>0</v>
      </c>
      <c r="H377" s="46">
        <f>IF($A$1='Data Entry'!$C378,'Data Entry'!I378,"")</f>
        <v>0</v>
      </c>
      <c r="I377" s="46">
        <f>IF($A$1='Data Entry'!$C378,'Data Entry'!J378,"")</f>
        <v>0</v>
      </c>
      <c r="J377" s="46">
        <f>IF($A$1='Data Entry'!$C378,'Data Entry'!K378,"")</f>
        <v>0</v>
      </c>
      <c r="K377" s="46">
        <f>IF($A$1='Data Entry'!$C378,'Data Entry'!L378,"")</f>
        <v>0</v>
      </c>
      <c r="L377" s="46">
        <f>IF($A$1='Data Entry'!$C378,'Data Entry'!M378,"")</f>
        <v>0</v>
      </c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</row>
    <row r="378" spans="1:36" ht="15.95" customHeight="1" x14ac:dyDescent="0.2">
      <c r="A378" s="43"/>
      <c r="B378" s="45">
        <v>63</v>
      </c>
      <c r="C378" s="46">
        <f>IF($A$1='Data Entry'!$C379,'Data Entry'!D379,"")</f>
        <v>0</v>
      </c>
      <c r="D378" s="46">
        <f>IF($A$1='Data Entry'!$C379,'Data Entry'!E379,"")</f>
        <v>0</v>
      </c>
      <c r="E378" s="46">
        <f>IF($A$1='Data Entry'!$C379,'Data Entry'!F379,"")</f>
        <v>0</v>
      </c>
      <c r="F378" s="46">
        <f>IF($A$1='Data Entry'!$C379,'Data Entry'!G379,"")</f>
        <v>0</v>
      </c>
      <c r="G378" s="46">
        <f>IF($A$1='Data Entry'!$C379,'Data Entry'!H379,"")</f>
        <v>0</v>
      </c>
      <c r="H378" s="46">
        <f>IF($A$1='Data Entry'!$C379,'Data Entry'!I379,"")</f>
        <v>0</v>
      </c>
      <c r="I378" s="46">
        <f>IF($A$1='Data Entry'!$C379,'Data Entry'!J379,"")</f>
        <v>0</v>
      </c>
      <c r="J378" s="46">
        <f>IF($A$1='Data Entry'!$C379,'Data Entry'!K379,"")</f>
        <v>0</v>
      </c>
      <c r="K378" s="46">
        <f>IF($A$1='Data Entry'!$C379,'Data Entry'!L379,"")</f>
        <v>0</v>
      </c>
      <c r="L378" s="46">
        <f>IF($A$1='Data Entry'!$C379,'Data Entry'!M379,"")</f>
        <v>0</v>
      </c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</row>
    <row r="379" spans="1:36" ht="15.95" customHeight="1" x14ac:dyDescent="0.2">
      <c r="A379" s="43"/>
      <c r="B379" s="45">
        <v>63</v>
      </c>
      <c r="C379" s="46">
        <f>IF($A$1='Data Entry'!$C380,'Data Entry'!D380,"")</f>
        <v>0</v>
      </c>
      <c r="D379" s="46">
        <f>IF($A$1='Data Entry'!$C380,'Data Entry'!E380,"")</f>
        <v>0</v>
      </c>
      <c r="E379" s="46">
        <f>IF($A$1='Data Entry'!$C380,'Data Entry'!F380,"")</f>
        <v>0</v>
      </c>
      <c r="F379" s="46">
        <f>IF($A$1='Data Entry'!$C380,'Data Entry'!G380,"")</f>
        <v>0</v>
      </c>
      <c r="G379" s="46">
        <f>IF($A$1='Data Entry'!$C380,'Data Entry'!H380,"")</f>
        <v>0</v>
      </c>
      <c r="H379" s="46">
        <f>IF($A$1='Data Entry'!$C380,'Data Entry'!I380,"")</f>
        <v>0</v>
      </c>
      <c r="I379" s="46">
        <f>IF($A$1='Data Entry'!$C380,'Data Entry'!J380,"")</f>
        <v>0</v>
      </c>
      <c r="J379" s="46">
        <f>IF($A$1='Data Entry'!$C380,'Data Entry'!K380,"")</f>
        <v>0</v>
      </c>
      <c r="K379" s="46">
        <f>IF($A$1='Data Entry'!$C380,'Data Entry'!L380,"")</f>
        <v>0</v>
      </c>
      <c r="L379" s="46">
        <f>IF($A$1='Data Entry'!$C380,'Data Entry'!M380,"")</f>
        <v>0</v>
      </c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</row>
    <row r="380" spans="1:36" ht="15.95" customHeight="1" x14ac:dyDescent="0.2">
      <c r="A380" s="43"/>
      <c r="B380" s="45">
        <v>63</v>
      </c>
      <c r="C380" s="46">
        <f>IF($A$1='Data Entry'!$C381,'Data Entry'!D381,"")</f>
        <v>0</v>
      </c>
      <c r="D380" s="46">
        <f>IF($A$1='Data Entry'!$C381,'Data Entry'!E381,"")</f>
        <v>0</v>
      </c>
      <c r="E380" s="46">
        <f>IF($A$1='Data Entry'!$C381,'Data Entry'!F381,"")</f>
        <v>0</v>
      </c>
      <c r="F380" s="46">
        <f>IF($A$1='Data Entry'!$C381,'Data Entry'!G381,"")</f>
        <v>0</v>
      </c>
      <c r="G380" s="46">
        <f>IF($A$1='Data Entry'!$C381,'Data Entry'!H381,"")</f>
        <v>0</v>
      </c>
      <c r="H380" s="46">
        <f>IF($A$1='Data Entry'!$C381,'Data Entry'!I381,"")</f>
        <v>0</v>
      </c>
      <c r="I380" s="46">
        <f>IF($A$1='Data Entry'!$C381,'Data Entry'!J381,"")</f>
        <v>0</v>
      </c>
      <c r="J380" s="46">
        <f>IF($A$1='Data Entry'!$C381,'Data Entry'!K381,"")</f>
        <v>0</v>
      </c>
      <c r="K380" s="46">
        <f>IF($A$1='Data Entry'!$C381,'Data Entry'!L381,"")</f>
        <v>0</v>
      </c>
      <c r="L380" s="46">
        <f>IF($A$1='Data Entry'!$C381,'Data Entry'!M381,"")</f>
        <v>0</v>
      </c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</row>
    <row r="381" spans="1:36" ht="15.95" customHeight="1" x14ac:dyDescent="0.2">
      <c r="A381" s="43"/>
      <c r="B381" s="45">
        <v>64</v>
      </c>
      <c r="C381" s="46">
        <f>IF($A$1='Data Entry'!$C382,'Data Entry'!D382,"")</f>
        <v>0</v>
      </c>
      <c r="D381" s="46">
        <f>IF($A$1='Data Entry'!$C382,'Data Entry'!E382,"")</f>
        <v>0</v>
      </c>
      <c r="E381" s="46">
        <f>IF($A$1='Data Entry'!$C382,'Data Entry'!F382,"")</f>
        <v>0</v>
      </c>
      <c r="F381" s="46">
        <f>IF($A$1='Data Entry'!$C382,'Data Entry'!G382,"")</f>
        <v>0</v>
      </c>
      <c r="G381" s="46">
        <f>IF($A$1='Data Entry'!$C382,'Data Entry'!H382,"")</f>
        <v>0</v>
      </c>
      <c r="H381" s="46">
        <f>IF($A$1='Data Entry'!$C382,'Data Entry'!I382,"")</f>
        <v>0</v>
      </c>
      <c r="I381" s="46">
        <f>IF($A$1='Data Entry'!$C382,'Data Entry'!J382,"")</f>
        <v>0</v>
      </c>
      <c r="J381" s="46">
        <f>IF($A$1='Data Entry'!$C382,'Data Entry'!K382,"")</f>
        <v>0</v>
      </c>
      <c r="K381" s="46">
        <f>IF($A$1='Data Entry'!$C382,'Data Entry'!L382,"")</f>
        <v>0</v>
      </c>
      <c r="L381" s="46">
        <f>IF($A$1='Data Entry'!$C382,'Data Entry'!M382,"")</f>
        <v>0</v>
      </c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</row>
    <row r="382" spans="1:36" ht="15.95" customHeight="1" x14ac:dyDescent="0.2">
      <c r="A382" s="43"/>
      <c r="B382" s="45">
        <v>64</v>
      </c>
      <c r="C382" s="46">
        <f>IF($A$1='Data Entry'!$C383,'Data Entry'!D383,"")</f>
        <v>0</v>
      </c>
      <c r="D382" s="46">
        <f>IF($A$1='Data Entry'!$C383,'Data Entry'!E383,"")</f>
        <v>0</v>
      </c>
      <c r="E382" s="46">
        <f>IF($A$1='Data Entry'!$C383,'Data Entry'!F383,"")</f>
        <v>0</v>
      </c>
      <c r="F382" s="46">
        <f>IF($A$1='Data Entry'!$C383,'Data Entry'!G383,"")</f>
        <v>0</v>
      </c>
      <c r="G382" s="46">
        <f>IF($A$1='Data Entry'!$C383,'Data Entry'!H383,"")</f>
        <v>0</v>
      </c>
      <c r="H382" s="46">
        <f>IF($A$1='Data Entry'!$C383,'Data Entry'!I383,"")</f>
        <v>0</v>
      </c>
      <c r="I382" s="46">
        <f>IF($A$1='Data Entry'!$C383,'Data Entry'!J383,"")</f>
        <v>0</v>
      </c>
      <c r="J382" s="46">
        <f>IF($A$1='Data Entry'!$C383,'Data Entry'!K383,"")</f>
        <v>0</v>
      </c>
      <c r="K382" s="46">
        <f>IF($A$1='Data Entry'!$C383,'Data Entry'!L383,"")</f>
        <v>0</v>
      </c>
      <c r="L382" s="46">
        <f>IF($A$1='Data Entry'!$C383,'Data Entry'!M383,"")</f>
        <v>0</v>
      </c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</row>
    <row r="383" spans="1:36" ht="15.95" customHeight="1" x14ac:dyDescent="0.2">
      <c r="A383" s="43"/>
      <c r="B383" s="45">
        <v>64</v>
      </c>
      <c r="C383" s="46">
        <f>IF($A$1='Data Entry'!$C384,'Data Entry'!D384,"")</f>
        <v>0</v>
      </c>
      <c r="D383" s="46">
        <f>IF($A$1='Data Entry'!$C384,'Data Entry'!E384,"")</f>
        <v>0</v>
      </c>
      <c r="E383" s="46">
        <f>IF($A$1='Data Entry'!$C384,'Data Entry'!F384,"")</f>
        <v>0</v>
      </c>
      <c r="F383" s="46">
        <f>IF($A$1='Data Entry'!$C384,'Data Entry'!G384,"")</f>
        <v>0</v>
      </c>
      <c r="G383" s="46">
        <f>IF($A$1='Data Entry'!$C384,'Data Entry'!H384,"")</f>
        <v>0</v>
      </c>
      <c r="H383" s="46">
        <f>IF($A$1='Data Entry'!$C384,'Data Entry'!I384,"")</f>
        <v>0</v>
      </c>
      <c r="I383" s="46">
        <f>IF($A$1='Data Entry'!$C384,'Data Entry'!J384,"")</f>
        <v>0</v>
      </c>
      <c r="J383" s="46">
        <f>IF($A$1='Data Entry'!$C384,'Data Entry'!K384,"")</f>
        <v>0</v>
      </c>
      <c r="K383" s="46">
        <f>IF($A$1='Data Entry'!$C384,'Data Entry'!L384,"")</f>
        <v>0</v>
      </c>
      <c r="L383" s="46">
        <f>IF($A$1='Data Entry'!$C384,'Data Entry'!M384,"")</f>
        <v>0</v>
      </c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</row>
    <row r="384" spans="1:36" ht="15.95" customHeight="1" x14ac:dyDescent="0.2">
      <c r="A384" s="43"/>
      <c r="B384" s="45">
        <v>64</v>
      </c>
      <c r="C384" s="46">
        <f>IF($A$1='Data Entry'!$C385,'Data Entry'!D385,"")</f>
        <v>0</v>
      </c>
      <c r="D384" s="46">
        <f>IF($A$1='Data Entry'!$C385,'Data Entry'!E385,"")</f>
        <v>0</v>
      </c>
      <c r="E384" s="46">
        <f>IF($A$1='Data Entry'!$C385,'Data Entry'!F385,"")</f>
        <v>0</v>
      </c>
      <c r="F384" s="46">
        <f>IF($A$1='Data Entry'!$C385,'Data Entry'!G385,"")</f>
        <v>0</v>
      </c>
      <c r="G384" s="46">
        <f>IF($A$1='Data Entry'!$C385,'Data Entry'!H385,"")</f>
        <v>0</v>
      </c>
      <c r="H384" s="46">
        <f>IF($A$1='Data Entry'!$C385,'Data Entry'!I385,"")</f>
        <v>0</v>
      </c>
      <c r="I384" s="46">
        <f>IF($A$1='Data Entry'!$C385,'Data Entry'!J385,"")</f>
        <v>0</v>
      </c>
      <c r="J384" s="46">
        <f>IF($A$1='Data Entry'!$C385,'Data Entry'!K385,"")</f>
        <v>0</v>
      </c>
      <c r="K384" s="46">
        <f>IF($A$1='Data Entry'!$C385,'Data Entry'!L385,"")</f>
        <v>0</v>
      </c>
      <c r="L384" s="46">
        <f>IF($A$1='Data Entry'!$C385,'Data Entry'!M385,"")</f>
        <v>0</v>
      </c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  <c r="AH384" s="43"/>
      <c r="AI384" s="43"/>
      <c r="AJ384" s="43"/>
    </row>
    <row r="385" spans="1:36" ht="15.95" customHeight="1" x14ac:dyDescent="0.2">
      <c r="A385" s="43"/>
      <c r="B385" s="45">
        <v>64</v>
      </c>
      <c r="C385" s="46">
        <f>IF($A$1='Data Entry'!$C386,'Data Entry'!D386,"")</f>
        <v>0</v>
      </c>
      <c r="D385" s="46">
        <f>IF($A$1='Data Entry'!$C386,'Data Entry'!E386,"")</f>
        <v>0</v>
      </c>
      <c r="E385" s="46">
        <f>IF($A$1='Data Entry'!$C386,'Data Entry'!F386,"")</f>
        <v>0</v>
      </c>
      <c r="F385" s="46">
        <f>IF($A$1='Data Entry'!$C386,'Data Entry'!G386,"")</f>
        <v>0</v>
      </c>
      <c r="G385" s="46">
        <f>IF($A$1='Data Entry'!$C386,'Data Entry'!H386,"")</f>
        <v>0</v>
      </c>
      <c r="H385" s="46">
        <f>IF($A$1='Data Entry'!$C386,'Data Entry'!I386,"")</f>
        <v>0</v>
      </c>
      <c r="I385" s="46">
        <f>IF($A$1='Data Entry'!$C386,'Data Entry'!J386,"")</f>
        <v>0</v>
      </c>
      <c r="J385" s="46">
        <f>IF($A$1='Data Entry'!$C386,'Data Entry'!K386,"")</f>
        <v>0</v>
      </c>
      <c r="K385" s="46">
        <f>IF($A$1='Data Entry'!$C386,'Data Entry'!L386,"")</f>
        <v>0</v>
      </c>
      <c r="L385" s="46">
        <f>IF($A$1='Data Entry'!$C386,'Data Entry'!M386,"")</f>
        <v>0</v>
      </c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  <c r="AH385" s="43"/>
      <c r="AI385" s="43"/>
      <c r="AJ385" s="43"/>
    </row>
    <row r="386" spans="1:36" ht="15.95" customHeight="1" x14ac:dyDescent="0.2">
      <c r="A386" s="43"/>
      <c r="B386" s="45">
        <v>64</v>
      </c>
      <c r="C386" s="46">
        <f>IF($A$1='Data Entry'!$C387,'Data Entry'!D387,"")</f>
        <v>0</v>
      </c>
      <c r="D386" s="46">
        <f>IF($A$1='Data Entry'!$C387,'Data Entry'!E387,"")</f>
        <v>0</v>
      </c>
      <c r="E386" s="46">
        <f>IF($A$1='Data Entry'!$C387,'Data Entry'!F387,"")</f>
        <v>0</v>
      </c>
      <c r="F386" s="46">
        <f>IF($A$1='Data Entry'!$C387,'Data Entry'!G387,"")</f>
        <v>0</v>
      </c>
      <c r="G386" s="46">
        <f>IF($A$1='Data Entry'!$C387,'Data Entry'!H387,"")</f>
        <v>0</v>
      </c>
      <c r="H386" s="46">
        <f>IF($A$1='Data Entry'!$C387,'Data Entry'!I387,"")</f>
        <v>0</v>
      </c>
      <c r="I386" s="46">
        <f>IF($A$1='Data Entry'!$C387,'Data Entry'!J387,"")</f>
        <v>0</v>
      </c>
      <c r="J386" s="46">
        <f>IF($A$1='Data Entry'!$C387,'Data Entry'!K387,"")</f>
        <v>0</v>
      </c>
      <c r="K386" s="46">
        <f>IF($A$1='Data Entry'!$C387,'Data Entry'!L387,"")</f>
        <v>0</v>
      </c>
      <c r="L386" s="46">
        <f>IF($A$1='Data Entry'!$C387,'Data Entry'!M387,"")</f>
        <v>0</v>
      </c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  <c r="AH386" s="43"/>
      <c r="AI386" s="43"/>
      <c r="AJ386" s="43"/>
    </row>
    <row r="387" spans="1:36" ht="15.95" customHeight="1" x14ac:dyDescent="0.2">
      <c r="A387" s="43"/>
      <c r="B387" s="45">
        <v>65</v>
      </c>
      <c r="C387" s="46">
        <f>IF($A$1='Data Entry'!$C388,'Data Entry'!D388,"")</f>
        <v>0</v>
      </c>
      <c r="D387" s="46">
        <f>IF($A$1='Data Entry'!$C388,'Data Entry'!E388,"")</f>
        <v>0</v>
      </c>
      <c r="E387" s="46">
        <f>IF($A$1='Data Entry'!$C388,'Data Entry'!F388,"")</f>
        <v>0</v>
      </c>
      <c r="F387" s="46">
        <f>IF($A$1='Data Entry'!$C388,'Data Entry'!G388,"")</f>
        <v>0</v>
      </c>
      <c r="G387" s="46">
        <f>IF($A$1='Data Entry'!$C388,'Data Entry'!H388,"")</f>
        <v>0</v>
      </c>
      <c r="H387" s="46">
        <f>IF($A$1='Data Entry'!$C388,'Data Entry'!I388,"")</f>
        <v>0</v>
      </c>
      <c r="I387" s="46">
        <f>IF($A$1='Data Entry'!$C388,'Data Entry'!J388,"")</f>
        <v>0</v>
      </c>
      <c r="J387" s="46">
        <f>IF($A$1='Data Entry'!$C388,'Data Entry'!K388,"")</f>
        <v>0</v>
      </c>
      <c r="K387" s="46">
        <f>IF($A$1='Data Entry'!$C388,'Data Entry'!L388,"")</f>
        <v>0</v>
      </c>
      <c r="L387" s="46">
        <f>IF($A$1='Data Entry'!$C388,'Data Entry'!M388,"")</f>
        <v>0</v>
      </c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  <c r="AH387" s="43"/>
      <c r="AI387" s="43"/>
      <c r="AJ387" s="43"/>
    </row>
    <row r="388" spans="1:36" ht="15.95" customHeight="1" x14ac:dyDescent="0.2">
      <c r="A388" s="43"/>
      <c r="B388" s="45">
        <v>65</v>
      </c>
      <c r="C388" s="46">
        <f>IF($A$1='Data Entry'!$C389,'Data Entry'!D389,"")</f>
        <v>0</v>
      </c>
      <c r="D388" s="46">
        <f>IF($A$1='Data Entry'!$C389,'Data Entry'!E389,"")</f>
        <v>0</v>
      </c>
      <c r="E388" s="46">
        <f>IF($A$1='Data Entry'!$C389,'Data Entry'!F389,"")</f>
        <v>0</v>
      </c>
      <c r="F388" s="46">
        <f>IF($A$1='Data Entry'!$C389,'Data Entry'!G389,"")</f>
        <v>0</v>
      </c>
      <c r="G388" s="46">
        <f>IF($A$1='Data Entry'!$C389,'Data Entry'!H389,"")</f>
        <v>0</v>
      </c>
      <c r="H388" s="46">
        <f>IF($A$1='Data Entry'!$C389,'Data Entry'!I389,"")</f>
        <v>0</v>
      </c>
      <c r="I388" s="46">
        <f>IF($A$1='Data Entry'!$C389,'Data Entry'!J389,"")</f>
        <v>0</v>
      </c>
      <c r="J388" s="46">
        <f>IF($A$1='Data Entry'!$C389,'Data Entry'!K389,"")</f>
        <v>0</v>
      </c>
      <c r="K388" s="46">
        <f>IF($A$1='Data Entry'!$C389,'Data Entry'!L389,"")</f>
        <v>0</v>
      </c>
      <c r="L388" s="46">
        <f>IF($A$1='Data Entry'!$C389,'Data Entry'!M389,"")</f>
        <v>0</v>
      </c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  <c r="AH388" s="43"/>
      <c r="AI388" s="43"/>
      <c r="AJ388" s="43"/>
    </row>
    <row r="389" spans="1:36" ht="15.95" customHeight="1" x14ac:dyDescent="0.2">
      <c r="A389" s="43"/>
      <c r="B389" s="45">
        <v>65</v>
      </c>
      <c r="C389" s="46">
        <f>IF($A$1='Data Entry'!$C390,'Data Entry'!D390,"")</f>
        <v>0</v>
      </c>
      <c r="D389" s="46">
        <f>IF($A$1='Data Entry'!$C390,'Data Entry'!E390,"")</f>
        <v>0</v>
      </c>
      <c r="E389" s="46">
        <f>IF($A$1='Data Entry'!$C390,'Data Entry'!F390,"")</f>
        <v>0</v>
      </c>
      <c r="F389" s="46">
        <f>IF($A$1='Data Entry'!$C390,'Data Entry'!G390,"")</f>
        <v>0</v>
      </c>
      <c r="G389" s="46">
        <f>IF($A$1='Data Entry'!$C390,'Data Entry'!H390,"")</f>
        <v>0</v>
      </c>
      <c r="H389" s="46">
        <f>IF($A$1='Data Entry'!$C390,'Data Entry'!I390,"")</f>
        <v>0</v>
      </c>
      <c r="I389" s="46">
        <f>IF($A$1='Data Entry'!$C390,'Data Entry'!J390,"")</f>
        <v>0</v>
      </c>
      <c r="J389" s="46">
        <f>IF($A$1='Data Entry'!$C390,'Data Entry'!K390,"")</f>
        <v>0</v>
      </c>
      <c r="K389" s="46">
        <f>IF($A$1='Data Entry'!$C390,'Data Entry'!L390,"")</f>
        <v>0</v>
      </c>
      <c r="L389" s="46">
        <f>IF($A$1='Data Entry'!$C390,'Data Entry'!M390,"")</f>
        <v>0</v>
      </c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  <c r="AF389" s="43"/>
      <c r="AG389" s="43"/>
      <c r="AH389" s="43"/>
      <c r="AI389" s="43"/>
      <c r="AJ389" s="43"/>
    </row>
    <row r="390" spans="1:36" ht="15.95" customHeight="1" x14ac:dyDescent="0.2">
      <c r="A390" s="43"/>
      <c r="B390" s="45">
        <v>65</v>
      </c>
      <c r="C390" s="46">
        <f>IF($A$1='Data Entry'!$C391,'Data Entry'!D391,"")</f>
        <v>0</v>
      </c>
      <c r="D390" s="46">
        <f>IF($A$1='Data Entry'!$C391,'Data Entry'!E391,"")</f>
        <v>0</v>
      </c>
      <c r="E390" s="46">
        <f>IF($A$1='Data Entry'!$C391,'Data Entry'!F391,"")</f>
        <v>0</v>
      </c>
      <c r="F390" s="46">
        <f>IF($A$1='Data Entry'!$C391,'Data Entry'!G391,"")</f>
        <v>0</v>
      </c>
      <c r="G390" s="46">
        <f>IF($A$1='Data Entry'!$C391,'Data Entry'!H391,"")</f>
        <v>0</v>
      </c>
      <c r="H390" s="46">
        <f>IF($A$1='Data Entry'!$C391,'Data Entry'!I391,"")</f>
        <v>0</v>
      </c>
      <c r="I390" s="46">
        <f>IF($A$1='Data Entry'!$C391,'Data Entry'!J391,"")</f>
        <v>0</v>
      </c>
      <c r="J390" s="46">
        <f>IF($A$1='Data Entry'!$C391,'Data Entry'!K391,"")</f>
        <v>0</v>
      </c>
      <c r="K390" s="46">
        <f>IF($A$1='Data Entry'!$C391,'Data Entry'!L391,"")</f>
        <v>0</v>
      </c>
      <c r="L390" s="46">
        <f>IF($A$1='Data Entry'!$C391,'Data Entry'!M391,"")</f>
        <v>0</v>
      </c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  <c r="AF390" s="43"/>
      <c r="AG390" s="43"/>
      <c r="AH390" s="43"/>
      <c r="AI390" s="43"/>
      <c r="AJ390" s="43"/>
    </row>
    <row r="391" spans="1:36" ht="15.95" customHeight="1" x14ac:dyDescent="0.2">
      <c r="A391" s="43"/>
      <c r="B391" s="45">
        <v>65</v>
      </c>
      <c r="C391" s="46">
        <f>IF($A$1='Data Entry'!$C392,'Data Entry'!D392,"")</f>
        <v>0</v>
      </c>
      <c r="D391" s="46">
        <f>IF($A$1='Data Entry'!$C392,'Data Entry'!E392,"")</f>
        <v>0</v>
      </c>
      <c r="E391" s="46">
        <f>IF($A$1='Data Entry'!$C392,'Data Entry'!F392,"")</f>
        <v>0</v>
      </c>
      <c r="F391" s="46">
        <f>IF($A$1='Data Entry'!$C392,'Data Entry'!G392,"")</f>
        <v>0</v>
      </c>
      <c r="G391" s="46">
        <f>IF($A$1='Data Entry'!$C392,'Data Entry'!H392,"")</f>
        <v>0</v>
      </c>
      <c r="H391" s="46">
        <f>IF($A$1='Data Entry'!$C392,'Data Entry'!I392,"")</f>
        <v>0</v>
      </c>
      <c r="I391" s="46">
        <f>IF($A$1='Data Entry'!$C392,'Data Entry'!J392,"")</f>
        <v>0</v>
      </c>
      <c r="J391" s="46">
        <f>IF($A$1='Data Entry'!$C392,'Data Entry'!K392,"")</f>
        <v>0</v>
      </c>
      <c r="K391" s="46">
        <f>IF($A$1='Data Entry'!$C392,'Data Entry'!L392,"")</f>
        <v>0</v>
      </c>
      <c r="L391" s="46">
        <f>IF($A$1='Data Entry'!$C392,'Data Entry'!M392,"")</f>
        <v>0</v>
      </c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  <c r="AF391" s="43"/>
      <c r="AG391" s="43"/>
      <c r="AH391" s="43"/>
      <c r="AI391" s="43"/>
      <c r="AJ391" s="43"/>
    </row>
    <row r="392" spans="1:36" ht="15.95" customHeight="1" x14ac:dyDescent="0.2">
      <c r="A392" s="43"/>
      <c r="B392" s="45">
        <v>65</v>
      </c>
      <c r="C392" s="46">
        <f>IF($A$1='Data Entry'!$C393,'Data Entry'!D393,"")</f>
        <v>0</v>
      </c>
      <c r="D392" s="46">
        <f>IF($A$1='Data Entry'!$C393,'Data Entry'!E393,"")</f>
        <v>0</v>
      </c>
      <c r="E392" s="46">
        <f>IF($A$1='Data Entry'!$C393,'Data Entry'!F393,"")</f>
        <v>0</v>
      </c>
      <c r="F392" s="46">
        <f>IF($A$1='Data Entry'!$C393,'Data Entry'!G393,"")</f>
        <v>0</v>
      </c>
      <c r="G392" s="46">
        <f>IF($A$1='Data Entry'!$C393,'Data Entry'!H393,"")</f>
        <v>0</v>
      </c>
      <c r="H392" s="46">
        <f>IF($A$1='Data Entry'!$C393,'Data Entry'!I393,"")</f>
        <v>0</v>
      </c>
      <c r="I392" s="46">
        <f>IF($A$1='Data Entry'!$C393,'Data Entry'!J393,"")</f>
        <v>0</v>
      </c>
      <c r="J392" s="46">
        <f>IF($A$1='Data Entry'!$C393,'Data Entry'!K393,"")</f>
        <v>0</v>
      </c>
      <c r="K392" s="46">
        <f>IF($A$1='Data Entry'!$C393,'Data Entry'!L393,"")</f>
        <v>0</v>
      </c>
      <c r="L392" s="46">
        <f>IF($A$1='Data Entry'!$C393,'Data Entry'!M393,"")</f>
        <v>0</v>
      </c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  <c r="AF392" s="43"/>
      <c r="AG392" s="43"/>
      <c r="AH392" s="43"/>
      <c r="AI392" s="43"/>
      <c r="AJ392" s="43"/>
    </row>
    <row r="393" spans="1:36" ht="15.95" customHeight="1" x14ac:dyDescent="0.2">
      <c r="A393" s="43"/>
      <c r="B393" s="45">
        <v>66</v>
      </c>
      <c r="C393" s="46">
        <f>IF($A$1='Data Entry'!$C394,'Data Entry'!D394,"")</f>
        <v>0</v>
      </c>
      <c r="D393" s="46">
        <f>IF($A$1='Data Entry'!$C394,'Data Entry'!E394,"")</f>
        <v>0</v>
      </c>
      <c r="E393" s="46">
        <f>IF($A$1='Data Entry'!$C394,'Data Entry'!F394,"")</f>
        <v>0</v>
      </c>
      <c r="F393" s="46">
        <f>IF($A$1='Data Entry'!$C394,'Data Entry'!G394,"")</f>
        <v>0</v>
      </c>
      <c r="G393" s="46">
        <f>IF($A$1='Data Entry'!$C394,'Data Entry'!H394,"")</f>
        <v>0</v>
      </c>
      <c r="H393" s="46">
        <f>IF($A$1='Data Entry'!$C394,'Data Entry'!I394,"")</f>
        <v>0</v>
      </c>
      <c r="I393" s="46">
        <f>IF($A$1='Data Entry'!$C394,'Data Entry'!J394,"")</f>
        <v>0</v>
      </c>
      <c r="J393" s="46">
        <f>IF($A$1='Data Entry'!$C394,'Data Entry'!K394,"")</f>
        <v>0</v>
      </c>
      <c r="K393" s="46">
        <f>IF($A$1='Data Entry'!$C394,'Data Entry'!L394,"")</f>
        <v>0</v>
      </c>
      <c r="L393" s="46">
        <f>IF($A$1='Data Entry'!$C394,'Data Entry'!M394,"")</f>
        <v>0</v>
      </c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  <c r="AF393" s="43"/>
      <c r="AG393" s="43"/>
      <c r="AH393" s="43"/>
      <c r="AI393" s="43"/>
      <c r="AJ393" s="43"/>
    </row>
    <row r="394" spans="1:36" ht="15.95" customHeight="1" x14ac:dyDescent="0.2">
      <c r="A394" s="43"/>
      <c r="B394" s="45">
        <v>66</v>
      </c>
      <c r="C394" s="46">
        <f>IF($A$1='Data Entry'!$C395,'Data Entry'!D395,"")</f>
        <v>0</v>
      </c>
      <c r="D394" s="46">
        <f>IF($A$1='Data Entry'!$C395,'Data Entry'!E395,"")</f>
        <v>0</v>
      </c>
      <c r="E394" s="46">
        <f>IF($A$1='Data Entry'!$C395,'Data Entry'!F395,"")</f>
        <v>0</v>
      </c>
      <c r="F394" s="46">
        <f>IF($A$1='Data Entry'!$C395,'Data Entry'!G395,"")</f>
        <v>0</v>
      </c>
      <c r="G394" s="46">
        <f>IF($A$1='Data Entry'!$C395,'Data Entry'!H395,"")</f>
        <v>0</v>
      </c>
      <c r="H394" s="46">
        <f>IF($A$1='Data Entry'!$C395,'Data Entry'!I395,"")</f>
        <v>0</v>
      </c>
      <c r="I394" s="46">
        <f>IF($A$1='Data Entry'!$C395,'Data Entry'!J395,"")</f>
        <v>0</v>
      </c>
      <c r="J394" s="46">
        <f>IF($A$1='Data Entry'!$C395,'Data Entry'!K395,"")</f>
        <v>0</v>
      </c>
      <c r="K394" s="46">
        <f>IF($A$1='Data Entry'!$C395,'Data Entry'!L395,"")</f>
        <v>0</v>
      </c>
      <c r="L394" s="46">
        <f>IF($A$1='Data Entry'!$C395,'Data Entry'!M395,"")</f>
        <v>0</v>
      </c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  <c r="AF394" s="43"/>
      <c r="AG394" s="43"/>
      <c r="AH394" s="43"/>
      <c r="AI394" s="43"/>
      <c r="AJ394" s="43"/>
    </row>
    <row r="395" spans="1:36" ht="15.95" customHeight="1" x14ac:dyDescent="0.2">
      <c r="A395" s="43"/>
      <c r="B395" s="45">
        <v>66</v>
      </c>
      <c r="C395" s="46">
        <f>IF($A$1='Data Entry'!$C396,'Data Entry'!D396,"")</f>
        <v>0</v>
      </c>
      <c r="D395" s="46">
        <f>IF($A$1='Data Entry'!$C396,'Data Entry'!E396,"")</f>
        <v>0</v>
      </c>
      <c r="E395" s="46">
        <f>IF($A$1='Data Entry'!$C396,'Data Entry'!F396,"")</f>
        <v>0</v>
      </c>
      <c r="F395" s="46">
        <f>IF($A$1='Data Entry'!$C396,'Data Entry'!G396,"")</f>
        <v>0</v>
      </c>
      <c r="G395" s="46">
        <f>IF($A$1='Data Entry'!$C396,'Data Entry'!H396,"")</f>
        <v>0</v>
      </c>
      <c r="H395" s="46">
        <f>IF($A$1='Data Entry'!$C396,'Data Entry'!I396,"")</f>
        <v>0</v>
      </c>
      <c r="I395" s="46">
        <f>IF($A$1='Data Entry'!$C396,'Data Entry'!J396,"")</f>
        <v>0</v>
      </c>
      <c r="J395" s="46">
        <f>IF($A$1='Data Entry'!$C396,'Data Entry'!K396,"")</f>
        <v>0</v>
      </c>
      <c r="K395" s="46">
        <f>IF($A$1='Data Entry'!$C396,'Data Entry'!L396,"")</f>
        <v>0</v>
      </c>
      <c r="L395" s="46">
        <f>IF($A$1='Data Entry'!$C396,'Data Entry'!M396,"")</f>
        <v>0</v>
      </c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  <c r="AF395" s="43"/>
      <c r="AG395" s="43"/>
      <c r="AH395" s="43"/>
      <c r="AI395" s="43"/>
      <c r="AJ395" s="43"/>
    </row>
    <row r="396" spans="1:36" ht="15.95" customHeight="1" x14ac:dyDescent="0.2">
      <c r="A396" s="43"/>
      <c r="B396" s="45">
        <v>66</v>
      </c>
      <c r="C396" s="46">
        <f>IF($A$1='Data Entry'!$C397,'Data Entry'!D397,"")</f>
        <v>0</v>
      </c>
      <c r="D396" s="46">
        <f>IF($A$1='Data Entry'!$C397,'Data Entry'!E397,"")</f>
        <v>0</v>
      </c>
      <c r="E396" s="46">
        <f>IF($A$1='Data Entry'!$C397,'Data Entry'!F397,"")</f>
        <v>0</v>
      </c>
      <c r="F396" s="46">
        <f>IF($A$1='Data Entry'!$C397,'Data Entry'!G397,"")</f>
        <v>0</v>
      </c>
      <c r="G396" s="46">
        <f>IF($A$1='Data Entry'!$C397,'Data Entry'!H397,"")</f>
        <v>0</v>
      </c>
      <c r="H396" s="46">
        <f>IF($A$1='Data Entry'!$C397,'Data Entry'!I397,"")</f>
        <v>0</v>
      </c>
      <c r="I396" s="46">
        <f>IF($A$1='Data Entry'!$C397,'Data Entry'!J397,"")</f>
        <v>0</v>
      </c>
      <c r="J396" s="46">
        <f>IF($A$1='Data Entry'!$C397,'Data Entry'!K397,"")</f>
        <v>0</v>
      </c>
      <c r="K396" s="46">
        <f>IF($A$1='Data Entry'!$C397,'Data Entry'!L397,"")</f>
        <v>0</v>
      </c>
      <c r="L396" s="46">
        <f>IF($A$1='Data Entry'!$C397,'Data Entry'!M397,"")</f>
        <v>0</v>
      </c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  <c r="AF396" s="43"/>
      <c r="AG396" s="43"/>
      <c r="AH396" s="43"/>
      <c r="AI396" s="43"/>
      <c r="AJ396" s="43"/>
    </row>
    <row r="397" spans="1:36" ht="15.95" customHeight="1" x14ac:dyDescent="0.2">
      <c r="A397" s="43"/>
      <c r="B397" s="45">
        <v>66</v>
      </c>
      <c r="C397" s="46">
        <f>IF($A$1='Data Entry'!$C398,'Data Entry'!D398,"")</f>
        <v>0</v>
      </c>
      <c r="D397" s="46">
        <f>IF($A$1='Data Entry'!$C398,'Data Entry'!E398,"")</f>
        <v>0</v>
      </c>
      <c r="E397" s="46">
        <f>IF($A$1='Data Entry'!$C398,'Data Entry'!F398,"")</f>
        <v>0</v>
      </c>
      <c r="F397" s="46">
        <f>IF($A$1='Data Entry'!$C398,'Data Entry'!G398,"")</f>
        <v>0</v>
      </c>
      <c r="G397" s="46">
        <f>IF($A$1='Data Entry'!$C398,'Data Entry'!H398,"")</f>
        <v>0</v>
      </c>
      <c r="H397" s="46">
        <f>IF($A$1='Data Entry'!$C398,'Data Entry'!I398,"")</f>
        <v>0</v>
      </c>
      <c r="I397" s="46">
        <f>IF($A$1='Data Entry'!$C398,'Data Entry'!J398,"")</f>
        <v>0</v>
      </c>
      <c r="J397" s="46">
        <f>IF($A$1='Data Entry'!$C398,'Data Entry'!K398,"")</f>
        <v>0</v>
      </c>
      <c r="K397" s="46">
        <f>IF($A$1='Data Entry'!$C398,'Data Entry'!L398,"")</f>
        <v>0</v>
      </c>
      <c r="L397" s="46">
        <f>IF($A$1='Data Entry'!$C398,'Data Entry'!M398,"")</f>
        <v>0</v>
      </c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  <c r="AF397" s="43"/>
      <c r="AG397" s="43"/>
      <c r="AH397" s="43"/>
      <c r="AI397" s="43"/>
      <c r="AJ397" s="43"/>
    </row>
    <row r="398" spans="1:36" ht="15.95" customHeight="1" x14ac:dyDescent="0.2">
      <c r="A398" s="43"/>
      <c r="B398" s="45">
        <v>66</v>
      </c>
      <c r="C398" s="46">
        <f>IF($A$1='Data Entry'!$C399,'Data Entry'!D399,"")</f>
        <v>0</v>
      </c>
      <c r="D398" s="46">
        <f>IF($A$1='Data Entry'!$C399,'Data Entry'!E399,"")</f>
        <v>0</v>
      </c>
      <c r="E398" s="46">
        <f>IF($A$1='Data Entry'!$C399,'Data Entry'!F399,"")</f>
        <v>0</v>
      </c>
      <c r="F398" s="46">
        <f>IF($A$1='Data Entry'!$C399,'Data Entry'!G399,"")</f>
        <v>0</v>
      </c>
      <c r="G398" s="46">
        <f>IF($A$1='Data Entry'!$C399,'Data Entry'!H399,"")</f>
        <v>0</v>
      </c>
      <c r="H398" s="46">
        <f>IF($A$1='Data Entry'!$C399,'Data Entry'!I399,"")</f>
        <v>0</v>
      </c>
      <c r="I398" s="46">
        <f>IF($A$1='Data Entry'!$C399,'Data Entry'!J399,"")</f>
        <v>0</v>
      </c>
      <c r="J398" s="46">
        <f>IF($A$1='Data Entry'!$C399,'Data Entry'!K399,"")</f>
        <v>0</v>
      </c>
      <c r="K398" s="46">
        <f>IF($A$1='Data Entry'!$C399,'Data Entry'!L399,"")</f>
        <v>0</v>
      </c>
      <c r="L398" s="46">
        <f>IF($A$1='Data Entry'!$C399,'Data Entry'!M399,"")</f>
        <v>0</v>
      </c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  <c r="AF398" s="43"/>
      <c r="AG398" s="43"/>
      <c r="AH398" s="43"/>
      <c r="AI398" s="43"/>
      <c r="AJ398" s="43"/>
    </row>
    <row r="399" spans="1:36" ht="15.95" customHeight="1" x14ac:dyDescent="0.2">
      <c r="A399" s="43"/>
      <c r="B399" s="45">
        <v>67</v>
      </c>
      <c r="C399" s="46">
        <f>IF($A$1='Data Entry'!$C400,'Data Entry'!D400,"")</f>
        <v>0</v>
      </c>
      <c r="D399" s="46">
        <f>IF($A$1='Data Entry'!$C400,'Data Entry'!E400,"")</f>
        <v>0</v>
      </c>
      <c r="E399" s="46">
        <f>IF($A$1='Data Entry'!$C400,'Data Entry'!F400,"")</f>
        <v>0</v>
      </c>
      <c r="F399" s="46">
        <f>IF($A$1='Data Entry'!$C400,'Data Entry'!G400,"")</f>
        <v>0</v>
      </c>
      <c r="G399" s="46">
        <f>IF($A$1='Data Entry'!$C400,'Data Entry'!H400,"")</f>
        <v>0</v>
      </c>
      <c r="H399" s="46">
        <f>IF($A$1='Data Entry'!$C400,'Data Entry'!I400,"")</f>
        <v>0</v>
      </c>
      <c r="I399" s="46">
        <f>IF($A$1='Data Entry'!$C400,'Data Entry'!J400,"")</f>
        <v>0</v>
      </c>
      <c r="J399" s="46">
        <f>IF($A$1='Data Entry'!$C400,'Data Entry'!K400,"")</f>
        <v>0</v>
      </c>
      <c r="K399" s="46">
        <f>IF($A$1='Data Entry'!$C400,'Data Entry'!L400,"")</f>
        <v>0</v>
      </c>
      <c r="L399" s="46">
        <f>IF($A$1='Data Entry'!$C400,'Data Entry'!M400,"")</f>
        <v>0</v>
      </c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  <c r="AF399" s="43"/>
      <c r="AG399" s="43"/>
      <c r="AH399" s="43"/>
      <c r="AI399" s="43"/>
      <c r="AJ399" s="43"/>
    </row>
    <row r="400" spans="1:36" ht="15.95" customHeight="1" x14ac:dyDescent="0.2">
      <c r="A400" s="43"/>
      <c r="B400" s="45">
        <v>67</v>
      </c>
      <c r="C400" s="46">
        <f>IF($A$1='Data Entry'!$C401,'Data Entry'!D401,"")</f>
        <v>0</v>
      </c>
      <c r="D400" s="46">
        <f>IF($A$1='Data Entry'!$C401,'Data Entry'!E401,"")</f>
        <v>0</v>
      </c>
      <c r="E400" s="46">
        <f>IF($A$1='Data Entry'!$C401,'Data Entry'!F401,"")</f>
        <v>0</v>
      </c>
      <c r="F400" s="46">
        <f>IF($A$1='Data Entry'!$C401,'Data Entry'!G401,"")</f>
        <v>0</v>
      </c>
      <c r="G400" s="46">
        <f>IF($A$1='Data Entry'!$C401,'Data Entry'!H401,"")</f>
        <v>0</v>
      </c>
      <c r="H400" s="46">
        <f>IF($A$1='Data Entry'!$C401,'Data Entry'!I401,"")</f>
        <v>0</v>
      </c>
      <c r="I400" s="46">
        <f>IF($A$1='Data Entry'!$C401,'Data Entry'!J401,"")</f>
        <v>0</v>
      </c>
      <c r="J400" s="46">
        <f>IF($A$1='Data Entry'!$C401,'Data Entry'!K401,"")</f>
        <v>0</v>
      </c>
      <c r="K400" s="46">
        <f>IF($A$1='Data Entry'!$C401,'Data Entry'!L401,"")</f>
        <v>0</v>
      </c>
      <c r="L400" s="46">
        <f>IF($A$1='Data Entry'!$C401,'Data Entry'!M401,"")</f>
        <v>0</v>
      </c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  <c r="AF400" s="43"/>
      <c r="AG400" s="43"/>
      <c r="AH400" s="43"/>
      <c r="AI400" s="43"/>
      <c r="AJ400" s="43"/>
    </row>
    <row r="401" spans="1:36" ht="15.95" customHeight="1" x14ac:dyDescent="0.2">
      <c r="A401" s="43"/>
      <c r="B401" s="45">
        <v>67</v>
      </c>
      <c r="C401" s="46">
        <f>IF($A$1='Data Entry'!$C402,'Data Entry'!D402,"")</f>
        <v>0</v>
      </c>
      <c r="D401" s="46">
        <f>IF($A$1='Data Entry'!$C402,'Data Entry'!E402,"")</f>
        <v>0</v>
      </c>
      <c r="E401" s="46">
        <f>IF($A$1='Data Entry'!$C402,'Data Entry'!F402,"")</f>
        <v>0</v>
      </c>
      <c r="F401" s="46">
        <f>IF($A$1='Data Entry'!$C402,'Data Entry'!G402,"")</f>
        <v>0</v>
      </c>
      <c r="G401" s="46">
        <f>IF($A$1='Data Entry'!$C402,'Data Entry'!H402,"")</f>
        <v>0</v>
      </c>
      <c r="H401" s="46">
        <f>IF($A$1='Data Entry'!$C402,'Data Entry'!I402,"")</f>
        <v>0</v>
      </c>
      <c r="I401" s="46">
        <f>IF($A$1='Data Entry'!$C402,'Data Entry'!J402,"")</f>
        <v>0</v>
      </c>
      <c r="J401" s="46">
        <f>IF($A$1='Data Entry'!$C402,'Data Entry'!K402,"")</f>
        <v>0</v>
      </c>
      <c r="K401" s="46">
        <f>IF($A$1='Data Entry'!$C402,'Data Entry'!L402,"")</f>
        <v>0</v>
      </c>
      <c r="L401" s="46">
        <f>IF($A$1='Data Entry'!$C402,'Data Entry'!M402,"")</f>
        <v>0</v>
      </c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  <c r="AD401" s="43"/>
      <c r="AE401" s="43"/>
      <c r="AF401" s="43"/>
      <c r="AG401" s="43"/>
      <c r="AH401" s="43"/>
      <c r="AI401" s="43"/>
      <c r="AJ401" s="43"/>
    </row>
    <row r="402" spans="1:36" ht="15.95" customHeight="1" x14ac:dyDescent="0.2">
      <c r="A402" s="43"/>
      <c r="B402" s="45">
        <v>67</v>
      </c>
      <c r="C402" s="46">
        <f>IF($A$1='Data Entry'!$C403,'Data Entry'!D403,"")</f>
        <v>0</v>
      </c>
      <c r="D402" s="46">
        <f>IF($A$1='Data Entry'!$C403,'Data Entry'!E403,"")</f>
        <v>0</v>
      </c>
      <c r="E402" s="46">
        <f>IF($A$1='Data Entry'!$C403,'Data Entry'!F403,"")</f>
        <v>0</v>
      </c>
      <c r="F402" s="46">
        <f>IF($A$1='Data Entry'!$C403,'Data Entry'!G403,"")</f>
        <v>0</v>
      </c>
      <c r="G402" s="46">
        <f>IF($A$1='Data Entry'!$C403,'Data Entry'!H403,"")</f>
        <v>0</v>
      </c>
      <c r="H402" s="46">
        <f>IF($A$1='Data Entry'!$C403,'Data Entry'!I403,"")</f>
        <v>0</v>
      </c>
      <c r="I402" s="46">
        <f>IF($A$1='Data Entry'!$C403,'Data Entry'!J403,"")</f>
        <v>0</v>
      </c>
      <c r="J402" s="46">
        <f>IF($A$1='Data Entry'!$C403,'Data Entry'!K403,"")</f>
        <v>0</v>
      </c>
      <c r="K402" s="46">
        <f>IF($A$1='Data Entry'!$C403,'Data Entry'!L403,"")</f>
        <v>0</v>
      </c>
      <c r="L402" s="46">
        <f>IF($A$1='Data Entry'!$C403,'Data Entry'!M403,"")</f>
        <v>0</v>
      </c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  <c r="AC402" s="43"/>
      <c r="AD402" s="43"/>
      <c r="AE402" s="43"/>
      <c r="AF402" s="43"/>
      <c r="AG402" s="43"/>
      <c r="AH402" s="43"/>
      <c r="AI402" s="43"/>
      <c r="AJ402" s="43"/>
    </row>
    <row r="403" spans="1:36" ht="15.95" customHeight="1" x14ac:dyDescent="0.2">
      <c r="A403" s="43"/>
      <c r="B403" s="45">
        <v>67</v>
      </c>
      <c r="C403" s="46">
        <f>IF($A$1='Data Entry'!$C404,'Data Entry'!D404,"")</f>
        <v>0</v>
      </c>
      <c r="D403" s="46">
        <f>IF($A$1='Data Entry'!$C404,'Data Entry'!E404,"")</f>
        <v>0</v>
      </c>
      <c r="E403" s="46">
        <f>IF($A$1='Data Entry'!$C404,'Data Entry'!F404,"")</f>
        <v>0</v>
      </c>
      <c r="F403" s="46">
        <f>IF($A$1='Data Entry'!$C404,'Data Entry'!G404,"")</f>
        <v>0</v>
      </c>
      <c r="G403" s="46">
        <f>IF($A$1='Data Entry'!$C404,'Data Entry'!H404,"")</f>
        <v>0</v>
      </c>
      <c r="H403" s="46">
        <f>IF($A$1='Data Entry'!$C404,'Data Entry'!I404,"")</f>
        <v>0</v>
      </c>
      <c r="I403" s="46">
        <f>IF($A$1='Data Entry'!$C404,'Data Entry'!J404,"")</f>
        <v>0</v>
      </c>
      <c r="J403" s="46">
        <f>IF($A$1='Data Entry'!$C404,'Data Entry'!K404,"")</f>
        <v>0</v>
      </c>
      <c r="K403" s="46">
        <f>IF($A$1='Data Entry'!$C404,'Data Entry'!L404,"")</f>
        <v>0</v>
      </c>
      <c r="L403" s="46">
        <f>IF($A$1='Data Entry'!$C404,'Data Entry'!M404,"")</f>
        <v>0</v>
      </c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  <c r="AC403" s="43"/>
      <c r="AD403" s="43"/>
      <c r="AE403" s="43"/>
      <c r="AF403" s="43"/>
      <c r="AG403" s="43"/>
      <c r="AH403" s="43"/>
      <c r="AI403" s="43"/>
      <c r="AJ403" s="43"/>
    </row>
    <row r="404" spans="1:36" ht="15.95" customHeight="1" x14ac:dyDescent="0.2">
      <c r="A404" s="43"/>
      <c r="B404" s="45">
        <v>67</v>
      </c>
      <c r="C404" s="46">
        <f>IF($A$1='Data Entry'!$C405,'Data Entry'!D405,"")</f>
        <v>0</v>
      </c>
      <c r="D404" s="46">
        <f>IF($A$1='Data Entry'!$C405,'Data Entry'!E405,"")</f>
        <v>0</v>
      </c>
      <c r="E404" s="46">
        <f>IF($A$1='Data Entry'!$C405,'Data Entry'!F405,"")</f>
        <v>0</v>
      </c>
      <c r="F404" s="46">
        <f>IF($A$1='Data Entry'!$C405,'Data Entry'!G405,"")</f>
        <v>0</v>
      </c>
      <c r="G404" s="46">
        <f>IF($A$1='Data Entry'!$C405,'Data Entry'!H405,"")</f>
        <v>0</v>
      </c>
      <c r="H404" s="46">
        <f>IF($A$1='Data Entry'!$C405,'Data Entry'!I405,"")</f>
        <v>0</v>
      </c>
      <c r="I404" s="46">
        <f>IF($A$1='Data Entry'!$C405,'Data Entry'!J405,"")</f>
        <v>0</v>
      </c>
      <c r="J404" s="46">
        <f>IF($A$1='Data Entry'!$C405,'Data Entry'!K405,"")</f>
        <v>0</v>
      </c>
      <c r="K404" s="46">
        <f>IF($A$1='Data Entry'!$C405,'Data Entry'!L405,"")</f>
        <v>0</v>
      </c>
      <c r="L404" s="46">
        <f>IF($A$1='Data Entry'!$C405,'Data Entry'!M405,"")</f>
        <v>0</v>
      </c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  <c r="AC404" s="43"/>
      <c r="AD404" s="43"/>
      <c r="AE404" s="43"/>
      <c r="AF404" s="43"/>
      <c r="AG404" s="43"/>
      <c r="AH404" s="43"/>
      <c r="AI404" s="43"/>
      <c r="AJ404" s="43"/>
    </row>
    <row r="405" spans="1:36" ht="15.95" customHeight="1" x14ac:dyDescent="0.2">
      <c r="A405" s="43"/>
      <c r="B405" s="45">
        <v>68</v>
      </c>
      <c r="C405" s="46">
        <f>IF($A$1='Data Entry'!$C406,'Data Entry'!D406,"")</f>
        <v>0</v>
      </c>
      <c r="D405" s="46">
        <f>IF($A$1='Data Entry'!$C406,'Data Entry'!E406,"")</f>
        <v>0</v>
      </c>
      <c r="E405" s="46">
        <f>IF($A$1='Data Entry'!$C406,'Data Entry'!F406,"")</f>
        <v>0</v>
      </c>
      <c r="F405" s="46">
        <f>IF($A$1='Data Entry'!$C406,'Data Entry'!G406,"")</f>
        <v>0</v>
      </c>
      <c r="G405" s="46">
        <f>IF($A$1='Data Entry'!$C406,'Data Entry'!H406,"")</f>
        <v>0</v>
      </c>
      <c r="H405" s="46">
        <f>IF($A$1='Data Entry'!$C406,'Data Entry'!I406,"")</f>
        <v>0</v>
      </c>
      <c r="I405" s="46">
        <f>IF($A$1='Data Entry'!$C406,'Data Entry'!J406,"")</f>
        <v>0</v>
      </c>
      <c r="J405" s="46">
        <f>IF($A$1='Data Entry'!$C406,'Data Entry'!K406,"")</f>
        <v>0</v>
      </c>
      <c r="K405" s="46">
        <f>IF($A$1='Data Entry'!$C406,'Data Entry'!L406,"")</f>
        <v>0</v>
      </c>
      <c r="L405" s="46">
        <f>IF($A$1='Data Entry'!$C406,'Data Entry'!M406,"")</f>
        <v>0</v>
      </c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  <c r="AD405" s="43"/>
      <c r="AE405" s="43"/>
      <c r="AF405" s="43"/>
      <c r="AG405" s="43"/>
      <c r="AH405" s="43"/>
      <c r="AI405" s="43"/>
      <c r="AJ405" s="43"/>
    </row>
    <row r="406" spans="1:36" ht="15.95" customHeight="1" x14ac:dyDescent="0.2">
      <c r="A406" s="43"/>
      <c r="B406" s="45">
        <v>68</v>
      </c>
      <c r="C406" s="46">
        <f>IF($A$1='Data Entry'!$C407,'Data Entry'!D407,"")</f>
        <v>0</v>
      </c>
      <c r="D406" s="46">
        <f>IF($A$1='Data Entry'!$C407,'Data Entry'!E407,"")</f>
        <v>0</v>
      </c>
      <c r="E406" s="46">
        <f>IF($A$1='Data Entry'!$C407,'Data Entry'!F407,"")</f>
        <v>0</v>
      </c>
      <c r="F406" s="46">
        <f>IF($A$1='Data Entry'!$C407,'Data Entry'!G407,"")</f>
        <v>0</v>
      </c>
      <c r="G406" s="46">
        <f>IF($A$1='Data Entry'!$C407,'Data Entry'!H407,"")</f>
        <v>0</v>
      </c>
      <c r="H406" s="46">
        <f>IF($A$1='Data Entry'!$C407,'Data Entry'!I407,"")</f>
        <v>0</v>
      </c>
      <c r="I406" s="46">
        <f>IF($A$1='Data Entry'!$C407,'Data Entry'!J407,"")</f>
        <v>0</v>
      </c>
      <c r="J406" s="46">
        <f>IF($A$1='Data Entry'!$C407,'Data Entry'!K407,"")</f>
        <v>0</v>
      </c>
      <c r="K406" s="46">
        <f>IF($A$1='Data Entry'!$C407,'Data Entry'!L407,"")</f>
        <v>0</v>
      </c>
      <c r="L406" s="46">
        <f>IF($A$1='Data Entry'!$C407,'Data Entry'!M407,"")</f>
        <v>0</v>
      </c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  <c r="AD406" s="43"/>
      <c r="AE406" s="43"/>
      <c r="AF406" s="43"/>
      <c r="AG406" s="43"/>
      <c r="AH406" s="43"/>
      <c r="AI406" s="43"/>
      <c r="AJ406" s="43"/>
    </row>
    <row r="407" spans="1:36" ht="15.95" customHeight="1" x14ac:dyDescent="0.2">
      <c r="A407" s="43"/>
      <c r="B407" s="45">
        <v>68</v>
      </c>
      <c r="C407" s="46">
        <f>IF($A$1='Data Entry'!$C408,'Data Entry'!D408,"")</f>
        <v>0</v>
      </c>
      <c r="D407" s="46">
        <f>IF($A$1='Data Entry'!$C408,'Data Entry'!E408,"")</f>
        <v>0</v>
      </c>
      <c r="E407" s="46">
        <f>IF($A$1='Data Entry'!$C408,'Data Entry'!F408,"")</f>
        <v>0</v>
      </c>
      <c r="F407" s="46">
        <f>IF($A$1='Data Entry'!$C408,'Data Entry'!G408,"")</f>
        <v>0</v>
      </c>
      <c r="G407" s="46">
        <f>IF($A$1='Data Entry'!$C408,'Data Entry'!H408,"")</f>
        <v>0</v>
      </c>
      <c r="H407" s="46">
        <f>IF($A$1='Data Entry'!$C408,'Data Entry'!I408,"")</f>
        <v>0</v>
      </c>
      <c r="I407" s="46">
        <f>IF($A$1='Data Entry'!$C408,'Data Entry'!J408,"")</f>
        <v>0</v>
      </c>
      <c r="J407" s="46">
        <f>IF($A$1='Data Entry'!$C408,'Data Entry'!K408,"")</f>
        <v>0</v>
      </c>
      <c r="K407" s="46">
        <f>IF($A$1='Data Entry'!$C408,'Data Entry'!L408,"")</f>
        <v>0</v>
      </c>
      <c r="L407" s="46">
        <f>IF($A$1='Data Entry'!$C408,'Data Entry'!M408,"")</f>
        <v>0</v>
      </c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  <c r="AF407" s="43"/>
      <c r="AG407" s="43"/>
      <c r="AH407" s="43"/>
      <c r="AI407" s="43"/>
      <c r="AJ407" s="43"/>
    </row>
    <row r="408" spans="1:36" ht="15.95" customHeight="1" x14ac:dyDescent="0.2">
      <c r="A408" s="43"/>
      <c r="B408" s="45">
        <v>68</v>
      </c>
      <c r="C408" s="46">
        <f>IF($A$1='Data Entry'!$C409,'Data Entry'!D409,"")</f>
        <v>0</v>
      </c>
      <c r="D408" s="46">
        <f>IF($A$1='Data Entry'!$C409,'Data Entry'!E409,"")</f>
        <v>0</v>
      </c>
      <c r="E408" s="46">
        <f>IF($A$1='Data Entry'!$C409,'Data Entry'!F409,"")</f>
        <v>0</v>
      </c>
      <c r="F408" s="46">
        <f>IF($A$1='Data Entry'!$C409,'Data Entry'!G409,"")</f>
        <v>0</v>
      </c>
      <c r="G408" s="46">
        <f>IF($A$1='Data Entry'!$C409,'Data Entry'!H409,"")</f>
        <v>0</v>
      </c>
      <c r="H408" s="46">
        <f>IF($A$1='Data Entry'!$C409,'Data Entry'!I409,"")</f>
        <v>0</v>
      </c>
      <c r="I408" s="46">
        <f>IF($A$1='Data Entry'!$C409,'Data Entry'!J409,"")</f>
        <v>0</v>
      </c>
      <c r="J408" s="46">
        <f>IF($A$1='Data Entry'!$C409,'Data Entry'!K409,"")</f>
        <v>0</v>
      </c>
      <c r="K408" s="46">
        <f>IF($A$1='Data Entry'!$C409,'Data Entry'!L409,"")</f>
        <v>0</v>
      </c>
      <c r="L408" s="46">
        <f>IF($A$1='Data Entry'!$C409,'Data Entry'!M409,"")</f>
        <v>0</v>
      </c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  <c r="AC408" s="43"/>
      <c r="AD408" s="43"/>
      <c r="AE408" s="43"/>
      <c r="AF408" s="43"/>
      <c r="AG408" s="43"/>
      <c r="AH408" s="43"/>
      <c r="AI408" s="43"/>
      <c r="AJ408" s="43"/>
    </row>
    <row r="409" spans="1:36" ht="15.95" customHeight="1" x14ac:dyDescent="0.2">
      <c r="A409" s="43"/>
      <c r="B409" s="45">
        <v>68</v>
      </c>
      <c r="C409" s="46">
        <f>IF($A$1='Data Entry'!$C410,'Data Entry'!D410,"")</f>
        <v>0</v>
      </c>
      <c r="D409" s="46">
        <f>IF($A$1='Data Entry'!$C410,'Data Entry'!E410,"")</f>
        <v>0</v>
      </c>
      <c r="E409" s="46">
        <f>IF($A$1='Data Entry'!$C410,'Data Entry'!F410,"")</f>
        <v>0</v>
      </c>
      <c r="F409" s="46">
        <f>IF($A$1='Data Entry'!$C410,'Data Entry'!G410,"")</f>
        <v>0</v>
      </c>
      <c r="G409" s="46">
        <f>IF($A$1='Data Entry'!$C410,'Data Entry'!H410,"")</f>
        <v>0</v>
      </c>
      <c r="H409" s="46">
        <f>IF($A$1='Data Entry'!$C410,'Data Entry'!I410,"")</f>
        <v>0</v>
      </c>
      <c r="I409" s="46">
        <f>IF($A$1='Data Entry'!$C410,'Data Entry'!J410,"")</f>
        <v>0</v>
      </c>
      <c r="J409" s="46">
        <f>IF($A$1='Data Entry'!$C410,'Data Entry'!K410,"")</f>
        <v>0</v>
      </c>
      <c r="K409" s="46">
        <f>IF($A$1='Data Entry'!$C410,'Data Entry'!L410,"")</f>
        <v>0</v>
      </c>
      <c r="L409" s="46">
        <f>IF($A$1='Data Entry'!$C410,'Data Entry'!M410,"")</f>
        <v>0</v>
      </c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  <c r="AC409" s="43"/>
      <c r="AD409" s="43"/>
      <c r="AE409" s="43"/>
      <c r="AF409" s="43"/>
      <c r="AG409" s="43"/>
      <c r="AH409" s="43"/>
      <c r="AI409" s="43"/>
      <c r="AJ409" s="43"/>
    </row>
    <row r="410" spans="1:36" ht="15.95" customHeight="1" x14ac:dyDescent="0.2">
      <c r="A410" s="43"/>
      <c r="B410" s="45">
        <v>68</v>
      </c>
      <c r="C410" s="46">
        <f>IF($A$1='Data Entry'!$C411,'Data Entry'!D411,"")</f>
        <v>0</v>
      </c>
      <c r="D410" s="46">
        <f>IF($A$1='Data Entry'!$C411,'Data Entry'!E411,"")</f>
        <v>0</v>
      </c>
      <c r="E410" s="46">
        <f>IF($A$1='Data Entry'!$C411,'Data Entry'!F411,"")</f>
        <v>0</v>
      </c>
      <c r="F410" s="46">
        <f>IF($A$1='Data Entry'!$C411,'Data Entry'!G411,"")</f>
        <v>0</v>
      </c>
      <c r="G410" s="46">
        <f>IF($A$1='Data Entry'!$C411,'Data Entry'!H411,"")</f>
        <v>0</v>
      </c>
      <c r="H410" s="46">
        <f>IF($A$1='Data Entry'!$C411,'Data Entry'!I411,"")</f>
        <v>0</v>
      </c>
      <c r="I410" s="46">
        <f>IF($A$1='Data Entry'!$C411,'Data Entry'!J411,"")</f>
        <v>0</v>
      </c>
      <c r="J410" s="46">
        <f>IF($A$1='Data Entry'!$C411,'Data Entry'!K411,"")</f>
        <v>0</v>
      </c>
      <c r="K410" s="46">
        <f>IF($A$1='Data Entry'!$C411,'Data Entry'!L411,"")</f>
        <v>0</v>
      </c>
      <c r="L410" s="46">
        <f>IF($A$1='Data Entry'!$C411,'Data Entry'!M411,"")</f>
        <v>0</v>
      </c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  <c r="AC410" s="43"/>
      <c r="AD410" s="43"/>
      <c r="AE410" s="43"/>
      <c r="AF410" s="43"/>
      <c r="AG410" s="43"/>
      <c r="AH410" s="43"/>
      <c r="AI410" s="43"/>
      <c r="AJ410" s="43"/>
    </row>
    <row r="411" spans="1:36" ht="15.95" customHeight="1" x14ac:dyDescent="0.2">
      <c r="A411" s="43"/>
      <c r="B411" s="45">
        <v>69</v>
      </c>
      <c r="C411" s="46">
        <f>IF($A$1='Data Entry'!$C412,'Data Entry'!D412,"")</f>
        <v>0</v>
      </c>
      <c r="D411" s="46">
        <f>IF($A$1='Data Entry'!$C412,'Data Entry'!E412,"")</f>
        <v>0</v>
      </c>
      <c r="E411" s="46">
        <f>IF($A$1='Data Entry'!$C412,'Data Entry'!F412,"")</f>
        <v>0</v>
      </c>
      <c r="F411" s="46">
        <f>IF($A$1='Data Entry'!$C412,'Data Entry'!G412,"")</f>
        <v>0</v>
      </c>
      <c r="G411" s="46">
        <f>IF($A$1='Data Entry'!$C412,'Data Entry'!H412,"")</f>
        <v>0</v>
      </c>
      <c r="H411" s="46">
        <f>IF($A$1='Data Entry'!$C412,'Data Entry'!I412,"")</f>
        <v>0</v>
      </c>
      <c r="I411" s="46">
        <f>IF($A$1='Data Entry'!$C412,'Data Entry'!J412,"")</f>
        <v>0</v>
      </c>
      <c r="J411" s="46">
        <f>IF($A$1='Data Entry'!$C412,'Data Entry'!K412,"")</f>
        <v>0</v>
      </c>
      <c r="K411" s="46">
        <f>IF($A$1='Data Entry'!$C412,'Data Entry'!L412,"")</f>
        <v>0</v>
      </c>
      <c r="L411" s="46">
        <f>IF($A$1='Data Entry'!$C412,'Data Entry'!M412,"")</f>
        <v>0</v>
      </c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  <c r="AF411" s="43"/>
      <c r="AG411" s="43"/>
      <c r="AH411" s="43"/>
      <c r="AI411" s="43"/>
      <c r="AJ411" s="43"/>
    </row>
    <row r="412" spans="1:36" ht="15.95" customHeight="1" x14ac:dyDescent="0.2">
      <c r="A412" s="43"/>
      <c r="B412" s="45">
        <v>69</v>
      </c>
      <c r="C412" s="46">
        <f>IF($A$1='Data Entry'!$C413,'Data Entry'!D413,"")</f>
        <v>0</v>
      </c>
      <c r="D412" s="46">
        <f>IF($A$1='Data Entry'!$C413,'Data Entry'!E413,"")</f>
        <v>0</v>
      </c>
      <c r="E412" s="46">
        <f>IF($A$1='Data Entry'!$C413,'Data Entry'!F413,"")</f>
        <v>0</v>
      </c>
      <c r="F412" s="46">
        <f>IF($A$1='Data Entry'!$C413,'Data Entry'!G413,"")</f>
        <v>0</v>
      </c>
      <c r="G412" s="46">
        <f>IF($A$1='Data Entry'!$C413,'Data Entry'!H413,"")</f>
        <v>0</v>
      </c>
      <c r="H412" s="46">
        <f>IF($A$1='Data Entry'!$C413,'Data Entry'!I413,"")</f>
        <v>0</v>
      </c>
      <c r="I412" s="46">
        <f>IF($A$1='Data Entry'!$C413,'Data Entry'!J413,"")</f>
        <v>0</v>
      </c>
      <c r="J412" s="46">
        <f>IF($A$1='Data Entry'!$C413,'Data Entry'!K413,"")</f>
        <v>0</v>
      </c>
      <c r="K412" s="46">
        <f>IF($A$1='Data Entry'!$C413,'Data Entry'!L413,"")</f>
        <v>0</v>
      </c>
      <c r="L412" s="46">
        <f>IF($A$1='Data Entry'!$C413,'Data Entry'!M413,"")</f>
        <v>0</v>
      </c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  <c r="AF412" s="43"/>
      <c r="AG412" s="43"/>
      <c r="AH412" s="43"/>
      <c r="AI412" s="43"/>
      <c r="AJ412" s="43"/>
    </row>
    <row r="413" spans="1:36" ht="15.95" customHeight="1" x14ac:dyDescent="0.2">
      <c r="A413" s="43"/>
      <c r="B413" s="45">
        <v>69</v>
      </c>
      <c r="C413" s="46">
        <f>IF($A$1='Data Entry'!$C414,'Data Entry'!D414,"")</f>
        <v>0</v>
      </c>
      <c r="D413" s="46">
        <f>IF($A$1='Data Entry'!$C414,'Data Entry'!E414,"")</f>
        <v>0</v>
      </c>
      <c r="E413" s="46">
        <f>IF($A$1='Data Entry'!$C414,'Data Entry'!F414,"")</f>
        <v>0</v>
      </c>
      <c r="F413" s="46">
        <f>IF($A$1='Data Entry'!$C414,'Data Entry'!G414,"")</f>
        <v>0</v>
      </c>
      <c r="G413" s="46">
        <f>IF($A$1='Data Entry'!$C414,'Data Entry'!H414,"")</f>
        <v>0</v>
      </c>
      <c r="H413" s="46">
        <f>IF($A$1='Data Entry'!$C414,'Data Entry'!I414,"")</f>
        <v>0</v>
      </c>
      <c r="I413" s="46">
        <f>IF($A$1='Data Entry'!$C414,'Data Entry'!J414,"")</f>
        <v>0</v>
      </c>
      <c r="J413" s="46">
        <f>IF($A$1='Data Entry'!$C414,'Data Entry'!K414,"")</f>
        <v>0</v>
      </c>
      <c r="K413" s="46">
        <f>IF($A$1='Data Entry'!$C414,'Data Entry'!L414,"")</f>
        <v>0</v>
      </c>
      <c r="L413" s="46">
        <f>IF($A$1='Data Entry'!$C414,'Data Entry'!M414,"")</f>
        <v>0</v>
      </c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  <c r="AF413" s="43"/>
      <c r="AG413" s="43"/>
      <c r="AH413" s="43"/>
      <c r="AI413" s="43"/>
      <c r="AJ413" s="43"/>
    </row>
    <row r="414" spans="1:36" ht="15.95" customHeight="1" x14ac:dyDescent="0.2">
      <c r="A414" s="43"/>
      <c r="B414" s="45">
        <v>69</v>
      </c>
      <c r="C414" s="46">
        <f>IF($A$1='Data Entry'!$C415,'Data Entry'!D415,"")</f>
        <v>0</v>
      </c>
      <c r="D414" s="46">
        <f>IF($A$1='Data Entry'!$C415,'Data Entry'!E415,"")</f>
        <v>0</v>
      </c>
      <c r="E414" s="46">
        <f>IF($A$1='Data Entry'!$C415,'Data Entry'!F415,"")</f>
        <v>0</v>
      </c>
      <c r="F414" s="46">
        <f>IF($A$1='Data Entry'!$C415,'Data Entry'!G415,"")</f>
        <v>0</v>
      </c>
      <c r="G414" s="46">
        <f>IF($A$1='Data Entry'!$C415,'Data Entry'!H415,"")</f>
        <v>0</v>
      </c>
      <c r="H414" s="46">
        <f>IF($A$1='Data Entry'!$C415,'Data Entry'!I415,"")</f>
        <v>0</v>
      </c>
      <c r="I414" s="46">
        <f>IF($A$1='Data Entry'!$C415,'Data Entry'!J415,"")</f>
        <v>0</v>
      </c>
      <c r="J414" s="46">
        <f>IF($A$1='Data Entry'!$C415,'Data Entry'!K415,"")</f>
        <v>0</v>
      </c>
      <c r="K414" s="46">
        <f>IF($A$1='Data Entry'!$C415,'Data Entry'!L415,"")</f>
        <v>0</v>
      </c>
      <c r="L414" s="46">
        <f>IF($A$1='Data Entry'!$C415,'Data Entry'!M415,"")</f>
        <v>0</v>
      </c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  <c r="AF414" s="43"/>
      <c r="AG414" s="43"/>
      <c r="AH414" s="43"/>
      <c r="AI414" s="43"/>
      <c r="AJ414" s="43"/>
    </row>
    <row r="415" spans="1:36" ht="15.95" customHeight="1" x14ac:dyDescent="0.2">
      <c r="A415" s="43"/>
      <c r="B415" s="45">
        <v>69</v>
      </c>
      <c r="C415" s="46">
        <f>IF($A$1='Data Entry'!$C416,'Data Entry'!D416,"")</f>
        <v>0</v>
      </c>
      <c r="D415" s="46">
        <f>IF($A$1='Data Entry'!$C416,'Data Entry'!E416,"")</f>
        <v>0</v>
      </c>
      <c r="E415" s="46">
        <f>IF($A$1='Data Entry'!$C416,'Data Entry'!F416,"")</f>
        <v>0</v>
      </c>
      <c r="F415" s="46">
        <f>IF($A$1='Data Entry'!$C416,'Data Entry'!G416,"")</f>
        <v>0</v>
      </c>
      <c r="G415" s="46">
        <f>IF($A$1='Data Entry'!$C416,'Data Entry'!H416,"")</f>
        <v>0</v>
      </c>
      <c r="H415" s="46">
        <f>IF($A$1='Data Entry'!$C416,'Data Entry'!I416,"")</f>
        <v>0</v>
      </c>
      <c r="I415" s="46">
        <f>IF($A$1='Data Entry'!$C416,'Data Entry'!J416,"")</f>
        <v>0</v>
      </c>
      <c r="J415" s="46">
        <f>IF($A$1='Data Entry'!$C416,'Data Entry'!K416,"")</f>
        <v>0</v>
      </c>
      <c r="K415" s="46">
        <f>IF($A$1='Data Entry'!$C416,'Data Entry'!L416,"")</f>
        <v>0</v>
      </c>
      <c r="L415" s="46">
        <f>IF($A$1='Data Entry'!$C416,'Data Entry'!M416,"")</f>
        <v>0</v>
      </c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  <c r="AF415" s="43"/>
      <c r="AG415" s="43"/>
      <c r="AH415" s="43"/>
      <c r="AI415" s="43"/>
      <c r="AJ415" s="43"/>
    </row>
    <row r="416" spans="1:36" ht="15.95" customHeight="1" x14ac:dyDescent="0.2">
      <c r="A416" s="43"/>
      <c r="B416" s="45">
        <v>69</v>
      </c>
      <c r="C416" s="46">
        <f>IF($A$1='Data Entry'!$C417,'Data Entry'!D417,"")</f>
        <v>0</v>
      </c>
      <c r="D416" s="46">
        <f>IF($A$1='Data Entry'!$C417,'Data Entry'!E417,"")</f>
        <v>0</v>
      </c>
      <c r="E416" s="46">
        <f>IF($A$1='Data Entry'!$C417,'Data Entry'!F417,"")</f>
        <v>0</v>
      </c>
      <c r="F416" s="46">
        <f>IF($A$1='Data Entry'!$C417,'Data Entry'!G417,"")</f>
        <v>0</v>
      </c>
      <c r="G416" s="46">
        <f>IF($A$1='Data Entry'!$C417,'Data Entry'!H417,"")</f>
        <v>0</v>
      </c>
      <c r="H416" s="46">
        <f>IF($A$1='Data Entry'!$C417,'Data Entry'!I417,"")</f>
        <v>0</v>
      </c>
      <c r="I416" s="46">
        <f>IF($A$1='Data Entry'!$C417,'Data Entry'!J417,"")</f>
        <v>0</v>
      </c>
      <c r="J416" s="46">
        <f>IF($A$1='Data Entry'!$C417,'Data Entry'!K417,"")</f>
        <v>0</v>
      </c>
      <c r="K416" s="46">
        <f>IF($A$1='Data Entry'!$C417,'Data Entry'!L417,"")</f>
        <v>0</v>
      </c>
      <c r="L416" s="46">
        <f>IF($A$1='Data Entry'!$C417,'Data Entry'!M417,"")</f>
        <v>0</v>
      </c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  <c r="AF416" s="43"/>
      <c r="AG416" s="43"/>
      <c r="AH416" s="43"/>
      <c r="AI416" s="43"/>
      <c r="AJ416" s="43"/>
    </row>
    <row r="417" spans="1:36" ht="15.95" customHeight="1" x14ac:dyDescent="0.2">
      <c r="A417" s="43"/>
      <c r="B417" s="45">
        <v>70</v>
      </c>
      <c r="C417" s="46">
        <f>IF($A$1='Data Entry'!$C418,'Data Entry'!D418,"")</f>
        <v>0</v>
      </c>
      <c r="D417" s="46">
        <f>IF($A$1='Data Entry'!$C418,'Data Entry'!E418,"")</f>
        <v>0</v>
      </c>
      <c r="E417" s="46">
        <f>IF($A$1='Data Entry'!$C418,'Data Entry'!F418,"")</f>
        <v>0</v>
      </c>
      <c r="F417" s="46">
        <f>IF($A$1='Data Entry'!$C418,'Data Entry'!G418,"")</f>
        <v>0</v>
      </c>
      <c r="G417" s="46">
        <f>IF($A$1='Data Entry'!$C418,'Data Entry'!H418,"")</f>
        <v>0</v>
      </c>
      <c r="H417" s="46">
        <f>IF($A$1='Data Entry'!$C418,'Data Entry'!I418,"")</f>
        <v>0</v>
      </c>
      <c r="I417" s="46">
        <f>IF($A$1='Data Entry'!$C418,'Data Entry'!J418,"")</f>
        <v>0</v>
      </c>
      <c r="J417" s="46">
        <f>IF($A$1='Data Entry'!$C418,'Data Entry'!K418,"")</f>
        <v>0</v>
      </c>
      <c r="K417" s="46">
        <f>IF($A$1='Data Entry'!$C418,'Data Entry'!L418,"")</f>
        <v>0</v>
      </c>
      <c r="L417" s="46">
        <f>IF($A$1='Data Entry'!$C418,'Data Entry'!M418,"")</f>
        <v>0</v>
      </c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  <c r="AF417" s="43"/>
      <c r="AG417" s="43"/>
      <c r="AH417" s="43"/>
      <c r="AI417" s="43"/>
      <c r="AJ417" s="43"/>
    </row>
    <row r="418" spans="1:36" ht="15.95" customHeight="1" x14ac:dyDescent="0.2">
      <c r="A418" s="43"/>
      <c r="B418" s="45">
        <v>70</v>
      </c>
      <c r="C418" s="46">
        <f>IF($A$1='Data Entry'!$C419,'Data Entry'!D419,"")</f>
        <v>0</v>
      </c>
      <c r="D418" s="46">
        <f>IF($A$1='Data Entry'!$C419,'Data Entry'!E419,"")</f>
        <v>0</v>
      </c>
      <c r="E418" s="46">
        <f>IF($A$1='Data Entry'!$C419,'Data Entry'!F419,"")</f>
        <v>0</v>
      </c>
      <c r="F418" s="46">
        <f>IF($A$1='Data Entry'!$C419,'Data Entry'!G419,"")</f>
        <v>0</v>
      </c>
      <c r="G418" s="46">
        <f>IF($A$1='Data Entry'!$C419,'Data Entry'!H419,"")</f>
        <v>0</v>
      </c>
      <c r="H418" s="46">
        <f>IF($A$1='Data Entry'!$C419,'Data Entry'!I419,"")</f>
        <v>0</v>
      </c>
      <c r="I418" s="46">
        <f>IF($A$1='Data Entry'!$C419,'Data Entry'!J419,"")</f>
        <v>0</v>
      </c>
      <c r="J418" s="46">
        <f>IF($A$1='Data Entry'!$C419,'Data Entry'!K419,"")</f>
        <v>0</v>
      </c>
      <c r="K418" s="46">
        <f>IF($A$1='Data Entry'!$C419,'Data Entry'!L419,"")</f>
        <v>0</v>
      </c>
      <c r="L418" s="46">
        <f>IF($A$1='Data Entry'!$C419,'Data Entry'!M419,"")</f>
        <v>0</v>
      </c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  <c r="AF418" s="43"/>
      <c r="AG418" s="43"/>
      <c r="AH418" s="43"/>
      <c r="AI418" s="43"/>
      <c r="AJ418" s="43"/>
    </row>
    <row r="419" spans="1:36" ht="15.95" customHeight="1" x14ac:dyDescent="0.2">
      <c r="A419" s="43"/>
      <c r="B419" s="45">
        <v>70</v>
      </c>
      <c r="C419" s="46">
        <f>IF($A$1='Data Entry'!$C420,'Data Entry'!D420,"")</f>
        <v>0</v>
      </c>
      <c r="D419" s="46">
        <f>IF($A$1='Data Entry'!$C420,'Data Entry'!E420,"")</f>
        <v>0</v>
      </c>
      <c r="E419" s="46">
        <f>IF($A$1='Data Entry'!$C420,'Data Entry'!F420,"")</f>
        <v>0</v>
      </c>
      <c r="F419" s="46">
        <f>IF($A$1='Data Entry'!$C420,'Data Entry'!G420,"")</f>
        <v>0</v>
      </c>
      <c r="G419" s="46">
        <f>IF($A$1='Data Entry'!$C420,'Data Entry'!H420,"")</f>
        <v>0</v>
      </c>
      <c r="H419" s="46">
        <f>IF($A$1='Data Entry'!$C420,'Data Entry'!I420,"")</f>
        <v>0</v>
      </c>
      <c r="I419" s="46">
        <f>IF($A$1='Data Entry'!$C420,'Data Entry'!J420,"")</f>
        <v>0</v>
      </c>
      <c r="J419" s="46">
        <f>IF($A$1='Data Entry'!$C420,'Data Entry'!K420,"")</f>
        <v>0</v>
      </c>
      <c r="K419" s="46">
        <f>IF($A$1='Data Entry'!$C420,'Data Entry'!L420,"")</f>
        <v>0</v>
      </c>
      <c r="L419" s="46">
        <f>IF($A$1='Data Entry'!$C420,'Data Entry'!M420,"")</f>
        <v>0</v>
      </c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  <c r="AF419" s="43"/>
      <c r="AG419" s="43"/>
      <c r="AH419" s="43"/>
      <c r="AI419" s="43"/>
      <c r="AJ419" s="43"/>
    </row>
    <row r="420" spans="1:36" ht="15.95" customHeight="1" x14ac:dyDescent="0.2">
      <c r="A420" s="43"/>
      <c r="B420" s="45">
        <v>70</v>
      </c>
      <c r="C420" s="46">
        <f>IF($A$1='Data Entry'!$C421,'Data Entry'!D421,"")</f>
        <v>0</v>
      </c>
      <c r="D420" s="46">
        <f>IF($A$1='Data Entry'!$C421,'Data Entry'!E421,"")</f>
        <v>0</v>
      </c>
      <c r="E420" s="46">
        <f>IF($A$1='Data Entry'!$C421,'Data Entry'!F421,"")</f>
        <v>0</v>
      </c>
      <c r="F420" s="46">
        <f>IF($A$1='Data Entry'!$C421,'Data Entry'!G421,"")</f>
        <v>0</v>
      </c>
      <c r="G420" s="46">
        <f>IF($A$1='Data Entry'!$C421,'Data Entry'!H421,"")</f>
        <v>0</v>
      </c>
      <c r="H420" s="46">
        <f>IF($A$1='Data Entry'!$C421,'Data Entry'!I421,"")</f>
        <v>0</v>
      </c>
      <c r="I420" s="46">
        <f>IF($A$1='Data Entry'!$C421,'Data Entry'!J421,"")</f>
        <v>0</v>
      </c>
      <c r="J420" s="46">
        <f>IF($A$1='Data Entry'!$C421,'Data Entry'!K421,"")</f>
        <v>0</v>
      </c>
      <c r="K420" s="46">
        <f>IF($A$1='Data Entry'!$C421,'Data Entry'!L421,"")</f>
        <v>0</v>
      </c>
      <c r="L420" s="46">
        <f>IF($A$1='Data Entry'!$C421,'Data Entry'!M421,"")</f>
        <v>0</v>
      </c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  <c r="AF420" s="43"/>
      <c r="AG420" s="43"/>
      <c r="AH420" s="43"/>
      <c r="AI420" s="43"/>
      <c r="AJ420" s="43"/>
    </row>
    <row r="421" spans="1:36" ht="15.95" customHeight="1" x14ac:dyDescent="0.2">
      <c r="A421" s="43"/>
      <c r="B421" s="45">
        <v>70</v>
      </c>
      <c r="C421" s="46">
        <f>IF($A$1='Data Entry'!$C422,'Data Entry'!D422,"")</f>
        <v>0</v>
      </c>
      <c r="D421" s="46">
        <f>IF($A$1='Data Entry'!$C422,'Data Entry'!E422,"")</f>
        <v>0</v>
      </c>
      <c r="E421" s="46">
        <f>IF($A$1='Data Entry'!$C422,'Data Entry'!F422,"")</f>
        <v>0</v>
      </c>
      <c r="F421" s="46">
        <f>IF($A$1='Data Entry'!$C422,'Data Entry'!G422,"")</f>
        <v>0</v>
      </c>
      <c r="G421" s="46">
        <f>IF($A$1='Data Entry'!$C422,'Data Entry'!H422,"")</f>
        <v>0</v>
      </c>
      <c r="H421" s="46">
        <f>IF($A$1='Data Entry'!$C422,'Data Entry'!I422,"")</f>
        <v>0</v>
      </c>
      <c r="I421" s="46">
        <f>IF($A$1='Data Entry'!$C422,'Data Entry'!J422,"")</f>
        <v>0</v>
      </c>
      <c r="J421" s="46">
        <f>IF($A$1='Data Entry'!$C422,'Data Entry'!K422,"")</f>
        <v>0</v>
      </c>
      <c r="K421" s="46">
        <f>IF($A$1='Data Entry'!$C422,'Data Entry'!L422,"")</f>
        <v>0</v>
      </c>
      <c r="L421" s="46">
        <f>IF($A$1='Data Entry'!$C422,'Data Entry'!M422,"")</f>
        <v>0</v>
      </c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  <c r="AF421" s="43"/>
      <c r="AG421" s="43"/>
      <c r="AH421" s="43"/>
      <c r="AI421" s="43"/>
      <c r="AJ421" s="43"/>
    </row>
    <row r="422" spans="1:36" ht="15.95" customHeight="1" x14ac:dyDescent="0.2">
      <c r="A422" s="43"/>
      <c r="B422" s="45">
        <v>70</v>
      </c>
      <c r="C422" s="46">
        <f>IF($A$1='Data Entry'!$C423,'Data Entry'!D423,"")</f>
        <v>0</v>
      </c>
      <c r="D422" s="46">
        <f>IF($A$1='Data Entry'!$C423,'Data Entry'!E423,"")</f>
        <v>0</v>
      </c>
      <c r="E422" s="46">
        <f>IF($A$1='Data Entry'!$C423,'Data Entry'!F423,"")</f>
        <v>0</v>
      </c>
      <c r="F422" s="46">
        <f>IF($A$1='Data Entry'!$C423,'Data Entry'!G423,"")</f>
        <v>0</v>
      </c>
      <c r="G422" s="46">
        <f>IF($A$1='Data Entry'!$C423,'Data Entry'!H423,"")</f>
        <v>0</v>
      </c>
      <c r="H422" s="46">
        <f>IF($A$1='Data Entry'!$C423,'Data Entry'!I423,"")</f>
        <v>0</v>
      </c>
      <c r="I422" s="46">
        <f>IF($A$1='Data Entry'!$C423,'Data Entry'!J423,"")</f>
        <v>0</v>
      </c>
      <c r="J422" s="46">
        <f>IF($A$1='Data Entry'!$C423,'Data Entry'!K423,"")</f>
        <v>0</v>
      </c>
      <c r="K422" s="46">
        <f>IF($A$1='Data Entry'!$C423,'Data Entry'!L423,"")</f>
        <v>0</v>
      </c>
      <c r="L422" s="46">
        <f>IF($A$1='Data Entry'!$C423,'Data Entry'!M423,"")</f>
        <v>0</v>
      </c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  <c r="AF422" s="43"/>
      <c r="AG422" s="43"/>
      <c r="AH422" s="43"/>
      <c r="AI422" s="43"/>
      <c r="AJ422" s="43"/>
    </row>
    <row r="423" spans="1:36" ht="15.95" customHeight="1" x14ac:dyDescent="0.2">
      <c r="A423" s="43"/>
      <c r="B423" s="45">
        <v>71</v>
      </c>
      <c r="C423" s="46">
        <f>IF($A$1='Data Entry'!$C424,'Data Entry'!D424,"")</f>
        <v>0</v>
      </c>
      <c r="D423" s="46">
        <f>IF($A$1='Data Entry'!$C424,'Data Entry'!E424,"")</f>
        <v>0</v>
      </c>
      <c r="E423" s="46">
        <f>IF($A$1='Data Entry'!$C424,'Data Entry'!F424,"")</f>
        <v>0</v>
      </c>
      <c r="F423" s="46">
        <f>IF($A$1='Data Entry'!$C424,'Data Entry'!G424,"")</f>
        <v>0</v>
      </c>
      <c r="G423" s="46">
        <f>IF($A$1='Data Entry'!$C424,'Data Entry'!H424,"")</f>
        <v>0</v>
      </c>
      <c r="H423" s="46">
        <f>IF($A$1='Data Entry'!$C424,'Data Entry'!I424,"")</f>
        <v>0</v>
      </c>
      <c r="I423" s="46">
        <f>IF($A$1='Data Entry'!$C424,'Data Entry'!J424,"")</f>
        <v>0</v>
      </c>
      <c r="J423" s="46">
        <f>IF($A$1='Data Entry'!$C424,'Data Entry'!K424,"")</f>
        <v>0</v>
      </c>
      <c r="K423" s="46">
        <f>IF($A$1='Data Entry'!$C424,'Data Entry'!L424,"")</f>
        <v>0</v>
      </c>
      <c r="L423" s="46">
        <f>IF($A$1='Data Entry'!$C424,'Data Entry'!M424,"")</f>
        <v>0</v>
      </c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  <c r="AF423" s="43"/>
      <c r="AG423" s="43"/>
      <c r="AH423" s="43"/>
      <c r="AI423" s="43"/>
      <c r="AJ423" s="43"/>
    </row>
    <row r="424" spans="1:36" ht="15.95" customHeight="1" x14ac:dyDescent="0.2">
      <c r="A424" s="43"/>
      <c r="B424" s="45">
        <v>71</v>
      </c>
      <c r="C424" s="46">
        <f>IF($A$1='Data Entry'!$C425,'Data Entry'!D425,"")</f>
        <v>0</v>
      </c>
      <c r="D424" s="46">
        <f>IF($A$1='Data Entry'!$C425,'Data Entry'!E425,"")</f>
        <v>0</v>
      </c>
      <c r="E424" s="46">
        <f>IF($A$1='Data Entry'!$C425,'Data Entry'!F425,"")</f>
        <v>0</v>
      </c>
      <c r="F424" s="46">
        <f>IF($A$1='Data Entry'!$C425,'Data Entry'!G425,"")</f>
        <v>0</v>
      </c>
      <c r="G424" s="46">
        <f>IF($A$1='Data Entry'!$C425,'Data Entry'!H425,"")</f>
        <v>0</v>
      </c>
      <c r="H424" s="46">
        <f>IF($A$1='Data Entry'!$C425,'Data Entry'!I425,"")</f>
        <v>0</v>
      </c>
      <c r="I424" s="46">
        <f>IF($A$1='Data Entry'!$C425,'Data Entry'!J425,"")</f>
        <v>0</v>
      </c>
      <c r="J424" s="46">
        <f>IF($A$1='Data Entry'!$C425,'Data Entry'!K425,"")</f>
        <v>0</v>
      </c>
      <c r="K424" s="46">
        <f>IF($A$1='Data Entry'!$C425,'Data Entry'!L425,"")</f>
        <v>0</v>
      </c>
      <c r="L424" s="46">
        <f>IF($A$1='Data Entry'!$C425,'Data Entry'!M425,"")</f>
        <v>0</v>
      </c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  <c r="AF424" s="43"/>
      <c r="AG424" s="43"/>
      <c r="AH424" s="43"/>
      <c r="AI424" s="43"/>
      <c r="AJ424" s="43"/>
    </row>
    <row r="425" spans="1:36" ht="15.95" customHeight="1" x14ac:dyDescent="0.2">
      <c r="A425" s="43"/>
      <c r="B425" s="45">
        <v>71</v>
      </c>
      <c r="C425" s="46">
        <f>IF($A$1='Data Entry'!$C426,'Data Entry'!D426,"")</f>
        <v>0</v>
      </c>
      <c r="D425" s="46">
        <f>IF($A$1='Data Entry'!$C426,'Data Entry'!E426,"")</f>
        <v>0</v>
      </c>
      <c r="E425" s="46">
        <f>IF($A$1='Data Entry'!$C426,'Data Entry'!F426,"")</f>
        <v>0</v>
      </c>
      <c r="F425" s="46">
        <f>IF($A$1='Data Entry'!$C426,'Data Entry'!G426,"")</f>
        <v>0</v>
      </c>
      <c r="G425" s="46">
        <f>IF($A$1='Data Entry'!$C426,'Data Entry'!H426,"")</f>
        <v>0</v>
      </c>
      <c r="H425" s="46">
        <f>IF($A$1='Data Entry'!$C426,'Data Entry'!I426,"")</f>
        <v>0</v>
      </c>
      <c r="I425" s="46">
        <f>IF($A$1='Data Entry'!$C426,'Data Entry'!J426,"")</f>
        <v>0</v>
      </c>
      <c r="J425" s="46">
        <f>IF($A$1='Data Entry'!$C426,'Data Entry'!K426,"")</f>
        <v>0</v>
      </c>
      <c r="K425" s="46">
        <f>IF($A$1='Data Entry'!$C426,'Data Entry'!L426,"")</f>
        <v>0</v>
      </c>
      <c r="L425" s="46">
        <f>IF($A$1='Data Entry'!$C426,'Data Entry'!M426,"")</f>
        <v>0</v>
      </c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  <c r="AF425" s="43"/>
      <c r="AG425" s="43"/>
      <c r="AH425" s="43"/>
      <c r="AI425" s="43"/>
      <c r="AJ425" s="43"/>
    </row>
    <row r="426" spans="1:36" ht="15.95" customHeight="1" x14ac:dyDescent="0.2">
      <c r="A426" s="43"/>
      <c r="B426" s="45">
        <v>71</v>
      </c>
      <c r="C426" s="46">
        <f>IF($A$1='Data Entry'!$C427,'Data Entry'!D427,"")</f>
        <v>0</v>
      </c>
      <c r="D426" s="46">
        <f>IF($A$1='Data Entry'!$C427,'Data Entry'!E427,"")</f>
        <v>0</v>
      </c>
      <c r="E426" s="46">
        <f>IF($A$1='Data Entry'!$C427,'Data Entry'!F427,"")</f>
        <v>0</v>
      </c>
      <c r="F426" s="46">
        <f>IF($A$1='Data Entry'!$C427,'Data Entry'!G427,"")</f>
        <v>0</v>
      </c>
      <c r="G426" s="46">
        <f>IF($A$1='Data Entry'!$C427,'Data Entry'!H427,"")</f>
        <v>0</v>
      </c>
      <c r="H426" s="46">
        <f>IF($A$1='Data Entry'!$C427,'Data Entry'!I427,"")</f>
        <v>0</v>
      </c>
      <c r="I426" s="46">
        <f>IF($A$1='Data Entry'!$C427,'Data Entry'!J427,"")</f>
        <v>0</v>
      </c>
      <c r="J426" s="46">
        <f>IF($A$1='Data Entry'!$C427,'Data Entry'!K427,"")</f>
        <v>0</v>
      </c>
      <c r="K426" s="46">
        <f>IF($A$1='Data Entry'!$C427,'Data Entry'!L427,"")</f>
        <v>0</v>
      </c>
      <c r="L426" s="46">
        <f>IF($A$1='Data Entry'!$C427,'Data Entry'!M427,"")</f>
        <v>0</v>
      </c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  <c r="AF426" s="43"/>
      <c r="AG426" s="43"/>
      <c r="AH426" s="43"/>
      <c r="AI426" s="43"/>
      <c r="AJ426" s="43"/>
    </row>
    <row r="427" spans="1:36" ht="15.95" customHeight="1" x14ac:dyDescent="0.2">
      <c r="A427" s="43"/>
      <c r="B427" s="45">
        <v>71</v>
      </c>
      <c r="C427" s="46">
        <f>IF($A$1='Data Entry'!$C428,'Data Entry'!D428,"")</f>
        <v>0</v>
      </c>
      <c r="D427" s="46">
        <f>IF($A$1='Data Entry'!$C428,'Data Entry'!E428,"")</f>
        <v>0</v>
      </c>
      <c r="E427" s="46">
        <f>IF($A$1='Data Entry'!$C428,'Data Entry'!F428,"")</f>
        <v>0</v>
      </c>
      <c r="F427" s="46">
        <f>IF($A$1='Data Entry'!$C428,'Data Entry'!G428,"")</f>
        <v>0</v>
      </c>
      <c r="G427" s="46">
        <f>IF($A$1='Data Entry'!$C428,'Data Entry'!H428,"")</f>
        <v>0</v>
      </c>
      <c r="H427" s="46">
        <f>IF($A$1='Data Entry'!$C428,'Data Entry'!I428,"")</f>
        <v>0</v>
      </c>
      <c r="I427" s="46">
        <f>IF($A$1='Data Entry'!$C428,'Data Entry'!J428,"")</f>
        <v>0</v>
      </c>
      <c r="J427" s="46">
        <f>IF($A$1='Data Entry'!$C428,'Data Entry'!K428,"")</f>
        <v>0</v>
      </c>
      <c r="K427" s="46">
        <f>IF($A$1='Data Entry'!$C428,'Data Entry'!L428,"")</f>
        <v>0</v>
      </c>
      <c r="L427" s="46">
        <f>IF($A$1='Data Entry'!$C428,'Data Entry'!M428,"")</f>
        <v>0</v>
      </c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  <c r="AF427" s="43"/>
      <c r="AG427" s="43"/>
      <c r="AH427" s="43"/>
      <c r="AI427" s="43"/>
      <c r="AJ427" s="43"/>
    </row>
    <row r="428" spans="1:36" ht="15.95" customHeight="1" x14ac:dyDescent="0.2">
      <c r="A428" s="43"/>
      <c r="B428" s="45">
        <v>71</v>
      </c>
      <c r="C428" s="46">
        <f>IF($A$1='Data Entry'!$C429,'Data Entry'!D429,"")</f>
        <v>0</v>
      </c>
      <c r="D428" s="46">
        <f>IF($A$1='Data Entry'!$C429,'Data Entry'!E429,"")</f>
        <v>0</v>
      </c>
      <c r="E428" s="46">
        <f>IF($A$1='Data Entry'!$C429,'Data Entry'!F429,"")</f>
        <v>0</v>
      </c>
      <c r="F428" s="46">
        <f>IF($A$1='Data Entry'!$C429,'Data Entry'!G429,"")</f>
        <v>0</v>
      </c>
      <c r="G428" s="46">
        <f>IF($A$1='Data Entry'!$C429,'Data Entry'!H429,"")</f>
        <v>0</v>
      </c>
      <c r="H428" s="46">
        <f>IF($A$1='Data Entry'!$C429,'Data Entry'!I429,"")</f>
        <v>0</v>
      </c>
      <c r="I428" s="46">
        <f>IF($A$1='Data Entry'!$C429,'Data Entry'!J429,"")</f>
        <v>0</v>
      </c>
      <c r="J428" s="46">
        <f>IF($A$1='Data Entry'!$C429,'Data Entry'!K429,"")</f>
        <v>0</v>
      </c>
      <c r="K428" s="46">
        <f>IF($A$1='Data Entry'!$C429,'Data Entry'!L429,"")</f>
        <v>0</v>
      </c>
      <c r="L428" s="46">
        <f>IF($A$1='Data Entry'!$C429,'Data Entry'!M429,"")</f>
        <v>0</v>
      </c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  <c r="AF428" s="43"/>
      <c r="AG428" s="43"/>
      <c r="AH428" s="43"/>
      <c r="AI428" s="43"/>
      <c r="AJ428" s="43"/>
    </row>
    <row r="429" spans="1:36" ht="15.95" customHeight="1" x14ac:dyDescent="0.2">
      <c r="A429" s="43"/>
      <c r="B429" s="45">
        <v>72</v>
      </c>
      <c r="C429" s="46">
        <f>IF($A$1='Data Entry'!$C430,'Data Entry'!D430,"")</f>
        <v>0</v>
      </c>
      <c r="D429" s="46">
        <f>IF($A$1='Data Entry'!$C430,'Data Entry'!E430,"")</f>
        <v>0</v>
      </c>
      <c r="E429" s="46">
        <f>IF($A$1='Data Entry'!$C430,'Data Entry'!F430,"")</f>
        <v>0</v>
      </c>
      <c r="F429" s="46">
        <f>IF($A$1='Data Entry'!$C430,'Data Entry'!G430,"")</f>
        <v>0</v>
      </c>
      <c r="G429" s="46">
        <f>IF($A$1='Data Entry'!$C430,'Data Entry'!H430,"")</f>
        <v>0</v>
      </c>
      <c r="H429" s="46">
        <f>IF($A$1='Data Entry'!$C430,'Data Entry'!I430,"")</f>
        <v>0</v>
      </c>
      <c r="I429" s="46">
        <f>IF($A$1='Data Entry'!$C430,'Data Entry'!J430,"")</f>
        <v>0</v>
      </c>
      <c r="J429" s="46">
        <f>IF($A$1='Data Entry'!$C430,'Data Entry'!K430,"")</f>
        <v>0</v>
      </c>
      <c r="K429" s="46">
        <f>IF($A$1='Data Entry'!$C430,'Data Entry'!L430,"")</f>
        <v>0</v>
      </c>
      <c r="L429" s="46">
        <f>IF($A$1='Data Entry'!$C430,'Data Entry'!M430,"")</f>
        <v>0</v>
      </c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  <c r="AF429" s="43"/>
      <c r="AG429" s="43"/>
      <c r="AH429" s="43"/>
      <c r="AI429" s="43"/>
      <c r="AJ429" s="43"/>
    </row>
    <row r="430" spans="1:36" ht="15.95" customHeight="1" x14ac:dyDescent="0.2">
      <c r="A430" s="43"/>
      <c r="B430" s="45">
        <v>72</v>
      </c>
      <c r="C430" s="46">
        <f>IF($A$1='Data Entry'!$C431,'Data Entry'!D431,"")</f>
        <v>0</v>
      </c>
      <c r="D430" s="46">
        <f>IF($A$1='Data Entry'!$C431,'Data Entry'!E431,"")</f>
        <v>0</v>
      </c>
      <c r="E430" s="46">
        <f>IF($A$1='Data Entry'!$C431,'Data Entry'!F431,"")</f>
        <v>0</v>
      </c>
      <c r="F430" s="46">
        <f>IF($A$1='Data Entry'!$C431,'Data Entry'!G431,"")</f>
        <v>0</v>
      </c>
      <c r="G430" s="46">
        <f>IF($A$1='Data Entry'!$C431,'Data Entry'!H431,"")</f>
        <v>0</v>
      </c>
      <c r="H430" s="46">
        <f>IF($A$1='Data Entry'!$C431,'Data Entry'!I431,"")</f>
        <v>0</v>
      </c>
      <c r="I430" s="46">
        <f>IF($A$1='Data Entry'!$C431,'Data Entry'!J431,"")</f>
        <v>0</v>
      </c>
      <c r="J430" s="46">
        <f>IF($A$1='Data Entry'!$C431,'Data Entry'!K431,"")</f>
        <v>0</v>
      </c>
      <c r="K430" s="46">
        <f>IF($A$1='Data Entry'!$C431,'Data Entry'!L431,"")</f>
        <v>0</v>
      </c>
      <c r="L430" s="46">
        <f>IF($A$1='Data Entry'!$C431,'Data Entry'!M431,"")</f>
        <v>0</v>
      </c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  <c r="AF430" s="43"/>
      <c r="AG430" s="43"/>
      <c r="AH430" s="43"/>
      <c r="AI430" s="43"/>
      <c r="AJ430" s="43"/>
    </row>
    <row r="431" spans="1:36" ht="15.95" customHeight="1" x14ac:dyDescent="0.2">
      <c r="A431" s="43"/>
      <c r="B431" s="45">
        <v>72</v>
      </c>
      <c r="C431" s="46">
        <f>IF($A$1='Data Entry'!$C432,'Data Entry'!D432,"")</f>
        <v>0</v>
      </c>
      <c r="D431" s="46">
        <f>IF($A$1='Data Entry'!$C432,'Data Entry'!E432,"")</f>
        <v>0</v>
      </c>
      <c r="E431" s="46">
        <f>IF($A$1='Data Entry'!$C432,'Data Entry'!F432,"")</f>
        <v>0</v>
      </c>
      <c r="F431" s="46">
        <f>IF($A$1='Data Entry'!$C432,'Data Entry'!G432,"")</f>
        <v>0</v>
      </c>
      <c r="G431" s="46">
        <f>IF($A$1='Data Entry'!$C432,'Data Entry'!H432,"")</f>
        <v>0</v>
      </c>
      <c r="H431" s="46">
        <f>IF($A$1='Data Entry'!$C432,'Data Entry'!I432,"")</f>
        <v>0</v>
      </c>
      <c r="I431" s="46">
        <f>IF($A$1='Data Entry'!$C432,'Data Entry'!J432,"")</f>
        <v>0</v>
      </c>
      <c r="J431" s="46">
        <f>IF($A$1='Data Entry'!$C432,'Data Entry'!K432,"")</f>
        <v>0</v>
      </c>
      <c r="K431" s="46">
        <f>IF($A$1='Data Entry'!$C432,'Data Entry'!L432,"")</f>
        <v>0</v>
      </c>
      <c r="L431" s="46">
        <f>IF($A$1='Data Entry'!$C432,'Data Entry'!M432,"")</f>
        <v>0</v>
      </c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  <c r="AF431" s="43"/>
      <c r="AG431" s="43"/>
      <c r="AH431" s="43"/>
      <c r="AI431" s="43"/>
      <c r="AJ431" s="43"/>
    </row>
    <row r="432" spans="1:36" ht="15.95" customHeight="1" x14ac:dyDescent="0.2">
      <c r="A432" s="43"/>
      <c r="B432" s="45">
        <v>72</v>
      </c>
      <c r="C432" s="46">
        <f>IF($A$1='Data Entry'!$C433,'Data Entry'!D433,"")</f>
        <v>0</v>
      </c>
      <c r="D432" s="46">
        <f>IF($A$1='Data Entry'!$C433,'Data Entry'!E433,"")</f>
        <v>0</v>
      </c>
      <c r="E432" s="46">
        <f>IF($A$1='Data Entry'!$C433,'Data Entry'!F433,"")</f>
        <v>0</v>
      </c>
      <c r="F432" s="46">
        <f>IF($A$1='Data Entry'!$C433,'Data Entry'!G433,"")</f>
        <v>0</v>
      </c>
      <c r="G432" s="46">
        <f>IF($A$1='Data Entry'!$C433,'Data Entry'!H433,"")</f>
        <v>0</v>
      </c>
      <c r="H432" s="46">
        <f>IF($A$1='Data Entry'!$C433,'Data Entry'!I433,"")</f>
        <v>0</v>
      </c>
      <c r="I432" s="46">
        <f>IF($A$1='Data Entry'!$C433,'Data Entry'!J433,"")</f>
        <v>0</v>
      </c>
      <c r="J432" s="46">
        <f>IF($A$1='Data Entry'!$C433,'Data Entry'!K433,"")</f>
        <v>0</v>
      </c>
      <c r="K432" s="46">
        <f>IF($A$1='Data Entry'!$C433,'Data Entry'!L433,"")</f>
        <v>0</v>
      </c>
      <c r="L432" s="46">
        <f>IF($A$1='Data Entry'!$C433,'Data Entry'!M433,"")</f>
        <v>0</v>
      </c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  <c r="AF432" s="43"/>
      <c r="AG432" s="43"/>
      <c r="AH432" s="43"/>
      <c r="AI432" s="43"/>
      <c r="AJ432" s="43"/>
    </row>
    <row r="433" spans="1:36" ht="15.95" customHeight="1" x14ac:dyDescent="0.2">
      <c r="A433" s="43"/>
      <c r="B433" s="45">
        <v>72</v>
      </c>
      <c r="C433" s="46">
        <f>IF($A$1='Data Entry'!$C434,'Data Entry'!D434,"")</f>
        <v>0</v>
      </c>
      <c r="D433" s="46">
        <f>IF($A$1='Data Entry'!$C434,'Data Entry'!E434,"")</f>
        <v>0</v>
      </c>
      <c r="E433" s="46">
        <f>IF($A$1='Data Entry'!$C434,'Data Entry'!F434,"")</f>
        <v>0</v>
      </c>
      <c r="F433" s="46">
        <f>IF($A$1='Data Entry'!$C434,'Data Entry'!G434,"")</f>
        <v>0</v>
      </c>
      <c r="G433" s="46">
        <f>IF($A$1='Data Entry'!$C434,'Data Entry'!H434,"")</f>
        <v>0</v>
      </c>
      <c r="H433" s="46">
        <f>IF($A$1='Data Entry'!$C434,'Data Entry'!I434,"")</f>
        <v>0</v>
      </c>
      <c r="I433" s="46">
        <f>IF($A$1='Data Entry'!$C434,'Data Entry'!J434,"")</f>
        <v>0</v>
      </c>
      <c r="J433" s="46">
        <f>IF($A$1='Data Entry'!$C434,'Data Entry'!K434,"")</f>
        <v>0</v>
      </c>
      <c r="K433" s="46">
        <f>IF($A$1='Data Entry'!$C434,'Data Entry'!L434,"")</f>
        <v>0</v>
      </c>
      <c r="L433" s="46">
        <f>IF($A$1='Data Entry'!$C434,'Data Entry'!M434,"")</f>
        <v>0</v>
      </c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  <c r="AF433" s="43"/>
      <c r="AG433" s="43"/>
      <c r="AH433" s="43"/>
      <c r="AI433" s="43"/>
      <c r="AJ433" s="43"/>
    </row>
    <row r="434" spans="1:36" ht="15.95" customHeight="1" x14ac:dyDescent="0.2">
      <c r="A434" s="43"/>
      <c r="B434" s="45">
        <v>72</v>
      </c>
      <c r="C434" s="46">
        <f>IF($A$1='Data Entry'!$C435,'Data Entry'!D435,"")</f>
        <v>0</v>
      </c>
      <c r="D434" s="46">
        <f>IF($A$1='Data Entry'!$C435,'Data Entry'!E435,"")</f>
        <v>0</v>
      </c>
      <c r="E434" s="46">
        <f>IF($A$1='Data Entry'!$C435,'Data Entry'!F435,"")</f>
        <v>0</v>
      </c>
      <c r="F434" s="46">
        <f>IF($A$1='Data Entry'!$C435,'Data Entry'!G435,"")</f>
        <v>0</v>
      </c>
      <c r="G434" s="46">
        <f>IF($A$1='Data Entry'!$C435,'Data Entry'!H435,"")</f>
        <v>0</v>
      </c>
      <c r="H434" s="46">
        <f>IF($A$1='Data Entry'!$C435,'Data Entry'!I435,"")</f>
        <v>0</v>
      </c>
      <c r="I434" s="46">
        <f>IF($A$1='Data Entry'!$C435,'Data Entry'!J435,"")</f>
        <v>0</v>
      </c>
      <c r="J434" s="46">
        <f>IF($A$1='Data Entry'!$C435,'Data Entry'!K435,"")</f>
        <v>0</v>
      </c>
      <c r="K434" s="46">
        <f>IF($A$1='Data Entry'!$C435,'Data Entry'!L435,"")</f>
        <v>0</v>
      </c>
      <c r="L434" s="46">
        <f>IF($A$1='Data Entry'!$C435,'Data Entry'!M435,"")</f>
        <v>0</v>
      </c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43"/>
      <c r="AE434" s="43"/>
      <c r="AF434" s="43"/>
      <c r="AG434" s="43"/>
      <c r="AH434" s="43"/>
      <c r="AI434" s="43"/>
      <c r="AJ434" s="43"/>
    </row>
    <row r="435" spans="1:36" ht="15.95" customHeight="1" x14ac:dyDescent="0.2">
      <c r="A435" s="43"/>
      <c r="B435" s="45">
        <v>73</v>
      </c>
      <c r="C435" s="46">
        <f>IF($A$1='Data Entry'!$C436,'Data Entry'!D436,"")</f>
        <v>0</v>
      </c>
      <c r="D435" s="46">
        <f>IF($A$1='Data Entry'!$C436,'Data Entry'!E436,"")</f>
        <v>0</v>
      </c>
      <c r="E435" s="46">
        <f>IF($A$1='Data Entry'!$C436,'Data Entry'!F436,"")</f>
        <v>0</v>
      </c>
      <c r="F435" s="46">
        <f>IF($A$1='Data Entry'!$C436,'Data Entry'!G436,"")</f>
        <v>0</v>
      </c>
      <c r="G435" s="46">
        <f>IF($A$1='Data Entry'!$C436,'Data Entry'!H436,"")</f>
        <v>0</v>
      </c>
      <c r="H435" s="46">
        <f>IF($A$1='Data Entry'!$C436,'Data Entry'!I436,"")</f>
        <v>0</v>
      </c>
      <c r="I435" s="46">
        <f>IF($A$1='Data Entry'!$C436,'Data Entry'!J436,"")</f>
        <v>0</v>
      </c>
      <c r="J435" s="46">
        <f>IF($A$1='Data Entry'!$C436,'Data Entry'!K436,"")</f>
        <v>0</v>
      </c>
      <c r="K435" s="46">
        <f>IF($A$1='Data Entry'!$C436,'Data Entry'!L436,"")</f>
        <v>0</v>
      </c>
      <c r="L435" s="46">
        <f>IF($A$1='Data Entry'!$C436,'Data Entry'!M436,"")</f>
        <v>0</v>
      </c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  <c r="AC435" s="43"/>
      <c r="AD435" s="43"/>
      <c r="AE435" s="43"/>
      <c r="AF435" s="43"/>
      <c r="AG435" s="43"/>
      <c r="AH435" s="43"/>
      <c r="AI435" s="43"/>
      <c r="AJ435" s="43"/>
    </row>
    <row r="436" spans="1:36" ht="15.95" customHeight="1" x14ac:dyDescent="0.2">
      <c r="A436" s="43"/>
      <c r="B436" s="45">
        <v>73</v>
      </c>
      <c r="C436" s="46">
        <f>IF($A$1='Data Entry'!$C437,'Data Entry'!D437,"")</f>
        <v>0</v>
      </c>
      <c r="D436" s="46">
        <f>IF($A$1='Data Entry'!$C437,'Data Entry'!E437,"")</f>
        <v>0</v>
      </c>
      <c r="E436" s="46">
        <f>IF($A$1='Data Entry'!$C437,'Data Entry'!F437,"")</f>
        <v>0</v>
      </c>
      <c r="F436" s="46">
        <f>IF($A$1='Data Entry'!$C437,'Data Entry'!G437,"")</f>
        <v>0</v>
      </c>
      <c r="G436" s="46">
        <f>IF($A$1='Data Entry'!$C437,'Data Entry'!H437,"")</f>
        <v>0</v>
      </c>
      <c r="H436" s="46">
        <f>IF($A$1='Data Entry'!$C437,'Data Entry'!I437,"")</f>
        <v>0</v>
      </c>
      <c r="I436" s="46">
        <f>IF($A$1='Data Entry'!$C437,'Data Entry'!J437,"")</f>
        <v>0</v>
      </c>
      <c r="J436" s="46">
        <f>IF($A$1='Data Entry'!$C437,'Data Entry'!K437,"")</f>
        <v>0</v>
      </c>
      <c r="K436" s="46">
        <f>IF($A$1='Data Entry'!$C437,'Data Entry'!L437,"")</f>
        <v>0</v>
      </c>
      <c r="L436" s="46">
        <f>IF($A$1='Data Entry'!$C437,'Data Entry'!M437,"")</f>
        <v>0</v>
      </c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  <c r="AB436" s="43"/>
      <c r="AC436" s="43"/>
      <c r="AD436" s="43"/>
      <c r="AE436" s="43"/>
      <c r="AF436" s="43"/>
      <c r="AG436" s="43"/>
      <c r="AH436" s="43"/>
      <c r="AI436" s="43"/>
      <c r="AJ436" s="43"/>
    </row>
    <row r="437" spans="1:36" ht="15.95" customHeight="1" x14ac:dyDescent="0.2">
      <c r="A437" s="43"/>
      <c r="B437" s="45">
        <v>73</v>
      </c>
      <c r="C437" s="46">
        <f>IF($A$1='Data Entry'!$C438,'Data Entry'!D438,"")</f>
        <v>0</v>
      </c>
      <c r="D437" s="46">
        <f>IF($A$1='Data Entry'!$C438,'Data Entry'!E438,"")</f>
        <v>0</v>
      </c>
      <c r="E437" s="46">
        <f>IF($A$1='Data Entry'!$C438,'Data Entry'!F438,"")</f>
        <v>0</v>
      </c>
      <c r="F437" s="46">
        <f>IF($A$1='Data Entry'!$C438,'Data Entry'!G438,"")</f>
        <v>0</v>
      </c>
      <c r="G437" s="46">
        <f>IF($A$1='Data Entry'!$C438,'Data Entry'!H438,"")</f>
        <v>0</v>
      </c>
      <c r="H437" s="46">
        <f>IF($A$1='Data Entry'!$C438,'Data Entry'!I438,"")</f>
        <v>0</v>
      </c>
      <c r="I437" s="46">
        <f>IF($A$1='Data Entry'!$C438,'Data Entry'!J438,"")</f>
        <v>0</v>
      </c>
      <c r="J437" s="46">
        <f>IF($A$1='Data Entry'!$C438,'Data Entry'!K438,"")</f>
        <v>0</v>
      </c>
      <c r="K437" s="46">
        <f>IF($A$1='Data Entry'!$C438,'Data Entry'!L438,"")</f>
        <v>0</v>
      </c>
      <c r="L437" s="46">
        <f>IF($A$1='Data Entry'!$C438,'Data Entry'!M438,"")</f>
        <v>0</v>
      </c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  <c r="AC437" s="43"/>
      <c r="AD437" s="43"/>
      <c r="AE437" s="43"/>
      <c r="AF437" s="43"/>
      <c r="AG437" s="43"/>
      <c r="AH437" s="43"/>
      <c r="AI437" s="43"/>
      <c r="AJ437" s="43"/>
    </row>
    <row r="438" spans="1:36" ht="15.95" customHeight="1" x14ac:dyDescent="0.2">
      <c r="A438" s="43"/>
      <c r="B438" s="45">
        <v>73</v>
      </c>
      <c r="C438" s="46">
        <f>IF($A$1='Data Entry'!$C439,'Data Entry'!D439,"")</f>
        <v>0</v>
      </c>
      <c r="D438" s="46">
        <f>IF($A$1='Data Entry'!$C439,'Data Entry'!E439,"")</f>
        <v>0</v>
      </c>
      <c r="E438" s="46">
        <f>IF($A$1='Data Entry'!$C439,'Data Entry'!F439,"")</f>
        <v>0</v>
      </c>
      <c r="F438" s="46">
        <f>IF($A$1='Data Entry'!$C439,'Data Entry'!G439,"")</f>
        <v>0</v>
      </c>
      <c r="G438" s="46">
        <f>IF($A$1='Data Entry'!$C439,'Data Entry'!H439,"")</f>
        <v>0</v>
      </c>
      <c r="H438" s="46">
        <f>IF($A$1='Data Entry'!$C439,'Data Entry'!I439,"")</f>
        <v>0</v>
      </c>
      <c r="I438" s="46">
        <f>IF($A$1='Data Entry'!$C439,'Data Entry'!J439,"")</f>
        <v>0</v>
      </c>
      <c r="J438" s="46">
        <f>IF($A$1='Data Entry'!$C439,'Data Entry'!K439,"")</f>
        <v>0</v>
      </c>
      <c r="K438" s="46">
        <f>IF($A$1='Data Entry'!$C439,'Data Entry'!L439,"")</f>
        <v>0</v>
      </c>
      <c r="L438" s="46">
        <f>IF($A$1='Data Entry'!$C439,'Data Entry'!M439,"")</f>
        <v>0</v>
      </c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  <c r="AB438" s="43"/>
      <c r="AC438" s="43"/>
      <c r="AD438" s="43"/>
      <c r="AE438" s="43"/>
      <c r="AF438" s="43"/>
      <c r="AG438" s="43"/>
      <c r="AH438" s="43"/>
      <c r="AI438" s="43"/>
      <c r="AJ438" s="43"/>
    </row>
    <row r="439" spans="1:36" ht="15.95" customHeight="1" x14ac:dyDescent="0.2">
      <c r="A439" s="43"/>
      <c r="B439" s="45">
        <v>73</v>
      </c>
      <c r="C439" s="46">
        <f>IF($A$1='Data Entry'!$C440,'Data Entry'!D440,"")</f>
        <v>0</v>
      </c>
      <c r="D439" s="46">
        <f>IF($A$1='Data Entry'!$C440,'Data Entry'!E440,"")</f>
        <v>0</v>
      </c>
      <c r="E439" s="46">
        <f>IF($A$1='Data Entry'!$C440,'Data Entry'!F440,"")</f>
        <v>0</v>
      </c>
      <c r="F439" s="46">
        <f>IF($A$1='Data Entry'!$C440,'Data Entry'!G440,"")</f>
        <v>0</v>
      </c>
      <c r="G439" s="46">
        <f>IF($A$1='Data Entry'!$C440,'Data Entry'!H440,"")</f>
        <v>0</v>
      </c>
      <c r="H439" s="46">
        <f>IF($A$1='Data Entry'!$C440,'Data Entry'!I440,"")</f>
        <v>0</v>
      </c>
      <c r="I439" s="46">
        <f>IF($A$1='Data Entry'!$C440,'Data Entry'!J440,"")</f>
        <v>0</v>
      </c>
      <c r="J439" s="46">
        <f>IF($A$1='Data Entry'!$C440,'Data Entry'!K440,"")</f>
        <v>0</v>
      </c>
      <c r="K439" s="46">
        <f>IF($A$1='Data Entry'!$C440,'Data Entry'!L440,"")</f>
        <v>0</v>
      </c>
      <c r="L439" s="46">
        <f>IF($A$1='Data Entry'!$C440,'Data Entry'!M440,"")</f>
        <v>0</v>
      </c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  <c r="AB439" s="43"/>
      <c r="AC439" s="43"/>
      <c r="AD439" s="43"/>
      <c r="AE439" s="43"/>
      <c r="AF439" s="43"/>
      <c r="AG439" s="43"/>
      <c r="AH439" s="43"/>
      <c r="AI439" s="43"/>
      <c r="AJ439" s="43"/>
    </row>
    <row r="440" spans="1:36" ht="15.95" customHeight="1" x14ac:dyDescent="0.2">
      <c r="A440" s="43"/>
      <c r="B440" s="45">
        <v>73</v>
      </c>
      <c r="C440" s="46">
        <f>IF($A$1='Data Entry'!$C441,'Data Entry'!D441,"")</f>
        <v>0</v>
      </c>
      <c r="D440" s="46">
        <f>IF($A$1='Data Entry'!$C441,'Data Entry'!E441,"")</f>
        <v>0</v>
      </c>
      <c r="E440" s="46">
        <f>IF($A$1='Data Entry'!$C441,'Data Entry'!F441,"")</f>
        <v>0</v>
      </c>
      <c r="F440" s="46">
        <f>IF($A$1='Data Entry'!$C441,'Data Entry'!G441,"")</f>
        <v>0</v>
      </c>
      <c r="G440" s="46">
        <f>IF($A$1='Data Entry'!$C441,'Data Entry'!H441,"")</f>
        <v>0</v>
      </c>
      <c r="H440" s="46">
        <f>IF($A$1='Data Entry'!$C441,'Data Entry'!I441,"")</f>
        <v>0</v>
      </c>
      <c r="I440" s="46">
        <f>IF($A$1='Data Entry'!$C441,'Data Entry'!J441,"")</f>
        <v>0</v>
      </c>
      <c r="J440" s="46">
        <f>IF($A$1='Data Entry'!$C441,'Data Entry'!K441,"")</f>
        <v>0</v>
      </c>
      <c r="K440" s="46">
        <f>IF($A$1='Data Entry'!$C441,'Data Entry'!L441,"")</f>
        <v>0</v>
      </c>
      <c r="L440" s="46">
        <f>IF($A$1='Data Entry'!$C441,'Data Entry'!M441,"")</f>
        <v>0</v>
      </c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3"/>
      <c r="AB440" s="43"/>
      <c r="AC440" s="43"/>
      <c r="AD440" s="43"/>
      <c r="AE440" s="43"/>
      <c r="AF440" s="43"/>
      <c r="AG440" s="43"/>
      <c r="AH440" s="43"/>
      <c r="AI440" s="43"/>
      <c r="AJ440" s="43"/>
    </row>
    <row r="441" spans="1:36" ht="15.95" customHeight="1" x14ac:dyDescent="0.2">
      <c r="A441" s="43"/>
      <c r="B441" s="45">
        <v>74</v>
      </c>
      <c r="C441" s="46">
        <f>IF($A$1='Data Entry'!$C442,'Data Entry'!D442,"")</f>
        <v>0</v>
      </c>
      <c r="D441" s="46">
        <f>IF($A$1='Data Entry'!$C442,'Data Entry'!E442,"")</f>
        <v>0</v>
      </c>
      <c r="E441" s="46">
        <f>IF($A$1='Data Entry'!$C442,'Data Entry'!F442,"")</f>
        <v>0</v>
      </c>
      <c r="F441" s="46">
        <f>IF($A$1='Data Entry'!$C442,'Data Entry'!G442,"")</f>
        <v>0</v>
      </c>
      <c r="G441" s="46">
        <f>IF($A$1='Data Entry'!$C442,'Data Entry'!H442,"")</f>
        <v>0</v>
      </c>
      <c r="H441" s="46">
        <f>IF($A$1='Data Entry'!$C442,'Data Entry'!I442,"")</f>
        <v>0</v>
      </c>
      <c r="I441" s="46">
        <f>IF($A$1='Data Entry'!$C442,'Data Entry'!J442,"")</f>
        <v>0</v>
      </c>
      <c r="J441" s="46">
        <f>IF($A$1='Data Entry'!$C442,'Data Entry'!K442,"")</f>
        <v>0</v>
      </c>
      <c r="K441" s="46">
        <f>IF($A$1='Data Entry'!$C442,'Data Entry'!L442,"")</f>
        <v>0</v>
      </c>
      <c r="L441" s="46">
        <f>IF($A$1='Data Entry'!$C442,'Data Entry'!M442,"")</f>
        <v>0</v>
      </c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  <c r="AB441" s="43"/>
      <c r="AC441" s="43"/>
      <c r="AD441" s="43"/>
      <c r="AE441" s="43"/>
      <c r="AF441" s="43"/>
      <c r="AG441" s="43"/>
      <c r="AH441" s="43"/>
      <c r="AI441" s="43"/>
      <c r="AJ441" s="43"/>
    </row>
    <row r="442" spans="1:36" ht="15.95" customHeight="1" x14ac:dyDescent="0.2">
      <c r="A442" s="43"/>
      <c r="B442" s="45">
        <v>74</v>
      </c>
      <c r="C442" s="46">
        <f>IF($A$1='Data Entry'!$C443,'Data Entry'!D443,"")</f>
        <v>0</v>
      </c>
      <c r="D442" s="46">
        <f>IF($A$1='Data Entry'!$C443,'Data Entry'!E443,"")</f>
        <v>0</v>
      </c>
      <c r="E442" s="46">
        <f>IF($A$1='Data Entry'!$C443,'Data Entry'!F443,"")</f>
        <v>0</v>
      </c>
      <c r="F442" s="46">
        <f>IF($A$1='Data Entry'!$C443,'Data Entry'!G443,"")</f>
        <v>0</v>
      </c>
      <c r="G442" s="46">
        <f>IF($A$1='Data Entry'!$C443,'Data Entry'!H443,"")</f>
        <v>0</v>
      </c>
      <c r="H442" s="46">
        <f>IF($A$1='Data Entry'!$C443,'Data Entry'!I443,"")</f>
        <v>0</v>
      </c>
      <c r="I442" s="46">
        <f>IF($A$1='Data Entry'!$C443,'Data Entry'!J443,"")</f>
        <v>0</v>
      </c>
      <c r="J442" s="46">
        <f>IF($A$1='Data Entry'!$C443,'Data Entry'!K443,"")</f>
        <v>0</v>
      </c>
      <c r="K442" s="46">
        <f>IF($A$1='Data Entry'!$C443,'Data Entry'!L443,"")</f>
        <v>0</v>
      </c>
      <c r="L442" s="46">
        <f>IF($A$1='Data Entry'!$C443,'Data Entry'!M443,"")</f>
        <v>0</v>
      </c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  <c r="AC442" s="43"/>
      <c r="AD442" s="43"/>
      <c r="AE442" s="43"/>
      <c r="AF442" s="43"/>
      <c r="AG442" s="43"/>
      <c r="AH442" s="43"/>
      <c r="AI442" s="43"/>
      <c r="AJ442" s="43"/>
    </row>
    <row r="443" spans="1:36" ht="15.95" customHeight="1" x14ac:dyDescent="0.2">
      <c r="A443" s="43"/>
      <c r="B443" s="45">
        <v>74</v>
      </c>
      <c r="C443" s="46">
        <f>IF($A$1='Data Entry'!$C444,'Data Entry'!D444,"")</f>
        <v>0</v>
      </c>
      <c r="D443" s="46">
        <f>IF($A$1='Data Entry'!$C444,'Data Entry'!E444,"")</f>
        <v>0</v>
      </c>
      <c r="E443" s="46">
        <f>IF($A$1='Data Entry'!$C444,'Data Entry'!F444,"")</f>
        <v>0</v>
      </c>
      <c r="F443" s="46">
        <f>IF($A$1='Data Entry'!$C444,'Data Entry'!G444,"")</f>
        <v>0</v>
      </c>
      <c r="G443" s="46">
        <f>IF($A$1='Data Entry'!$C444,'Data Entry'!H444,"")</f>
        <v>0</v>
      </c>
      <c r="H443" s="46">
        <f>IF($A$1='Data Entry'!$C444,'Data Entry'!I444,"")</f>
        <v>0</v>
      </c>
      <c r="I443" s="46">
        <f>IF($A$1='Data Entry'!$C444,'Data Entry'!J444,"")</f>
        <v>0</v>
      </c>
      <c r="J443" s="46">
        <f>IF($A$1='Data Entry'!$C444,'Data Entry'!K444,"")</f>
        <v>0</v>
      </c>
      <c r="K443" s="46">
        <f>IF($A$1='Data Entry'!$C444,'Data Entry'!L444,"")</f>
        <v>0</v>
      </c>
      <c r="L443" s="46">
        <f>IF($A$1='Data Entry'!$C444,'Data Entry'!M444,"")</f>
        <v>0</v>
      </c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  <c r="AC443" s="43"/>
      <c r="AD443" s="43"/>
      <c r="AE443" s="43"/>
      <c r="AF443" s="43"/>
      <c r="AG443" s="43"/>
      <c r="AH443" s="43"/>
      <c r="AI443" s="43"/>
      <c r="AJ443" s="43"/>
    </row>
    <row r="444" spans="1:36" ht="15.95" customHeight="1" x14ac:dyDescent="0.2">
      <c r="A444" s="43"/>
      <c r="B444" s="45">
        <v>74</v>
      </c>
      <c r="C444" s="46">
        <f>IF($A$1='Data Entry'!$C445,'Data Entry'!D445,"")</f>
        <v>0</v>
      </c>
      <c r="D444" s="46">
        <f>IF($A$1='Data Entry'!$C445,'Data Entry'!E445,"")</f>
        <v>0</v>
      </c>
      <c r="E444" s="46">
        <f>IF($A$1='Data Entry'!$C445,'Data Entry'!F445,"")</f>
        <v>0</v>
      </c>
      <c r="F444" s="46">
        <f>IF($A$1='Data Entry'!$C445,'Data Entry'!G445,"")</f>
        <v>0</v>
      </c>
      <c r="G444" s="46">
        <f>IF($A$1='Data Entry'!$C445,'Data Entry'!H445,"")</f>
        <v>0</v>
      </c>
      <c r="H444" s="46">
        <f>IF($A$1='Data Entry'!$C445,'Data Entry'!I445,"")</f>
        <v>0</v>
      </c>
      <c r="I444" s="46">
        <f>IF($A$1='Data Entry'!$C445,'Data Entry'!J445,"")</f>
        <v>0</v>
      </c>
      <c r="J444" s="46">
        <f>IF($A$1='Data Entry'!$C445,'Data Entry'!K445,"")</f>
        <v>0</v>
      </c>
      <c r="K444" s="46">
        <f>IF($A$1='Data Entry'!$C445,'Data Entry'!L445,"")</f>
        <v>0</v>
      </c>
      <c r="L444" s="46">
        <f>IF($A$1='Data Entry'!$C445,'Data Entry'!M445,"")</f>
        <v>0</v>
      </c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  <c r="AC444" s="43"/>
      <c r="AD444" s="43"/>
      <c r="AE444" s="43"/>
      <c r="AF444" s="43"/>
      <c r="AG444" s="43"/>
      <c r="AH444" s="43"/>
      <c r="AI444" s="43"/>
      <c r="AJ444" s="43"/>
    </row>
    <row r="445" spans="1:36" ht="15.95" customHeight="1" x14ac:dyDescent="0.2">
      <c r="A445" s="43"/>
      <c r="B445" s="45">
        <v>74</v>
      </c>
      <c r="C445" s="46">
        <f>IF($A$1='Data Entry'!$C446,'Data Entry'!D446,"")</f>
        <v>0</v>
      </c>
      <c r="D445" s="46">
        <f>IF($A$1='Data Entry'!$C446,'Data Entry'!E446,"")</f>
        <v>0</v>
      </c>
      <c r="E445" s="46">
        <f>IF($A$1='Data Entry'!$C446,'Data Entry'!F446,"")</f>
        <v>0</v>
      </c>
      <c r="F445" s="46">
        <f>IF($A$1='Data Entry'!$C446,'Data Entry'!G446,"")</f>
        <v>0</v>
      </c>
      <c r="G445" s="46">
        <f>IF($A$1='Data Entry'!$C446,'Data Entry'!H446,"")</f>
        <v>0</v>
      </c>
      <c r="H445" s="46">
        <f>IF($A$1='Data Entry'!$C446,'Data Entry'!I446,"")</f>
        <v>0</v>
      </c>
      <c r="I445" s="46">
        <f>IF($A$1='Data Entry'!$C446,'Data Entry'!J446,"")</f>
        <v>0</v>
      </c>
      <c r="J445" s="46">
        <f>IF($A$1='Data Entry'!$C446,'Data Entry'!K446,"")</f>
        <v>0</v>
      </c>
      <c r="K445" s="46">
        <f>IF($A$1='Data Entry'!$C446,'Data Entry'!L446,"")</f>
        <v>0</v>
      </c>
      <c r="L445" s="46">
        <f>IF($A$1='Data Entry'!$C446,'Data Entry'!M446,"")</f>
        <v>0</v>
      </c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  <c r="AC445" s="43"/>
      <c r="AD445" s="43"/>
      <c r="AE445" s="43"/>
      <c r="AF445" s="43"/>
      <c r="AG445" s="43"/>
      <c r="AH445" s="43"/>
      <c r="AI445" s="43"/>
      <c r="AJ445" s="43"/>
    </row>
    <row r="446" spans="1:36" ht="15.95" customHeight="1" x14ac:dyDescent="0.2">
      <c r="A446" s="43"/>
      <c r="B446" s="45">
        <v>74</v>
      </c>
      <c r="C446" s="46">
        <f>IF($A$1='Data Entry'!$C447,'Data Entry'!D447,"")</f>
        <v>0</v>
      </c>
      <c r="D446" s="46">
        <f>IF($A$1='Data Entry'!$C447,'Data Entry'!E447,"")</f>
        <v>0</v>
      </c>
      <c r="E446" s="46">
        <f>IF($A$1='Data Entry'!$C447,'Data Entry'!F447,"")</f>
        <v>0</v>
      </c>
      <c r="F446" s="46">
        <f>IF($A$1='Data Entry'!$C447,'Data Entry'!G447,"")</f>
        <v>0</v>
      </c>
      <c r="G446" s="46">
        <f>IF($A$1='Data Entry'!$C447,'Data Entry'!H447,"")</f>
        <v>0</v>
      </c>
      <c r="H446" s="46">
        <f>IF($A$1='Data Entry'!$C447,'Data Entry'!I447,"")</f>
        <v>0</v>
      </c>
      <c r="I446" s="46">
        <f>IF($A$1='Data Entry'!$C447,'Data Entry'!J447,"")</f>
        <v>0</v>
      </c>
      <c r="J446" s="46">
        <f>IF($A$1='Data Entry'!$C447,'Data Entry'!K447,"")</f>
        <v>0</v>
      </c>
      <c r="K446" s="46">
        <f>IF($A$1='Data Entry'!$C447,'Data Entry'!L447,"")</f>
        <v>0</v>
      </c>
      <c r="L446" s="46">
        <f>IF($A$1='Data Entry'!$C447,'Data Entry'!M447,"")</f>
        <v>0</v>
      </c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  <c r="AB446" s="43"/>
      <c r="AC446" s="43"/>
      <c r="AD446" s="43"/>
      <c r="AE446" s="43"/>
      <c r="AF446" s="43"/>
      <c r="AG446" s="43"/>
      <c r="AH446" s="43"/>
      <c r="AI446" s="43"/>
      <c r="AJ446" s="43"/>
    </row>
    <row r="447" spans="1:36" ht="15.95" customHeight="1" x14ac:dyDescent="0.2">
      <c r="A447" s="43"/>
      <c r="B447" s="45">
        <v>75</v>
      </c>
      <c r="C447" s="46">
        <f>IF($A$1='Data Entry'!$C448,'Data Entry'!D448,"")</f>
        <v>0</v>
      </c>
      <c r="D447" s="46">
        <f>IF($A$1='Data Entry'!$C448,'Data Entry'!E448,"")</f>
        <v>0</v>
      </c>
      <c r="E447" s="46">
        <f>IF($A$1='Data Entry'!$C448,'Data Entry'!F448,"")</f>
        <v>0</v>
      </c>
      <c r="F447" s="46">
        <f>IF($A$1='Data Entry'!$C448,'Data Entry'!G448,"")</f>
        <v>0</v>
      </c>
      <c r="G447" s="46">
        <f>IF($A$1='Data Entry'!$C448,'Data Entry'!H448,"")</f>
        <v>0</v>
      </c>
      <c r="H447" s="46">
        <f>IF($A$1='Data Entry'!$C448,'Data Entry'!I448,"")</f>
        <v>0</v>
      </c>
      <c r="I447" s="46">
        <f>IF($A$1='Data Entry'!$C448,'Data Entry'!J448,"")</f>
        <v>0</v>
      </c>
      <c r="J447" s="46">
        <f>IF($A$1='Data Entry'!$C448,'Data Entry'!K448,"")</f>
        <v>0</v>
      </c>
      <c r="K447" s="46">
        <f>IF($A$1='Data Entry'!$C448,'Data Entry'!L448,"")</f>
        <v>0</v>
      </c>
      <c r="L447" s="46">
        <f>IF($A$1='Data Entry'!$C448,'Data Entry'!M448,"")</f>
        <v>0</v>
      </c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  <c r="AC447" s="43"/>
      <c r="AD447" s="43"/>
      <c r="AE447" s="43"/>
      <c r="AF447" s="43"/>
      <c r="AG447" s="43"/>
      <c r="AH447" s="43"/>
      <c r="AI447" s="43"/>
      <c r="AJ447" s="43"/>
    </row>
    <row r="448" spans="1:36" ht="15.95" customHeight="1" x14ac:dyDescent="0.2">
      <c r="A448" s="43"/>
      <c r="B448" s="45">
        <v>75</v>
      </c>
      <c r="C448" s="46">
        <f>IF($A$1='Data Entry'!$C449,'Data Entry'!D449,"")</f>
        <v>0</v>
      </c>
      <c r="D448" s="46">
        <f>IF($A$1='Data Entry'!$C449,'Data Entry'!E449,"")</f>
        <v>0</v>
      </c>
      <c r="E448" s="46">
        <f>IF($A$1='Data Entry'!$C449,'Data Entry'!F449,"")</f>
        <v>0</v>
      </c>
      <c r="F448" s="46">
        <f>IF($A$1='Data Entry'!$C449,'Data Entry'!G449,"")</f>
        <v>0</v>
      </c>
      <c r="G448" s="46">
        <f>IF($A$1='Data Entry'!$C449,'Data Entry'!H449,"")</f>
        <v>0</v>
      </c>
      <c r="H448" s="46">
        <f>IF($A$1='Data Entry'!$C449,'Data Entry'!I449,"")</f>
        <v>0</v>
      </c>
      <c r="I448" s="46">
        <f>IF($A$1='Data Entry'!$C449,'Data Entry'!J449,"")</f>
        <v>0</v>
      </c>
      <c r="J448" s="46">
        <f>IF($A$1='Data Entry'!$C449,'Data Entry'!K449,"")</f>
        <v>0</v>
      </c>
      <c r="K448" s="46">
        <f>IF($A$1='Data Entry'!$C449,'Data Entry'!L449,"")</f>
        <v>0</v>
      </c>
      <c r="L448" s="46">
        <f>IF($A$1='Data Entry'!$C449,'Data Entry'!M449,"")</f>
        <v>0</v>
      </c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  <c r="AC448" s="43"/>
      <c r="AD448" s="43"/>
      <c r="AE448" s="43"/>
      <c r="AF448" s="43"/>
      <c r="AG448" s="43"/>
      <c r="AH448" s="43"/>
      <c r="AI448" s="43"/>
      <c r="AJ448" s="43"/>
    </row>
    <row r="449" spans="1:36" ht="15.95" customHeight="1" x14ac:dyDescent="0.2">
      <c r="A449" s="43"/>
      <c r="B449" s="45">
        <v>75</v>
      </c>
      <c r="C449" s="46">
        <f>IF($A$1='Data Entry'!$C450,'Data Entry'!D450,"")</f>
        <v>0</v>
      </c>
      <c r="D449" s="46">
        <f>IF($A$1='Data Entry'!$C450,'Data Entry'!E450,"")</f>
        <v>0</v>
      </c>
      <c r="E449" s="46">
        <f>IF($A$1='Data Entry'!$C450,'Data Entry'!F450,"")</f>
        <v>0</v>
      </c>
      <c r="F449" s="46">
        <f>IF($A$1='Data Entry'!$C450,'Data Entry'!G450,"")</f>
        <v>0</v>
      </c>
      <c r="G449" s="46">
        <f>IF($A$1='Data Entry'!$C450,'Data Entry'!H450,"")</f>
        <v>0</v>
      </c>
      <c r="H449" s="46">
        <f>IF($A$1='Data Entry'!$C450,'Data Entry'!I450,"")</f>
        <v>0</v>
      </c>
      <c r="I449" s="46">
        <f>IF($A$1='Data Entry'!$C450,'Data Entry'!J450,"")</f>
        <v>0</v>
      </c>
      <c r="J449" s="46">
        <f>IF($A$1='Data Entry'!$C450,'Data Entry'!K450,"")</f>
        <v>0</v>
      </c>
      <c r="K449" s="46">
        <f>IF($A$1='Data Entry'!$C450,'Data Entry'!L450,"")</f>
        <v>0</v>
      </c>
      <c r="L449" s="46">
        <f>IF($A$1='Data Entry'!$C450,'Data Entry'!M450,"")</f>
        <v>0</v>
      </c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  <c r="AC449" s="43"/>
      <c r="AD449" s="43"/>
      <c r="AE449" s="43"/>
      <c r="AF449" s="43"/>
      <c r="AG449" s="43"/>
      <c r="AH449" s="43"/>
      <c r="AI449" s="43"/>
      <c r="AJ449" s="43"/>
    </row>
    <row r="450" spans="1:36" ht="15.95" customHeight="1" x14ac:dyDescent="0.2">
      <c r="A450" s="43"/>
      <c r="B450" s="45">
        <v>75</v>
      </c>
      <c r="C450" s="46">
        <f>IF($A$1='Data Entry'!$C451,'Data Entry'!D451,"")</f>
        <v>0</v>
      </c>
      <c r="D450" s="46">
        <f>IF($A$1='Data Entry'!$C451,'Data Entry'!E451,"")</f>
        <v>0</v>
      </c>
      <c r="E450" s="46">
        <f>IF($A$1='Data Entry'!$C451,'Data Entry'!F451,"")</f>
        <v>0</v>
      </c>
      <c r="F450" s="46">
        <f>IF($A$1='Data Entry'!$C451,'Data Entry'!G451,"")</f>
        <v>0</v>
      </c>
      <c r="G450" s="46">
        <f>IF($A$1='Data Entry'!$C451,'Data Entry'!H451,"")</f>
        <v>0</v>
      </c>
      <c r="H450" s="46">
        <f>IF($A$1='Data Entry'!$C451,'Data Entry'!I451,"")</f>
        <v>0</v>
      </c>
      <c r="I450" s="46">
        <f>IF($A$1='Data Entry'!$C451,'Data Entry'!J451,"")</f>
        <v>0</v>
      </c>
      <c r="J450" s="46">
        <f>IF($A$1='Data Entry'!$C451,'Data Entry'!K451,"")</f>
        <v>0</v>
      </c>
      <c r="K450" s="46">
        <f>IF($A$1='Data Entry'!$C451,'Data Entry'!L451,"")</f>
        <v>0</v>
      </c>
      <c r="L450" s="46">
        <f>IF($A$1='Data Entry'!$C451,'Data Entry'!M451,"")</f>
        <v>0</v>
      </c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  <c r="AC450" s="43"/>
      <c r="AD450" s="43"/>
      <c r="AE450" s="43"/>
      <c r="AF450" s="43"/>
      <c r="AG450" s="43"/>
      <c r="AH450" s="43"/>
      <c r="AI450" s="43"/>
      <c r="AJ450" s="43"/>
    </row>
    <row r="451" spans="1:36" ht="15.95" customHeight="1" x14ac:dyDescent="0.2">
      <c r="A451" s="43"/>
      <c r="B451" s="45">
        <v>75</v>
      </c>
      <c r="C451" s="46">
        <f>IF($A$1='Data Entry'!$C452,'Data Entry'!D452,"")</f>
        <v>0</v>
      </c>
      <c r="D451" s="46">
        <f>IF($A$1='Data Entry'!$C452,'Data Entry'!E452,"")</f>
        <v>0</v>
      </c>
      <c r="E451" s="46">
        <f>IF($A$1='Data Entry'!$C452,'Data Entry'!F452,"")</f>
        <v>0</v>
      </c>
      <c r="F451" s="46">
        <f>IF($A$1='Data Entry'!$C452,'Data Entry'!G452,"")</f>
        <v>0</v>
      </c>
      <c r="G451" s="46">
        <f>IF($A$1='Data Entry'!$C452,'Data Entry'!H452,"")</f>
        <v>0</v>
      </c>
      <c r="H451" s="46">
        <f>IF($A$1='Data Entry'!$C452,'Data Entry'!I452,"")</f>
        <v>0</v>
      </c>
      <c r="I451" s="46">
        <f>IF($A$1='Data Entry'!$C452,'Data Entry'!J452,"")</f>
        <v>0</v>
      </c>
      <c r="J451" s="46">
        <f>IF($A$1='Data Entry'!$C452,'Data Entry'!K452,"")</f>
        <v>0</v>
      </c>
      <c r="K451" s="46">
        <f>IF($A$1='Data Entry'!$C452,'Data Entry'!L452,"")</f>
        <v>0</v>
      </c>
      <c r="L451" s="46">
        <f>IF($A$1='Data Entry'!$C452,'Data Entry'!M452,"")</f>
        <v>0</v>
      </c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  <c r="AC451" s="43"/>
      <c r="AD451" s="43"/>
      <c r="AE451" s="43"/>
      <c r="AF451" s="43"/>
      <c r="AG451" s="43"/>
      <c r="AH451" s="43"/>
      <c r="AI451" s="43"/>
      <c r="AJ451" s="43"/>
    </row>
    <row r="452" spans="1:36" ht="15.95" customHeight="1" x14ac:dyDescent="0.2">
      <c r="A452" s="43"/>
      <c r="B452" s="45">
        <v>75</v>
      </c>
      <c r="C452" s="46">
        <f>IF($A$1='Data Entry'!$C453,'Data Entry'!D453,"")</f>
        <v>0</v>
      </c>
      <c r="D452" s="46">
        <f>IF($A$1='Data Entry'!$C453,'Data Entry'!E453,"")</f>
        <v>0</v>
      </c>
      <c r="E452" s="46">
        <f>IF($A$1='Data Entry'!$C453,'Data Entry'!F453,"")</f>
        <v>0</v>
      </c>
      <c r="F452" s="46">
        <f>IF($A$1='Data Entry'!$C453,'Data Entry'!G453,"")</f>
        <v>0</v>
      </c>
      <c r="G452" s="46">
        <f>IF($A$1='Data Entry'!$C453,'Data Entry'!H453,"")</f>
        <v>0</v>
      </c>
      <c r="H452" s="46">
        <f>IF($A$1='Data Entry'!$C453,'Data Entry'!I453,"")</f>
        <v>0</v>
      </c>
      <c r="I452" s="46">
        <f>IF($A$1='Data Entry'!$C453,'Data Entry'!J453,"")</f>
        <v>0</v>
      </c>
      <c r="J452" s="46">
        <f>IF($A$1='Data Entry'!$C453,'Data Entry'!K453,"")</f>
        <v>0</v>
      </c>
      <c r="K452" s="46">
        <f>IF($A$1='Data Entry'!$C453,'Data Entry'!L453,"")</f>
        <v>0</v>
      </c>
      <c r="L452" s="46">
        <f>IF($A$1='Data Entry'!$C453,'Data Entry'!M453,"")</f>
        <v>0</v>
      </c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  <c r="AB452" s="43"/>
      <c r="AC452" s="43"/>
      <c r="AD452" s="43"/>
      <c r="AE452" s="43"/>
      <c r="AF452" s="43"/>
      <c r="AG452" s="43"/>
      <c r="AH452" s="43"/>
      <c r="AI452" s="43"/>
      <c r="AJ452" s="43"/>
    </row>
    <row r="453" spans="1:36" ht="15.95" customHeight="1" x14ac:dyDescent="0.2">
      <c r="A453" s="43"/>
      <c r="B453" s="45">
        <v>76</v>
      </c>
      <c r="C453" s="46">
        <f>IF($A$1='Data Entry'!$C454,'Data Entry'!D454,"")</f>
        <v>0</v>
      </c>
      <c r="D453" s="46">
        <f>IF($A$1='Data Entry'!$C454,'Data Entry'!E454,"")</f>
        <v>0</v>
      </c>
      <c r="E453" s="46">
        <f>IF($A$1='Data Entry'!$C454,'Data Entry'!F454,"")</f>
        <v>0</v>
      </c>
      <c r="F453" s="46">
        <f>IF($A$1='Data Entry'!$C454,'Data Entry'!G454,"")</f>
        <v>0</v>
      </c>
      <c r="G453" s="46">
        <f>IF($A$1='Data Entry'!$C454,'Data Entry'!H454,"")</f>
        <v>0</v>
      </c>
      <c r="H453" s="46">
        <f>IF($A$1='Data Entry'!$C454,'Data Entry'!I454,"")</f>
        <v>0</v>
      </c>
      <c r="I453" s="46">
        <f>IF($A$1='Data Entry'!$C454,'Data Entry'!J454,"")</f>
        <v>0</v>
      </c>
      <c r="J453" s="46">
        <f>IF($A$1='Data Entry'!$C454,'Data Entry'!K454,"")</f>
        <v>0</v>
      </c>
      <c r="K453" s="46">
        <f>IF($A$1='Data Entry'!$C454,'Data Entry'!L454,"")</f>
        <v>0</v>
      </c>
      <c r="L453" s="46">
        <f>IF($A$1='Data Entry'!$C454,'Data Entry'!M454,"")</f>
        <v>0</v>
      </c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  <c r="AB453" s="43"/>
      <c r="AC453" s="43"/>
      <c r="AD453" s="43"/>
      <c r="AE453" s="43"/>
      <c r="AF453" s="43"/>
      <c r="AG453" s="43"/>
      <c r="AH453" s="43"/>
      <c r="AI453" s="43"/>
      <c r="AJ453" s="43"/>
    </row>
    <row r="454" spans="1:36" ht="15.95" customHeight="1" x14ac:dyDescent="0.2">
      <c r="A454" s="43"/>
      <c r="B454" s="45">
        <v>76</v>
      </c>
      <c r="C454" s="46">
        <f>IF($A$1='Data Entry'!$C455,'Data Entry'!D455,"")</f>
        <v>0</v>
      </c>
      <c r="D454" s="46">
        <f>IF($A$1='Data Entry'!$C455,'Data Entry'!E455,"")</f>
        <v>0</v>
      </c>
      <c r="E454" s="46">
        <f>IF($A$1='Data Entry'!$C455,'Data Entry'!F455,"")</f>
        <v>0</v>
      </c>
      <c r="F454" s="46">
        <f>IF($A$1='Data Entry'!$C455,'Data Entry'!G455,"")</f>
        <v>0</v>
      </c>
      <c r="G454" s="46">
        <f>IF($A$1='Data Entry'!$C455,'Data Entry'!H455,"")</f>
        <v>0</v>
      </c>
      <c r="H454" s="46">
        <f>IF($A$1='Data Entry'!$C455,'Data Entry'!I455,"")</f>
        <v>0</v>
      </c>
      <c r="I454" s="46">
        <f>IF($A$1='Data Entry'!$C455,'Data Entry'!J455,"")</f>
        <v>0</v>
      </c>
      <c r="J454" s="46">
        <f>IF($A$1='Data Entry'!$C455,'Data Entry'!K455,"")</f>
        <v>0</v>
      </c>
      <c r="K454" s="46">
        <f>IF($A$1='Data Entry'!$C455,'Data Entry'!L455,"")</f>
        <v>0</v>
      </c>
      <c r="L454" s="46">
        <f>IF($A$1='Data Entry'!$C455,'Data Entry'!M455,"")</f>
        <v>0</v>
      </c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  <c r="AB454" s="43"/>
      <c r="AC454" s="43"/>
      <c r="AD454" s="43"/>
      <c r="AE454" s="43"/>
      <c r="AF454" s="43"/>
      <c r="AG454" s="43"/>
      <c r="AH454" s="43"/>
      <c r="AI454" s="43"/>
      <c r="AJ454" s="43"/>
    </row>
    <row r="455" spans="1:36" ht="15.95" customHeight="1" x14ac:dyDescent="0.2">
      <c r="A455" s="43"/>
      <c r="B455" s="45">
        <v>76</v>
      </c>
      <c r="C455" s="46">
        <f>IF($A$1='Data Entry'!$C456,'Data Entry'!D456,"")</f>
        <v>0</v>
      </c>
      <c r="D455" s="46">
        <f>IF($A$1='Data Entry'!$C456,'Data Entry'!E456,"")</f>
        <v>0</v>
      </c>
      <c r="E455" s="46">
        <f>IF($A$1='Data Entry'!$C456,'Data Entry'!F456,"")</f>
        <v>0</v>
      </c>
      <c r="F455" s="46">
        <f>IF($A$1='Data Entry'!$C456,'Data Entry'!G456,"")</f>
        <v>0</v>
      </c>
      <c r="G455" s="46">
        <f>IF($A$1='Data Entry'!$C456,'Data Entry'!H456,"")</f>
        <v>0</v>
      </c>
      <c r="H455" s="46">
        <f>IF($A$1='Data Entry'!$C456,'Data Entry'!I456,"")</f>
        <v>0</v>
      </c>
      <c r="I455" s="46">
        <f>IF($A$1='Data Entry'!$C456,'Data Entry'!J456,"")</f>
        <v>0</v>
      </c>
      <c r="J455" s="46">
        <f>IF($A$1='Data Entry'!$C456,'Data Entry'!K456,"")</f>
        <v>0</v>
      </c>
      <c r="K455" s="46">
        <f>IF($A$1='Data Entry'!$C456,'Data Entry'!L456,"")</f>
        <v>0</v>
      </c>
      <c r="L455" s="46">
        <f>IF($A$1='Data Entry'!$C456,'Data Entry'!M456,"")</f>
        <v>0</v>
      </c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  <c r="AB455" s="43"/>
      <c r="AC455" s="43"/>
      <c r="AD455" s="43"/>
      <c r="AE455" s="43"/>
      <c r="AF455" s="43"/>
      <c r="AG455" s="43"/>
      <c r="AH455" s="43"/>
      <c r="AI455" s="43"/>
      <c r="AJ455" s="43"/>
    </row>
    <row r="456" spans="1:36" ht="15.95" customHeight="1" x14ac:dyDescent="0.2">
      <c r="A456" s="43"/>
      <c r="B456" s="45">
        <v>76</v>
      </c>
      <c r="C456" s="46">
        <f>IF($A$1='Data Entry'!$C457,'Data Entry'!D457,"")</f>
        <v>0</v>
      </c>
      <c r="D456" s="46">
        <f>IF($A$1='Data Entry'!$C457,'Data Entry'!E457,"")</f>
        <v>0</v>
      </c>
      <c r="E456" s="46">
        <f>IF($A$1='Data Entry'!$C457,'Data Entry'!F457,"")</f>
        <v>0</v>
      </c>
      <c r="F456" s="46">
        <f>IF($A$1='Data Entry'!$C457,'Data Entry'!G457,"")</f>
        <v>0</v>
      </c>
      <c r="G456" s="46">
        <f>IF($A$1='Data Entry'!$C457,'Data Entry'!H457,"")</f>
        <v>0</v>
      </c>
      <c r="H456" s="46">
        <f>IF($A$1='Data Entry'!$C457,'Data Entry'!I457,"")</f>
        <v>0</v>
      </c>
      <c r="I456" s="46">
        <f>IF($A$1='Data Entry'!$C457,'Data Entry'!J457,"")</f>
        <v>0</v>
      </c>
      <c r="J456" s="46">
        <f>IF($A$1='Data Entry'!$C457,'Data Entry'!K457,"")</f>
        <v>0</v>
      </c>
      <c r="K456" s="46">
        <f>IF($A$1='Data Entry'!$C457,'Data Entry'!L457,"")</f>
        <v>0</v>
      </c>
      <c r="L456" s="46">
        <f>IF($A$1='Data Entry'!$C457,'Data Entry'!M457,"")</f>
        <v>0</v>
      </c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  <c r="AB456" s="43"/>
      <c r="AC456" s="43"/>
      <c r="AD456" s="43"/>
      <c r="AE456" s="43"/>
      <c r="AF456" s="43"/>
      <c r="AG456" s="43"/>
      <c r="AH456" s="43"/>
      <c r="AI456" s="43"/>
      <c r="AJ456" s="43"/>
    </row>
    <row r="457" spans="1:36" ht="15.95" customHeight="1" x14ac:dyDescent="0.2">
      <c r="A457" s="43"/>
      <c r="B457" s="45">
        <v>76</v>
      </c>
      <c r="C457" s="46">
        <f>IF($A$1='Data Entry'!$C458,'Data Entry'!D458,"")</f>
        <v>0</v>
      </c>
      <c r="D457" s="46">
        <f>IF($A$1='Data Entry'!$C458,'Data Entry'!E458,"")</f>
        <v>0</v>
      </c>
      <c r="E457" s="46">
        <f>IF($A$1='Data Entry'!$C458,'Data Entry'!F458,"")</f>
        <v>0</v>
      </c>
      <c r="F457" s="46">
        <f>IF($A$1='Data Entry'!$C458,'Data Entry'!G458,"")</f>
        <v>0</v>
      </c>
      <c r="G457" s="46">
        <f>IF($A$1='Data Entry'!$C458,'Data Entry'!H458,"")</f>
        <v>0</v>
      </c>
      <c r="H457" s="46">
        <f>IF($A$1='Data Entry'!$C458,'Data Entry'!I458,"")</f>
        <v>0</v>
      </c>
      <c r="I457" s="46">
        <f>IF($A$1='Data Entry'!$C458,'Data Entry'!J458,"")</f>
        <v>0</v>
      </c>
      <c r="J457" s="46">
        <f>IF($A$1='Data Entry'!$C458,'Data Entry'!K458,"")</f>
        <v>0</v>
      </c>
      <c r="K457" s="46">
        <f>IF($A$1='Data Entry'!$C458,'Data Entry'!L458,"")</f>
        <v>0</v>
      </c>
      <c r="L457" s="46">
        <f>IF($A$1='Data Entry'!$C458,'Data Entry'!M458,"")</f>
        <v>0</v>
      </c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  <c r="AB457" s="43"/>
      <c r="AC457" s="43"/>
      <c r="AD457" s="43"/>
      <c r="AE457" s="43"/>
      <c r="AF457" s="43"/>
      <c r="AG457" s="43"/>
      <c r="AH457" s="43"/>
      <c r="AI457" s="43"/>
      <c r="AJ457" s="43"/>
    </row>
    <row r="458" spans="1:36" ht="15.95" customHeight="1" x14ac:dyDescent="0.2">
      <c r="A458" s="43"/>
      <c r="B458" s="45">
        <v>76</v>
      </c>
      <c r="C458" s="46">
        <f>IF($A$1='Data Entry'!$C459,'Data Entry'!D459,"")</f>
        <v>0</v>
      </c>
      <c r="D458" s="46">
        <f>IF($A$1='Data Entry'!$C459,'Data Entry'!E459,"")</f>
        <v>0</v>
      </c>
      <c r="E458" s="46">
        <f>IF($A$1='Data Entry'!$C459,'Data Entry'!F459,"")</f>
        <v>0</v>
      </c>
      <c r="F458" s="46">
        <f>IF($A$1='Data Entry'!$C459,'Data Entry'!G459,"")</f>
        <v>0</v>
      </c>
      <c r="G458" s="46">
        <f>IF($A$1='Data Entry'!$C459,'Data Entry'!H459,"")</f>
        <v>0</v>
      </c>
      <c r="H458" s="46">
        <f>IF($A$1='Data Entry'!$C459,'Data Entry'!I459,"")</f>
        <v>0</v>
      </c>
      <c r="I458" s="46">
        <f>IF($A$1='Data Entry'!$C459,'Data Entry'!J459,"")</f>
        <v>0</v>
      </c>
      <c r="J458" s="46">
        <f>IF($A$1='Data Entry'!$C459,'Data Entry'!K459,"")</f>
        <v>0</v>
      </c>
      <c r="K458" s="46">
        <f>IF($A$1='Data Entry'!$C459,'Data Entry'!L459,"")</f>
        <v>0</v>
      </c>
      <c r="L458" s="46">
        <f>IF($A$1='Data Entry'!$C459,'Data Entry'!M459,"")</f>
        <v>0</v>
      </c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  <c r="AB458" s="43"/>
      <c r="AC458" s="43"/>
      <c r="AD458" s="43"/>
      <c r="AE458" s="43"/>
      <c r="AF458" s="43"/>
      <c r="AG458" s="43"/>
      <c r="AH458" s="43"/>
      <c r="AI458" s="43"/>
      <c r="AJ458" s="43"/>
    </row>
    <row r="459" spans="1:36" ht="15.95" customHeight="1" x14ac:dyDescent="0.2">
      <c r="A459" s="43"/>
      <c r="B459" s="45">
        <v>77</v>
      </c>
      <c r="C459" s="46">
        <f>IF($A$1='Data Entry'!$C460,'Data Entry'!D460,"")</f>
        <v>0</v>
      </c>
      <c r="D459" s="46">
        <f>IF($A$1='Data Entry'!$C460,'Data Entry'!E460,"")</f>
        <v>0</v>
      </c>
      <c r="E459" s="46">
        <f>IF($A$1='Data Entry'!$C460,'Data Entry'!F460,"")</f>
        <v>0</v>
      </c>
      <c r="F459" s="46">
        <f>IF($A$1='Data Entry'!$C460,'Data Entry'!G460,"")</f>
        <v>0</v>
      </c>
      <c r="G459" s="46">
        <f>IF($A$1='Data Entry'!$C460,'Data Entry'!H460,"")</f>
        <v>0</v>
      </c>
      <c r="H459" s="46">
        <f>IF($A$1='Data Entry'!$C460,'Data Entry'!I460,"")</f>
        <v>0</v>
      </c>
      <c r="I459" s="46">
        <f>IF($A$1='Data Entry'!$C460,'Data Entry'!J460,"")</f>
        <v>0</v>
      </c>
      <c r="J459" s="46">
        <f>IF($A$1='Data Entry'!$C460,'Data Entry'!K460,"")</f>
        <v>0</v>
      </c>
      <c r="K459" s="46">
        <f>IF($A$1='Data Entry'!$C460,'Data Entry'!L460,"")</f>
        <v>0</v>
      </c>
      <c r="L459" s="46">
        <f>IF($A$1='Data Entry'!$C460,'Data Entry'!M460,"")</f>
        <v>0</v>
      </c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  <c r="AB459" s="43"/>
      <c r="AC459" s="43"/>
      <c r="AD459" s="43"/>
      <c r="AE459" s="43"/>
      <c r="AF459" s="43"/>
      <c r="AG459" s="43"/>
      <c r="AH459" s="43"/>
      <c r="AI459" s="43"/>
      <c r="AJ459" s="43"/>
    </row>
    <row r="460" spans="1:36" ht="15.95" customHeight="1" x14ac:dyDescent="0.2">
      <c r="A460" s="43"/>
      <c r="B460" s="45">
        <v>77</v>
      </c>
      <c r="C460" s="46">
        <f>IF($A$1='Data Entry'!$C461,'Data Entry'!D461,"")</f>
        <v>0</v>
      </c>
      <c r="D460" s="46">
        <f>IF($A$1='Data Entry'!$C461,'Data Entry'!E461,"")</f>
        <v>0</v>
      </c>
      <c r="E460" s="46">
        <f>IF($A$1='Data Entry'!$C461,'Data Entry'!F461,"")</f>
        <v>0</v>
      </c>
      <c r="F460" s="46">
        <f>IF($A$1='Data Entry'!$C461,'Data Entry'!G461,"")</f>
        <v>0</v>
      </c>
      <c r="G460" s="46">
        <f>IF($A$1='Data Entry'!$C461,'Data Entry'!H461,"")</f>
        <v>0</v>
      </c>
      <c r="H460" s="46">
        <f>IF($A$1='Data Entry'!$C461,'Data Entry'!I461,"")</f>
        <v>0</v>
      </c>
      <c r="I460" s="46">
        <f>IF($A$1='Data Entry'!$C461,'Data Entry'!J461,"")</f>
        <v>0</v>
      </c>
      <c r="J460" s="46">
        <f>IF($A$1='Data Entry'!$C461,'Data Entry'!K461,"")</f>
        <v>0</v>
      </c>
      <c r="K460" s="46">
        <f>IF($A$1='Data Entry'!$C461,'Data Entry'!L461,"")</f>
        <v>0</v>
      </c>
      <c r="L460" s="46">
        <f>IF($A$1='Data Entry'!$C461,'Data Entry'!M461,"")</f>
        <v>0</v>
      </c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  <c r="AB460" s="43"/>
      <c r="AC460" s="43"/>
      <c r="AD460" s="43"/>
      <c r="AE460" s="43"/>
      <c r="AF460" s="43"/>
      <c r="AG460" s="43"/>
      <c r="AH460" s="43"/>
      <c r="AI460" s="43"/>
      <c r="AJ460" s="43"/>
    </row>
    <row r="461" spans="1:36" ht="15.95" customHeight="1" x14ac:dyDescent="0.2">
      <c r="A461" s="43"/>
      <c r="B461" s="45">
        <v>77</v>
      </c>
      <c r="C461" s="46">
        <f>IF($A$1='Data Entry'!$C462,'Data Entry'!D462,"")</f>
        <v>0</v>
      </c>
      <c r="D461" s="46">
        <f>IF($A$1='Data Entry'!$C462,'Data Entry'!E462,"")</f>
        <v>0</v>
      </c>
      <c r="E461" s="46">
        <f>IF($A$1='Data Entry'!$C462,'Data Entry'!F462,"")</f>
        <v>0</v>
      </c>
      <c r="F461" s="46">
        <f>IF($A$1='Data Entry'!$C462,'Data Entry'!G462,"")</f>
        <v>0</v>
      </c>
      <c r="G461" s="46">
        <f>IF($A$1='Data Entry'!$C462,'Data Entry'!H462,"")</f>
        <v>0</v>
      </c>
      <c r="H461" s="46">
        <f>IF($A$1='Data Entry'!$C462,'Data Entry'!I462,"")</f>
        <v>0</v>
      </c>
      <c r="I461" s="46">
        <f>IF($A$1='Data Entry'!$C462,'Data Entry'!J462,"")</f>
        <v>0</v>
      </c>
      <c r="J461" s="46">
        <f>IF($A$1='Data Entry'!$C462,'Data Entry'!K462,"")</f>
        <v>0</v>
      </c>
      <c r="K461" s="46">
        <f>IF($A$1='Data Entry'!$C462,'Data Entry'!L462,"")</f>
        <v>0</v>
      </c>
      <c r="L461" s="46">
        <f>IF($A$1='Data Entry'!$C462,'Data Entry'!M462,"")</f>
        <v>0</v>
      </c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  <c r="AB461" s="43"/>
      <c r="AC461" s="43"/>
      <c r="AD461" s="43"/>
      <c r="AE461" s="43"/>
      <c r="AF461" s="43"/>
      <c r="AG461" s="43"/>
      <c r="AH461" s="43"/>
      <c r="AI461" s="43"/>
      <c r="AJ461" s="43"/>
    </row>
    <row r="462" spans="1:36" ht="15.95" customHeight="1" x14ac:dyDescent="0.2">
      <c r="A462" s="43"/>
      <c r="B462" s="45">
        <v>77</v>
      </c>
      <c r="C462" s="46">
        <f>IF($A$1='Data Entry'!$C463,'Data Entry'!D463,"")</f>
        <v>0</v>
      </c>
      <c r="D462" s="46">
        <f>IF($A$1='Data Entry'!$C463,'Data Entry'!E463,"")</f>
        <v>0</v>
      </c>
      <c r="E462" s="46">
        <f>IF($A$1='Data Entry'!$C463,'Data Entry'!F463,"")</f>
        <v>0</v>
      </c>
      <c r="F462" s="46">
        <f>IF($A$1='Data Entry'!$C463,'Data Entry'!G463,"")</f>
        <v>0</v>
      </c>
      <c r="G462" s="46">
        <f>IF($A$1='Data Entry'!$C463,'Data Entry'!H463,"")</f>
        <v>0</v>
      </c>
      <c r="H462" s="46">
        <f>IF($A$1='Data Entry'!$C463,'Data Entry'!I463,"")</f>
        <v>0</v>
      </c>
      <c r="I462" s="46">
        <f>IF($A$1='Data Entry'!$C463,'Data Entry'!J463,"")</f>
        <v>0</v>
      </c>
      <c r="J462" s="46">
        <f>IF($A$1='Data Entry'!$C463,'Data Entry'!K463,"")</f>
        <v>0</v>
      </c>
      <c r="K462" s="46">
        <f>IF($A$1='Data Entry'!$C463,'Data Entry'!L463,"")</f>
        <v>0</v>
      </c>
      <c r="L462" s="46">
        <f>IF($A$1='Data Entry'!$C463,'Data Entry'!M463,"")</f>
        <v>0</v>
      </c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  <c r="AC462" s="43"/>
      <c r="AD462" s="43"/>
      <c r="AE462" s="43"/>
      <c r="AF462" s="43"/>
      <c r="AG462" s="43"/>
      <c r="AH462" s="43"/>
      <c r="AI462" s="43"/>
      <c r="AJ462" s="43"/>
    </row>
    <row r="463" spans="1:36" ht="15.95" customHeight="1" x14ac:dyDescent="0.2">
      <c r="A463" s="43"/>
      <c r="B463" s="45">
        <v>77</v>
      </c>
      <c r="C463" s="46">
        <f>IF($A$1='Data Entry'!$C464,'Data Entry'!D464,"")</f>
        <v>0</v>
      </c>
      <c r="D463" s="46">
        <f>IF($A$1='Data Entry'!$C464,'Data Entry'!E464,"")</f>
        <v>0</v>
      </c>
      <c r="E463" s="46">
        <f>IF($A$1='Data Entry'!$C464,'Data Entry'!F464,"")</f>
        <v>0</v>
      </c>
      <c r="F463" s="46">
        <f>IF($A$1='Data Entry'!$C464,'Data Entry'!G464,"")</f>
        <v>0</v>
      </c>
      <c r="G463" s="46">
        <f>IF($A$1='Data Entry'!$C464,'Data Entry'!H464,"")</f>
        <v>0</v>
      </c>
      <c r="H463" s="46">
        <f>IF($A$1='Data Entry'!$C464,'Data Entry'!I464,"")</f>
        <v>0</v>
      </c>
      <c r="I463" s="46">
        <f>IF($A$1='Data Entry'!$C464,'Data Entry'!J464,"")</f>
        <v>0</v>
      </c>
      <c r="J463" s="46">
        <f>IF($A$1='Data Entry'!$C464,'Data Entry'!K464,"")</f>
        <v>0</v>
      </c>
      <c r="K463" s="46">
        <f>IF($A$1='Data Entry'!$C464,'Data Entry'!L464,"")</f>
        <v>0</v>
      </c>
      <c r="L463" s="46">
        <f>IF($A$1='Data Entry'!$C464,'Data Entry'!M464,"")</f>
        <v>0</v>
      </c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  <c r="AB463" s="43"/>
      <c r="AC463" s="43"/>
      <c r="AD463" s="43"/>
      <c r="AE463" s="43"/>
      <c r="AF463" s="43"/>
      <c r="AG463" s="43"/>
      <c r="AH463" s="43"/>
      <c r="AI463" s="43"/>
      <c r="AJ463" s="43"/>
    </row>
    <row r="464" spans="1:36" ht="15.95" customHeight="1" x14ac:dyDescent="0.2">
      <c r="A464" s="43"/>
      <c r="B464" s="45">
        <v>77</v>
      </c>
      <c r="C464" s="46">
        <f>IF($A$1='Data Entry'!$C465,'Data Entry'!D465,"")</f>
        <v>0</v>
      </c>
      <c r="D464" s="46">
        <f>IF($A$1='Data Entry'!$C465,'Data Entry'!E465,"")</f>
        <v>0</v>
      </c>
      <c r="E464" s="46">
        <f>IF($A$1='Data Entry'!$C465,'Data Entry'!F465,"")</f>
        <v>0</v>
      </c>
      <c r="F464" s="46">
        <f>IF($A$1='Data Entry'!$C465,'Data Entry'!G465,"")</f>
        <v>0</v>
      </c>
      <c r="G464" s="46">
        <f>IF($A$1='Data Entry'!$C465,'Data Entry'!H465,"")</f>
        <v>0</v>
      </c>
      <c r="H464" s="46">
        <f>IF($A$1='Data Entry'!$C465,'Data Entry'!I465,"")</f>
        <v>0</v>
      </c>
      <c r="I464" s="46">
        <f>IF($A$1='Data Entry'!$C465,'Data Entry'!J465,"")</f>
        <v>0</v>
      </c>
      <c r="J464" s="46">
        <f>IF($A$1='Data Entry'!$C465,'Data Entry'!K465,"")</f>
        <v>0</v>
      </c>
      <c r="K464" s="46">
        <f>IF($A$1='Data Entry'!$C465,'Data Entry'!L465,"")</f>
        <v>0</v>
      </c>
      <c r="L464" s="46">
        <f>IF($A$1='Data Entry'!$C465,'Data Entry'!M465,"")</f>
        <v>0</v>
      </c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  <c r="AB464" s="43"/>
      <c r="AC464" s="43"/>
      <c r="AD464" s="43"/>
      <c r="AE464" s="43"/>
      <c r="AF464" s="43"/>
      <c r="AG464" s="43"/>
      <c r="AH464" s="43"/>
      <c r="AI464" s="43"/>
      <c r="AJ464" s="43"/>
    </row>
    <row r="465" spans="1:36" ht="15.95" customHeight="1" x14ac:dyDescent="0.2">
      <c r="A465" s="43"/>
      <c r="B465" s="45">
        <v>78</v>
      </c>
      <c r="C465" s="46">
        <f>IF($A$1='Data Entry'!$C466,'Data Entry'!D466,"")</f>
        <v>0</v>
      </c>
      <c r="D465" s="46">
        <f>IF($A$1='Data Entry'!$C466,'Data Entry'!E466,"")</f>
        <v>0</v>
      </c>
      <c r="E465" s="46">
        <f>IF($A$1='Data Entry'!$C466,'Data Entry'!F466,"")</f>
        <v>0</v>
      </c>
      <c r="F465" s="46">
        <f>IF($A$1='Data Entry'!$C466,'Data Entry'!G466,"")</f>
        <v>0</v>
      </c>
      <c r="G465" s="46">
        <f>IF($A$1='Data Entry'!$C466,'Data Entry'!H466,"")</f>
        <v>0</v>
      </c>
      <c r="H465" s="46">
        <f>IF($A$1='Data Entry'!$C466,'Data Entry'!I466,"")</f>
        <v>0</v>
      </c>
      <c r="I465" s="46">
        <f>IF($A$1='Data Entry'!$C466,'Data Entry'!J466,"")</f>
        <v>0</v>
      </c>
      <c r="J465" s="46">
        <f>IF($A$1='Data Entry'!$C466,'Data Entry'!K466,"")</f>
        <v>0</v>
      </c>
      <c r="K465" s="46">
        <f>IF($A$1='Data Entry'!$C466,'Data Entry'!L466,"")</f>
        <v>0</v>
      </c>
      <c r="L465" s="46">
        <f>IF($A$1='Data Entry'!$C466,'Data Entry'!M466,"")</f>
        <v>0</v>
      </c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  <c r="AB465" s="43"/>
      <c r="AC465" s="43"/>
      <c r="AD465" s="43"/>
      <c r="AE465" s="43"/>
      <c r="AF465" s="43"/>
      <c r="AG465" s="43"/>
      <c r="AH465" s="43"/>
      <c r="AI465" s="43"/>
      <c r="AJ465" s="43"/>
    </row>
    <row r="466" spans="1:36" ht="15.95" customHeight="1" x14ac:dyDescent="0.2">
      <c r="A466" s="43"/>
      <c r="B466" s="45">
        <v>78</v>
      </c>
      <c r="C466" s="46">
        <f>IF($A$1='Data Entry'!$C467,'Data Entry'!D467,"")</f>
        <v>0</v>
      </c>
      <c r="D466" s="46">
        <f>IF($A$1='Data Entry'!$C467,'Data Entry'!E467,"")</f>
        <v>0</v>
      </c>
      <c r="E466" s="46">
        <f>IF($A$1='Data Entry'!$C467,'Data Entry'!F467,"")</f>
        <v>0</v>
      </c>
      <c r="F466" s="46">
        <f>IF($A$1='Data Entry'!$C467,'Data Entry'!G467,"")</f>
        <v>0</v>
      </c>
      <c r="G466" s="46">
        <f>IF($A$1='Data Entry'!$C467,'Data Entry'!H467,"")</f>
        <v>0</v>
      </c>
      <c r="H466" s="46">
        <f>IF($A$1='Data Entry'!$C467,'Data Entry'!I467,"")</f>
        <v>0</v>
      </c>
      <c r="I466" s="46">
        <f>IF($A$1='Data Entry'!$C467,'Data Entry'!J467,"")</f>
        <v>0</v>
      </c>
      <c r="J466" s="46">
        <f>IF($A$1='Data Entry'!$C467,'Data Entry'!K467,"")</f>
        <v>0</v>
      </c>
      <c r="K466" s="46">
        <f>IF($A$1='Data Entry'!$C467,'Data Entry'!L467,"")</f>
        <v>0</v>
      </c>
      <c r="L466" s="46">
        <f>IF($A$1='Data Entry'!$C467,'Data Entry'!M467,"")</f>
        <v>0</v>
      </c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  <c r="AB466" s="43"/>
      <c r="AC466" s="43"/>
      <c r="AD466" s="43"/>
      <c r="AE466" s="43"/>
      <c r="AF466" s="43"/>
      <c r="AG466" s="43"/>
      <c r="AH466" s="43"/>
      <c r="AI466" s="43"/>
      <c r="AJ466" s="43"/>
    </row>
    <row r="467" spans="1:36" ht="15.95" customHeight="1" x14ac:dyDescent="0.2">
      <c r="A467" s="43"/>
      <c r="B467" s="45">
        <v>78</v>
      </c>
      <c r="C467" s="46">
        <f>IF($A$1='Data Entry'!$C468,'Data Entry'!D468,"")</f>
        <v>0</v>
      </c>
      <c r="D467" s="46">
        <f>IF($A$1='Data Entry'!$C468,'Data Entry'!E468,"")</f>
        <v>0</v>
      </c>
      <c r="E467" s="46">
        <f>IF($A$1='Data Entry'!$C468,'Data Entry'!F468,"")</f>
        <v>0</v>
      </c>
      <c r="F467" s="46">
        <f>IF($A$1='Data Entry'!$C468,'Data Entry'!G468,"")</f>
        <v>0</v>
      </c>
      <c r="G467" s="46">
        <f>IF($A$1='Data Entry'!$C468,'Data Entry'!H468,"")</f>
        <v>0</v>
      </c>
      <c r="H467" s="46">
        <f>IF($A$1='Data Entry'!$C468,'Data Entry'!I468,"")</f>
        <v>0</v>
      </c>
      <c r="I467" s="46">
        <f>IF($A$1='Data Entry'!$C468,'Data Entry'!J468,"")</f>
        <v>0</v>
      </c>
      <c r="J467" s="46">
        <f>IF($A$1='Data Entry'!$C468,'Data Entry'!K468,"")</f>
        <v>0</v>
      </c>
      <c r="K467" s="46">
        <f>IF($A$1='Data Entry'!$C468,'Data Entry'!L468,"")</f>
        <v>0</v>
      </c>
      <c r="L467" s="46">
        <f>IF($A$1='Data Entry'!$C468,'Data Entry'!M468,"")</f>
        <v>0</v>
      </c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  <c r="AB467" s="43"/>
      <c r="AC467" s="43"/>
      <c r="AD467" s="43"/>
      <c r="AE467" s="43"/>
      <c r="AF467" s="43"/>
      <c r="AG467" s="43"/>
      <c r="AH467" s="43"/>
      <c r="AI467" s="43"/>
      <c r="AJ467" s="43"/>
    </row>
    <row r="468" spans="1:36" ht="15.95" customHeight="1" x14ac:dyDescent="0.2">
      <c r="A468" s="43"/>
      <c r="B468" s="45">
        <v>78</v>
      </c>
      <c r="C468" s="46">
        <f>IF($A$1='Data Entry'!$C469,'Data Entry'!D469,"")</f>
        <v>0</v>
      </c>
      <c r="D468" s="46">
        <f>IF($A$1='Data Entry'!$C469,'Data Entry'!E469,"")</f>
        <v>0</v>
      </c>
      <c r="E468" s="46">
        <f>IF($A$1='Data Entry'!$C469,'Data Entry'!F469,"")</f>
        <v>0</v>
      </c>
      <c r="F468" s="46">
        <f>IF($A$1='Data Entry'!$C469,'Data Entry'!G469,"")</f>
        <v>0</v>
      </c>
      <c r="G468" s="46">
        <f>IF($A$1='Data Entry'!$C469,'Data Entry'!H469,"")</f>
        <v>0</v>
      </c>
      <c r="H468" s="46">
        <f>IF($A$1='Data Entry'!$C469,'Data Entry'!I469,"")</f>
        <v>0</v>
      </c>
      <c r="I468" s="46">
        <f>IF($A$1='Data Entry'!$C469,'Data Entry'!J469,"")</f>
        <v>0</v>
      </c>
      <c r="J468" s="46">
        <f>IF($A$1='Data Entry'!$C469,'Data Entry'!K469,"")</f>
        <v>0</v>
      </c>
      <c r="K468" s="46">
        <f>IF($A$1='Data Entry'!$C469,'Data Entry'!L469,"")</f>
        <v>0</v>
      </c>
      <c r="L468" s="46">
        <f>IF($A$1='Data Entry'!$C469,'Data Entry'!M469,"")</f>
        <v>0</v>
      </c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  <c r="AB468" s="43"/>
      <c r="AC468" s="43"/>
      <c r="AD468" s="43"/>
      <c r="AE468" s="43"/>
      <c r="AF468" s="43"/>
      <c r="AG468" s="43"/>
      <c r="AH468" s="43"/>
      <c r="AI468" s="43"/>
      <c r="AJ468" s="43"/>
    </row>
    <row r="469" spans="1:36" ht="15.95" customHeight="1" x14ac:dyDescent="0.2">
      <c r="A469" s="43"/>
      <c r="B469" s="45">
        <v>78</v>
      </c>
      <c r="C469" s="46">
        <f>IF($A$1='Data Entry'!$C470,'Data Entry'!D470,"")</f>
        <v>0</v>
      </c>
      <c r="D469" s="46">
        <f>IF($A$1='Data Entry'!$C470,'Data Entry'!E470,"")</f>
        <v>0</v>
      </c>
      <c r="E469" s="46">
        <f>IF($A$1='Data Entry'!$C470,'Data Entry'!F470,"")</f>
        <v>0</v>
      </c>
      <c r="F469" s="46">
        <f>IF($A$1='Data Entry'!$C470,'Data Entry'!G470,"")</f>
        <v>0</v>
      </c>
      <c r="G469" s="46">
        <f>IF($A$1='Data Entry'!$C470,'Data Entry'!H470,"")</f>
        <v>0</v>
      </c>
      <c r="H469" s="46">
        <f>IF($A$1='Data Entry'!$C470,'Data Entry'!I470,"")</f>
        <v>0</v>
      </c>
      <c r="I469" s="46">
        <f>IF($A$1='Data Entry'!$C470,'Data Entry'!J470,"")</f>
        <v>0</v>
      </c>
      <c r="J469" s="46">
        <f>IF($A$1='Data Entry'!$C470,'Data Entry'!K470,"")</f>
        <v>0</v>
      </c>
      <c r="K469" s="46">
        <f>IF($A$1='Data Entry'!$C470,'Data Entry'!L470,"")</f>
        <v>0</v>
      </c>
      <c r="L469" s="46">
        <f>IF($A$1='Data Entry'!$C470,'Data Entry'!M470,"")</f>
        <v>0</v>
      </c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  <c r="AB469" s="43"/>
      <c r="AC469" s="43"/>
      <c r="AD469" s="43"/>
      <c r="AE469" s="43"/>
      <c r="AF469" s="43"/>
      <c r="AG469" s="43"/>
      <c r="AH469" s="43"/>
      <c r="AI469" s="43"/>
      <c r="AJ469" s="43"/>
    </row>
    <row r="470" spans="1:36" ht="15.95" customHeight="1" x14ac:dyDescent="0.2">
      <c r="A470" s="43"/>
      <c r="B470" s="45">
        <v>78</v>
      </c>
      <c r="C470" s="46">
        <f>IF($A$1='Data Entry'!$C471,'Data Entry'!D471,"")</f>
        <v>0</v>
      </c>
      <c r="D470" s="46">
        <f>IF($A$1='Data Entry'!$C471,'Data Entry'!E471,"")</f>
        <v>0</v>
      </c>
      <c r="E470" s="46">
        <f>IF($A$1='Data Entry'!$C471,'Data Entry'!F471,"")</f>
        <v>0</v>
      </c>
      <c r="F470" s="46">
        <f>IF($A$1='Data Entry'!$C471,'Data Entry'!G471,"")</f>
        <v>0</v>
      </c>
      <c r="G470" s="46">
        <f>IF($A$1='Data Entry'!$C471,'Data Entry'!H471,"")</f>
        <v>0</v>
      </c>
      <c r="H470" s="46">
        <f>IF($A$1='Data Entry'!$C471,'Data Entry'!I471,"")</f>
        <v>0</v>
      </c>
      <c r="I470" s="46">
        <f>IF($A$1='Data Entry'!$C471,'Data Entry'!J471,"")</f>
        <v>0</v>
      </c>
      <c r="J470" s="46">
        <f>IF($A$1='Data Entry'!$C471,'Data Entry'!K471,"")</f>
        <v>0</v>
      </c>
      <c r="K470" s="46">
        <f>IF($A$1='Data Entry'!$C471,'Data Entry'!L471,"")</f>
        <v>0</v>
      </c>
      <c r="L470" s="46">
        <f>IF($A$1='Data Entry'!$C471,'Data Entry'!M471,"")</f>
        <v>0</v>
      </c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  <c r="AB470" s="43"/>
      <c r="AC470" s="43"/>
      <c r="AD470" s="43"/>
      <c r="AE470" s="43"/>
      <c r="AF470" s="43"/>
      <c r="AG470" s="43"/>
      <c r="AH470" s="43"/>
      <c r="AI470" s="43"/>
      <c r="AJ470" s="43"/>
    </row>
    <row r="471" spans="1:36" ht="15.95" customHeight="1" x14ac:dyDescent="0.2">
      <c r="A471" s="43"/>
      <c r="B471" s="45">
        <v>79</v>
      </c>
      <c r="C471" s="46">
        <f>IF($A$1='Data Entry'!$C472,'Data Entry'!D472,"")</f>
        <v>0</v>
      </c>
      <c r="D471" s="46">
        <f>IF($A$1='Data Entry'!$C472,'Data Entry'!E472,"")</f>
        <v>0</v>
      </c>
      <c r="E471" s="46">
        <f>IF($A$1='Data Entry'!$C472,'Data Entry'!F472,"")</f>
        <v>0</v>
      </c>
      <c r="F471" s="46">
        <f>IF($A$1='Data Entry'!$C472,'Data Entry'!G472,"")</f>
        <v>0</v>
      </c>
      <c r="G471" s="46">
        <f>IF($A$1='Data Entry'!$C472,'Data Entry'!H472,"")</f>
        <v>0</v>
      </c>
      <c r="H471" s="46">
        <f>IF($A$1='Data Entry'!$C472,'Data Entry'!I472,"")</f>
        <v>0</v>
      </c>
      <c r="I471" s="46">
        <f>IF($A$1='Data Entry'!$C472,'Data Entry'!J472,"")</f>
        <v>0</v>
      </c>
      <c r="J471" s="46">
        <f>IF($A$1='Data Entry'!$C472,'Data Entry'!K472,"")</f>
        <v>0</v>
      </c>
      <c r="K471" s="46">
        <f>IF($A$1='Data Entry'!$C472,'Data Entry'!L472,"")</f>
        <v>0</v>
      </c>
      <c r="L471" s="46">
        <f>IF($A$1='Data Entry'!$C472,'Data Entry'!M472,"")</f>
        <v>0</v>
      </c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  <c r="AC471" s="43"/>
      <c r="AD471" s="43"/>
      <c r="AE471" s="43"/>
      <c r="AF471" s="43"/>
      <c r="AG471" s="43"/>
      <c r="AH471" s="43"/>
      <c r="AI471" s="43"/>
      <c r="AJ471" s="43"/>
    </row>
    <row r="472" spans="1:36" ht="15.95" customHeight="1" x14ac:dyDescent="0.2">
      <c r="A472" s="43"/>
      <c r="B472" s="45">
        <v>79</v>
      </c>
      <c r="C472" s="46">
        <f>IF($A$1='Data Entry'!$C473,'Data Entry'!D473,"")</f>
        <v>0</v>
      </c>
      <c r="D472" s="46">
        <f>IF($A$1='Data Entry'!$C473,'Data Entry'!E473,"")</f>
        <v>0</v>
      </c>
      <c r="E472" s="46">
        <f>IF($A$1='Data Entry'!$C473,'Data Entry'!F473,"")</f>
        <v>0</v>
      </c>
      <c r="F472" s="46">
        <f>IF($A$1='Data Entry'!$C473,'Data Entry'!G473,"")</f>
        <v>0</v>
      </c>
      <c r="G472" s="46">
        <f>IF($A$1='Data Entry'!$C473,'Data Entry'!H473,"")</f>
        <v>0</v>
      </c>
      <c r="H472" s="46">
        <f>IF($A$1='Data Entry'!$C473,'Data Entry'!I473,"")</f>
        <v>0</v>
      </c>
      <c r="I472" s="46">
        <f>IF($A$1='Data Entry'!$C473,'Data Entry'!J473,"")</f>
        <v>0</v>
      </c>
      <c r="J472" s="46">
        <f>IF($A$1='Data Entry'!$C473,'Data Entry'!K473,"")</f>
        <v>0</v>
      </c>
      <c r="K472" s="46">
        <f>IF($A$1='Data Entry'!$C473,'Data Entry'!L473,"")</f>
        <v>0</v>
      </c>
      <c r="L472" s="46">
        <f>IF($A$1='Data Entry'!$C473,'Data Entry'!M473,"")</f>
        <v>0</v>
      </c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  <c r="AC472" s="43"/>
      <c r="AD472" s="43"/>
      <c r="AE472" s="43"/>
      <c r="AF472" s="43"/>
      <c r="AG472" s="43"/>
      <c r="AH472" s="43"/>
      <c r="AI472" s="43"/>
      <c r="AJ472" s="43"/>
    </row>
    <row r="473" spans="1:36" ht="15.95" customHeight="1" x14ac:dyDescent="0.2">
      <c r="A473" s="43"/>
      <c r="B473" s="45">
        <v>79</v>
      </c>
      <c r="C473" s="46">
        <f>IF($A$1='Data Entry'!$C474,'Data Entry'!D474,"")</f>
        <v>0</v>
      </c>
      <c r="D473" s="46">
        <f>IF($A$1='Data Entry'!$C474,'Data Entry'!E474,"")</f>
        <v>0</v>
      </c>
      <c r="E473" s="46">
        <f>IF($A$1='Data Entry'!$C474,'Data Entry'!F474,"")</f>
        <v>0</v>
      </c>
      <c r="F473" s="46">
        <f>IF($A$1='Data Entry'!$C474,'Data Entry'!G474,"")</f>
        <v>0</v>
      </c>
      <c r="G473" s="46">
        <f>IF($A$1='Data Entry'!$C474,'Data Entry'!H474,"")</f>
        <v>0</v>
      </c>
      <c r="H473" s="46">
        <f>IF($A$1='Data Entry'!$C474,'Data Entry'!I474,"")</f>
        <v>0</v>
      </c>
      <c r="I473" s="46">
        <f>IF($A$1='Data Entry'!$C474,'Data Entry'!J474,"")</f>
        <v>0</v>
      </c>
      <c r="J473" s="46">
        <f>IF($A$1='Data Entry'!$C474,'Data Entry'!K474,"")</f>
        <v>0</v>
      </c>
      <c r="K473" s="46">
        <f>IF($A$1='Data Entry'!$C474,'Data Entry'!L474,"")</f>
        <v>0</v>
      </c>
      <c r="L473" s="46">
        <f>IF($A$1='Data Entry'!$C474,'Data Entry'!M474,"")</f>
        <v>0</v>
      </c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  <c r="AB473" s="43"/>
      <c r="AC473" s="43"/>
      <c r="AD473" s="43"/>
      <c r="AE473" s="43"/>
      <c r="AF473" s="43"/>
      <c r="AG473" s="43"/>
      <c r="AH473" s="43"/>
      <c r="AI473" s="43"/>
      <c r="AJ473" s="43"/>
    </row>
    <row r="474" spans="1:36" ht="15.95" customHeight="1" x14ac:dyDescent="0.2">
      <c r="A474" s="43"/>
      <c r="B474" s="45">
        <v>79</v>
      </c>
      <c r="C474" s="46">
        <f>IF($A$1='Data Entry'!$C475,'Data Entry'!D475,"")</f>
        <v>0</v>
      </c>
      <c r="D474" s="46">
        <f>IF($A$1='Data Entry'!$C475,'Data Entry'!E475,"")</f>
        <v>0</v>
      </c>
      <c r="E474" s="46">
        <f>IF($A$1='Data Entry'!$C475,'Data Entry'!F475,"")</f>
        <v>0</v>
      </c>
      <c r="F474" s="46">
        <f>IF($A$1='Data Entry'!$C475,'Data Entry'!G475,"")</f>
        <v>0</v>
      </c>
      <c r="G474" s="46">
        <f>IF($A$1='Data Entry'!$C475,'Data Entry'!H475,"")</f>
        <v>0</v>
      </c>
      <c r="H474" s="46">
        <f>IF($A$1='Data Entry'!$C475,'Data Entry'!I475,"")</f>
        <v>0</v>
      </c>
      <c r="I474" s="46">
        <f>IF($A$1='Data Entry'!$C475,'Data Entry'!J475,"")</f>
        <v>0</v>
      </c>
      <c r="J474" s="46">
        <f>IF($A$1='Data Entry'!$C475,'Data Entry'!K475,"")</f>
        <v>0</v>
      </c>
      <c r="K474" s="46">
        <f>IF($A$1='Data Entry'!$C475,'Data Entry'!L475,"")</f>
        <v>0</v>
      </c>
      <c r="L474" s="46">
        <f>IF($A$1='Data Entry'!$C475,'Data Entry'!M475,"")</f>
        <v>0</v>
      </c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  <c r="AB474" s="43"/>
      <c r="AC474" s="43"/>
      <c r="AD474" s="43"/>
      <c r="AE474" s="43"/>
      <c r="AF474" s="43"/>
      <c r="AG474" s="43"/>
      <c r="AH474" s="43"/>
      <c r="AI474" s="43"/>
      <c r="AJ474" s="43"/>
    </row>
    <row r="475" spans="1:36" ht="15.95" customHeight="1" x14ac:dyDescent="0.2">
      <c r="A475" s="43"/>
      <c r="B475" s="45">
        <v>79</v>
      </c>
      <c r="C475" s="46">
        <f>IF($A$1='Data Entry'!$C476,'Data Entry'!D476,"")</f>
        <v>0</v>
      </c>
      <c r="D475" s="46">
        <f>IF($A$1='Data Entry'!$C476,'Data Entry'!E476,"")</f>
        <v>0</v>
      </c>
      <c r="E475" s="46">
        <f>IF($A$1='Data Entry'!$C476,'Data Entry'!F476,"")</f>
        <v>0</v>
      </c>
      <c r="F475" s="46">
        <f>IF($A$1='Data Entry'!$C476,'Data Entry'!G476,"")</f>
        <v>0</v>
      </c>
      <c r="G475" s="46">
        <f>IF($A$1='Data Entry'!$C476,'Data Entry'!H476,"")</f>
        <v>0</v>
      </c>
      <c r="H475" s="46">
        <f>IF($A$1='Data Entry'!$C476,'Data Entry'!I476,"")</f>
        <v>0</v>
      </c>
      <c r="I475" s="46">
        <f>IF($A$1='Data Entry'!$C476,'Data Entry'!J476,"")</f>
        <v>0</v>
      </c>
      <c r="J475" s="46">
        <f>IF($A$1='Data Entry'!$C476,'Data Entry'!K476,"")</f>
        <v>0</v>
      </c>
      <c r="K475" s="46">
        <f>IF($A$1='Data Entry'!$C476,'Data Entry'!L476,"")</f>
        <v>0</v>
      </c>
      <c r="L475" s="46">
        <f>IF($A$1='Data Entry'!$C476,'Data Entry'!M476,"")</f>
        <v>0</v>
      </c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  <c r="AB475" s="43"/>
      <c r="AC475" s="43"/>
      <c r="AD475" s="43"/>
      <c r="AE475" s="43"/>
      <c r="AF475" s="43"/>
      <c r="AG475" s="43"/>
      <c r="AH475" s="43"/>
      <c r="AI475" s="43"/>
      <c r="AJ475" s="43"/>
    </row>
    <row r="476" spans="1:36" ht="15.95" customHeight="1" x14ac:dyDescent="0.2">
      <c r="A476" s="43"/>
      <c r="B476" s="45">
        <v>79</v>
      </c>
      <c r="C476" s="46">
        <f>IF($A$1='Data Entry'!$C477,'Data Entry'!D477,"")</f>
        <v>0</v>
      </c>
      <c r="D476" s="46">
        <f>IF($A$1='Data Entry'!$C477,'Data Entry'!E477,"")</f>
        <v>0</v>
      </c>
      <c r="E476" s="46">
        <f>IF($A$1='Data Entry'!$C477,'Data Entry'!F477,"")</f>
        <v>0</v>
      </c>
      <c r="F476" s="46">
        <f>IF($A$1='Data Entry'!$C477,'Data Entry'!G477,"")</f>
        <v>0</v>
      </c>
      <c r="G476" s="46">
        <f>IF($A$1='Data Entry'!$C477,'Data Entry'!H477,"")</f>
        <v>0</v>
      </c>
      <c r="H476" s="46">
        <f>IF($A$1='Data Entry'!$C477,'Data Entry'!I477,"")</f>
        <v>0</v>
      </c>
      <c r="I476" s="46">
        <f>IF($A$1='Data Entry'!$C477,'Data Entry'!J477,"")</f>
        <v>0</v>
      </c>
      <c r="J476" s="46">
        <f>IF($A$1='Data Entry'!$C477,'Data Entry'!K477,"")</f>
        <v>0</v>
      </c>
      <c r="K476" s="46">
        <f>IF($A$1='Data Entry'!$C477,'Data Entry'!L477,"")</f>
        <v>0</v>
      </c>
      <c r="L476" s="46">
        <f>IF($A$1='Data Entry'!$C477,'Data Entry'!M477,"")</f>
        <v>0</v>
      </c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  <c r="AB476" s="43"/>
      <c r="AC476" s="43"/>
      <c r="AD476" s="43"/>
      <c r="AE476" s="43"/>
      <c r="AF476" s="43"/>
      <c r="AG476" s="43"/>
      <c r="AH476" s="43"/>
      <c r="AI476" s="43"/>
      <c r="AJ476" s="43"/>
    </row>
    <row r="477" spans="1:36" ht="15.95" customHeight="1" x14ac:dyDescent="0.2">
      <c r="A477" s="43"/>
      <c r="B477" s="45">
        <v>80</v>
      </c>
      <c r="C477" s="46">
        <f>IF($A$1='Data Entry'!$C478,'Data Entry'!D478,"")</f>
        <v>0</v>
      </c>
      <c r="D477" s="46">
        <f>IF($A$1='Data Entry'!$C478,'Data Entry'!E478,"")</f>
        <v>0</v>
      </c>
      <c r="E477" s="46">
        <f>IF($A$1='Data Entry'!$C478,'Data Entry'!F478,"")</f>
        <v>0</v>
      </c>
      <c r="F477" s="46">
        <f>IF($A$1='Data Entry'!$C478,'Data Entry'!G478,"")</f>
        <v>0</v>
      </c>
      <c r="G477" s="46">
        <f>IF($A$1='Data Entry'!$C478,'Data Entry'!H478,"")</f>
        <v>0</v>
      </c>
      <c r="H477" s="46">
        <f>IF($A$1='Data Entry'!$C478,'Data Entry'!I478,"")</f>
        <v>0</v>
      </c>
      <c r="I477" s="46">
        <f>IF($A$1='Data Entry'!$C478,'Data Entry'!J478,"")</f>
        <v>0</v>
      </c>
      <c r="J477" s="46">
        <f>IF($A$1='Data Entry'!$C478,'Data Entry'!K478,"")</f>
        <v>0</v>
      </c>
      <c r="K477" s="46">
        <f>IF($A$1='Data Entry'!$C478,'Data Entry'!L478,"")</f>
        <v>0</v>
      </c>
      <c r="L477" s="46">
        <f>IF($A$1='Data Entry'!$C478,'Data Entry'!M478,"")</f>
        <v>0</v>
      </c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  <c r="AB477" s="43"/>
      <c r="AC477" s="43"/>
      <c r="AD477" s="43"/>
      <c r="AE477" s="43"/>
      <c r="AF477" s="43"/>
      <c r="AG477" s="43"/>
      <c r="AH477" s="43"/>
      <c r="AI477" s="43"/>
      <c r="AJ477" s="43"/>
    </row>
    <row r="478" spans="1:36" ht="15.95" customHeight="1" x14ac:dyDescent="0.2">
      <c r="A478" s="43"/>
      <c r="B478" s="45">
        <v>80</v>
      </c>
      <c r="C478" s="46">
        <f>IF($A$1='Data Entry'!$C479,'Data Entry'!D479,"")</f>
        <v>0</v>
      </c>
      <c r="D478" s="46">
        <f>IF($A$1='Data Entry'!$C479,'Data Entry'!E479,"")</f>
        <v>0</v>
      </c>
      <c r="E478" s="46">
        <f>IF($A$1='Data Entry'!$C479,'Data Entry'!F479,"")</f>
        <v>0</v>
      </c>
      <c r="F478" s="46">
        <f>IF($A$1='Data Entry'!$C479,'Data Entry'!G479,"")</f>
        <v>0</v>
      </c>
      <c r="G478" s="46">
        <f>IF($A$1='Data Entry'!$C479,'Data Entry'!H479,"")</f>
        <v>0</v>
      </c>
      <c r="H478" s="46">
        <f>IF($A$1='Data Entry'!$C479,'Data Entry'!I479,"")</f>
        <v>0</v>
      </c>
      <c r="I478" s="46">
        <f>IF($A$1='Data Entry'!$C479,'Data Entry'!J479,"")</f>
        <v>0</v>
      </c>
      <c r="J478" s="46">
        <f>IF($A$1='Data Entry'!$C479,'Data Entry'!K479,"")</f>
        <v>0</v>
      </c>
      <c r="K478" s="46">
        <f>IF($A$1='Data Entry'!$C479,'Data Entry'!L479,"")</f>
        <v>0</v>
      </c>
      <c r="L478" s="46">
        <f>IF($A$1='Data Entry'!$C479,'Data Entry'!M479,"")</f>
        <v>0</v>
      </c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  <c r="AB478" s="43"/>
      <c r="AC478" s="43"/>
      <c r="AD478" s="43"/>
      <c r="AE478" s="43"/>
      <c r="AF478" s="43"/>
      <c r="AG478" s="43"/>
      <c r="AH478" s="43"/>
      <c r="AI478" s="43"/>
      <c r="AJ478" s="43"/>
    </row>
    <row r="479" spans="1:36" ht="15.95" customHeight="1" x14ac:dyDescent="0.2">
      <c r="A479" s="43"/>
      <c r="B479" s="45">
        <v>80</v>
      </c>
      <c r="C479" s="46">
        <f>IF($A$1='Data Entry'!$C480,'Data Entry'!D480,"")</f>
        <v>0</v>
      </c>
      <c r="D479" s="46">
        <f>IF($A$1='Data Entry'!$C480,'Data Entry'!E480,"")</f>
        <v>0</v>
      </c>
      <c r="E479" s="46">
        <f>IF($A$1='Data Entry'!$C480,'Data Entry'!F480,"")</f>
        <v>0</v>
      </c>
      <c r="F479" s="46">
        <f>IF($A$1='Data Entry'!$C480,'Data Entry'!G480,"")</f>
        <v>0</v>
      </c>
      <c r="G479" s="46">
        <f>IF($A$1='Data Entry'!$C480,'Data Entry'!H480,"")</f>
        <v>0</v>
      </c>
      <c r="H479" s="46">
        <f>IF($A$1='Data Entry'!$C480,'Data Entry'!I480,"")</f>
        <v>0</v>
      </c>
      <c r="I479" s="46">
        <f>IF($A$1='Data Entry'!$C480,'Data Entry'!J480,"")</f>
        <v>0</v>
      </c>
      <c r="J479" s="46">
        <f>IF($A$1='Data Entry'!$C480,'Data Entry'!K480,"")</f>
        <v>0</v>
      </c>
      <c r="K479" s="46">
        <f>IF($A$1='Data Entry'!$C480,'Data Entry'!L480,"")</f>
        <v>0</v>
      </c>
      <c r="L479" s="46">
        <f>IF($A$1='Data Entry'!$C480,'Data Entry'!M480,"")</f>
        <v>0</v>
      </c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  <c r="AB479" s="43"/>
      <c r="AC479" s="43"/>
      <c r="AD479" s="43"/>
      <c r="AE479" s="43"/>
      <c r="AF479" s="43"/>
      <c r="AG479" s="43"/>
      <c r="AH479" s="43"/>
      <c r="AI479" s="43"/>
      <c r="AJ479" s="43"/>
    </row>
    <row r="480" spans="1:36" ht="15.95" customHeight="1" x14ac:dyDescent="0.2">
      <c r="A480" s="43"/>
      <c r="B480" s="45">
        <v>80</v>
      </c>
      <c r="C480" s="46">
        <f>IF($A$1='Data Entry'!$C481,'Data Entry'!D481,"")</f>
        <v>0</v>
      </c>
      <c r="D480" s="46">
        <f>IF($A$1='Data Entry'!$C481,'Data Entry'!E481,"")</f>
        <v>0</v>
      </c>
      <c r="E480" s="46">
        <f>IF($A$1='Data Entry'!$C481,'Data Entry'!F481,"")</f>
        <v>0</v>
      </c>
      <c r="F480" s="46">
        <f>IF($A$1='Data Entry'!$C481,'Data Entry'!G481,"")</f>
        <v>0</v>
      </c>
      <c r="G480" s="46">
        <f>IF($A$1='Data Entry'!$C481,'Data Entry'!H481,"")</f>
        <v>0</v>
      </c>
      <c r="H480" s="46">
        <f>IF($A$1='Data Entry'!$C481,'Data Entry'!I481,"")</f>
        <v>0</v>
      </c>
      <c r="I480" s="46">
        <f>IF($A$1='Data Entry'!$C481,'Data Entry'!J481,"")</f>
        <v>0</v>
      </c>
      <c r="J480" s="46">
        <f>IF($A$1='Data Entry'!$C481,'Data Entry'!K481,"")</f>
        <v>0</v>
      </c>
      <c r="K480" s="46">
        <f>IF($A$1='Data Entry'!$C481,'Data Entry'!L481,"")</f>
        <v>0</v>
      </c>
      <c r="L480" s="46">
        <f>IF($A$1='Data Entry'!$C481,'Data Entry'!M481,"")</f>
        <v>0</v>
      </c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  <c r="AB480" s="43"/>
      <c r="AC480" s="43"/>
      <c r="AD480" s="43"/>
      <c r="AE480" s="43"/>
      <c r="AF480" s="43"/>
      <c r="AG480" s="43"/>
      <c r="AH480" s="43"/>
      <c r="AI480" s="43"/>
      <c r="AJ480" s="43"/>
    </row>
    <row r="481" spans="1:36" ht="15.95" customHeight="1" x14ac:dyDescent="0.2">
      <c r="A481" s="43"/>
      <c r="B481" s="45">
        <v>80</v>
      </c>
      <c r="C481" s="46">
        <f>IF($A$1='Data Entry'!$C482,'Data Entry'!D482,"")</f>
        <v>0</v>
      </c>
      <c r="D481" s="46">
        <f>IF($A$1='Data Entry'!$C482,'Data Entry'!E482,"")</f>
        <v>0</v>
      </c>
      <c r="E481" s="46">
        <f>IF($A$1='Data Entry'!$C482,'Data Entry'!F482,"")</f>
        <v>0</v>
      </c>
      <c r="F481" s="46">
        <f>IF($A$1='Data Entry'!$C482,'Data Entry'!G482,"")</f>
        <v>0</v>
      </c>
      <c r="G481" s="46">
        <f>IF($A$1='Data Entry'!$C482,'Data Entry'!H482,"")</f>
        <v>0</v>
      </c>
      <c r="H481" s="46">
        <f>IF($A$1='Data Entry'!$C482,'Data Entry'!I482,"")</f>
        <v>0</v>
      </c>
      <c r="I481" s="46">
        <f>IF($A$1='Data Entry'!$C482,'Data Entry'!J482,"")</f>
        <v>0</v>
      </c>
      <c r="J481" s="46">
        <f>IF($A$1='Data Entry'!$C482,'Data Entry'!K482,"")</f>
        <v>0</v>
      </c>
      <c r="K481" s="46">
        <f>IF($A$1='Data Entry'!$C482,'Data Entry'!L482,"")</f>
        <v>0</v>
      </c>
      <c r="L481" s="46">
        <f>IF($A$1='Data Entry'!$C482,'Data Entry'!M482,"")</f>
        <v>0</v>
      </c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  <c r="AB481" s="43"/>
      <c r="AC481" s="43"/>
      <c r="AD481" s="43"/>
      <c r="AE481" s="43"/>
      <c r="AF481" s="43"/>
      <c r="AG481" s="43"/>
      <c r="AH481" s="43"/>
      <c r="AI481" s="43"/>
      <c r="AJ481" s="43"/>
    </row>
    <row r="482" spans="1:36" ht="15.95" customHeight="1" x14ac:dyDescent="0.2">
      <c r="A482" s="43"/>
      <c r="B482" s="45">
        <v>80</v>
      </c>
      <c r="C482" s="46">
        <f>IF($A$1='Data Entry'!$C483,'Data Entry'!D483,"")</f>
        <v>0</v>
      </c>
      <c r="D482" s="46">
        <f>IF($A$1='Data Entry'!$C483,'Data Entry'!E483,"")</f>
        <v>0</v>
      </c>
      <c r="E482" s="46">
        <f>IF($A$1='Data Entry'!$C483,'Data Entry'!F483,"")</f>
        <v>0</v>
      </c>
      <c r="F482" s="46">
        <f>IF($A$1='Data Entry'!$C483,'Data Entry'!G483,"")</f>
        <v>0</v>
      </c>
      <c r="G482" s="46">
        <f>IF($A$1='Data Entry'!$C483,'Data Entry'!H483,"")</f>
        <v>0</v>
      </c>
      <c r="H482" s="46">
        <f>IF($A$1='Data Entry'!$C483,'Data Entry'!I483,"")</f>
        <v>0</v>
      </c>
      <c r="I482" s="46">
        <f>IF($A$1='Data Entry'!$C483,'Data Entry'!J483,"")</f>
        <v>0</v>
      </c>
      <c r="J482" s="46">
        <f>IF($A$1='Data Entry'!$C483,'Data Entry'!K483,"")</f>
        <v>0</v>
      </c>
      <c r="K482" s="46">
        <f>IF($A$1='Data Entry'!$C483,'Data Entry'!L483,"")</f>
        <v>0</v>
      </c>
      <c r="L482" s="46">
        <f>IF($A$1='Data Entry'!$C483,'Data Entry'!M483,"")</f>
        <v>0</v>
      </c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  <c r="AB482" s="43"/>
      <c r="AC482" s="43"/>
      <c r="AD482" s="43"/>
      <c r="AE482" s="43"/>
      <c r="AF482" s="43"/>
      <c r="AG482" s="43"/>
      <c r="AH482" s="43"/>
      <c r="AI482" s="43"/>
      <c r="AJ482" s="43"/>
    </row>
    <row r="483" spans="1:36" ht="15.95" customHeight="1" x14ac:dyDescent="0.2">
      <c r="A483" s="43"/>
      <c r="B483" s="45">
        <v>81</v>
      </c>
      <c r="C483" s="46">
        <f>IF($A$1='Data Entry'!$C484,'Data Entry'!D484,"")</f>
        <v>0</v>
      </c>
      <c r="D483" s="46">
        <f>IF($A$1='Data Entry'!$C484,'Data Entry'!E484,"")</f>
        <v>0</v>
      </c>
      <c r="E483" s="46">
        <f>IF($A$1='Data Entry'!$C484,'Data Entry'!F484,"")</f>
        <v>0</v>
      </c>
      <c r="F483" s="46">
        <f>IF($A$1='Data Entry'!$C484,'Data Entry'!G484,"")</f>
        <v>0</v>
      </c>
      <c r="G483" s="46">
        <f>IF($A$1='Data Entry'!$C484,'Data Entry'!H484,"")</f>
        <v>0</v>
      </c>
      <c r="H483" s="46">
        <f>IF($A$1='Data Entry'!$C484,'Data Entry'!I484,"")</f>
        <v>0</v>
      </c>
      <c r="I483" s="46">
        <f>IF($A$1='Data Entry'!$C484,'Data Entry'!J484,"")</f>
        <v>0</v>
      </c>
      <c r="J483" s="46">
        <f>IF($A$1='Data Entry'!$C484,'Data Entry'!K484,"")</f>
        <v>0</v>
      </c>
      <c r="K483" s="46">
        <f>IF($A$1='Data Entry'!$C484,'Data Entry'!L484,"")</f>
        <v>0</v>
      </c>
      <c r="L483" s="46">
        <f>IF($A$1='Data Entry'!$C484,'Data Entry'!M484,"")</f>
        <v>0</v>
      </c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  <c r="AB483" s="43"/>
      <c r="AC483" s="43"/>
      <c r="AD483" s="43"/>
      <c r="AE483" s="43"/>
      <c r="AF483" s="43"/>
      <c r="AG483" s="43"/>
      <c r="AH483" s="43"/>
      <c r="AI483" s="43"/>
      <c r="AJ483" s="43"/>
    </row>
    <row r="484" spans="1:36" ht="15.95" customHeight="1" x14ac:dyDescent="0.2">
      <c r="A484" s="43"/>
      <c r="B484" s="45">
        <v>81</v>
      </c>
      <c r="C484" s="46">
        <f>IF($A$1='Data Entry'!$C485,'Data Entry'!D485,"")</f>
        <v>0</v>
      </c>
      <c r="D484" s="46">
        <f>IF($A$1='Data Entry'!$C485,'Data Entry'!E485,"")</f>
        <v>0</v>
      </c>
      <c r="E484" s="46">
        <f>IF($A$1='Data Entry'!$C485,'Data Entry'!F485,"")</f>
        <v>0</v>
      </c>
      <c r="F484" s="46">
        <f>IF($A$1='Data Entry'!$C485,'Data Entry'!G485,"")</f>
        <v>0</v>
      </c>
      <c r="G484" s="46">
        <f>IF($A$1='Data Entry'!$C485,'Data Entry'!H485,"")</f>
        <v>0</v>
      </c>
      <c r="H484" s="46">
        <f>IF($A$1='Data Entry'!$C485,'Data Entry'!I485,"")</f>
        <v>0</v>
      </c>
      <c r="I484" s="46">
        <f>IF($A$1='Data Entry'!$C485,'Data Entry'!J485,"")</f>
        <v>0</v>
      </c>
      <c r="J484" s="46">
        <f>IF($A$1='Data Entry'!$C485,'Data Entry'!K485,"")</f>
        <v>0</v>
      </c>
      <c r="K484" s="46">
        <f>IF($A$1='Data Entry'!$C485,'Data Entry'!L485,"")</f>
        <v>0</v>
      </c>
      <c r="L484" s="46">
        <f>IF($A$1='Data Entry'!$C485,'Data Entry'!M485,"")</f>
        <v>0</v>
      </c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  <c r="AB484" s="43"/>
      <c r="AC484" s="43"/>
      <c r="AD484" s="43"/>
      <c r="AE484" s="43"/>
      <c r="AF484" s="43"/>
      <c r="AG484" s="43"/>
      <c r="AH484" s="43"/>
      <c r="AI484" s="43"/>
      <c r="AJ484" s="43"/>
    </row>
    <row r="485" spans="1:36" ht="15.95" customHeight="1" x14ac:dyDescent="0.2">
      <c r="A485" s="43"/>
      <c r="B485" s="45">
        <v>81</v>
      </c>
      <c r="C485" s="46">
        <f>IF($A$1='Data Entry'!$C486,'Data Entry'!D486,"")</f>
        <v>0</v>
      </c>
      <c r="D485" s="46">
        <f>IF($A$1='Data Entry'!$C486,'Data Entry'!E486,"")</f>
        <v>0</v>
      </c>
      <c r="E485" s="46">
        <f>IF($A$1='Data Entry'!$C486,'Data Entry'!F486,"")</f>
        <v>0</v>
      </c>
      <c r="F485" s="46">
        <f>IF($A$1='Data Entry'!$C486,'Data Entry'!G486,"")</f>
        <v>0</v>
      </c>
      <c r="G485" s="46">
        <f>IF($A$1='Data Entry'!$C486,'Data Entry'!H486,"")</f>
        <v>0</v>
      </c>
      <c r="H485" s="46">
        <f>IF($A$1='Data Entry'!$C486,'Data Entry'!I486,"")</f>
        <v>0</v>
      </c>
      <c r="I485" s="46">
        <f>IF($A$1='Data Entry'!$C486,'Data Entry'!J486,"")</f>
        <v>0</v>
      </c>
      <c r="J485" s="46">
        <f>IF($A$1='Data Entry'!$C486,'Data Entry'!K486,"")</f>
        <v>0</v>
      </c>
      <c r="K485" s="46">
        <f>IF($A$1='Data Entry'!$C486,'Data Entry'!L486,"")</f>
        <v>0</v>
      </c>
      <c r="L485" s="46">
        <f>IF($A$1='Data Entry'!$C486,'Data Entry'!M486,"")</f>
        <v>0</v>
      </c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  <c r="AB485" s="43"/>
      <c r="AC485" s="43"/>
      <c r="AD485" s="43"/>
      <c r="AE485" s="43"/>
      <c r="AF485" s="43"/>
      <c r="AG485" s="43"/>
      <c r="AH485" s="43"/>
      <c r="AI485" s="43"/>
      <c r="AJ485" s="43"/>
    </row>
    <row r="486" spans="1:36" ht="15.95" customHeight="1" x14ac:dyDescent="0.2">
      <c r="A486" s="43"/>
      <c r="B486" s="45">
        <v>81</v>
      </c>
      <c r="C486" s="46">
        <f>IF($A$1='Data Entry'!$C487,'Data Entry'!D487,"")</f>
        <v>0</v>
      </c>
      <c r="D486" s="46">
        <f>IF($A$1='Data Entry'!$C487,'Data Entry'!E487,"")</f>
        <v>0</v>
      </c>
      <c r="E486" s="46">
        <f>IF($A$1='Data Entry'!$C487,'Data Entry'!F487,"")</f>
        <v>0</v>
      </c>
      <c r="F486" s="46">
        <f>IF($A$1='Data Entry'!$C487,'Data Entry'!G487,"")</f>
        <v>0</v>
      </c>
      <c r="G486" s="46">
        <f>IF($A$1='Data Entry'!$C487,'Data Entry'!H487,"")</f>
        <v>0</v>
      </c>
      <c r="H486" s="46">
        <f>IF($A$1='Data Entry'!$C487,'Data Entry'!I487,"")</f>
        <v>0</v>
      </c>
      <c r="I486" s="46">
        <f>IF($A$1='Data Entry'!$C487,'Data Entry'!J487,"")</f>
        <v>0</v>
      </c>
      <c r="J486" s="46">
        <f>IF($A$1='Data Entry'!$C487,'Data Entry'!K487,"")</f>
        <v>0</v>
      </c>
      <c r="K486" s="46">
        <f>IF($A$1='Data Entry'!$C487,'Data Entry'!L487,"")</f>
        <v>0</v>
      </c>
      <c r="L486" s="46">
        <f>IF($A$1='Data Entry'!$C487,'Data Entry'!M487,"")</f>
        <v>0</v>
      </c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  <c r="AB486" s="43"/>
      <c r="AC486" s="43"/>
      <c r="AD486" s="43"/>
      <c r="AE486" s="43"/>
      <c r="AF486" s="43"/>
      <c r="AG486" s="43"/>
      <c r="AH486" s="43"/>
      <c r="AI486" s="43"/>
      <c r="AJ486" s="43"/>
    </row>
    <row r="487" spans="1:36" ht="15.95" customHeight="1" x14ac:dyDescent="0.2">
      <c r="A487" s="43"/>
      <c r="B487" s="45">
        <v>81</v>
      </c>
      <c r="C487" s="46">
        <f>IF($A$1='Data Entry'!$C488,'Data Entry'!D488,"")</f>
        <v>0</v>
      </c>
      <c r="D487" s="46">
        <f>IF($A$1='Data Entry'!$C488,'Data Entry'!E488,"")</f>
        <v>0</v>
      </c>
      <c r="E487" s="46">
        <f>IF($A$1='Data Entry'!$C488,'Data Entry'!F488,"")</f>
        <v>0</v>
      </c>
      <c r="F487" s="46">
        <f>IF($A$1='Data Entry'!$C488,'Data Entry'!G488,"")</f>
        <v>0</v>
      </c>
      <c r="G487" s="46">
        <f>IF($A$1='Data Entry'!$C488,'Data Entry'!H488,"")</f>
        <v>0</v>
      </c>
      <c r="H487" s="46">
        <f>IF($A$1='Data Entry'!$C488,'Data Entry'!I488,"")</f>
        <v>0</v>
      </c>
      <c r="I487" s="46">
        <f>IF($A$1='Data Entry'!$C488,'Data Entry'!J488,"")</f>
        <v>0</v>
      </c>
      <c r="J487" s="46">
        <f>IF($A$1='Data Entry'!$C488,'Data Entry'!K488,"")</f>
        <v>0</v>
      </c>
      <c r="K487" s="46">
        <f>IF($A$1='Data Entry'!$C488,'Data Entry'!L488,"")</f>
        <v>0</v>
      </c>
      <c r="L487" s="46">
        <f>IF($A$1='Data Entry'!$C488,'Data Entry'!M488,"")</f>
        <v>0</v>
      </c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  <c r="AB487" s="43"/>
      <c r="AC487" s="43"/>
      <c r="AD487" s="43"/>
      <c r="AE487" s="43"/>
      <c r="AF487" s="43"/>
      <c r="AG487" s="43"/>
      <c r="AH487" s="43"/>
      <c r="AI487" s="43"/>
      <c r="AJ487" s="43"/>
    </row>
    <row r="488" spans="1:36" ht="15.95" customHeight="1" x14ac:dyDescent="0.2">
      <c r="A488" s="43"/>
      <c r="B488" s="45">
        <v>81</v>
      </c>
      <c r="C488" s="46">
        <f>IF($A$1='Data Entry'!$C489,'Data Entry'!D489,"")</f>
        <v>0</v>
      </c>
      <c r="D488" s="46">
        <f>IF($A$1='Data Entry'!$C489,'Data Entry'!E489,"")</f>
        <v>0</v>
      </c>
      <c r="E488" s="46">
        <f>IF($A$1='Data Entry'!$C489,'Data Entry'!F489,"")</f>
        <v>0</v>
      </c>
      <c r="F488" s="46">
        <f>IF($A$1='Data Entry'!$C489,'Data Entry'!G489,"")</f>
        <v>0</v>
      </c>
      <c r="G488" s="46">
        <f>IF($A$1='Data Entry'!$C489,'Data Entry'!H489,"")</f>
        <v>0</v>
      </c>
      <c r="H488" s="46">
        <f>IF($A$1='Data Entry'!$C489,'Data Entry'!I489,"")</f>
        <v>0</v>
      </c>
      <c r="I488" s="46">
        <f>IF($A$1='Data Entry'!$C489,'Data Entry'!J489,"")</f>
        <v>0</v>
      </c>
      <c r="J488" s="46">
        <f>IF($A$1='Data Entry'!$C489,'Data Entry'!K489,"")</f>
        <v>0</v>
      </c>
      <c r="K488" s="46">
        <f>IF($A$1='Data Entry'!$C489,'Data Entry'!L489,"")</f>
        <v>0</v>
      </c>
      <c r="L488" s="46">
        <f>IF($A$1='Data Entry'!$C489,'Data Entry'!M489,"")</f>
        <v>0</v>
      </c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  <c r="AB488" s="43"/>
      <c r="AC488" s="43"/>
      <c r="AD488" s="43"/>
      <c r="AE488" s="43"/>
      <c r="AF488" s="43"/>
      <c r="AG488" s="43"/>
      <c r="AH488" s="43"/>
      <c r="AI488" s="43"/>
      <c r="AJ488" s="43"/>
    </row>
    <row r="489" spans="1:36" ht="15.95" customHeight="1" x14ac:dyDescent="0.2">
      <c r="A489" s="43"/>
      <c r="B489" s="45">
        <v>82</v>
      </c>
      <c r="C489" s="46">
        <f>IF($A$1='Data Entry'!$C490,'Data Entry'!D490,"")</f>
        <v>0</v>
      </c>
      <c r="D489" s="46">
        <f>IF($A$1='Data Entry'!$C490,'Data Entry'!E490,"")</f>
        <v>0</v>
      </c>
      <c r="E489" s="46">
        <f>IF($A$1='Data Entry'!$C490,'Data Entry'!F490,"")</f>
        <v>0</v>
      </c>
      <c r="F489" s="46">
        <f>IF($A$1='Data Entry'!$C490,'Data Entry'!G490,"")</f>
        <v>0</v>
      </c>
      <c r="G489" s="46">
        <f>IF($A$1='Data Entry'!$C490,'Data Entry'!H490,"")</f>
        <v>0</v>
      </c>
      <c r="H489" s="46">
        <f>IF($A$1='Data Entry'!$C490,'Data Entry'!I490,"")</f>
        <v>0</v>
      </c>
      <c r="I489" s="46">
        <f>IF($A$1='Data Entry'!$C490,'Data Entry'!J490,"")</f>
        <v>0</v>
      </c>
      <c r="J489" s="46">
        <f>IF($A$1='Data Entry'!$C490,'Data Entry'!K490,"")</f>
        <v>0</v>
      </c>
      <c r="K489" s="46">
        <f>IF($A$1='Data Entry'!$C490,'Data Entry'!L490,"")</f>
        <v>0</v>
      </c>
      <c r="L489" s="46">
        <f>IF($A$1='Data Entry'!$C490,'Data Entry'!M490,"")</f>
        <v>0</v>
      </c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  <c r="AB489" s="43"/>
      <c r="AC489" s="43"/>
      <c r="AD489" s="43"/>
      <c r="AE489" s="43"/>
      <c r="AF489" s="43"/>
      <c r="AG489" s="43"/>
      <c r="AH489" s="43"/>
      <c r="AI489" s="43"/>
      <c r="AJ489" s="43"/>
    </row>
    <row r="490" spans="1:36" ht="15.95" customHeight="1" x14ac:dyDescent="0.2">
      <c r="A490" s="43"/>
      <c r="B490" s="45">
        <v>82</v>
      </c>
      <c r="C490" s="46">
        <f>IF($A$1='Data Entry'!$C491,'Data Entry'!D491,"")</f>
        <v>0</v>
      </c>
      <c r="D490" s="46">
        <f>IF($A$1='Data Entry'!$C491,'Data Entry'!E491,"")</f>
        <v>0</v>
      </c>
      <c r="E490" s="46">
        <f>IF($A$1='Data Entry'!$C491,'Data Entry'!F491,"")</f>
        <v>0</v>
      </c>
      <c r="F490" s="46">
        <f>IF($A$1='Data Entry'!$C491,'Data Entry'!G491,"")</f>
        <v>0</v>
      </c>
      <c r="G490" s="46">
        <f>IF($A$1='Data Entry'!$C491,'Data Entry'!H491,"")</f>
        <v>0</v>
      </c>
      <c r="H490" s="46">
        <f>IF($A$1='Data Entry'!$C491,'Data Entry'!I491,"")</f>
        <v>0</v>
      </c>
      <c r="I490" s="46">
        <f>IF($A$1='Data Entry'!$C491,'Data Entry'!J491,"")</f>
        <v>0</v>
      </c>
      <c r="J490" s="46">
        <f>IF($A$1='Data Entry'!$C491,'Data Entry'!K491,"")</f>
        <v>0</v>
      </c>
      <c r="K490" s="46">
        <f>IF($A$1='Data Entry'!$C491,'Data Entry'!L491,"")</f>
        <v>0</v>
      </c>
      <c r="L490" s="46">
        <f>IF($A$1='Data Entry'!$C491,'Data Entry'!M491,"")</f>
        <v>0</v>
      </c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  <c r="AB490" s="43"/>
      <c r="AC490" s="43"/>
      <c r="AD490" s="43"/>
      <c r="AE490" s="43"/>
      <c r="AF490" s="43"/>
      <c r="AG490" s="43"/>
      <c r="AH490" s="43"/>
      <c r="AI490" s="43"/>
      <c r="AJ490" s="43"/>
    </row>
    <row r="491" spans="1:36" ht="15.95" customHeight="1" x14ac:dyDescent="0.2">
      <c r="A491" s="43"/>
      <c r="B491" s="45">
        <v>82</v>
      </c>
      <c r="C491" s="46">
        <f>IF($A$1='Data Entry'!$C492,'Data Entry'!D492,"")</f>
        <v>0</v>
      </c>
      <c r="D491" s="46">
        <f>IF($A$1='Data Entry'!$C492,'Data Entry'!E492,"")</f>
        <v>0</v>
      </c>
      <c r="E491" s="46">
        <f>IF($A$1='Data Entry'!$C492,'Data Entry'!F492,"")</f>
        <v>0</v>
      </c>
      <c r="F491" s="46">
        <f>IF($A$1='Data Entry'!$C492,'Data Entry'!G492,"")</f>
        <v>0</v>
      </c>
      <c r="G491" s="46">
        <f>IF($A$1='Data Entry'!$C492,'Data Entry'!H492,"")</f>
        <v>0</v>
      </c>
      <c r="H491" s="46">
        <f>IF($A$1='Data Entry'!$C492,'Data Entry'!I492,"")</f>
        <v>0</v>
      </c>
      <c r="I491" s="46">
        <f>IF($A$1='Data Entry'!$C492,'Data Entry'!J492,"")</f>
        <v>0</v>
      </c>
      <c r="J491" s="46">
        <f>IF($A$1='Data Entry'!$C492,'Data Entry'!K492,"")</f>
        <v>0</v>
      </c>
      <c r="K491" s="46">
        <f>IF($A$1='Data Entry'!$C492,'Data Entry'!L492,"")</f>
        <v>0</v>
      </c>
      <c r="L491" s="46">
        <f>IF($A$1='Data Entry'!$C492,'Data Entry'!M492,"")</f>
        <v>0</v>
      </c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  <c r="AB491" s="43"/>
      <c r="AC491" s="43"/>
      <c r="AD491" s="43"/>
      <c r="AE491" s="43"/>
      <c r="AF491" s="43"/>
      <c r="AG491" s="43"/>
      <c r="AH491" s="43"/>
      <c r="AI491" s="43"/>
      <c r="AJ491" s="43"/>
    </row>
    <row r="492" spans="1:36" ht="15.95" customHeight="1" x14ac:dyDescent="0.2">
      <c r="A492" s="43"/>
      <c r="B492" s="45">
        <v>82</v>
      </c>
      <c r="C492" s="46">
        <f>IF($A$1='Data Entry'!$C493,'Data Entry'!D493,"")</f>
        <v>0</v>
      </c>
      <c r="D492" s="46">
        <f>IF($A$1='Data Entry'!$C493,'Data Entry'!E493,"")</f>
        <v>0</v>
      </c>
      <c r="E492" s="46">
        <f>IF($A$1='Data Entry'!$C493,'Data Entry'!F493,"")</f>
        <v>0</v>
      </c>
      <c r="F492" s="46">
        <f>IF($A$1='Data Entry'!$C493,'Data Entry'!G493,"")</f>
        <v>0</v>
      </c>
      <c r="G492" s="46">
        <f>IF($A$1='Data Entry'!$C493,'Data Entry'!H493,"")</f>
        <v>0</v>
      </c>
      <c r="H492" s="46">
        <f>IF($A$1='Data Entry'!$C493,'Data Entry'!I493,"")</f>
        <v>0</v>
      </c>
      <c r="I492" s="46">
        <f>IF($A$1='Data Entry'!$C493,'Data Entry'!J493,"")</f>
        <v>0</v>
      </c>
      <c r="J492" s="46">
        <f>IF($A$1='Data Entry'!$C493,'Data Entry'!K493,"")</f>
        <v>0</v>
      </c>
      <c r="K492" s="46">
        <f>IF($A$1='Data Entry'!$C493,'Data Entry'!L493,"")</f>
        <v>0</v>
      </c>
      <c r="L492" s="46">
        <f>IF($A$1='Data Entry'!$C493,'Data Entry'!M493,"")</f>
        <v>0</v>
      </c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3"/>
      <c r="AB492" s="43"/>
      <c r="AC492" s="43"/>
      <c r="AD492" s="43"/>
      <c r="AE492" s="43"/>
      <c r="AF492" s="43"/>
      <c r="AG492" s="43"/>
      <c r="AH492" s="43"/>
      <c r="AI492" s="43"/>
      <c r="AJ492" s="43"/>
    </row>
    <row r="493" spans="1:36" ht="15.95" customHeight="1" x14ac:dyDescent="0.2">
      <c r="A493" s="43"/>
      <c r="B493" s="45">
        <v>82</v>
      </c>
      <c r="C493" s="46">
        <f>IF($A$1='Data Entry'!$C494,'Data Entry'!D494,"")</f>
        <v>0</v>
      </c>
      <c r="D493" s="46">
        <f>IF($A$1='Data Entry'!$C494,'Data Entry'!E494,"")</f>
        <v>0</v>
      </c>
      <c r="E493" s="46">
        <f>IF($A$1='Data Entry'!$C494,'Data Entry'!F494,"")</f>
        <v>0</v>
      </c>
      <c r="F493" s="46">
        <f>IF($A$1='Data Entry'!$C494,'Data Entry'!G494,"")</f>
        <v>0</v>
      </c>
      <c r="G493" s="46">
        <f>IF($A$1='Data Entry'!$C494,'Data Entry'!H494,"")</f>
        <v>0</v>
      </c>
      <c r="H493" s="46">
        <f>IF($A$1='Data Entry'!$C494,'Data Entry'!I494,"")</f>
        <v>0</v>
      </c>
      <c r="I493" s="46">
        <f>IF($A$1='Data Entry'!$C494,'Data Entry'!J494,"")</f>
        <v>0</v>
      </c>
      <c r="J493" s="46">
        <f>IF($A$1='Data Entry'!$C494,'Data Entry'!K494,"")</f>
        <v>0</v>
      </c>
      <c r="K493" s="46">
        <f>IF($A$1='Data Entry'!$C494,'Data Entry'!L494,"")</f>
        <v>0</v>
      </c>
      <c r="L493" s="46">
        <f>IF($A$1='Data Entry'!$C494,'Data Entry'!M494,"")</f>
        <v>0</v>
      </c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3"/>
      <c r="AB493" s="43"/>
      <c r="AC493" s="43"/>
      <c r="AD493" s="43"/>
      <c r="AE493" s="43"/>
      <c r="AF493" s="43"/>
      <c r="AG493" s="43"/>
      <c r="AH493" s="43"/>
      <c r="AI493" s="43"/>
      <c r="AJ493" s="43"/>
    </row>
    <row r="494" spans="1:36" ht="15.95" customHeight="1" x14ac:dyDescent="0.2">
      <c r="A494" s="43"/>
      <c r="B494" s="45">
        <v>82</v>
      </c>
      <c r="C494" s="46">
        <f>IF($A$1='Data Entry'!$C495,'Data Entry'!D495,"")</f>
        <v>0</v>
      </c>
      <c r="D494" s="46">
        <f>IF($A$1='Data Entry'!$C495,'Data Entry'!E495,"")</f>
        <v>0</v>
      </c>
      <c r="E494" s="46">
        <f>IF($A$1='Data Entry'!$C495,'Data Entry'!F495,"")</f>
        <v>0</v>
      </c>
      <c r="F494" s="46">
        <f>IF($A$1='Data Entry'!$C495,'Data Entry'!G495,"")</f>
        <v>0</v>
      </c>
      <c r="G494" s="46">
        <f>IF($A$1='Data Entry'!$C495,'Data Entry'!H495,"")</f>
        <v>0</v>
      </c>
      <c r="H494" s="46">
        <f>IF($A$1='Data Entry'!$C495,'Data Entry'!I495,"")</f>
        <v>0</v>
      </c>
      <c r="I494" s="46">
        <f>IF($A$1='Data Entry'!$C495,'Data Entry'!J495,"")</f>
        <v>0</v>
      </c>
      <c r="J494" s="46">
        <f>IF($A$1='Data Entry'!$C495,'Data Entry'!K495,"")</f>
        <v>0</v>
      </c>
      <c r="K494" s="46">
        <f>IF($A$1='Data Entry'!$C495,'Data Entry'!L495,"")</f>
        <v>0</v>
      </c>
      <c r="L494" s="46">
        <f>IF($A$1='Data Entry'!$C495,'Data Entry'!M495,"")</f>
        <v>0</v>
      </c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3"/>
      <c r="AB494" s="43"/>
      <c r="AC494" s="43"/>
      <c r="AD494" s="43"/>
      <c r="AE494" s="43"/>
      <c r="AF494" s="43"/>
      <c r="AG494" s="43"/>
      <c r="AH494" s="43"/>
      <c r="AI494" s="43"/>
      <c r="AJ494" s="43"/>
    </row>
    <row r="495" spans="1:36" ht="15.95" customHeight="1" x14ac:dyDescent="0.2">
      <c r="A495" s="43"/>
      <c r="B495" s="45">
        <v>83</v>
      </c>
      <c r="C495" s="46">
        <f>IF($A$1='Data Entry'!$C496,'Data Entry'!D496,"")</f>
        <v>0</v>
      </c>
      <c r="D495" s="46">
        <f>IF($A$1='Data Entry'!$C496,'Data Entry'!E496,"")</f>
        <v>0</v>
      </c>
      <c r="E495" s="46">
        <f>IF($A$1='Data Entry'!$C496,'Data Entry'!F496,"")</f>
        <v>0</v>
      </c>
      <c r="F495" s="46">
        <f>IF($A$1='Data Entry'!$C496,'Data Entry'!G496,"")</f>
        <v>0</v>
      </c>
      <c r="G495" s="46">
        <f>IF($A$1='Data Entry'!$C496,'Data Entry'!H496,"")</f>
        <v>0</v>
      </c>
      <c r="H495" s="46">
        <f>IF($A$1='Data Entry'!$C496,'Data Entry'!I496,"")</f>
        <v>0</v>
      </c>
      <c r="I495" s="46">
        <f>IF($A$1='Data Entry'!$C496,'Data Entry'!J496,"")</f>
        <v>0</v>
      </c>
      <c r="J495" s="46">
        <f>IF($A$1='Data Entry'!$C496,'Data Entry'!K496,"")</f>
        <v>0</v>
      </c>
      <c r="K495" s="46">
        <f>IF($A$1='Data Entry'!$C496,'Data Entry'!L496,"")</f>
        <v>0</v>
      </c>
      <c r="L495" s="46">
        <f>IF($A$1='Data Entry'!$C496,'Data Entry'!M496,"")</f>
        <v>0</v>
      </c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3"/>
      <c r="AB495" s="43"/>
      <c r="AC495" s="43"/>
      <c r="AD495" s="43"/>
      <c r="AE495" s="43"/>
      <c r="AF495" s="43"/>
      <c r="AG495" s="43"/>
      <c r="AH495" s="43"/>
      <c r="AI495" s="43"/>
      <c r="AJ495" s="43"/>
    </row>
    <row r="496" spans="1:36" ht="15.95" customHeight="1" x14ac:dyDescent="0.2">
      <c r="A496" s="43"/>
      <c r="B496" s="45">
        <v>83</v>
      </c>
      <c r="C496" s="46">
        <f>IF($A$1='Data Entry'!$C497,'Data Entry'!D497,"")</f>
        <v>0</v>
      </c>
      <c r="D496" s="46">
        <f>IF($A$1='Data Entry'!$C497,'Data Entry'!E497,"")</f>
        <v>0</v>
      </c>
      <c r="E496" s="46">
        <f>IF($A$1='Data Entry'!$C497,'Data Entry'!F497,"")</f>
        <v>0</v>
      </c>
      <c r="F496" s="46">
        <f>IF($A$1='Data Entry'!$C497,'Data Entry'!G497,"")</f>
        <v>0</v>
      </c>
      <c r="G496" s="46">
        <f>IF($A$1='Data Entry'!$C497,'Data Entry'!H497,"")</f>
        <v>0</v>
      </c>
      <c r="H496" s="46">
        <f>IF($A$1='Data Entry'!$C497,'Data Entry'!I497,"")</f>
        <v>0</v>
      </c>
      <c r="I496" s="46">
        <f>IF($A$1='Data Entry'!$C497,'Data Entry'!J497,"")</f>
        <v>0</v>
      </c>
      <c r="J496" s="46">
        <f>IF($A$1='Data Entry'!$C497,'Data Entry'!K497,"")</f>
        <v>0</v>
      </c>
      <c r="K496" s="46">
        <f>IF($A$1='Data Entry'!$C497,'Data Entry'!L497,"")</f>
        <v>0</v>
      </c>
      <c r="L496" s="46">
        <f>IF($A$1='Data Entry'!$C497,'Data Entry'!M497,"")</f>
        <v>0</v>
      </c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43"/>
      <c r="AE496" s="43"/>
      <c r="AF496" s="43"/>
      <c r="AG496" s="43"/>
      <c r="AH496" s="43"/>
      <c r="AI496" s="43"/>
      <c r="AJ496" s="43"/>
    </row>
    <row r="497" spans="1:36" ht="15.95" customHeight="1" x14ac:dyDescent="0.2">
      <c r="A497" s="43"/>
      <c r="B497" s="45">
        <v>83</v>
      </c>
      <c r="C497" s="46">
        <f>IF($A$1='Data Entry'!$C498,'Data Entry'!D498,"")</f>
        <v>0</v>
      </c>
      <c r="D497" s="46">
        <f>IF($A$1='Data Entry'!$C498,'Data Entry'!E498,"")</f>
        <v>0</v>
      </c>
      <c r="E497" s="46">
        <f>IF($A$1='Data Entry'!$C498,'Data Entry'!F498,"")</f>
        <v>0</v>
      </c>
      <c r="F497" s="46">
        <f>IF($A$1='Data Entry'!$C498,'Data Entry'!G498,"")</f>
        <v>0</v>
      </c>
      <c r="G497" s="46">
        <f>IF($A$1='Data Entry'!$C498,'Data Entry'!H498,"")</f>
        <v>0</v>
      </c>
      <c r="H497" s="46">
        <f>IF($A$1='Data Entry'!$C498,'Data Entry'!I498,"")</f>
        <v>0</v>
      </c>
      <c r="I497" s="46">
        <f>IF($A$1='Data Entry'!$C498,'Data Entry'!J498,"")</f>
        <v>0</v>
      </c>
      <c r="J497" s="46">
        <f>IF($A$1='Data Entry'!$C498,'Data Entry'!K498,"")</f>
        <v>0</v>
      </c>
      <c r="K497" s="46">
        <f>IF($A$1='Data Entry'!$C498,'Data Entry'!L498,"")</f>
        <v>0</v>
      </c>
      <c r="L497" s="46">
        <f>IF($A$1='Data Entry'!$C498,'Data Entry'!M498,"")</f>
        <v>0</v>
      </c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  <c r="AB497" s="43"/>
      <c r="AC497" s="43"/>
      <c r="AD497" s="43"/>
      <c r="AE497" s="43"/>
      <c r="AF497" s="43"/>
      <c r="AG497" s="43"/>
      <c r="AH497" s="43"/>
      <c r="AI497" s="43"/>
      <c r="AJ497" s="43"/>
    </row>
    <row r="498" spans="1:36" ht="15.95" customHeight="1" x14ac:dyDescent="0.2">
      <c r="A498" s="43"/>
      <c r="B498" s="45">
        <v>83</v>
      </c>
      <c r="C498" s="46">
        <f>IF($A$1='Data Entry'!$C499,'Data Entry'!D499,"")</f>
        <v>0</v>
      </c>
      <c r="D498" s="46">
        <f>IF($A$1='Data Entry'!$C499,'Data Entry'!E499,"")</f>
        <v>0</v>
      </c>
      <c r="E498" s="46">
        <f>IF($A$1='Data Entry'!$C499,'Data Entry'!F499,"")</f>
        <v>0</v>
      </c>
      <c r="F498" s="46">
        <f>IF($A$1='Data Entry'!$C499,'Data Entry'!G499,"")</f>
        <v>0</v>
      </c>
      <c r="G498" s="46">
        <f>IF($A$1='Data Entry'!$C499,'Data Entry'!H499,"")</f>
        <v>0</v>
      </c>
      <c r="H498" s="46">
        <f>IF($A$1='Data Entry'!$C499,'Data Entry'!I499,"")</f>
        <v>0</v>
      </c>
      <c r="I498" s="46">
        <f>IF($A$1='Data Entry'!$C499,'Data Entry'!J499,"")</f>
        <v>0</v>
      </c>
      <c r="J498" s="46">
        <f>IF($A$1='Data Entry'!$C499,'Data Entry'!K499,"")</f>
        <v>0</v>
      </c>
      <c r="K498" s="46">
        <f>IF($A$1='Data Entry'!$C499,'Data Entry'!L499,"")</f>
        <v>0</v>
      </c>
      <c r="L498" s="46">
        <f>IF($A$1='Data Entry'!$C499,'Data Entry'!M499,"")</f>
        <v>0</v>
      </c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  <c r="AB498" s="43"/>
      <c r="AC498" s="43"/>
      <c r="AD498" s="43"/>
      <c r="AE498" s="43"/>
      <c r="AF498" s="43"/>
      <c r="AG498" s="43"/>
      <c r="AH498" s="43"/>
      <c r="AI498" s="43"/>
      <c r="AJ498" s="43"/>
    </row>
    <row r="499" spans="1:36" ht="15.95" customHeight="1" x14ac:dyDescent="0.2">
      <c r="A499" s="43"/>
      <c r="B499" s="45">
        <v>83</v>
      </c>
      <c r="C499" s="46">
        <f>IF($A$1='Data Entry'!$C500,'Data Entry'!D500,"")</f>
        <v>0</v>
      </c>
      <c r="D499" s="46">
        <f>IF($A$1='Data Entry'!$C500,'Data Entry'!E500,"")</f>
        <v>0</v>
      </c>
      <c r="E499" s="46">
        <f>IF($A$1='Data Entry'!$C500,'Data Entry'!F500,"")</f>
        <v>0</v>
      </c>
      <c r="F499" s="46">
        <f>IF($A$1='Data Entry'!$C500,'Data Entry'!G500,"")</f>
        <v>0</v>
      </c>
      <c r="G499" s="46">
        <f>IF($A$1='Data Entry'!$C500,'Data Entry'!H500,"")</f>
        <v>0</v>
      </c>
      <c r="H499" s="46">
        <f>IF($A$1='Data Entry'!$C500,'Data Entry'!I500,"")</f>
        <v>0</v>
      </c>
      <c r="I499" s="46">
        <f>IF($A$1='Data Entry'!$C500,'Data Entry'!J500,"")</f>
        <v>0</v>
      </c>
      <c r="J499" s="46">
        <f>IF($A$1='Data Entry'!$C500,'Data Entry'!K500,"")</f>
        <v>0</v>
      </c>
      <c r="K499" s="46">
        <f>IF($A$1='Data Entry'!$C500,'Data Entry'!L500,"")</f>
        <v>0</v>
      </c>
      <c r="L499" s="46">
        <f>IF($A$1='Data Entry'!$C500,'Data Entry'!M500,"")</f>
        <v>0</v>
      </c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  <c r="AB499" s="43"/>
      <c r="AC499" s="43"/>
      <c r="AD499" s="43"/>
      <c r="AE499" s="43"/>
      <c r="AF499" s="43"/>
      <c r="AG499" s="43"/>
      <c r="AH499" s="43"/>
      <c r="AI499" s="43"/>
      <c r="AJ499" s="43"/>
    </row>
    <row r="500" spans="1:36" ht="15.95" customHeight="1" x14ac:dyDescent="0.2">
      <c r="A500" s="43"/>
      <c r="B500" s="45">
        <v>83</v>
      </c>
      <c r="C500" s="46">
        <f>IF($A$1='Data Entry'!$C501,'Data Entry'!D501,"")</f>
        <v>0</v>
      </c>
      <c r="D500" s="46">
        <f>IF($A$1='Data Entry'!$C501,'Data Entry'!E501,"")</f>
        <v>0</v>
      </c>
      <c r="E500" s="46">
        <f>IF($A$1='Data Entry'!$C501,'Data Entry'!F501,"")</f>
        <v>0</v>
      </c>
      <c r="F500" s="46">
        <f>IF($A$1='Data Entry'!$C501,'Data Entry'!G501,"")</f>
        <v>0</v>
      </c>
      <c r="G500" s="46">
        <f>IF($A$1='Data Entry'!$C501,'Data Entry'!H501,"")</f>
        <v>0</v>
      </c>
      <c r="H500" s="46">
        <f>IF($A$1='Data Entry'!$C501,'Data Entry'!I501,"")</f>
        <v>0</v>
      </c>
      <c r="I500" s="46">
        <f>IF($A$1='Data Entry'!$C501,'Data Entry'!J501,"")</f>
        <v>0</v>
      </c>
      <c r="J500" s="46">
        <f>IF($A$1='Data Entry'!$C501,'Data Entry'!K501,"")</f>
        <v>0</v>
      </c>
      <c r="K500" s="46">
        <f>IF($A$1='Data Entry'!$C501,'Data Entry'!L501,"")</f>
        <v>0</v>
      </c>
      <c r="L500" s="46">
        <f>IF($A$1='Data Entry'!$C501,'Data Entry'!M501,"")</f>
        <v>0</v>
      </c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  <c r="AB500" s="43"/>
      <c r="AC500" s="43"/>
      <c r="AD500" s="43"/>
      <c r="AE500" s="43"/>
      <c r="AF500" s="43"/>
      <c r="AG500" s="43"/>
      <c r="AH500" s="43"/>
      <c r="AI500" s="43"/>
      <c r="AJ500" s="43"/>
    </row>
    <row r="501" spans="1:36" ht="15.95" customHeight="1" x14ac:dyDescent="0.2">
      <c r="A501" s="43"/>
      <c r="B501" s="45">
        <v>84</v>
      </c>
      <c r="C501" s="46">
        <f>IF($A$1='Data Entry'!$C502,'Data Entry'!D502,"")</f>
        <v>0</v>
      </c>
      <c r="D501" s="46">
        <f>IF($A$1='Data Entry'!$C502,'Data Entry'!E502,"")</f>
        <v>0</v>
      </c>
      <c r="E501" s="46">
        <f>IF($A$1='Data Entry'!$C502,'Data Entry'!F502,"")</f>
        <v>0</v>
      </c>
      <c r="F501" s="46">
        <f>IF($A$1='Data Entry'!$C502,'Data Entry'!G502,"")</f>
        <v>0</v>
      </c>
      <c r="G501" s="46">
        <f>IF($A$1='Data Entry'!$C502,'Data Entry'!H502,"")</f>
        <v>0</v>
      </c>
      <c r="H501" s="46">
        <f>IF($A$1='Data Entry'!$C502,'Data Entry'!I502,"")</f>
        <v>0</v>
      </c>
      <c r="I501" s="46">
        <f>IF($A$1='Data Entry'!$C502,'Data Entry'!J502,"")</f>
        <v>0</v>
      </c>
      <c r="J501" s="46">
        <f>IF($A$1='Data Entry'!$C502,'Data Entry'!K502,"")</f>
        <v>0</v>
      </c>
      <c r="K501" s="46">
        <f>IF($A$1='Data Entry'!$C502,'Data Entry'!L502,"")</f>
        <v>0</v>
      </c>
      <c r="L501" s="46">
        <f>IF($A$1='Data Entry'!$C502,'Data Entry'!M502,"")</f>
        <v>0</v>
      </c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  <c r="AA501" s="43"/>
      <c r="AB501" s="43"/>
      <c r="AC501" s="43"/>
      <c r="AD501" s="43"/>
      <c r="AE501" s="43"/>
      <c r="AF501" s="43"/>
      <c r="AG501" s="43"/>
      <c r="AH501" s="43"/>
      <c r="AI501" s="43"/>
      <c r="AJ501" s="43"/>
    </row>
    <row r="502" spans="1:36" ht="15.95" customHeight="1" x14ac:dyDescent="0.2">
      <c r="A502" s="43"/>
      <c r="B502" s="45">
        <v>84</v>
      </c>
      <c r="C502" s="46">
        <f>IF($A$1='Data Entry'!$C503,'Data Entry'!D503,"")</f>
        <v>0</v>
      </c>
      <c r="D502" s="46">
        <f>IF($A$1='Data Entry'!$C503,'Data Entry'!E503,"")</f>
        <v>0</v>
      </c>
      <c r="E502" s="46">
        <f>IF($A$1='Data Entry'!$C503,'Data Entry'!F503,"")</f>
        <v>0</v>
      </c>
      <c r="F502" s="46">
        <f>IF($A$1='Data Entry'!$C503,'Data Entry'!G503,"")</f>
        <v>0</v>
      </c>
      <c r="G502" s="46">
        <f>IF($A$1='Data Entry'!$C503,'Data Entry'!H503,"")</f>
        <v>0</v>
      </c>
      <c r="H502" s="46">
        <f>IF($A$1='Data Entry'!$C503,'Data Entry'!I503,"")</f>
        <v>0</v>
      </c>
      <c r="I502" s="46">
        <f>IF($A$1='Data Entry'!$C503,'Data Entry'!J503,"")</f>
        <v>0</v>
      </c>
      <c r="J502" s="46">
        <f>IF($A$1='Data Entry'!$C503,'Data Entry'!K503,"")</f>
        <v>0</v>
      </c>
      <c r="K502" s="46">
        <f>IF($A$1='Data Entry'!$C503,'Data Entry'!L503,"")</f>
        <v>0</v>
      </c>
      <c r="L502" s="46">
        <f>IF($A$1='Data Entry'!$C503,'Data Entry'!M503,"")</f>
        <v>0</v>
      </c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  <c r="AA502" s="43"/>
      <c r="AB502" s="43"/>
      <c r="AC502" s="43"/>
      <c r="AD502" s="43"/>
      <c r="AE502" s="43"/>
      <c r="AF502" s="43"/>
      <c r="AG502" s="43"/>
      <c r="AH502" s="43"/>
      <c r="AI502" s="43"/>
      <c r="AJ502" s="43"/>
    </row>
    <row r="503" spans="1:36" ht="15.95" customHeight="1" x14ac:dyDescent="0.2">
      <c r="A503" s="43"/>
      <c r="B503" s="45">
        <v>84</v>
      </c>
      <c r="C503" s="46">
        <f>IF($A$1='Data Entry'!$C504,'Data Entry'!D504,"")</f>
        <v>0</v>
      </c>
      <c r="D503" s="46">
        <f>IF($A$1='Data Entry'!$C504,'Data Entry'!E504,"")</f>
        <v>0</v>
      </c>
      <c r="E503" s="46">
        <f>IF($A$1='Data Entry'!$C504,'Data Entry'!F504,"")</f>
        <v>0</v>
      </c>
      <c r="F503" s="46">
        <f>IF($A$1='Data Entry'!$C504,'Data Entry'!G504,"")</f>
        <v>0</v>
      </c>
      <c r="G503" s="46">
        <f>IF($A$1='Data Entry'!$C504,'Data Entry'!H504,"")</f>
        <v>0</v>
      </c>
      <c r="H503" s="46">
        <f>IF($A$1='Data Entry'!$C504,'Data Entry'!I504,"")</f>
        <v>0</v>
      </c>
      <c r="I503" s="46">
        <f>IF($A$1='Data Entry'!$C504,'Data Entry'!J504,"")</f>
        <v>0</v>
      </c>
      <c r="J503" s="46">
        <f>IF($A$1='Data Entry'!$C504,'Data Entry'!K504,"")</f>
        <v>0</v>
      </c>
      <c r="K503" s="46">
        <f>IF($A$1='Data Entry'!$C504,'Data Entry'!L504,"")</f>
        <v>0</v>
      </c>
      <c r="L503" s="46">
        <f>IF($A$1='Data Entry'!$C504,'Data Entry'!M504,"")</f>
        <v>0</v>
      </c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  <c r="AA503" s="43"/>
      <c r="AB503" s="43"/>
      <c r="AC503" s="43"/>
      <c r="AD503" s="43"/>
      <c r="AE503" s="43"/>
      <c r="AF503" s="43"/>
      <c r="AG503" s="43"/>
      <c r="AH503" s="43"/>
      <c r="AI503" s="43"/>
      <c r="AJ503" s="43"/>
    </row>
    <row r="504" spans="1:36" ht="15.95" customHeight="1" x14ac:dyDescent="0.2">
      <c r="A504" s="43"/>
      <c r="B504" s="45">
        <v>84</v>
      </c>
      <c r="C504" s="46">
        <f>IF($A$1='Data Entry'!$C505,'Data Entry'!D505,"")</f>
        <v>0</v>
      </c>
      <c r="D504" s="46">
        <f>IF($A$1='Data Entry'!$C505,'Data Entry'!E505,"")</f>
        <v>0</v>
      </c>
      <c r="E504" s="46">
        <f>IF($A$1='Data Entry'!$C505,'Data Entry'!F505,"")</f>
        <v>0</v>
      </c>
      <c r="F504" s="46">
        <f>IF($A$1='Data Entry'!$C505,'Data Entry'!G505,"")</f>
        <v>0</v>
      </c>
      <c r="G504" s="46">
        <f>IF($A$1='Data Entry'!$C505,'Data Entry'!H505,"")</f>
        <v>0</v>
      </c>
      <c r="H504" s="46">
        <f>IF($A$1='Data Entry'!$C505,'Data Entry'!I505,"")</f>
        <v>0</v>
      </c>
      <c r="I504" s="46">
        <f>IF($A$1='Data Entry'!$C505,'Data Entry'!J505,"")</f>
        <v>0</v>
      </c>
      <c r="J504" s="46">
        <f>IF($A$1='Data Entry'!$C505,'Data Entry'!K505,"")</f>
        <v>0</v>
      </c>
      <c r="K504" s="46">
        <f>IF($A$1='Data Entry'!$C505,'Data Entry'!L505,"")</f>
        <v>0</v>
      </c>
      <c r="L504" s="46">
        <f>IF($A$1='Data Entry'!$C505,'Data Entry'!M505,"")</f>
        <v>0</v>
      </c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  <c r="AA504" s="43"/>
      <c r="AB504" s="43"/>
      <c r="AC504" s="43"/>
      <c r="AD504" s="43"/>
      <c r="AE504" s="43"/>
      <c r="AF504" s="43"/>
      <c r="AG504" s="43"/>
      <c r="AH504" s="43"/>
      <c r="AI504" s="43"/>
      <c r="AJ504" s="43"/>
    </row>
    <row r="505" spans="1:36" ht="15.95" customHeight="1" x14ac:dyDescent="0.2">
      <c r="A505" s="43"/>
      <c r="B505" s="45">
        <v>84</v>
      </c>
      <c r="C505" s="46">
        <f>IF($A$1='Data Entry'!$C506,'Data Entry'!D506,"")</f>
        <v>0</v>
      </c>
      <c r="D505" s="46">
        <f>IF($A$1='Data Entry'!$C506,'Data Entry'!E506,"")</f>
        <v>0</v>
      </c>
      <c r="E505" s="46">
        <f>IF($A$1='Data Entry'!$C506,'Data Entry'!F506,"")</f>
        <v>0</v>
      </c>
      <c r="F505" s="46">
        <f>IF($A$1='Data Entry'!$C506,'Data Entry'!G506,"")</f>
        <v>0</v>
      </c>
      <c r="G505" s="46">
        <f>IF($A$1='Data Entry'!$C506,'Data Entry'!H506,"")</f>
        <v>0</v>
      </c>
      <c r="H505" s="46">
        <f>IF($A$1='Data Entry'!$C506,'Data Entry'!I506,"")</f>
        <v>0</v>
      </c>
      <c r="I505" s="46">
        <f>IF($A$1='Data Entry'!$C506,'Data Entry'!J506,"")</f>
        <v>0</v>
      </c>
      <c r="J505" s="46">
        <f>IF($A$1='Data Entry'!$C506,'Data Entry'!K506,"")</f>
        <v>0</v>
      </c>
      <c r="K505" s="46">
        <f>IF($A$1='Data Entry'!$C506,'Data Entry'!L506,"")</f>
        <v>0</v>
      </c>
      <c r="L505" s="46">
        <f>IF($A$1='Data Entry'!$C506,'Data Entry'!M506,"")</f>
        <v>0</v>
      </c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  <c r="AA505" s="43"/>
      <c r="AB505" s="43"/>
      <c r="AC505" s="43"/>
      <c r="AD505" s="43"/>
      <c r="AE505" s="43"/>
      <c r="AF505" s="43"/>
      <c r="AG505" s="43"/>
      <c r="AH505" s="43"/>
      <c r="AI505" s="43"/>
      <c r="AJ505" s="43"/>
    </row>
    <row r="506" spans="1:36" ht="15.95" customHeight="1" x14ac:dyDescent="0.2">
      <c r="A506" s="43"/>
      <c r="B506" s="45">
        <v>84</v>
      </c>
      <c r="C506" s="46">
        <f>IF($A$1='Data Entry'!$C507,'Data Entry'!D507,"")</f>
        <v>0</v>
      </c>
      <c r="D506" s="46">
        <f>IF($A$1='Data Entry'!$C507,'Data Entry'!E507,"")</f>
        <v>0</v>
      </c>
      <c r="E506" s="46">
        <f>IF($A$1='Data Entry'!$C507,'Data Entry'!F507,"")</f>
        <v>0</v>
      </c>
      <c r="F506" s="46">
        <f>IF($A$1='Data Entry'!$C507,'Data Entry'!G507,"")</f>
        <v>0</v>
      </c>
      <c r="G506" s="46">
        <f>IF($A$1='Data Entry'!$C507,'Data Entry'!H507,"")</f>
        <v>0</v>
      </c>
      <c r="H506" s="46">
        <f>IF($A$1='Data Entry'!$C507,'Data Entry'!I507,"")</f>
        <v>0</v>
      </c>
      <c r="I506" s="46">
        <f>IF($A$1='Data Entry'!$C507,'Data Entry'!J507,"")</f>
        <v>0</v>
      </c>
      <c r="J506" s="46">
        <f>IF($A$1='Data Entry'!$C507,'Data Entry'!K507,"")</f>
        <v>0</v>
      </c>
      <c r="K506" s="46">
        <f>IF($A$1='Data Entry'!$C507,'Data Entry'!L507,"")</f>
        <v>0</v>
      </c>
      <c r="L506" s="46">
        <f>IF($A$1='Data Entry'!$C507,'Data Entry'!M507,"")</f>
        <v>0</v>
      </c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  <c r="AA506" s="43"/>
      <c r="AB506" s="43"/>
      <c r="AC506" s="43"/>
      <c r="AD506" s="43"/>
      <c r="AE506" s="43"/>
      <c r="AF506" s="43"/>
      <c r="AG506" s="43"/>
      <c r="AH506" s="43"/>
      <c r="AI506" s="43"/>
      <c r="AJ506" s="43"/>
    </row>
    <row r="507" spans="1:36" ht="15.95" customHeight="1" x14ac:dyDescent="0.2">
      <c r="A507" s="43"/>
      <c r="B507" s="45">
        <v>85</v>
      </c>
      <c r="C507" s="46">
        <f>IF($A$1='Data Entry'!$C508,'Data Entry'!D508,"")</f>
        <v>0</v>
      </c>
      <c r="D507" s="46">
        <f>IF($A$1='Data Entry'!$C508,'Data Entry'!E508,"")</f>
        <v>0</v>
      </c>
      <c r="E507" s="46">
        <f>IF($A$1='Data Entry'!$C508,'Data Entry'!F508,"")</f>
        <v>0</v>
      </c>
      <c r="F507" s="46">
        <f>IF($A$1='Data Entry'!$C508,'Data Entry'!G508,"")</f>
        <v>0</v>
      </c>
      <c r="G507" s="46">
        <f>IF($A$1='Data Entry'!$C508,'Data Entry'!H508,"")</f>
        <v>0</v>
      </c>
      <c r="H507" s="46">
        <f>IF($A$1='Data Entry'!$C508,'Data Entry'!I508,"")</f>
        <v>0</v>
      </c>
      <c r="I507" s="46">
        <f>IF($A$1='Data Entry'!$C508,'Data Entry'!J508,"")</f>
        <v>0</v>
      </c>
      <c r="J507" s="46">
        <f>IF($A$1='Data Entry'!$C508,'Data Entry'!K508,"")</f>
        <v>0</v>
      </c>
      <c r="K507" s="46">
        <f>IF($A$1='Data Entry'!$C508,'Data Entry'!L508,"")</f>
        <v>0</v>
      </c>
      <c r="L507" s="46">
        <f>IF($A$1='Data Entry'!$C508,'Data Entry'!M508,"")</f>
        <v>0</v>
      </c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  <c r="AA507" s="43"/>
      <c r="AB507" s="43"/>
      <c r="AC507" s="43"/>
      <c r="AD507" s="43"/>
      <c r="AE507" s="43"/>
      <c r="AF507" s="43"/>
      <c r="AG507" s="43"/>
      <c r="AH507" s="43"/>
      <c r="AI507" s="43"/>
      <c r="AJ507" s="43"/>
    </row>
    <row r="508" spans="1:36" ht="15.95" customHeight="1" x14ac:dyDescent="0.2">
      <c r="A508" s="43"/>
      <c r="B508" s="45">
        <v>85</v>
      </c>
      <c r="C508" s="46">
        <f>IF($A$1='Data Entry'!$C509,'Data Entry'!D509,"")</f>
        <v>0</v>
      </c>
      <c r="D508" s="46">
        <f>IF($A$1='Data Entry'!$C509,'Data Entry'!E509,"")</f>
        <v>0</v>
      </c>
      <c r="E508" s="46">
        <f>IF($A$1='Data Entry'!$C509,'Data Entry'!F509,"")</f>
        <v>0</v>
      </c>
      <c r="F508" s="46">
        <f>IF($A$1='Data Entry'!$C509,'Data Entry'!G509,"")</f>
        <v>0</v>
      </c>
      <c r="G508" s="46">
        <f>IF($A$1='Data Entry'!$C509,'Data Entry'!H509,"")</f>
        <v>0</v>
      </c>
      <c r="H508" s="46">
        <f>IF($A$1='Data Entry'!$C509,'Data Entry'!I509,"")</f>
        <v>0</v>
      </c>
      <c r="I508" s="46">
        <f>IF($A$1='Data Entry'!$C509,'Data Entry'!J509,"")</f>
        <v>0</v>
      </c>
      <c r="J508" s="46">
        <f>IF($A$1='Data Entry'!$C509,'Data Entry'!K509,"")</f>
        <v>0</v>
      </c>
      <c r="K508" s="46">
        <f>IF($A$1='Data Entry'!$C509,'Data Entry'!L509,"")</f>
        <v>0</v>
      </c>
      <c r="L508" s="46">
        <f>IF($A$1='Data Entry'!$C509,'Data Entry'!M509,"")</f>
        <v>0</v>
      </c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  <c r="AA508" s="43"/>
      <c r="AB508" s="43"/>
      <c r="AC508" s="43"/>
      <c r="AD508" s="43"/>
      <c r="AE508" s="43"/>
      <c r="AF508" s="43"/>
      <c r="AG508" s="43"/>
      <c r="AH508" s="43"/>
      <c r="AI508" s="43"/>
      <c r="AJ508" s="43"/>
    </row>
    <row r="509" spans="1:36" ht="15.95" customHeight="1" x14ac:dyDescent="0.2">
      <c r="A509" s="43"/>
      <c r="B509" s="45">
        <v>85</v>
      </c>
      <c r="C509" s="46">
        <f>IF($A$1='Data Entry'!$C510,'Data Entry'!D510,"")</f>
        <v>0</v>
      </c>
      <c r="D509" s="46">
        <f>IF($A$1='Data Entry'!$C510,'Data Entry'!E510,"")</f>
        <v>0</v>
      </c>
      <c r="E509" s="46">
        <f>IF($A$1='Data Entry'!$C510,'Data Entry'!F510,"")</f>
        <v>0</v>
      </c>
      <c r="F509" s="46">
        <f>IF($A$1='Data Entry'!$C510,'Data Entry'!G510,"")</f>
        <v>0</v>
      </c>
      <c r="G509" s="46">
        <f>IF($A$1='Data Entry'!$C510,'Data Entry'!H510,"")</f>
        <v>0</v>
      </c>
      <c r="H509" s="46">
        <f>IF($A$1='Data Entry'!$C510,'Data Entry'!I510,"")</f>
        <v>0</v>
      </c>
      <c r="I509" s="46">
        <f>IF($A$1='Data Entry'!$C510,'Data Entry'!J510,"")</f>
        <v>0</v>
      </c>
      <c r="J509" s="46">
        <f>IF($A$1='Data Entry'!$C510,'Data Entry'!K510,"")</f>
        <v>0</v>
      </c>
      <c r="K509" s="46">
        <f>IF($A$1='Data Entry'!$C510,'Data Entry'!L510,"")</f>
        <v>0</v>
      </c>
      <c r="L509" s="46">
        <f>IF($A$1='Data Entry'!$C510,'Data Entry'!M510,"")</f>
        <v>0</v>
      </c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  <c r="AA509" s="43"/>
      <c r="AB509" s="43"/>
      <c r="AC509" s="43"/>
      <c r="AD509" s="43"/>
      <c r="AE509" s="43"/>
      <c r="AF509" s="43"/>
      <c r="AG509" s="43"/>
      <c r="AH509" s="43"/>
      <c r="AI509" s="43"/>
      <c r="AJ509" s="43"/>
    </row>
    <row r="510" spans="1:36" ht="15.95" customHeight="1" x14ac:dyDescent="0.2">
      <c r="A510" s="43"/>
      <c r="B510" s="45">
        <v>85</v>
      </c>
      <c r="C510" s="46">
        <f>IF($A$1='Data Entry'!$C511,'Data Entry'!D511,"")</f>
        <v>0</v>
      </c>
      <c r="D510" s="46">
        <f>IF($A$1='Data Entry'!$C511,'Data Entry'!E511,"")</f>
        <v>0</v>
      </c>
      <c r="E510" s="46">
        <f>IF($A$1='Data Entry'!$C511,'Data Entry'!F511,"")</f>
        <v>0</v>
      </c>
      <c r="F510" s="46">
        <f>IF($A$1='Data Entry'!$C511,'Data Entry'!G511,"")</f>
        <v>0</v>
      </c>
      <c r="G510" s="46">
        <f>IF($A$1='Data Entry'!$C511,'Data Entry'!H511,"")</f>
        <v>0</v>
      </c>
      <c r="H510" s="46">
        <f>IF($A$1='Data Entry'!$C511,'Data Entry'!I511,"")</f>
        <v>0</v>
      </c>
      <c r="I510" s="46">
        <f>IF($A$1='Data Entry'!$C511,'Data Entry'!J511,"")</f>
        <v>0</v>
      </c>
      <c r="J510" s="46">
        <f>IF($A$1='Data Entry'!$C511,'Data Entry'!K511,"")</f>
        <v>0</v>
      </c>
      <c r="K510" s="46">
        <f>IF($A$1='Data Entry'!$C511,'Data Entry'!L511,"")</f>
        <v>0</v>
      </c>
      <c r="L510" s="46">
        <f>IF($A$1='Data Entry'!$C511,'Data Entry'!M511,"")</f>
        <v>0</v>
      </c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  <c r="AA510" s="43"/>
      <c r="AB510" s="43"/>
      <c r="AC510" s="43"/>
      <c r="AD510" s="43"/>
      <c r="AE510" s="43"/>
      <c r="AF510" s="43"/>
      <c r="AG510" s="43"/>
      <c r="AH510" s="43"/>
      <c r="AI510" s="43"/>
      <c r="AJ510" s="43"/>
    </row>
    <row r="511" spans="1:36" ht="15.95" customHeight="1" x14ac:dyDescent="0.2">
      <c r="A511" s="43"/>
      <c r="B511" s="45">
        <v>85</v>
      </c>
      <c r="C511" s="46">
        <f>IF($A$1='Data Entry'!$C512,'Data Entry'!D512,"")</f>
        <v>0</v>
      </c>
      <c r="D511" s="46">
        <f>IF($A$1='Data Entry'!$C512,'Data Entry'!E512,"")</f>
        <v>0</v>
      </c>
      <c r="E511" s="46">
        <f>IF($A$1='Data Entry'!$C512,'Data Entry'!F512,"")</f>
        <v>0</v>
      </c>
      <c r="F511" s="46">
        <f>IF($A$1='Data Entry'!$C512,'Data Entry'!G512,"")</f>
        <v>0</v>
      </c>
      <c r="G511" s="46">
        <f>IF($A$1='Data Entry'!$C512,'Data Entry'!H512,"")</f>
        <v>0</v>
      </c>
      <c r="H511" s="46">
        <f>IF($A$1='Data Entry'!$C512,'Data Entry'!I512,"")</f>
        <v>0</v>
      </c>
      <c r="I511" s="46">
        <f>IF($A$1='Data Entry'!$C512,'Data Entry'!J512,"")</f>
        <v>0</v>
      </c>
      <c r="J511" s="46">
        <f>IF($A$1='Data Entry'!$C512,'Data Entry'!K512,"")</f>
        <v>0</v>
      </c>
      <c r="K511" s="46">
        <f>IF($A$1='Data Entry'!$C512,'Data Entry'!L512,"")</f>
        <v>0</v>
      </c>
      <c r="L511" s="46">
        <f>IF($A$1='Data Entry'!$C512,'Data Entry'!M512,"")</f>
        <v>0</v>
      </c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  <c r="AA511" s="43"/>
      <c r="AB511" s="43"/>
      <c r="AC511" s="43"/>
      <c r="AD511" s="43"/>
      <c r="AE511" s="43"/>
      <c r="AF511" s="43"/>
      <c r="AG511" s="43"/>
      <c r="AH511" s="43"/>
      <c r="AI511" s="43"/>
      <c r="AJ511" s="43"/>
    </row>
    <row r="512" spans="1:36" ht="15.95" customHeight="1" x14ac:dyDescent="0.2">
      <c r="A512" s="43"/>
      <c r="B512" s="45">
        <v>85</v>
      </c>
      <c r="C512" s="46">
        <f>IF($A$1='Data Entry'!$C513,'Data Entry'!D513,"")</f>
        <v>0</v>
      </c>
      <c r="D512" s="46">
        <f>IF($A$1='Data Entry'!$C513,'Data Entry'!E513,"")</f>
        <v>0</v>
      </c>
      <c r="E512" s="46">
        <f>IF($A$1='Data Entry'!$C513,'Data Entry'!F513,"")</f>
        <v>0</v>
      </c>
      <c r="F512" s="46">
        <f>IF($A$1='Data Entry'!$C513,'Data Entry'!G513,"")</f>
        <v>0</v>
      </c>
      <c r="G512" s="46">
        <f>IF($A$1='Data Entry'!$C513,'Data Entry'!H513,"")</f>
        <v>0</v>
      </c>
      <c r="H512" s="46">
        <f>IF($A$1='Data Entry'!$C513,'Data Entry'!I513,"")</f>
        <v>0</v>
      </c>
      <c r="I512" s="46">
        <f>IF($A$1='Data Entry'!$C513,'Data Entry'!J513,"")</f>
        <v>0</v>
      </c>
      <c r="J512" s="46">
        <f>IF($A$1='Data Entry'!$C513,'Data Entry'!K513,"")</f>
        <v>0</v>
      </c>
      <c r="K512" s="46">
        <f>IF($A$1='Data Entry'!$C513,'Data Entry'!L513,"")</f>
        <v>0</v>
      </c>
      <c r="L512" s="46">
        <f>IF($A$1='Data Entry'!$C513,'Data Entry'!M513,"")</f>
        <v>0</v>
      </c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  <c r="AA512" s="43"/>
      <c r="AB512" s="43"/>
      <c r="AC512" s="43"/>
      <c r="AD512" s="43"/>
      <c r="AE512" s="43"/>
      <c r="AF512" s="43"/>
      <c r="AG512" s="43"/>
      <c r="AH512" s="43"/>
      <c r="AI512" s="43"/>
      <c r="AJ512" s="43"/>
    </row>
    <row r="513" spans="1:36" ht="15.95" customHeight="1" x14ac:dyDescent="0.2">
      <c r="A513" s="43"/>
      <c r="B513" s="45">
        <v>86</v>
      </c>
      <c r="C513" s="46">
        <f>IF($A$1='Data Entry'!$C514,'Data Entry'!D514,"")</f>
        <v>0</v>
      </c>
      <c r="D513" s="46">
        <f>IF($A$1='Data Entry'!$C514,'Data Entry'!E514,"")</f>
        <v>0</v>
      </c>
      <c r="E513" s="46">
        <f>IF($A$1='Data Entry'!$C514,'Data Entry'!F514,"")</f>
        <v>0</v>
      </c>
      <c r="F513" s="46">
        <f>IF($A$1='Data Entry'!$C514,'Data Entry'!G514,"")</f>
        <v>0</v>
      </c>
      <c r="G513" s="46">
        <f>IF($A$1='Data Entry'!$C514,'Data Entry'!H514,"")</f>
        <v>0</v>
      </c>
      <c r="H513" s="46">
        <f>IF($A$1='Data Entry'!$C514,'Data Entry'!I514,"")</f>
        <v>0</v>
      </c>
      <c r="I513" s="46">
        <f>IF($A$1='Data Entry'!$C514,'Data Entry'!J514,"")</f>
        <v>0</v>
      </c>
      <c r="J513" s="46">
        <f>IF($A$1='Data Entry'!$C514,'Data Entry'!K514,"")</f>
        <v>0</v>
      </c>
      <c r="K513" s="46">
        <f>IF($A$1='Data Entry'!$C514,'Data Entry'!L514,"")</f>
        <v>0</v>
      </c>
      <c r="L513" s="46">
        <f>IF($A$1='Data Entry'!$C514,'Data Entry'!M514,"")</f>
        <v>0</v>
      </c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  <c r="AA513" s="43"/>
      <c r="AB513" s="43"/>
      <c r="AC513" s="43"/>
      <c r="AD513" s="43"/>
      <c r="AE513" s="43"/>
      <c r="AF513" s="43"/>
      <c r="AG513" s="43"/>
      <c r="AH513" s="43"/>
      <c r="AI513" s="43"/>
      <c r="AJ513" s="43"/>
    </row>
    <row r="514" spans="1:36" ht="15.95" customHeight="1" x14ac:dyDescent="0.2">
      <c r="A514" s="43"/>
      <c r="B514" s="45">
        <v>86</v>
      </c>
      <c r="C514" s="46">
        <f>IF($A$1='Data Entry'!$C515,'Data Entry'!D515,"")</f>
        <v>0</v>
      </c>
      <c r="D514" s="46">
        <f>IF($A$1='Data Entry'!$C515,'Data Entry'!E515,"")</f>
        <v>0</v>
      </c>
      <c r="E514" s="46">
        <f>IF($A$1='Data Entry'!$C515,'Data Entry'!F515,"")</f>
        <v>0</v>
      </c>
      <c r="F514" s="46">
        <f>IF($A$1='Data Entry'!$C515,'Data Entry'!G515,"")</f>
        <v>0</v>
      </c>
      <c r="G514" s="46">
        <f>IF($A$1='Data Entry'!$C515,'Data Entry'!H515,"")</f>
        <v>0</v>
      </c>
      <c r="H514" s="46">
        <f>IF($A$1='Data Entry'!$C515,'Data Entry'!I515,"")</f>
        <v>0</v>
      </c>
      <c r="I514" s="46">
        <f>IF($A$1='Data Entry'!$C515,'Data Entry'!J515,"")</f>
        <v>0</v>
      </c>
      <c r="J514" s="46">
        <f>IF($A$1='Data Entry'!$C515,'Data Entry'!K515,"")</f>
        <v>0</v>
      </c>
      <c r="K514" s="46">
        <f>IF($A$1='Data Entry'!$C515,'Data Entry'!L515,"")</f>
        <v>0</v>
      </c>
      <c r="L514" s="46">
        <f>IF($A$1='Data Entry'!$C515,'Data Entry'!M515,"")</f>
        <v>0</v>
      </c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  <c r="AA514" s="43"/>
      <c r="AB514" s="43"/>
      <c r="AC514" s="43"/>
      <c r="AD514" s="43"/>
      <c r="AE514" s="43"/>
      <c r="AF514" s="43"/>
      <c r="AG514" s="43"/>
      <c r="AH514" s="43"/>
      <c r="AI514" s="43"/>
      <c r="AJ514" s="43"/>
    </row>
    <row r="515" spans="1:36" ht="15.95" customHeight="1" x14ac:dyDescent="0.2">
      <c r="A515" s="43"/>
      <c r="B515" s="45">
        <v>86</v>
      </c>
      <c r="C515" s="46">
        <f>IF($A$1='Data Entry'!$C516,'Data Entry'!D516,"")</f>
        <v>0</v>
      </c>
      <c r="D515" s="46">
        <f>IF($A$1='Data Entry'!$C516,'Data Entry'!E516,"")</f>
        <v>0</v>
      </c>
      <c r="E515" s="46">
        <f>IF($A$1='Data Entry'!$C516,'Data Entry'!F516,"")</f>
        <v>0</v>
      </c>
      <c r="F515" s="46">
        <f>IF($A$1='Data Entry'!$C516,'Data Entry'!G516,"")</f>
        <v>0</v>
      </c>
      <c r="G515" s="46">
        <f>IF($A$1='Data Entry'!$C516,'Data Entry'!H516,"")</f>
        <v>0</v>
      </c>
      <c r="H515" s="46">
        <f>IF($A$1='Data Entry'!$C516,'Data Entry'!I516,"")</f>
        <v>0</v>
      </c>
      <c r="I515" s="46">
        <f>IF($A$1='Data Entry'!$C516,'Data Entry'!J516,"")</f>
        <v>0</v>
      </c>
      <c r="J515" s="46">
        <f>IF($A$1='Data Entry'!$C516,'Data Entry'!K516,"")</f>
        <v>0</v>
      </c>
      <c r="K515" s="46">
        <f>IF($A$1='Data Entry'!$C516,'Data Entry'!L516,"")</f>
        <v>0</v>
      </c>
      <c r="L515" s="46">
        <f>IF($A$1='Data Entry'!$C516,'Data Entry'!M516,"")</f>
        <v>0</v>
      </c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  <c r="AA515" s="43"/>
      <c r="AB515" s="43"/>
      <c r="AC515" s="43"/>
      <c r="AD515" s="43"/>
      <c r="AE515" s="43"/>
      <c r="AF515" s="43"/>
      <c r="AG515" s="43"/>
      <c r="AH515" s="43"/>
      <c r="AI515" s="43"/>
      <c r="AJ515" s="43"/>
    </row>
    <row r="516" spans="1:36" ht="15.95" customHeight="1" x14ac:dyDescent="0.2">
      <c r="A516" s="43"/>
      <c r="B516" s="45">
        <v>86</v>
      </c>
      <c r="C516" s="46">
        <f>IF($A$1='Data Entry'!$C517,'Data Entry'!D517,"")</f>
        <v>0</v>
      </c>
      <c r="D516" s="46">
        <f>IF($A$1='Data Entry'!$C517,'Data Entry'!E517,"")</f>
        <v>0</v>
      </c>
      <c r="E516" s="46">
        <f>IF($A$1='Data Entry'!$C517,'Data Entry'!F517,"")</f>
        <v>0</v>
      </c>
      <c r="F516" s="46">
        <f>IF($A$1='Data Entry'!$C517,'Data Entry'!G517,"")</f>
        <v>0</v>
      </c>
      <c r="G516" s="46">
        <f>IF($A$1='Data Entry'!$C517,'Data Entry'!H517,"")</f>
        <v>0</v>
      </c>
      <c r="H516" s="46">
        <f>IF($A$1='Data Entry'!$C517,'Data Entry'!I517,"")</f>
        <v>0</v>
      </c>
      <c r="I516" s="46">
        <f>IF($A$1='Data Entry'!$C517,'Data Entry'!J517,"")</f>
        <v>0</v>
      </c>
      <c r="J516" s="46">
        <f>IF($A$1='Data Entry'!$C517,'Data Entry'!K517,"")</f>
        <v>0</v>
      </c>
      <c r="K516" s="46">
        <f>IF($A$1='Data Entry'!$C517,'Data Entry'!L517,"")</f>
        <v>0</v>
      </c>
      <c r="L516" s="46">
        <f>IF($A$1='Data Entry'!$C517,'Data Entry'!M517,"")</f>
        <v>0</v>
      </c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  <c r="AA516" s="43"/>
      <c r="AB516" s="43"/>
      <c r="AC516" s="43"/>
      <c r="AD516" s="43"/>
      <c r="AE516" s="43"/>
      <c r="AF516" s="43"/>
      <c r="AG516" s="43"/>
      <c r="AH516" s="43"/>
      <c r="AI516" s="43"/>
      <c r="AJ516" s="43"/>
    </row>
    <row r="517" spans="1:36" ht="15.95" customHeight="1" x14ac:dyDescent="0.2">
      <c r="A517" s="43"/>
      <c r="B517" s="45">
        <v>86</v>
      </c>
      <c r="C517" s="46">
        <f>IF($A$1='Data Entry'!$C518,'Data Entry'!D518,"")</f>
        <v>0</v>
      </c>
      <c r="D517" s="46">
        <f>IF($A$1='Data Entry'!$C518,'Data Entry'!E518,"")</f>
        <v>0</v>
      </c>
      <c r="E517" s="46">
        <f>IF($A$1='Data Entry'!$C518,'Data Entry'!F518,"")</f>
        <v>0</v>
      </c>
      <c r="F517" s="46">
        <f>IF($A$1='Data Entry'!$C518,'Data Entry'!G518,"")</f>
        <v>0</v>
      </c>
      <c r="G517" s="46">
        <f>IF($A$1='Data Entry'!$C518,'Data Entry'!H518,"")</f>
        <v>0</v>
      </c>
      <c r="H517" s="46">
        <f>IF($A$1='Data Entry'!$C518,'Data Entry'!I518,"")</f>
        <v>0</v>
      </c>
      <c r="I517" s="46">
        <f>IF($A$1='Data Entry'!$C518,'Data Entry'!J518,"")</f>
        <v>0</v>
      </c>
      <c r="J517" s="46">
        <f>IF($A$1='Data Entry'!$C518,'Data Entry'!K518,"")</f>
        <v>0</v>
      </c>
      <c r="K517" s="46">
        <f>IF($A$1='Data Entry'!$C518,'Data Entry'!L518,"")</f>
        <v>0</v>
      </c>
      <c r="L517" s="46">
        <f>IF($A$1='Data Entry'!$C518,'Data Entry'!M518,"")</f>
        <v>0</v>
      </c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  <c r="AA517" s="43"/>
      <c r="AB517" s="43"/>
      <c r="AC517" s="43"/>
      <c r="AD517" s="43"/>
      <c r="AE517" s="43"/>
      <c r="AF517" s="43"/>
      <c r="AG517" s="43"/>
      <c r="AH517" s="43"/>
      <c r="AI517" s="43"/>
      <c r="AJ517" s="43"/>
    </row>
    <row r="518" spans="1:36" ht="15.95" customHeight="1" x14ac:dyDescent="0.2">
      <c r="A518" s="43"/>
      <c r="B518" s="45">
        <v>86</v>
      </c>
      <c r="C518" s="46">
        <f>IF($A$1='Data Entry'!$C519,'Data Entry'!D519,"")</f>
        <v>0</v>
      </c>
      <c r="D518" s="46">
        <f>IF($A$1='Data Entry'!$C519,'Data Entry'!E519,"")</f>
        <v>0</v>
      </c>
      <c r="E518" s="46">
        <f>IF($A$1='Data Entry'!$C519,'Data Entry'!F519,"")</f>
        <v>0</v>
      </c>
      <c r="F518" s="46">
        <f>IF($A$1='Data Entry'!$C519,'Data Entry'!G519,"")</f>
        <v>0</v>
      </c>
      <c r="G518" s="46">
        <f>IF($A$1='Data Entry'!$C519,'Data Entry'!H519,"")</f>
        <v>0</v>
      </c>
      <c r="H518" s="46">
        <f>IF($A$1='Data Entry'!$C519,'Data Entry'!I519,"")</f>
        <v>0</v>
      </c>
      <c r="I518" s="46">
        <f>IF($A$1='Data Entry'!$C519,'Data Entry'!J519,"")</f>
        <v>0</v>
      </c>
      <c r="J518" s="46">
        <f>IF($A$1='Data Entry'!$C519,'Data Entry'!K519,"")</f>
        <v>0</v>
      </c>
      <c r="K518" s="46">
        <f>IF($A$1='Data Entry'!$C519,'Data Entry'!L519,"")</f>
        <v>0</v>
      </c>
      <c r="L518" s="46">
        <f>IF($A$1='Data Entry'!$C519,'Data Entry'!M519,"")</f>
        <v>0</v>
      </c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  <c r="AA518" s="43"/>
      <c r="AB518" s="43"/>
      <c r="AC518" s="43"/>
      <c r="AD518" s="43"/>
      <c r="AE518" s="43"/>
      <c r="AF518" s="43"/>
      <c r="AG518" s="43"/>
      <c r="AH518" s="43"/>
      <c r="AI518" s="43"/>
      <c r="AJ518" s="43"/>
    </row>
    <row r="519" spans="1:36" ht="15.95" customHeight="1" x14ac:dyDescent="0.2">
      <c r="A519" s="43"/>
      <c r="B519" s="45">
        <v>87</v>
      </c>
      <c r="C519" s="46">
        <f>IF($A$1='Data Entry'!$C520,'Data Entry'!D520,"")</f>
        <v>0</v>
      </c>
      <c r="D519" s="46">
        <f>IF($A$1='Data Entry'!$C520,'Data Entry'!E520,"")</f>
        <v>0</v>
      </c>
      <c r="E519" s="46">
        <f>IF($A$1='Data Entry'!$C520,'Data Entry'!F520,"")</f>
        <v>0</v>
      </c>
      <c r="F519" s="46">
        <f>IF($A$1='Data Entry'!$C520,'Data Entry'!G520,"")</f>
        <v>0</v>
      </c>
      <c r="G519" s="46">
        <f>IF($A$1='Data Entry'!$C520,'Data Entry'!H520,"")</f>
        <v>0</v>
      </c>
      <c r="H519" s="46">
        <f>IF($A$1='Data Entry'!$C520,'Data Entry'!I520,"")</f>
        <v>0</v>
      </c>
      <c r="I519" s="46">
        <f>IF($A$1='Data Entry'!$C520,'Data Entry'!J520,"")</f>
        <v>0</v>
      </c>
      <c r="J519" s="46">
        <f>IF($A$1='Data Entry'!$C520,'Data Entry'!K520,"")</f>
        <v>0</v>
      </c>
      <c r="K519" s="46">
        <f>IF($A$1='Data Entry'!$C520,'Data Entry'!L520,"")</f>
        <v>0</v>
      </c>
      <c r="L519" s="46">
        <f>IF($A$1='Data Entry'!$C520,'Data Entry'!M520,"")</f>
        <v>0</v>
      </c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  <c r="AA519" s="43"/>
      <c r="AB519" s="43"/>
      <c r="AC519" s="43"/>
      <c r="AD519" s="43"/>
      <c r="AE519" s="43"/>
      <c r="AF519" s="43"/>
      <c r="AG519" s="43"/>
      <c r="AH519" s="43"/>
      <c r="AI519" s="43"/>
      <c r="AJ519" s="43"/>
    </row>
    <row r="520" spans="1:36" ht="15.95" customHeight="1" x14ac:dyDescent="0.2">
      <c r="A520" s="43"/>
      <c r="B520" s="45">
        <v>87</v>
      </c>
      <c r="C520" s="46">
        <f>IF($A$1='Data Entry'!$C521,'Data Entry'!D521,"")</f>
        <v>0</v>
      </c>
      <c r="D520" s="46">
        <f>IF($A$1='Data Entry'!$C521,'Data Entry'!E521,"")</f>
        <v>0</v>
      </c>
      <c r="E520" s="46">
        <f>IF($A$1='Data Entry'!$C521,'Data Entry'!F521,"")</f>
        <v>0</v>
      </c>
      <c r="F520" s="46">
        <f>IF($A$1='Data Entry'!$C521,'Data Entry'!G521,"")</f>
        <v>0</v>
      </c>
      <c r="G520" s="46">
        <f>IF($A$1='Data Entry'!$C521,'Data Entry'!H521,"")</f>
        <v>0</v>
      </c>
      <c r="H520" s="46">
        <f>IF($A$1='Data Entry'!$C521,'Data Entry'!I521,"")</f>
        <v>0</v>
      </c>
      <c r="I520" s="46">
        <f>IF($A$1='Data Entry'!$C521,'Data Entry'!J521,"")</f>
        <v>0</v>
      </c>
      <c r="J520" s="46">
        <f>IF($A$1='Data Entry'!$C521,'Data Entry'!K521,"")</f>
        <v>0</v>
      </c>
      <c r="K520" s="46">
        <f>IF($A$1='Data Entry'!$C521,'Data Entry'!L521,"")</f>
        <v>0</v>
      </c>
      <c r="L520" s="46">
        <f>IF($A$1='Data Entry'!$C521,'Data Entry'!M521,"")</f>
        <v>0</v>
      </c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  <c r="AA520" s="43"/>
      <c r="AB520" s="43"/>
      <c r="AC520" s="43"/>
      <c r="AD520" s="43"/>
      <c r="AE520" s="43"/>
      <c r="AF520" s="43"/>
      <c r="AG520" s="43"/>
      <c r="AH520" s="43"/>
      <c r="AI520" s="43"/>
      <c r="AJ520" s="43"/>
    </row>
    <row r="521" spans="1:36" ht="15.95" customHeight="1" x14ac:dyDescent="0.2">
      <c r="A521" s="43"/>
      <c r="B521" s="45">
        <v>87</v>
      </c>
      <c r="C521" s="46">
        <f>IF($A$1='Data Entry'!$C522,'Data Entry'!D522,"")</f>
        <v>0</v>
      </c>
      <c r="D521" s="46">
        <f>IF($A$1='Data Entry'!$C522,'Data Entry'!E522,"")</f>
        <v>0</v>
      </c>
      <c r="E521" s="46">
        <f>IF($A$1='Data Entry'!$C522,'Data Entry'!F522,"")</f>
        <v>0</v>
      </c>
      <c r="F521" s="46">
        <f>IF($A$1='Data Entry'!$C522,'Data Entry'!G522,"")</f>
        <v>0</v>
      </c>
      <c r="G521" s="46">
        <f>IF($A$1='Data Entry'!$C522,'Data Entry'!H522,"")</f>
        <v>0</v>
      </c>
      <c r="H521" s="46">
        <f>IF($A$1='Data Entry'!$C522,'Data Entry'!I522,"")</f>
        <v>0</v>
      </c>
      <c r="I521" s="46">
        <f>IF($A$1='Data Entry'!$C522,'Data Entry'!J522,"")</f>
        <v>0</v>
      </c>
      <c r="J521" s="46">
        <f>IF($A$1='Data Entry'!$C522,'Data Entry'!K522,"")</f>
        <v>0</v>
      </c>
      <c r="K521" s="46">
        <f>IF($A$1='Data Entry'!$C522,'Data Entry'!L522,"")</f>
        <v>0</v>
      </c>
      <c r="L521" s="46">
        <f>IF($A$1='Data Entry'!$C522,'Data Entry'!M522,"")</f>
        <v>0</v>
      </c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  <c r="AA521" s="43"/>
      <c r="AB521" s="43"/>
      <c r="AC521" s="43"/>
      <c r="AD521" s="43"/>
      <c r="AE521" s="43"/>
      <c r="AF521" s="43"/>
      <c r="AG521" s="43"/>
      <c r="AH521" s="43"/>
      <c r="AI521" s="43"/>
      <c r="AJ521" s="43"/>
    </row>
    <row r="522" spans="1:36" ht="15.95" customHeight="1" x14ac:dyDescent="0.2">
      <c r="A522" s="43"/>
      <c r="B522" s="45">
        <v>87</v>
      </c>
      <c r="C522" s="46">
        <f>IF($A$1='Data Entry'!$C523,'Data Entry'!D523,"")</f>
        <v>0</v>
      </c>
      <c r="D522" s="46">
        <f>IF($A$1='Data Entry'!$C523,'Data Entry'!E523,"")</f>
        <v>0</v>
      </c>
      <c r="E522" s="46">
        <f>IF($A$1='Data Entry'!$C523,'Data Entry'!F523,"")</f>
        <v>0</v>
      </c>
      <c r="F522" s="46">
        <f>IF($A$1='Data Entry'!$C523,'Data Entry'!G523,"")</f>
        <v>0</v>
      </c>
      <c r="G522" s="46">
        <f>IF($A$1='Data Entry'!$C523,'Data Entry'!H523,"")</f>
        <v>0</v>
      </c>
      <c r="H522" s="46">
        <f>IF($A$1='Data Entry'!$C523,'Data Entry'!I523,"")</f>
        <v>0</v>
      </c>
      <c r="I522" s="46">
        <f>IF($A$1='Data Entry'!$C523,'Data Entry'!J523,"")</f>
        <v>0</v>
      </c>
      <c r="J522" s="46">
        <f>IF($A$1='Data Entry'!$C523,'Data Entry'!K523,"")</f>
        <v>0</v>
      </c>
      <c r="K522" s="46">
        <f>IF($A$1='Data Entry'!$C523,'Data Entry'!L523,"")</f>
        <v>0</v>
      </c>
      <c r="L522" s="46">
        <f>IF($A$1='Data Entry'!$C523,'Data Entry'!M523,"")</f>
        <v>0</v>
      </c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  <c r="AA522" s="43"/>
      <c r="AB522" s="43"/>
      <c r="AC522" s="43"/>
      <c r="AD522" s="43"/>
      <c r="AE522" s="43"/>
      <c r="AF522" s="43"/>
      <c r="AG522" s="43"/>
      <c r="AH522" s="43"/>
      <c r="AI522" s="43"/>
      <c r="AJ522" s="43"/>
    </row>
    <row r="523" spans="1:36" ht="15.95" customHeight="1" x14ac:dyDescent="0.2">
      <c r="A523" s="43"/>
      <c r="B523" s="45">
        <v>87</v>
      </c>
      <c r="C523" s="46">
        <f>IF($A$1='Data Entry'!$C524,'Data Entry'!D524,"")</f>
        <v>0</v>
      </c>
      <c r="D523" s="46">
        <f>IF($A$1='Data Entry'!$C524,'Data Entry'!E524,"")</f>
        <v>0</v>
      </c>
      <c r="E523" s="46">
        <f>IF($A$1='Data Entry'!$C524,'Data Entry'!F524,"")</f>
        <v>0</v>
      </c>
      <c r="F523" s="46">
        <f>IF($A$1='Data Entry'!$C524,'Data Entry'!G524,"")</f>
        <v>0</v>
      </c>
      <c r="G523" s="46">
        <f>IF($A$1='Data Entry'!$C524,'Data Entry'!H524,"")</f>
        <v>0</v>
      </c>
      <c r="H523" s="46">
        <f>IF($A$1='Data Entry'!$C524,'Data Entry'!I524,"")</f>
        <v>0</v>
      </c>
      <c r="I523" s="46">
        <f>IF($A$1='Data Entry'!$C524,'Data Entry'!J524,"")</f>
        <v>0</v>
      </c>
      <c r="J523" s="46">
        <f>IF($A$1='Data Entry'!$C524,'Data Entry'!K524,"")</f>
        <v>0</v>
      </c>
      <c r="K523" s="46">
        <f>IF($A$1='Data Entry'!$C524,'Data Entry'!L524,"")</f>
        <v>0</v>
      </c>
      <c r="L523" s="46">
        <f>IF($A$1='Data Entry'!$C524,'Data Entry'!M524,"")</f>
        <v>0</v>
      </c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  <c r="AA523" s="43"/>
      <c r="AB523" s="43"/>
      <c r="AC523" s="43"/>
      <c r="AD523" s="43"/>
      <c r="AE523" s="43"/>
      <c r="AF523" s="43"/>
      <c r="AG523" s="43"/>
      <c r="AH523" s="43"/>
      <c r="AI523" s="43"/>
      <c r="AJ523" s="43"/>
    </row>
    <row r="524" spans="1:36" ht="15.95" customHeight="1" x14ac:dyDescent="0.2">
      <c r="A524" s="43"/>
      <c r="B524" s="45">
        <v>87</v>
      </c>
      <c r="C524" s="46">
        <f>IF($A$1='Data Entry'!$C525,'Data Entry'!D525,"")</f>
        <v>0</v>
      </c>
      <c r="D524" s="46">
        <f>IF($A$1='Data Entry'!$C525,'Data Entry'!E525,"")</f>
        <v>0</v>
      </c>
      <c r="E524" s="46">
        <f>IF($A$1='Data Entry'!$C525,'Data Entry'!F525,"")</f>
        <v>0</v>
      </c>
      <c r="F524" s="46">
        <f>IF($A$1='Data Entry'!$C525,'Data Entry'!G525,"")</f>
        <v>0</v>
      </c>
      <c r="G524" s="46">
        <f>IF($A$1='Data Entry'!$C525,'Data Entry'!H525,"")</f>
        <v>0</v>
      </c>
      <c r="H524" s="46">
        <f>IF($A$1='Data Entry'!$C525,'Data Entry'!I525,"")</f>
        <v>0</v>
      </c>
      <c r="I524" s="46">
        <f>IF($A$1='Data Entry'!$C525,'Data Entry'!J525,"")</f>
        <v>0</v>
      </c>
      <c r="J524" s="46">
        <f>IF($A$1='Data Entry'!$C525,'Data Entry'!K525,"")</f>
        <v>0</v>
      </c>
      <c r="K524" s="46">
        <f>IF($A$1='Data Entry'!$C525,'Data Entry'!L525,"")</f>
        <v>0</v>
      </c>
      <c r="L524" s="46">
        <f>IF($A$1='Data Entry'!$C525,'Data Entry'!M525,"")</f>
        <v>0</v>
      </c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  <c r="AA524" s="43"/>
      <c r="AB524" s="43"/>
      <c r="AC524" s="43"/>
      <c r="AD524" s="43"/>
      <c r="AE524" s="43"/>
      <c r="AF524" s="43"/>
      <c r="AG524" s="43"/>
      <c r="AH524" s="43"/>
      <c r="AI524" s="43"/>
      <c r="AJ524" s="43"/>
    </row>
    <row r="525" spans="1:36" ht="15.95" customHeight="1" x14ac:dyDescent="0.2">
      <c r="A525" s="43"/>
      <c r="B525" s="45">
        <v>88</v>
      </c>
      <c r="C525" s="46">
        <f>IF($A$1='Data Entry'!$C526,'Data Entry'!D526,"")</f>
        <v>0</v>
      </c>
      <c r="D525" s="46">
        <f>IF($A$1='Data Entry'!$C526,'Data Entry'!E526,"")</f>
        <v>0</v>
      </c>
      <c r="E525" s="46">
        <f>IF($A$1='Data Entry'!$C526,'Data Entry'!F526,"")</f>
        <v>0</v>
      </c>
      <c r="F525" s="46">
        <f>IF($A$1='Data Entry'!$C526,'Data Entry'!G526,"")</f>
        <v>0</v>
      </c>
      <c r="G525" s="46">
        <f>IF($A$1='Data Entry'!$C526,'Data Entry'!H526,"")</f>
        <v>0</v>
      </c>
      <c r="H525" s="46">
        <f>IF($A$1='Data Entry'!$C526,'Data Entry'!I526,"")</f>
        <v>0</v>
      </c>
      <c r="I525" s="46">
        <f>IF($A$1='Data Entry'!$C526,'Data Entry'!J526,"")</f>
        <v>0</v>
      </c>
      <c r="J525" s="46">
        <f>IF($A$1='Data Entry'!$C526,'Data Entry'!K526,"")</f>
        <v>0</v>
      </c>
      <c r="K525" s="46">
        <f>IF($A$1='Data Entry'!$C526,'Data Entry'!L526,"")</f>
        <v>0</v>
      </c>
      <c r="L525" s="46">
        <f>IF($A$1='Data Entry'!$C526,'Data Entry'!M526,"")</f>
        <v>0</v>
      </c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  <c r="AA525" s="43"/>
      <c r="AB525" s="43"/>
      <c r="AC525" s="43"/>
      <c r="AD525" s="43"/>
      <c r="AE525" s="43"/>
      <c r="AF525" s="43"/>
      <c r="AG525" s="43"/>
      <c r="AH525" s="43"/>
      <c r="AI525" s="43"/>
      <c r="AJ525" s="43"/>
    </row>
    <row r="526" spans="1:36" ht="15.95" customHeight="1" x14ac:dyDescent="0.2">
      <c r="A526" s="43"/>
      <c r="B526" s="45">
        <v>88</v>
      </c>
      <c r="C526" s="46">
        <f>IF($A$1='Data Entry'!$C527,'Data Entry'!D527,"")</f>
        <v>0</v>
      </c>
      <c r="D526" s="46">
        <f>IF($A$1='Data Entry'!$C527,'Data Entry'!E527,"")</f>
        <v>0</v>
      </c>
      <c r="E526" s="46">
        <f>IF($A$1='Data Entry'!$C527,'Data Entry'!F527,"")</f>
        <v>0</v>
      </c>
      <c r="F526" s="46">
        <f>IF($A$1='Data Entry'!$C527,'Data Entry'!G527,"")</f>
        <v>0</v>
      </c>
      <c r="G526" s="46">
        <f>IF($A$1='Data Entry'!$C527,'Data Entry'!H527,"")</f>
        <v>0</v>
      </c>
      <c r="H526" s="46">
        <f>IF($A$1='Data Entry'!$C527,'Data Entry'!I527,"")</f>
        <v>0</v>
      </c>
      <c r="I526" s="46">
        <f>IF($A$1='Data Entry'!$C527,'Data Entry'!J527,"")</f>
        <v>0</v>
      </c>
      <c r="J526" s="46">
        <f>IF($A$1='Data Entry'!$C527,'Data Entry'!K527,"")</f>
        <v>0</v>
      </c>
      <c r="K526" s="46">
        <f>IF($A$1='Data Entry'!$C527,'Data Entry'!L527,"")</f>
        <v>0</v>
      </c>
      <c r="L526" s="46">
        <f>IF($A$1='Data Entry'!$C527,'Data Entry'!M527,"")</f>
        <v>0</v>
      </c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  <c r="AA526" s="43"/>
      <c r="AB526" s="43"/>
      <c r="AC526" s="43"/>
      <c r="AD526" s="43"/>
      <c r="AE526" s="43"/>
      <c r="AF526" s="43"/>
      <c r="AG526" s="43"/>
      <c r="AH526" s="43"/>
      <c r="AI526" s="43"/>
      <c r="AJ526" s="43"/>
    </row>
    <row r="527" spans="1:36" ht="15.95" customHeight="1" x14ac:dyDescent="0.2">
      <c r="A527" s="43"/>
      <c r="B527" s="45">
        <v>88</v>
      </c>
      <c r="C527" s="46">
        <f>IF($A$1='Data Entry'!$C528,'Data Entry'!D528,"")</f>
        <v>0</v>
      </c>
      <c r="D527" s="46">
        <f>IF($A$1='Data Entry'!$C528,'Data Entry'!E528,"")</f>
        <v>0</v>
      </c>
      <c r="E527" s="46">
        <f>IF($A$1='Data Entry'!$C528,'Data Entry'!F528,"")</f>
        <v>0</v>
      </c>
      <c r="F527" s="46">
        <f>IF($A$1='Data Entry'!$C528,'Data Entry'!G528,"")</f>
        <v>0</v>
      </c>
      <c r="G527" s="46">
        <f>IF($A$1='Data Entry'!$C528,'Data Entry'!H528,"")</f>
        <v>0</v>
      </c>
      <c r="H527" s="46">
        <f>IF($A$1='Data Entry'!$C528,'Data Entry'!I528,"")</f>
        <v>0</v>
      </c>
      <c r="I527" s="46">
        <f>IF($A$1='Data Entry'!$C528,'Data Entry'!J528,"")</f>
        <v>0</v>
      </c>
      <c r="J527" s="46">
        <f>IF($A$1='Data Entry'!$C528,'Data Entry'!K528,"")</f>
        <v>0</v>
      </c>
      <c r="K527" s="46">
        <f>IF($A$1='Data Entry'!$C528,'Data Entry'!L528,"")</f>
        <v>0</v>
      </c>
      <c r="L527" s="46">
        <f>IF($A$1='Data Entry'!$C528,'Data Entry'!M528,"")</f>
        <v>0</v>
      </c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  <c r="AA527" s="43"/>
      <c r="AB527" s="43"/>
      <c r="AC527" s="43"/>
      <c r="AD527" s="43"/>
      <c r="AE527" s="43"/>
      <c r="AF527" s="43"/>
      <c r="AG527" s="43"/>
      <c r="AH527" s="43"/>
      <c r="AI527" s="43"/>
      <c r="AJ527" s="43"/>
    </row>
    <row r="528" spans="1:36" ht="15.95" customHeight="1" x14ac:dyDescent="0.2">
      <c r="A528" s="43"/>
      <c r="B528" s="45">
        <v>88</v>
      </c>
      <c r="C528" s="46">
        <f>IF($A$1='Data Entry'!$C529,'Data Entry'!D529,"")</f>
        <v>0</v>
      </c>
      <c r="D528" s="46">
        <f>IF($A$1='Data Entry'!$C529,'Data Entry'!E529,"")</f>
        <v>0</v>
      </c>
      <c r="E528" s="46">
        <f>IF($A$1='Data Entry'!$C529,'Data Entry'!F529,"")</f>
        <v>0</v>
      </c>
      <c r="F528" s="46">
        <f>IF($A$1='Data Entry'!$C529,'Data Entry'!G529,"")</f>
        <v>0</v>
      </c>
      <c r="G528" s="46">
        <f>IF($A$1='Data Entry'!$C529,'Data Entry'!H529,"")</f>
        <v>0</v>
      </c>
      <c r="H528" s="46">
        <f>IF($A$1='Data Entry'!$C529,'Data Entry'!I529,"")</f>
        <v>0</v>
      </c>
      <c r="I528" s="46">
        <f>IF($A$1='Data Entry'!$C529,'Data Entry'!J529,"")</f>
        <v>0</v>
      </c>
      <c r="J528" s="46">
        <f>IF($A$1='Data Entry'!$C529,'Data Entry'!K529,"")</f>
        <v>0</v>
      </c>
      <c r="K528" s="46">
        <f>IF($A$1='Data Entry'!$C529,'Data Entry'!L529,"")</f>
        <v>0</v>
      </c>
      <c r="L528" s="46">
        <f>IF($A$1='Data Entry'!$C529,'Data Entry'!M529,"")</f>
        <v>0</v>
      </c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  <c r="AA528" s="43"/>
      <c r="AB528" s="43"/>
      <c r="AC528" s="43"/>
      <c r="AD528" s="43"/>
      <c r="AE528" s="43"/>
      <c r="AF528" s="43"/>
      <c r="AG528" s="43"/>
      <c r="AH528" s="43"/>
      <c r="AI528" s="43"/>
      <c r="AJ528" s="43"/>
    </row>
    <row r="529" spans="1:36" ht="15.95" customHeight="1" x14ac:dyDescent="0.2">
      <c r="A529" s="43"/>
      <c r="B529" s="45">
        <v>88</v>
      </c>
      <c r="C529" s="46">
        <f>IF($A$1='Data Entry'!$C530,'Data Entry'!D530,"")</f>
        <v>0</v>
      </c>
      <c r="D529" s="46">
        <f>IF($A$1='Data Entry'!$C530,'Data Entry'!E530,"")</f>
        <v>0</v>
      </c>
      <c r="E529" s="46">
        <f>IF($A$1='Data Entry'!$C530,'Data Entry'!F530,"")</f>
        <v>0</v>
      </c>
      <c r="F529" s="46">
        <f>IF($A$1='Data Entry'!$C530,'Data Entry'!G530,"")</f>
        <v>0</v>
      </c>
      <c r="G529" s="46">
        <f>IF($A$1='Data Entry'!$C530,'Data Entry'!H530,"")</f>
        <v>0</v>
      </c>
      <c r="H529" s="46">
        <f>IF($A$1='Data Entry'!$C530,'Data Entry'!I530,"")</f>
        <v>0</v>
      </c>
      <c r="I529" s="46">
        <f>IF($A$1='Data Entry'!$C530,'Data Entry'!J530,"")</f>
        <v>0</v>
      </c>
      <c r="J529" s="46">
        <f>IF($A$1='Data Entry'!$C530,'Data Entry'!K530,"")</f>
        <v>0</v>
      </c>
      <c r="K529" s="46">
        <f>IF($A$1='Data Entry'!$C530,'Data Entry'!L530,"")</f>
        <v>0</v>
      </c>
      <c r="L529" s="46">
        <f>IF($A$1='Data Entry'!$C530,'Data Entry'!M530,"")</f>
        <v>0</v>
      </c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  <c r="AA529" s="43"/>
      <c r="AB529" s="43"/>
      <c r="AC529" s="43"/>
      <c r="AD529" s="43"/>
      <c r="AE529" s="43"/>
      <c r="AF529" s="43"/>
      <c r="AG529" s="43"/>
      <c r="AH529" s="43"/>
      <c r="AI529" s="43"/>
      <c r="AJ529" s="43"/>
    </row>
    <row r="530" spans="1:36" ht="15.95" customHeight="1" x14ac:dyDescent="0.2">
      <c r="A530" s="43"/>
      <c r="B530" s="45">
        <v>88</v>
      </c>
      <c r="C530" s="46">
        <f>IF($A$1='Data Entry'!$C531,'Data Entry'!D531,"")</f>
        <v>0</v>
      </c>
      <c r="D530" s="46">
        <f>IF($A$1='Data Entry'!$C531,'Data Entry'!E531,"")</f>
        <v>0</v>
      </c>
      <c r="E530" s="46">
        <f>IF($A$1='Data Entry'!$C531,'Data Entry'!F531,"")</f>
        <v>0</v>
      </c>
      <c r="F530" s="46">
        <f>IF($A$1='Data Entry'!$C531,'Data Entry'!G531,"")</f>
        <v>0</v>
      </c>
      <c r="G530" s="46">
        <f>IF($A$1='Data Entry'!$C531,'Data Entry'!H531,"")</f>
        <v>0</v>
      </c>
      <c r="H530" s="46">
        <f>IF($A$1='Data Entry'!$C531,'Data Entry'!I531,"")</f>
        <v>0</v>
      </c>
      <c r="I530" s="46">
        <f>IF($A$1='Data Entry'!$C531,'Data Entry'!J531,"")</f>
        <v>0</v>
      </c>
      <c r="J530" s="46">
        <f>IF($A$1='Data Entry'!$C531,'Data Entry'!K531,"")</f>
        <v>0</v>
      </c>
      <c r="K530" s="46">
        <f>IF($A$1='Data Entry'!$C531,'Data Entry'!L531,"")</f>
        <v>0</v>
      </c>
      <c r="L530" s="46">
        <f>IF($A$1='Data Entry'!$C531,'Data Entry'!M531,"")</f>
        <v>0</v>
      </c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  <c r="AA530" s="43"/>
      <c r="AB530" s="43"/>
      <c r="AC530" s="43"/>
      <c r="AD530" s="43"/>
      <c r="AE530" s="43"/>
      <c r="AF530" s="43"/>
      <c r="AG530" s="43"/>
      <c r="AH530" s="43"/>
      <c r="AI530" s="43"/>
      <c r="AJ530" s="43"/>
    </row>
    <row r="531" spans="1:36" ht="15.95" customHeight="1" x14ac:dyDescent="0.2">
      <c r="A531" s="43"/>
      <c r="B531" s="45">
        <v>89</v>
      </c>
      <c r="C531" s="46">
        <f>IF($A$1='Data Entry'!$C532,'Data Entry'!D532,"")</f>
        <v>0</v>
      </c>
      <c r="D531" s="46">
        <f>IF($A$1='Data Entry'!$C532,'Data Entry'!E532,"")</f>
        <v>0</v>
      </c>
      <c r="E531" s="46">
        <f>IF($A$1='Data Entry'!$C532,'Data Entry'!F532,"")</f>
        <v>0</v>
      </c>
      <c r="F531" s="46">
        <f>IF($A$1='Data Entry'!$C532,'Data Entry'!G532,"")</f>
        <v>0</v>
      </c>
      <c r="G531" s="46">
        <f>IF($A$1='Data Entry'!$C532,'Data Entry'!H532,"")</f>
        <v>0</v>
      </c>
      <c r="H531" s="46">
        <f>IF($A$1='Data Entry'!$C532,'Data Entry'!I532,"")</f>
        <v>0</v>
      </c>
      <c r="I531" s="46">
        <f>IF($A$1='Data Entry'!$C532,'Data Entry'!J532,"")</f>
        <v>0</v>
      </c>
      <c r="J531" s="46">
        <f>IF($A$1='Data Entry'!$C532,'Data Entry'!K532,"")</f>
        <v>0</v>
      </c>
      <c r="K531" s="46">
        <f>IF($A$1='Data Entry'!$C532,'Data Entry'!L532,"")</f>
        <v>0</v>
      </c>
      <c r="L531" s="46">
        <f>IF($A$1='Data Entry'!$C532,'Data Entry'!M532,"")</f>
        <v>0</v>
      </c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  <c r="AA531" s="43"/>
      <c r="AB531" s="43"/>
      <c r="AC531" s="43"/>
      <c r="AD531" s="43"/>
      <c r="AE531" s="43"/>
      <c r="AF531" s="43"/>
      <c r="AG531" s="43"/>
      <c r="AH531" s="43"/>
      <c r="AI531" s="43"/>
      <c r="AJ531" s="43"/>
    </row>
    <row r="532" spans="1:36" ht="15.95" customHeight="1" x14ac:dyDescent="0.2">
      <c r="A532" s="43"/>
      <c r="B532" s="45">
        <v>89</v>
      </c>
      <c r="C532" s="46">
        <f>IF($A$1='Data Entry'!$C533,'Data Entry'!D533,"")</f>
        <v>0</v>
      </c>
      <c r="D532" s="46">
        <f>IF($A$1='Data Entry'!$C533,'Data Entry'!E533,"")</f>
        <v>0</v>
      </c>
      <c r="E532" s="46">
        <f>IF($A$1='Data Entry'!$C533,'Data Entry'!F533,"")</f>
        <v>0</v>
      </c>
      <c r="F532" s="46">
        <f>IF($A$1='Data Entry'!$C533,'Data Entry'!G533,"")</f>
        <v>0</v>
      </c>
      <c r="G532" s="46">
        <f>IF($A$1='Data Entry'!$C533,'Data Entry'!H533,"")</f>
        <v>0</v>
      </c>
      <c r="H532" s="46">
        <f>IF($A$1='Data Entry'!$C533,'Data Entry'!I533,"")</f>
        <v>0</v>
      </c>
      <c r="I532" s="46">
        <f>IF($A$1='Data Entry'!$C533,'Data Entry'!J533,"")</f>
        <v>0</v>
      </c>
      <c r="J532" s="46">
        <f>IF($A$1='Data Entry'!$C533,'Data Entry'!K533,"")</f>
        <v>0</v>
      </c>
      <c r="K532" s="46">
        <f>IF($A$1='Data Entry'!$C533,'Data Entry'!L533,"")</f>
        <v>0</v>
      </c>
      <c r="L532" s="46">
        <f>IF($A$1='Data Entry'!$C533,'Data Entry'!M533,"")</f>
        <v>0</v>
      </c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  <c r="AA532" s="43"/>
      <c r="AB532" s="43"/>
      <c r="AC532" s="43"/>
      <c r="AD532" s="43"/>
      <c r="AE532" s="43"/>
      <c r="AF532" s="43"/>
      <c r="AG532" s="43"/>
      <c r="AH532" s="43"/>
      <c r="AI532" s="43"/>
      <c r="AJ532" s="43"/>
    </row>
    <row r="533" spans="1:36" ht="15.95" customHeight="1" x14ac:dyDescent="0.2">
      <c r="A533" s="43"/>
      <c r="B533" s="45">
        <v>89</v>
      </c>
      <c r="C533" s="46">
        <f>IF($A$1='Data Entry'!$C534,'Data Entry'!D534,"")</f>
        <v>0</v>
      </c>
      <c r="D533" s="46">
        <f>IF($A$1='Data Entry'!$C534,'Data Entry'!E534,"")</f>
        <v>0</v>
      </c>
      <c r="E533" s="46">
        <f>IF($A$1='Data Entry'!$C534,'Data Entry'!F534,"")</f>
        <v>0</v>
      </c>
      <c r="F533" s="46">
        <f>IF($A$1='Data Entry'!$C534,'Data Entry'!G534,"")</f>
        <v>0</v>
      </c>
      <c r="G533" s="46">
        <f>IF($A$1='Data Entry'!$C534,'Data Entry'!H534,"")</f>
        <v>0</v>
      </c>
      <c r="H533" s="46">
        <f>IF($A$1='Data Entry'!$C534,'Data Entry'!I534,"")</f>
        <v>0</v>
      </c>
      <c r="I533" s="46">
        <f>IF($A$1='Data Entry'!$C534,'Data Entry'!J534,"")</f>
        <v>0</v>
      </c>
      <c r="J533" s="46">
        <f>IF($A$1='Data Entry'!$C534,'Data Entry'!K534,"")</f>
        <v>0</v>
      </c>
      <c r="K533" s="46">
        <f>IF($A$1='Data Entry'!$C534,'Data Entry'!L534,"")</f>
        <v>0</v>
      </c>
      <c r="L533" s="46">
        <f>IF($A$1='Data Entry'!$C534,'Data Entry'!M534,"")</f>
        <v>0</v>
      </c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  <c r="AA533" s="43"/>
      <c r="AB533" s="43"/>
      <c r="AC533" s="43"/>
      <c r="AD533" s="43"/>
      <c r="AE533" s="43"/>
      <c r="AF533" s="43"/>
      <c r="AG533" s="43"/>
      <c r="AH533" s="43"/>
      <c r="AI533" s="43"/>
      <c r="AJ533" s="43"/>
    </row>
    <row r="534" spans="1:36" ht="15.95" customHeight="1" x14ac:dyDescent="0.2">
      <c r="A534" s="43"/>
      <c r="B534" s="45">
        <v>89</v>
      </c>
      <c r="C534" s="46">
        <f>IF($A$1='Data Entry'!$C535,'Data Entry'!D535,"")</f>
        <v>0</v>
      </c>
      <c r="D534" s="46">
        <f>IF($A$1='Data Entry'!$C535,'Data Entry'!E535,"")</f>
        <v>0</v>
      </c>
      <c r="E534" s="46">
        <f>IF($A$1='Data Entry'!$C535,'Data Entry'!F535,"")</f>
        <v>0</v>
      </c>
      <c r="F534" s="46">
        <f>IF($A$1='Data Entry'!$C535,'Data Entry'!G535,"")</f>
        <v>0</v>
      </c>
      <c r="G534" s="46">
        <f>IF($A$1='Data Entry'!$C535,'Data Entry'!H535,"")</f>
        <v>0</v>
      </c>
      <c r="H534" s="46">
        <f>IF($A$1='Data Entry'!$C535,'Data Entry'!I535,"")</f>
        <v>0</v>
      </c>
      <c r="I534" s="46">
        <f>IF($A$1='Data Entry'!$C535,'Data Entry'!J535,"")</f>
        <v>0</v>
      </c>
      <c r="J534" s="46">
        <f>IF($A$1='Data Entry'!$C535,'Data Entry'!K535,"")</f>
        <v>0</v>
      </c>
      <c r="K534" s="46">
        <f>IF($A$1='Data Entry'!$C535,'Data Entry'!L535,"")</f>
        <v>0</v>
      </c>
      <c r="L534" s="46">
        <f>IF($A$1='Data Entry'!$C535,'Data Entry'!M535,"")</f>
        <v>0</v>
      </c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  <c r="AA534" s="43"/>
      <c r="AB534" s="43"/>
      <c r="AC534" s="43"/>
      <c r="AD534" s="43"/>
      <c r="AE534" s="43"/>
      <c r="AF534" s="43"/>
      <c r="AG534" s="43"/>
      <c r="AH534" s="43"/>
      <c r="AI534" s="43"/>
      <c r="AJ534" s="43"/>
    </row>
    <row r="535" spans="1:36" ht="15.95" customHeight="1" x14ac:dyDescent="0.2">
      <c r="A535" s="43"/>
      <c r="B535" s="45">
        <v>89</v>
      </c>
      <c r="C535" s="46">
        <f>IF($A$1='Data Entry'!$C536,'Data Entry'!D536,"")</f>
        <v>0</v>
      </c>
      <c r="D535" s="46">
        <f>IF($A$1='Data Entry'!$C536,'Data Entry'!E536,"")</f>
        <v>0</v>
      </c>
      <c r="E535" s="46">
        <f>IF($A$1='Data Entry'!$C536,'Data Entry'!F536,"")</f>
        <v>0</v>
      </c>
      <c r="F535" s="46">
        <f>IF($A$1='Data Entry'!$C536,'Data Entry'!G536,"")</f>
        <v>0</v>
      </c>
      <c r="G535" s="46">
        <f>IF($A$1='Data Entry'!$C536,'Data Entry'!H536,"")</f>
        <v>0</v>
      </c>
      <c r="H535" s="46">
        <f>IF($A$1='Data Entry'!$C536,'Data Entry'!I536,"")</f>
        <v>0</v>
      </c>
      <c r="I535" s="46">
        <f>IF($A$1='Data Entry'!$C536,'Data Entry'!J536,"")</f>
        <v>0</v>
      </c>
      <c r="J535" s="46">
        <f>IF($A$1='Data Entry'!$C536,'Data Entry'!K536,"")</f>
        <v>0</v>
      </c>
      <c r="K535" s="46">
        <f>IF($A$1='Data Entry'!$C536,'Data Entry'!L536,"")</f>
        <v>0</v>
      </c>
      <c r="L535" s="46">
        <f>IF($A$1='Data Entry'!$C536,'Data Entry'!M536,"")</f>
        <v>0</v>
      </c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  <c r="AA535" s="43"/>
      <c r="AB535" s="43"/>
      <c r="AC535" s="43"/>
      <c r="AD535" s="43"/>
      <c r="AE535" s="43"/>
      <c r="AF535" s="43"/>
      <c r="AG535" s="43"/>
      <c r="AH535" s="43"/>
      <c r="AI535" s="43"/>
      <c r="AJ535" s="43"/>
    </row>
    <row r="536" spans="1:36" ht="15.95" customHeight="1" x14ac:dyDescent="0.2">
      <c r="A536" s="43"/>
      <c r="B536" s="45">
        <v>89</v>
      </c>
      <c r="C536" s="46">
        <f>IF($A$1='Data Entry'!$C537,'Data Entry'!D537,"")</f>
        <v>0</v>
      </c>
      <c r="D536" s="46">
        <f>IF($A$1='Data Entry'!$C537,'Data Entry'!E537,"")</f>
        <v>0</v>
      </c>
      <c r="E536" s="46">
        <f>IF($A$1='Data Entry'!$C537,'Data Entry'!F537,"")</f>
        <v>0</v>
      </c>
      <c r="F536" s="46">
        <f>IF($A$1='Data Entry'!$C537,'Data Entry'!G537,"")</f>
        <v>0</v>
      </c>
      <c r="G536" s="46">
        <f>IF($A$1='Data Entry'!$C537,'Data Entry'!H537,"")</f>
        <v>0</v>
      </c>
      <c r="H536" s="46">
        <f>IF($A$1='Data Entry'!$C537,'Data Entry'!I537,"")</f>
        <v>0</v>
      </c>
      <c r="I536" s="46">
        <f>IF($A$1='Data Entry'!$C537,'Data Entry'!J537,"")</f>
        <v>0</v>
      </c>
      <c r="J536" s="46">
        <f>IF($A$1='Data Entry'!$C537,'Data Entry'!K537,"")</f>
        <v>0</v>
      </c>
      <c r="K536" s="46">
        <f>IF($A$1='Data Entry'!$C537,'Data Entry'!L537,"")</f>
        <v>0</v>
      </c>
      <c r="L536" s="46">
        <f>IF($A$1='Data Entry'!$C537,'Data Entry'!M537,"")</f>
        <v>0</v>
      </c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  <c r="AA536" s="43"/>
      <c r="AB536" s="43"/>
      <c r="AC536" s="43"/>
      <c r="AD536" s="43"/>
      <c r="AE536" s="43"/>
      <c r="AF536" s="43"/>
      <c r="AG536" s="43"/>
      <c r="AH536" s="43"/>
      <c r="AI536" s="43"/>
      <c r="AJ536" s="43"/>
    </row>
    <row r="537" spans="1:36" ht="15.95" customHeight="1" x14ac:dyDescent="0.2">
      <c r="A537" s="43"/>
      <c r="B537" s="45">
        <v>90</v>
      </c>
      <c r="C537" s="46">
        <f>IF($A$1='Data Entry'!$C538,'Data Entry'!D538,"")</f>
        <v>0</v>
      </c>
      <c r="D537" s="46">
        <f>IF($A$1='Data Entry'!$C538,'Data Entry'!E538,"")</f>
        <v>0</v>
      </c>
      <c r="E537" s="46">
        <f>IF($A$1='Data Entry'!$C538,'Data Entry'!F538,"")</f>
        <v>0</v>
      </c>
      <c r="F537" s="46">
        <f>IF($A$1='Data Entry'!$C538,'Data Entry'!G538,"")</f>
        <v>0</v>
      </c>
      <c r="G537" s="46">
        <f>IF($A$1='Data Entry'!$C538,'Data Entry'!H538,"")</f>
        <v>0</v>
      </c>
      <c r="H537" s="46">
        <f>IF($A$1='Data Entry'!$C538,'Data Entry'!I538,"")</f>
        <v>0</v>
      </c>
      <c r="I537" s="46">
        <f>IF($A$1='Data Entry'!$C538,'Data Entry'!J538,"")</f>
        <v>0</v>
      </c>
      <c r="J537" s="46">
        <f>IF($A$1='Data Entry'!$C538,'Data Entry'!K538,"")</f>
        <v>0</v>
      </c>
      <c r="K537" s="46">
        <f>IF($A$1='Data Entry'!$C538,'Data Entry'!L538,"")</f>
        <v>0</v>
      </c>
      <c r="L537" s="46">
        <f>IF($A$1='Data Entry'!$C538,'Data Entry'!M538,"")</f>
        <v>0</v>
      </c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  <c r="AA537" s="43"/>
      <c r="AB537" s="43"/>
      <c r="AC537" s="43"/>
      <c r="AD537" s="43"/>
      <c r="AE537" s="43"/>
      <c r="AF537" s="43"/>
      <c r="AG537" s="43"/>
      <c r="AH537" s="43"/>
      <c r="AI537" s="43"/>
      <c r="AJ537" s="43"/>
    </row>
    <row r="538" spans="1:36" ht="15.95" customHeight="1" x14ac:dyDescent="0.2">
      <c r="A538" s="43"/>
      <c r="B538" s="45">
        <v>90</v>
      </c>
      <c r="C538" s="46">
        <f>IF($A$1='Data Entry'!$C539,'Data Entry'!D539,"")</f>
        <v>0</v>
      </c>
      <c r="D538" s="46">
        <f>IF($A$1='Data Entry'!$C539,'Data Entry'!E539,"")</f>
        <v>0</v>
      </c>
      <c r="E538" s="46">
        <f>IF($A$1='Data Entry'!$C539,'Data Entry'!F539,"")</f>
        <v>0</v>
      </c>
      <c r="F538" s="46">
        <f>IF($A$1='Data Entry'!$C539,'Data Entry'!G539,"")</f>
        <v>0</v>
      </c>
      <c r="G538" s="46">
        <f>IF($A$1='Data Entry'!$C539,'Data Entry'!H539,"")</f>
        <v>0</v>
      </c>
      <c r="H538" s="46">
        <f>IF($A$1='Data Entry'!$C539,'Data Entry'!I539,"")</f>
        <v>0</v>
      </c>
      <c r="I538" s="46">
        <f>IF($A$1='Data Entry'!$C539,'Data Entry'!J539,"")</f>
        <v>0</v>
      </c>
      <c r="J538" s="46">
        <f>IF($A$1='Data Entry'!$C539,'Data Entry'!K539,"")</f>
        <v>0</v>
      </c>
      <c r="K538" s="46">
        <f>IF($A$1='Data Entry'!$C539,'Data Entry'!L539,"")</f>
        <v>0</v>
      </c>
      <c r="L538" s="46">
        <f>IF($A$1='Data Entry'!$C539,'Data Entry'!M539,"")</f>
        <v>0</v>
      </c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  <c r="AA538" s="43"/>
      <c r="AB538" s="43"/>
      <c r="AC538" s="43"/>
      <c r="AD538" s="43"/>
      <c r="AE538" s="43"/>
      <c r="AF538" s="43"/>
      <c r="AG538" s="43"/>
      <c r="AH538" s="43"/>
      <c r="AI538" s="43"/>
      <c r="AJ538" s="43"/>
    </row>
    <row r="539" spans="1:36" ht="15.95" customHeight="1" x14ac:dyDescent="0.2">
      <c r="A539" s="43"/>
      <c r="B539" s="45">
        <v>90</v>
      </c>
      <c r="C539" s="46">
        <f>IF($A$1='Data Entry'!$C540,'Data Entry'!D540,"")</f>
        <v>0</v>
      </c>
      <c r="D539" s="46">
        <f>IF($A$1='Data Entry'!$C540,'Data Entry'!E540,"")</f>
        <v>0</v>
      </c>
      <c r="E539" s="46">
        <f>IF($A$1='Data Entry'!$C540,'Data Entry'!F540,"")</f>
        <v>0</v>
      </c>
      <c r="F539" s="46">
        <f>IF($A$1='Data Entry'!$C540,'Data Entry'!G540,"")</f>
        <v>0</v>
      </c>
      <c r="G539" s="46">
        <f>IF($A$1='Data Entry'!$C540,'Data Entry'!H540,"")</f>
        <v>0</v>
      </c>
      <c r="H539" s="46">
        <f>IF($A$1='Data Entry'!$C540,'Data Entry'!I540,"")</f>
        <v>0</v>
      </c>
      <c r="I539" s="46">
        <f>IF($A$1='Data Entry'!$C540,'Data Entry'!J540,"")</f>
        <v>0</v>
      </c>
      <c r="J539" s="46">
        <f>IF($A$1='Data Entry'!$C540,'Data Entry'!K540,"")</f>
        <v>0</v>
      </c>
      <c r="K539" s="46">
        <f>IF($A$1='Data Entry'!$C540,'Data Entry'!L540,"")</f>
        <v>0</v>
      </c>
      <c r="L539" s="46">
        <f>IF($A$1='Data Entry'!$C540,'Data Entry'!M540,"")</f>
        <v>0</v>
      </c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  <c r="AA539" s="43"/>
      <c r="AB539" s="43"/>
      <c r="AC539" s="43"/>
      <c r="AD539" s="43"/>
      <c r="AE539" s="43"/>
      <c r="AF539" s="43"/>
      <c r="AG539" s="43"/>
      <c r="AH539" s="43"/>
      <c r="AI539" s="43"/>
      <c r="AJ539" s="43"/>
    </row>
    <row r="540" spans="1:36" ht="15.95" customHeight="1" x14ac:dyDescent="0.2">
      <c r="A540" s="43"/>
      <c r="B540" s="45">
        <v>90</v>
      </c>
      <c r="C540" s="46">
        <f>IF($A$1='Data Entry'!$C541,'Data Entry'!D541,"")</f>
        <v>0</v>
      </c>
      <c r="D540" s="46">
        <f>IF($A$1='Data Entry'!$C541,'Data Entry'!E541,"")</f>
        <v>0</v>
      </c>
      <c r="E540" s="46">
        <f>IF($A$1='Data Entry'!$C541,'Data Entry'!F541,"")</f>
        <v>0</v>
      </c>
      <c r="F540" s="46">
        <f>IF($A$1='Data Entry'!$C541,'Data Entry'!G541,"")</f>
        <v>0</v>
      </c>
      <c r="G540" s="46">
        <f>IF($A$1='Data Entry'!$C541,'Data Entry'!H541,"")</f>
        <v>0</v>
      </c>
      <c r="H540" s="46">
        <f>IF($A$1='Data Entry'!$C541,'Data Entry'!I541,"")</f>
        <v>0</v>
      </c>
      <c r="I540" s="46">
        <f>IF($A$1='Data Entry'!$C541,'Data Entry'!J541,"")</f>
        <v>0</v>
      </c>
      <c r="J540" s="46">
        <f>IF($A$1='Data Entry'!$C541,'Data Entry'!K541,"")</f>
        <v>0</v>
      </c>
      <c r="K540" s="46">
        <f>IF($A$1='Data Entry'!$C541,'Data Entry'!L541,"")</f>
        <v>0</v>
      </c>
      <c r="L540" s="46">
        <f>IF($A$1='Data Entry'!$C541,'Data Entry'!M541,"")</f>
        <v>0</v>
      </c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  <c r="AA540" s="43"/>
      <c r="AB540" s="43"/>
      <c r="AC540" s="43"/>
      <c r="AD540" s="43"/>
      <c r="AE540" s="43"/>
      <c r="AF540" s="43"/>
      <c r="AG540" s="43"/>
      <c r="AH540" s="43"/>
      <c r="AI540" s="43"/>
      <c r="AJ540" s="43"/>
    </row>
    <row r="541" spans="1:36" ht="15.95" customHeight="1" x14ac:dyDescent="0.2">
      <c r="A541" s="43"/>
      <c r="B541" s="45">
        <v>90</v>
      </c>
      <c r="C541" s="46">
        <f>IF($A$1='Data Entry'!$C542,'Data Entry'!D542,"")</f>
        <v>0</v>
      </c>
      <c r="D541" s="46">
        <f>IF($A$1='Data Entry'!$C542,'Data Entry'!E542,"")</f>
        <v>0</v>
      </c>
      <c r="E541" s="46">
        <f>IF($A$1='Data Entry'!$C542,'Data Entry'!F542,"")</f>
        <v>0</v>
      </c>
      <c r="F541" s="46">
        <f>IF($A$1='Data Entry'!$C542,'Data Entry'!G542,"")</f>
        <v>0</v>
      </c>
      <c r="G541" s="46">
        <f>IF($A$1='Data Entry'!$C542,'Data Entry'!H542,"")</f>
        <v>0</v>
      </c>
      <c r="H541" s="46">
        <f>IF($A$1='Data Entry'!$C542,'Data Entry'!I542,"")</f>
        <v>0</v>
      </c>
      <c r="I541" s="46">
        <f>IF($A$1='Data Entry'!$C542,'Data Entry'!J542,"")</f>
        <v>0</v>
      </c>
      <c r="J541" s="46">
        <f>IF($A$1='Data Entry'!$C542,'Data Entry'!K542,"")</f>
        <v>0</v>
      </c>
      <c r="K541" s="46">
        <f>IF($A$1='Data Entry'!$C542,'Data Entry'!L542,"")</f>
        <v>0</v>
      </c>
      <c r="L541" s="46">
        <f>IF($A$1='Data Entry'!$C542,'Data Entry'!M542,"")</f>
        <v>0</v>
      </c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  <c r="AA541" s="43"/>
      <c r="AB541" s="43"/>
      <c r="AC541" s="43"/>
      <c r="AD541" s="43"/>
      <c r="AE541" s="43"/>
      <c r="AF541" s="43"/>
      <c r="AG541" s="43"/>
      <c r="AH541" s="43"/>
      <c r="AI541" s="43"/>
      <c r="AJ541" s="43"/>
    </row>
    <row r="542" spans="1:36" ht="15.95" customHeight="1" x14ac:dyDescent="0.2">
      <c r="A542" s="43"/>
      <c r="B542" s="45">
        <v>90</v>
      </c>
      <c r="C542" s="46">
        <f>IF($A$1='Data Entry'!$C543,'Data Entry'!D543,"")</f>
        <v>0</v>
      </c>
      <c r="D542" s="46">
        <f>IF($A$1='Data Entry'!$C543,'Data Entry'!E543,"")</f>
        <v>0</v>
      </c>
      <c r="E542" s="46">
        <f>IF($A$1='Data Entry'!$C543,'Data Entry'!F543,"")</f>
        <v>0</v>
      </c>
      <c r="F542" s="46">
        <f>IF($A$1='Data Entry'!$C543,'Data Entry'!G543,"")</f>
        <v>0</v>
      </c>
      <c r="G542" s="46">
        <f>IF($A$1='Data Entry'!$C543,'Data Entry'!H543,"")</f>
        <v>0</v>
      </c>
      <c r="H542" s="46">
        <f>IF($A$1='Data Entry'!$C543,'Data Entry'!I543,"")</f>
        <v>0</v>
      </c>
      <c r="I542" s="46">
        <f>IF($A$1='Data Entry'!$C543,'Data Entry'!J543,"")</f>
        <v>0</v>
      </c>
      <c r="J542" s="46">
        <f>IF($A$1='Data Entry'!$C543,'Data Entry'!K543,"")</f>
        <v>0</v>
      </c>
      <c r="K542" s="46">
        <f>IF($A$1='Data Entry'!$C543,'Data Entry'!L543,"")</f>
        <v>0</v>
      </c>
      <c r="L542" s="46">
        <f>IF($A$1='Data Entry'!$C543,'Data Entry'!M543,"")</f>
        <v>0</v>
      </c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  <c r="AA542" s="43"/>
      <c r="AB542" s="43"/>
      <c r="AC542" s="43"/>
      <c r="AD542" s="43"/>
      <c r="AE542" s="43"/>
      <c r="AF542" s="43"/>
      <c r="AG542" s="43"/>
      <c r="AH542" s="43"/>
      <c r="AI542" s="43"/>
      <c r="AJ542" s="43"/>
    </row>
    <row r="543" spans="1:36" ht="15.95" customHeight="1" x14ac:dyDescent="0.2">
      <c r="A543" s="43"/>
      <c r="B543" s="45">
        <v>91</v>
      </c>
      <c r="C543" s="46">
        <f>IF($A$1='Data Entry'!$C544,'Data Entry'!D544,"")</f>
        <v>0</v>
      </c>
      <c r="D543" s="46">
        <f>IF($A$1='Data Entry'!$C544,'Data Entry'!E544,"")</f>
        <v>0</v>
      </c>
      <c r="E543" s="46">
        <f>IF($A$1='Data Entry'!$C544,'Data Entry'!F544,"")</f>
        <v>0</v>
      </c>
      <c r="F543" s="46">
        <f>IF($A$1='Data Entry'!$C544,'Data Entry'!G544,"")</f>
        <v>0</v>
      </c>
      <c r="G543" s="46">
        <f>IF($A$1='Data Entry'!$C544,'Data Entry'!H544,"")</f>
        <v>0</v>
      </c>
      <c r="H543" s="46">
        <f>IF($A$1='Data Entry'!$C544,'Data Entry'!I544,"")</f>
        <v>0</v>
      </c>
      <c r="I543" s="46">
        <f>IF($A$1='Data Entry'!$C544,'Data Entry'!J544,"")</f>
        <v>0</v>
      </c>
      <c r="J543" s="46">
        <f>IF($A$1='Data Entry'!$C544,'Data Entry'!K544,"")</f>
        <v>0</v>
      </c>
      <c r="K543" s="46">
        <f>IF($A$1='Data Entry'!$C544,'Data Entry'!L544,"")</f>
        <v>0</v>
      </c>
      <c r="L543" s="46">
        <f>IF($A$1='Data Entry'!$C544,'Data Entry'!M544,"")</f>
        <v>0</v>
      </c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  <c r="AA543" s="43"/>
      <c r="AB543" s="43"/>
      <c r="AC543" s="43"/>
      <c r="AD543" s="43"/>
      <c r="AE543" s="43"/>
      <c r="AF543" s="43"/>
      <c r="AG543" s="43"/>
      <c r="AH543" s="43"/>
      <c r="AI543" s="43"/>
      <c r="AJ543" s="43"/>
    </row>
    <row r="544" spans="1:36" ht="15.95" customHeight="1" x14ac:dyDescent="0.2">
      <c r="A544" s="43"/>
      <c r="B544" s="45">
        <v>91</v>
      </c>
      <c r="C544" s="46">
        <f>IF($A$1='Data Entry'!$C545,'Data Entry'!D545,"")</f>
        <v>0</v>
      </c>
      <c r="D544" s="46">
        <f>IF($A$1='Data Entry'!$C545,'Data Entry'!E545,"")</f>
        <v>0</v>
      </c>
      <c r="E544" s="46">
        <f>IF($A$1='Data Entry'!$C545,'Data Entry'!F545,"")</f>
        <v>0</v>
      </c>
      <c r="F544" s="46">
        <f>IF($A$1='Data Entry'!$C545,'Data Entry'!G545,"")</f>
        <v>0</v>
      </c>
      <c r="G544" s="46">
        <f>IF($A$1='Data Entry'!$C545,'Data Entry'!H545,"")</f>
        <v>0</v>
      </c>
      <c r="H544" s="46">
        <f>IF($A$1='Data Entry'!$C545,'Data Entry'!I545,"")</f>
        <v>0</v>
      </c>
      <c r="I544" s="46">
        <f>IF($A$1='Data Entry'!$C545,'Data Entry'!J545,"")</f>
        <v>0</v>
      </c>
      <c r="J544" s="46">
        <f>IF($A$1='Data Entry'!$C545,'Data Entry'!K545,"")</f>
        <v>0</v>
      </c>
      <c r="K544" s="46">
        <f>IF($A$1='Data Entry'!$C545,'Data Entry'!L545,"")</f>
        <v>0</v>
      </c>
      <c r="L544" s="46">
        <f>IF($A$1='Data Entry'!$C545,'Data Entry'!M545,"")</f>
        <v>0</v>
      </c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  <c r="AA544" s="43"/>
      <c r="AB544" s="43"/>
      <c r="AC544" s="43"/>
      <c r="AD544" s="43"/>
      <c r="AE544" s="43"/>
      <c r="AF544" s="43"/>
      <c r="AG544" s="43"/>
      <c r="AH544" s="43"/>
      <c r="AI544" s="43"/>
      <c r="AJ544" s="43"/>
    </row>
    <row r="545" spans="1:36" ht="15.95" customHeight="1" x14ac:dyDescent="0.2">
      <c r="A545" s="43"/>
      <c r="B545" s="45">
        <v>91</v>
      </c>
      <c r="C545" s="46">
        <f>IF($A$1='Data Entry'!$C546,'Data Entry'!D546,"")</f>
        <v>0</v>
      </c>
      <c r="D545" s="46">
        <f>IF($A$1='Data Entry'!$C546,'Data Entry'!E546,"")</f>
        <v>0</v>
      </c>
      <c r="E545" s="46">
        <f>IF($A$1='Data Entry'!$C546,'Data Entry'!F546,"")</f>
        <v>0</v>
      </c>
      <c r="F545" s="46">
        <f>IF($A$1='Data Entry'!$C546,'Data Entry'!G546,"")</f>
        <v>0</v>
      </c>
      <c r="G545" s="46">
        <f>IF($A$1='Data Entry'!$C546,'Data Entry'!H546,"")</f>
        <v>0</v>
      </c>
      <c r="H545" s="46">
        <f>IF($A$1='Data Entry'!$C546,'Data Entry'!I546,"")</f>
        <v>0</v>
      </c>
      <c r="I545" s="46">
        <f>IF($A$1='Data Entry'!$C546,'Data Entry'!J546,"")</f>
        <v>0</v>
      </c>
      <c r="J545" s="46">
        <f>IF($A$1='Data Entry'!$C546,'Data Entry'!K546,"")</f>
        <v>0</v>
      </c>
      <c r="K545" s="46">
        <f>IF($A$1='Data Entry'!$C546,'Data Entry'!L546,"")</f>
        <v>0</v>
      </c>
      <c r="L545" s="46">
        <f>IF($A$1='Data Entry'!$C546,'Data Entry'!M546,"")</f>
        <v>0</v>
      </c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  <c r="AA545" s="43"/>
      <c r="AB545" s="43"/>
      <c r="AC545" s="43"/>
      <c r="AD545" s="43"/>
      <c r="AE545" s="43"/>
      <c r="AF545" s="43"/>
      <c r="AG545" s="43"/>
      <c r="AH545" s="43"/>
      <c r="AI545" s="43"/>
      <c r="AJ545" s="43"/>
    </row>
    <row r="546" spans="1:36" ht="15.95" customHeight="1" x14ac:dyDescent="0.2">
      <c r="A546" s="43"/>
      <c r="B546" s="45">
        <v>91</v>
      </c>
      <c r="C546" s="46">
        <f>IF($A$1='Data Entry'!$C547,'Data Entry'!D547,"")</f>
        <v>0</v>
      </c>
      <c r="D546" s="46">
        <f>IF($A$1='Data Entry'!$C547,'Data Entry'!E547,"")</f>
        <v>0</v>
      </c>
      <c r="E546" s="46">
        <f>IF($A$1='Data Entry'!$C547,'Data Entry'!F547,"")</f>
        <v>0</v>
      </c>
      <c r="F546" s="46">
        <f>IF($A$1='Data Entry'!$C547,'Data Entry'!G547,"")</f>
        <v>0</v>
      </c>
      <c r="G546" s="46">
        <f>IF($A$1='Data Entry'!$C547,'Data Entry'!H547,"")</f>
        <v>0</v>
      </c>
      <c r="H546" s="46">
        <f>IF($A$1='Data Entry'!$C547,'Data Entry'!I547,"")</f>
        <v>0</v>
      </c>
      <c r="I546" s="46">
        <f>IF($A$1='Data Entry'!$C547,'Data Entry'!J547,"")</f>
        <v>0</v>
      </c>
      <c r="J546" s="46">
        <f>IF($A$1='Data Entry'!$C547,'Data Entry'!K547,"")</f>
        <v>0</v>
      </c>
      <c r="K546" s="46">
        <f>IF($A$1='Data Entry'!$C547,'Data Entry'!L547,"")</f>
        <v>0</v>
      </c>
      <c r="L546" s="46">
        <f>IF($A$1='Data Entry'!$C547,'Data Entry'!M547,"")</f>
        <v>0</v>
      </c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  <c r="AA546" s="43"/>
      <c r="AB546" s="43"/>
      <c r="AC546" s="43"/>
      <c r="AD546" s="43"/>
      <c r="AE546" s="43"/>
      <c r="AF546" s="43"/>
      <c r="AG546" s="43"/>
      <c r="AH546" s="43"/>
      <c r="AI546" s="43"/>
      <c r="AJ546" s="43"/>
    </row>
    <row r="547" spans="1:36" ht="15.95" customHeight="1" x14ac:dyDescent="0.2">
      <c r="A547" s="43"/>
      <c r="B547" s="45">
        <v>91</v>
      </c>
      <c r="C547" s="46">
        <f>IF($A$1='Data Entry'!$C548,'Data Entry'!D548,"")</f>
        <v>0</v>
      </c>
      <c r="D547" s="46">
        <f>IF($A$1='Data Entry'!$C548,'Data Entry'!E548,"")</f>
        <v>0</v>
      </c>
      <c r="E547" s="46">
        <f>IF($A$1='Data Entry'!$C548,'Data Entry'!F548,"")</f>
        <v>0</v>
      </c>
      <c r="F547" s="46">
        <f>IF($A$1='Data Entry'!$C548,'Data Entry'!G548,"")</f>
        <v>0</v>
      </c>
      <c r="G547" s="46">
        <f>IF($A$1='Data Entry'!$C548,'Data Entry'!H548,"")</f>
        <v>0</v>
      </c>
      <c r="H547" s="46">
        <f>IF($A$1='Data Entry'!$C548,'Data Entry'!I548,"")</f>
        <v>0</v>
      </c>
      <c r="I547" s="46">
        <f>IF($A$1='Data Entry'!$C548,'Data Entry'!J548,"")</f>
        <v>0</v>
      </c>
      <c r="J547" s="46">
        <f>IF($A$1='Data Entry'!$C548,'Data Entry'!K548,"")</f>
        <v>0</v>
      </c>
      <c r="K547" s="46">
        <f>IF($A$1='Data Entry'!$C548,'Data Entry'!L548,"")</f>
        <v>0</v>
      </c>
      <c r="L547" s="46">
        <f>IF($A$1='Data Entry'!$C548,'Data Entry'!M548,"")</f>
        <v>0</v>
      </c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  <c r="AA547" s="43"/>
      <c r="AB547" s="43"/>
      <c r="AC547" s="43"/>
      <c r="AD547" s="43"/>
      <c r="AE547" s="43"/>
      <c r="AF547" s="43"/>
      <c r="AG547" s="43"/>
      <c r="AH547" s="43"/>
      <c r="AI547" s="43"/>
      <c r="AJ547" s="43"/>
    </row>
    <row r="548" spans="1:36" ht="15.95" customHeight="1" x14ac:dyDescent="0.2">
      <c r="A548" s="43"/>
      <c r="B548" s="45">
        <v>91</v>
      </c>
      <c r="C548" s="46">
        <f>IF($A$1='Data Entry'!$C549,'Data Entry'!D549,"")</f>
        <v>0</v>
      </c>
      <c r="D548" s="46">
        <f>IF($A$1='Data Entry'!$C549,'Data Entry'!E549,"")</f>
        <v>0</v>
      </c>
      <c r="E548" s="46">
        <f>IF($A$1='Data Entry'!$C549,'Data Entry'!F549,"")</f>
        <v>0</v>
      </c>
      <c r="F548" s="46">
        <f>IF($A$1='Data Entry'!$C549,'Data Entry'!G549,"")</f>
        <v>0</v>
      </c>
      <c r="G548" s="46">
        <f>IF($A$1='Data Entry'!$C549,'Data Entry'!H549,"")</f>
        <v>0</v>
      </c>
      <c r="H548" s="46">
        <f>IF($A$1='Data Entry'!$C549,'Data Entry'!I549,"")</f>
        <v>0</v>
      </c>
      <c r="I548" s="46">
        <f>IF($A$1='Data Entry'!$C549,'Data Entry'!J549,"")</f>
        <v>0</v>
      </c>
      <c r="J548" s="46">
        <f>IF($A$1='Data Entry'!$C549,'Data Entry'!K549,"")</f>
        <v>0</v>
      </c>
      <c r="K548" s="46">
        <f>IF($A$1='Data Entry'!$C549,'Data Entry'!L549,"")</f>
        <v>0</v>
      </c>
      <c r="L548" s="46">
        <f>IF($A$1='Data Entry'!$C549,'Data Entry'!M549,"")</f>
        <v>0</v>
      </c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  <c r="AA548" s="43"/>
      <c r="AB548" s="43"/>
      <c r="AC548" s="43"/>
      <c r="AD548" s="43"/>
      <c r="AE548" s="43"/>
      <c r="AF548" s="43"/>
      <c r="AG548" s="43"/>
      <c r="AH548" s="43"/>
      <c r="AI548" s="43"/>
      <c r="AJ548" s="43"/>
    </row>
    <row r="549" spans="1:36" ht="15.95" customHeight="1" x14ac:dyDescent="0.2">
      <c r="A549" s="43"/>
      <c r="B549" s="45">
        <v>92</v>
      </c>
      <c r="C549" s="46">
        <f>IF($A$1='Data Entry'!$C550,'Data Entry'!D550,"")</f>
        <v>0</v>
      </c>
      <c r="D549" s="46">
        <f>IF($A$1='Data Entry'!$C550,'Data Entry'!E550,"")</f>
        <v>0</v>
      </c>
      <c r="E549" s="46">
        <f>IF($A$1='Data Entry'!$C550,'Data Entry'!F550,"")</f>
        <v>0</v>
      </c>
      <c r="F549" s="46">
        <f>IF($A$1='Data Entry'!$C550,'Data Entry'!G550,"")</f>
        <v>0</v>
      </c>
      <c r="G549" s="46">
        <f>IF($A$1='Data Entry'!$C550,'Data Entry'!H550,"")</f>
        <v>0</v>
      </c>
      <c r="H549" s="46">
        <f>IF($A$1='Data Entry'!$C550,'Data Entry'!I550,"")</f>
        <v>0</v>
      </c>
      <c r="I549" s="46">
        <f>IF($A$1='Data Entry'!$C550,'Data Entry'!J550,"")</f>
        <v>0</v>
      </c>
      <c r="J549" s="46">
        <f>IF($A$1='Data Entry'!$C550,'Data Entry'!K550,"")</f>
        <v>0</v>
      </c>
      <c r="K549" s="46">
        <f>IF($A$1='Data Entry'!$C550,'Data Entry'!L550,"")</f>
        <v>0</v>
      </c>
      <c r="L549" s="46">
        <f>IF($A$1='Data Entry'!$C550,'Data Entry'!M550,"")</f>
        <v>0</v>
      </c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  <c r="AA549" s="43"/>
      <c r="AB549" s="43"/>
      <c r="AC549" s="43"/>
      <c r="AD549" s="43"/>
      <c r="AE549" s="43"/>
      <c r="AF549" s="43"/>
      <c r="AG549" s="43"/>
      <c r="AH549" s="43"/>
      <c r="AI549" s="43"/>
      <c r="AJ549" s="43"/>
    </row>
    <row r="550" spans="1:36" ht="15.95" customHeight="1" x14ac:dyDescent="0.2">
      <c r="A550" s="43"/>
      <c r="B550" s="45">
        <v>92</v>
      </c>
      <c r="C550" s="46">
        <f>IF($A$1='Data Entry'!$C551,'Data Entry'!D551,"")</f>
        <v>0</v>
      </c>
      <c r="D550" s="46">
        <f>IF($A$1='Data Entry'!$C551,'Data Entry'!E551,"")</f>
        <v>0</v>
      </c>
      <c r="E550" s="46">
        <f>IF($A$1='Data Entry'!$C551,'Data Entry'!F551,"")</f>
        <v>0</v>
      </c>
      <c r="F550" s="46">
        <f>IF($A$1='Data Entry'!$C551,'Data Entry'!G551,"")</f>
        <v>0</v>
      </c>
      <c r="G550" s="46">
        <f>IF($A$1='Data Entry'!$C551,'Data Entry'!H551,"")</f>
        <v>0</v>
      </c>
      <c r="H550" s="46">
        <f>IF($A$1='Data Entry'!$C551,'Data Entry'!I551,"")</f>
        <v>0</v>
      </c>
      <c r="I550" s="46">
        <f>IF($A$1='Data Entry'!$C551,'Data Entry'!J551,"")</f>
        <v>0</v>
      </c>
      <c r="J550" s="46">
        <f>IF($A$1='Data Entry'!$C551,'Data Entry'!K551,"")</f>
        <v>0</v>
      </c>
      <c r="K550" s="46">
        <f>IF($A$1='Data Entry'!$C551,'Data Entry'!L551,"")</f>
        <v>0</v>
      </c>
      <c r="L550" s="46">
        <f>IF($A$1='Data Entry'!$C551,'Data Entry'!M551,"")</f>
        <v>0</v>
      </c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  <c r="AA550" s="43"/>
      <c r="AB550" s="43"/>
      <c r="AC550" s="43"/>
      <c r="AD550" s="43"/>
      <c r="AE550" s="43"/>
      <c r="AF550" s="43"/>
      <c r="AG550" s="43"/>
      <c r="AH550" s="43"/>
      <c r="AI550" s="43"/>
      <c r="AJ550" s="43"/>
    </row>
    <row r="551" spans="1:36" ht="15.95" customHeight="1" x14ac:dyDescent="0.2">
      <c r="A551" s="43"/>
      <c r="B551" s="45">
        <v>92</v>
      </c>
      <c r="C551" s="46">
        <f>IF($A$1='Data Entry'!$C552,'Data Entry'!D552,"")</f>
        <v>0</v>
      </c>
      <c r="D551" s="46">
        <f>IF($A$1='Data Entry'!$C552,'Data Entry'!E552,"")</f>
        <v>0</v>
      </c>
      <c r="E551" s="46">
        <f>IF($A$1='Data Entry'!$C552,'Data Entry'!F552,"")</f>
        <v>0</v>
      </c>
      <c r="F551" s="46">
        <f>IF($A$1='Data Entry'!$C552,'Data Entry'!G552,"")</f>
        <v>0</v>
      </c>
      <c r="G551" s="46">
        <f>IF($A$1='Data Entry'!$C552,'Data Entry'!H552,"")</f>
        <v>0</v>
      </c>
      <c r="H551" s="46">
        <f>IF($A$1='Data Entry'!$C552,'Data Entry'!I552,"")</f>
        <v>0</v>
      </c>
      <c r="I551" s="46">
        <f>IF($A$1='Data Entry'!$C552,'Data Entry'!J552,"")</f>
        <v>0</v>
      </c>
      <c r="J551" s="46">
        <f>IF($A$1='Data Entry'!$C552,'Data Entry'!K552,"")</f>
        <v>0</v>
      </c>
      <c r="K551" s="46">
        <f>IF($A$1='Data Entry'!$C552,'Data Entry'!L552,"")</f>
        <v>0</v>
      </c>
      <c r="L551" s="46">
        <f>IF($A$1='Data Entry'!$C552,'Data Entry'!M552,"")</f>
        <v>0</v>
      </c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  <c r="AA551" s="43"/>
      <c r="AB551" s="43"/>
      <c r="AC551" s="43"/>
      <c r="AD551" s="43"/>
      <c r="AE551" s="43"/>
      <c r="AF551" s="43"/>
      <c r="AG551" s="43"/>
      <c r="AH551" s="43"/>
      <c r="AI551" s="43"/>
      <c r="AJ551" s="43"/>
    </row>
    <row r="552" spans="1:36" ht="15.95" customHeight="1" x14ac:dyDescent="0.2">
      <c r="A552" s="43"/>
      <c r="B552" s="45">
        <v>92</v>
      </c>
      <c r="C552" s="46">
        <f>IF($A$1='Data Entry'!$C553,'Data Entry'!D553,"")</f>
        <v>0</v>
      </c>
      <c r="D552" s="46">
        <f>IF($A$1='Data Entry'!$C553,'Data Entry'!E553,"")</f>
        <v>0</v>
      </c>
      <c r="E552" s="46">
        <f>IF($A$1='Data Entry'!$C553,'Data Entry'!F553,"")</f>
        <v>0</v>
      </c>
      <c r="F552" s="46">
        <f>IF($A$1='Data Entry'!$C553,'Data Entry'!G553,"")</f>
        <v>0</v>
      </c>
      <c r="G552" s="46">
        <f>IF($A$1='Data Entry'!$C553,'Data Entry'!H553,"")</f>
        <v>0</v>
      </c>
      <c r="H552" s="46">
        <f>IF($A$1='Data Entry'!$C553,'Data Entry'!I553,"")</f>
        <v>0</v>
      </c>
      <c r="I552" s="46">
        <f>IF($A$1='Data Entry'!$C553,'Data Entry'!J553,"")</f>
        <v>0</v>
      </c>
      <c r="J552" s="46">
        <f>IF($A$1='Data Entry'!$C553,'Data Entry'!K553,"")</f>
        <v>0</v>
      </c>
      <c r="K552" s="46">
        <f>IF($A$1='Data Entry'!$C553,'Data Entry'!L553,"")</f>
        <v>0</v>
      </c>
      <c r="L552" s="46">
        <f>IF($A$1='Data Entry'!$C553,'Data Entry'!M553,"")</f>
        <v>0</v>
      </c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  <c r="AA552" s="43"/>
      <c r="AB552" s="43"/>
      <c r="AC552" s="43"/>
      <c r="AD552" s="43"/>
      <c r="AE552" s="43"/>
      <c r="AF552" s="43"/>
      <c r="AG552" s="43"/>
      <c r="AH552" s="43"/>
      <c r="AI552" s="43"/>
      <c r="AJ552" s="43"/>
    </row>
    <row r="553" spans="1:36" ht="15.95" customHeight="1" x14ac:dyDescent="0.2">
      <c r="A553" s="43"/>
      <c r="B553" s="45">
        <v>92</v>
      </c>
      <c r="C553" s="46">
        <f>IF($A$1='Data Entry'!$C554,'Data Entry'!D554,"")</f>
        <v>0</v>
      </c>
      <c r="D553" s="46">
        <f>IF($A$1='Data Entry'!$C554,'Data Entry'!E554,"")</f>
        <v>0</v>
      </c>
      <c r="E553" s="46">
        <f>IF($A$1='Data Entry'!$C554,'Data Entry'!F554,"")</f>
        <v>0</v>
      </c>
      <c r="F553" s="46">
        <f>IF($A$1='Data Entry'!$C554,'Data Entry'!G554,"")</f>
        <v>0</v>
      </c>
      <c r="G553" s="46">
        <f>IF($A$1='Data Entry'!$C554,'Data Entry'!H554,"")</f>
        <v>0</v>
      </c>
      <c r="H553" s="46">
        <f>IF($A$1='Data Entry'!$C554,'Data Entry'!I554,"")</f>
        <v>0</v>
      </c>
      <c r="I553" s="46">
        <f>IF($A$1='Data Entry'!$C554,'Data Entry'!J554,"")</f>
        <v>0</v>
      </c>
      <c r="J553" s="46">
        <f>IF($A$1='Data Entry'!$C554,'Data Entry'!K554,"")</f>
        <v>0</v>
      </c>
      <c r="K553" s="46">
        <f>IF($A$1='Data Entry'!$C554,'Data Entry'!L554,"")</f>
        <v>0</v>
      </c>
      <c r="L553" s="46">
        <f>IF($A$1='Data Entry'!$C554,'Data Entry'!M554,"")</f>
        <v>0</v>
      </c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  <c r="AA553" s="43"/>
      <c r="AB553" s="43"/>
      <c r="AC553" s="43"/>
      <c r="AD553" s="43"/>
      <c r="AE553" s="43"/>
      <c r="AF553" s="43"/>
      <c r="AG553" s="43"/>
      <c r="AH553" s="43"/>
      <c r="AI553" s="43"/>
      <c r="AJ553" s="43"/>
    </row>
    <row r="554" spans="1:36" ht="15.95" customHeight="1" x14ac:dyDescent="0.2">
      <c r="A554" s="43"/>
      <c r="B554" s="45">
        <v>92</v>
      </c>
      <c r="C554" s="46">
        <f>IF($A$1='Data Entry'!$C555,'Data Entry'!D555,"")</f>
        <v>0</v>
      </c>
      <c r="D554" s="46">
        <f>IF($A$1='Data Entry'!$C555,'Data Entry'!E555,"")</f>
        <v>0</v>
      </c>
      <c r="E554" s="46">
        <f>IF($A$1='Data Entry'!$C555,'Data Entry'!F555,"")</f>
        <v>0</v>
      </c>
      <c r="F554" s="46">
        <f>IF($A$1='Data Entry'!$C555,'Data Entry'!G555,"")</f>
        <v>0</v>
      </c>
      <c r="G554" s="46">
        <f>IF($A$1='Data Entry'!$C555,'Data Entry'!H555,"")</f>
        <v>0</v>
      </c>
      <c r="H554" s="46">
        <f>IF($A$1='Data Entry'!$C555,'Data Entry'!I555,"")</f>
        <v>0</v>
      </c>
      <c r="I554" s="46">
        <f>IF($A$1='Data Entry'!$C555,'Data Entry'!J555,"")</f>
        <v>0</v>
      </c>
      <c r="J554" s="46">
        <f>IF($A$1='Data Entry'!$C555,'Data Entry'!K555,"")</f>
        <v>0</v>
      </c>
      <c r="K554" s="46">
        <f>IF($A$1='Data Entry'!$C555,'Data Entry'!L555,"")</f>
        <v>0</v>
      </c>
      <c r="L554" s="46">
        <f>IF($A$1='Data Entry'!$C555,'Data Entry'!M555,"")</f>
        <v>0</v>
      </c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  <c r="AA554" s="43"/>
      <c r="AB554" s="43"/>
      <c r="AC554" s="43"/>
      <c r="AD554" s="43"/>
      <c r="AE554" s="43"/>
      <c r="AF554" s="43"/>
      <c r="AG554" s="43"/>
      <c r="AH554" s="43"/>
      <c r="AI554" s="43"/>
      <c r="AJ554" s="43"/>
    </row>
    <row r="555" spans="1:36" ht="15.95" customHeight="1" x14ac:dyDescent="0.2">
      <c r="A555" s="43"/>
      <c r="B555" s="45">
        <v>93</v>
      </c>
      <c r="C555" s="46">
        <f>IF($A$1='Data Entry'!$C556,'Data Entry'!D556,"")</f>
        <v>0</v>
      </c>
      <c r="D555" s="46">
        <f>IF($A$1='Data Entry'!$C556,'Data Entry'!E556,"")</f>
        <v>0</v>
      </c>
      <c r="E555" s="46">
        <f>IF($A$1='Data Entry'!$C556,'Data Entry'!F556,"")</f>
        <v>0</v>
      </c>
      <c r="F555" s="46">
        <f>IF($A$1='Data Entry'!$C556,'Data Entry'!G556,"")</f>
        <v>0</v>
      </c>
      <c r="G555" s="46">
        <f>IF($A$1='Data Entry'!$C556,'Data Entry'!H556,"")</f>
        <v>0</v>
      </c>
      <c r="H555" s="46">
        <f>IF($A$1='Data Entry'!$C556,'Data Entry'!I556,"")</f>
        <v>0</v>
      </c>
      <c r="I555" s="46">
        <f>IF($A$1='Data Entry'!$C556,'Data Entry'!J556,"")</f>
        <v>0</v>
      </c>
      <c r="J555" s="46">
        <f>IF($A$1='Data Entry'!$C556,'Data Entry'!K556,"")</f>
        <v>0</v>
      </c>
      <c r="K555" s="46">
        <f>IF($A$1='Data Entry'!$C556,'Data Entry'!L556,"")</f>
        <v>0</v>
      </c>
      <c r="L555" s="46">
        <f>IF($A$1='Data Entry'!$C556,'Data Entry'!M556,"")</f>
        <v>0</v>
      </c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  <c r="AA555" s="43"/>
      <c r="AB555" s="43"/>
      <c r="AC555" s="43"/>
      <c r="AD555" s="43"/>
      <c r="AE555" s="43"/>
      <c r="AF555" s="43"/>
      <c r="AG555" s="43"/>
      <c r="AH555" s="43"/>
      <c r="AI555" s="43"/>
      <c r="AJ555" s="43"/>
    </row>
    <row r="556" spans="1:36" ht="15.95" customHeight="1" x14ac:dyDescent="0.2">
      <c r="A556" s="43"/>
      <c r="B556" s="45">
        <v>93</v>
      </c>
      <c r="C556" s="46">
        <f>IF($A$1='Data Entry'!$C557,'Data Entry'!D557,"")</f>
        <v>0</v>
      </c>
      <c r="D556" s="46">
        <f>IF($A$1='Data Entry'!$C557,'Data Entry'!E557,"")</f>
        <v>0</v>
      </c>
      <c r="E556" s="46">
        <f>IF($A$1='Data Entry'!$C557,'Data Entry'!F557,"")</f>
        <v>0</v>
      </c>
      <c r="F556" s="46">
        <f>IF($A$1='Data Entry'!$C557,'Data Entry'!G557,"")</f>
        <v>0</v>
      </c>
      <c r="G556" s="46">
        <f>IF($A$1='Data Entry'!$C557,'Data Entry'!H557,"")</f>
        <v>0</v>
      </c>
      <c r="H556" s="46">
        <f>IF($A$1='Data Entry'!$C557,'Data Entry'!I557,"")</f>
        <v>0</v>
      </c>
      <c r="I556" s="46">
        <f>IF($A$1='Data Entry'!$C557,'Data Entry'!J557,"")</f>
        <v>0</v>
      </c>
      <c r="J556" s="46">
        <f>IF($A$1='Data Entry'!$C557,'Data Entry'!K557,"")</f>
        <v>0</v>
      </c>
      <c r="K556" s="46">
        <f>IF($A$1='Data Entry'!$C557,'Data Entry'!L557,"")</f>
        <v>0</v>
      </c>
      <c r="L556" s="46">
        <f>IF($A$1='Data Entry'!$C557,'Data Entry'!M557,"")</f>
        <v>0</v>
      </c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  <c r="AA556" s="43"/>
      <c r="AB556" s="43"/>
      <c r="AC556" s="43"/>
      <c r="AD556" s="43"/>
      <c r="AE556" s="43"/>
      <c r="AF556" s="43"/>
      <c r="AG556" s="43"/>
      <c r="AH556" s="43"/>
      <c r="AI556" s="43"/>
      <c r="AJ556" s="43"/>
    </row>
    <row r="557" spans="1:36" ht="15.95" customHeight="1" x14ac:dyDescent="0.2">
      <c r="A557" s="43"/>
      <c r="B557" s="45">
        <v>93</v>
      </c>
      <c r="C557" s="46">
        <f>IF($A$1='Data Entry'!$C558,'Data Entry'!D558,"")</f>
        <v>0</v>
      </c>
      <c r="D557" s="46">
        <f>IF($A$1='Data Entry'!$C558,'Data Entry'!E558,"")</f>
        <v>0</v>
      </c>
      <c r="E557" s="46">
        <f>IF($A$1='Data Entry'!$C558,'Data Entry'!F558,"")</f>
        <v>0</v>
      </c>
      <c r="F557" s="46">
        <f>IF($A$1='Data Entry'!$C558,'Data Entry'!G558,"")</f>
        <v>0</v>
      </c>
      <c r="G557" s="46">
        <f>IF($A$1='Data Entry'!$C558,'Data Entry'!H558,"")</f>
        <v>0</v>
      </c>
      <c r="H557" s="46">
        <f>IF($A$1='Data Entry'!$C558,'Data Entry'!I558,"")</f>
        <v>0</v>
      </c>
      <c r="I557" s="46">
        <f>IF($A$1='Data Entry'!$C558,'Data Entry'!J558,"")</f>
        <v>0</v>
      </c>
      <c r="J557" s="46">
        <f>IF($A$1='Data Entry'!$C558,'Data Entry'!K558,"")</f>
        <v>0</v>
      </c>
      <c r="K557" s="46">
        <f>IF($A$1='Data Entry'!$C558,'Data Entry'!L558,"")</f>
        <v>0</v>
      </c>
      <c r="L557" s="46">
        <f>IF($A$1='Data Entry'!$C558,'Data Entry'!M558,"")</f>
        <v>0</v>
      </c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  <c r="AA557" s="43"/>
      <c r="AB557" s="43"/>
      <c r="AC557" s="43"/>
      <c r="AD557" s="43"/>
      <c r="AE557" s="43"/>
      <c r="AF557" s="43"/>
      <c r="AG557" s="43"/>
      <c r="AH557" s="43"/>
      <c r="AI557" s="43"/>
      <c r="AJ557" s="43"/>
    </row>
    <row r="558" spans="1:36" ht="15.95" customHeight="1" x14ac:dyDescent="0.2">
      <c r="A558" s="43"/>
      <c r="B558" s="45">
        <v>93</v>
      </c>
      <c r="C558" s="46">
        <f>IF($A$1='Data Entry'!$C559,'Data Entry'!D559,"")</f>
        <v>0</v>
      </c>
      <c r="D558" s="46">
        <f>IF($A$1='Data Entry'!$C559,'Data Entry'!E559,"")</f>
        <v>0</v>
      </c>
      <c r="E558" s="46">
        <f>IF($A$1='Data Entry'!$C559,'Data Entry'!F559,"")</f>
        <v>0</v>
      </c>
      <c r="F558" s="46">
        <f>IF($A$1='Data Entry'!$C559,'Data Entry'!G559,"")</f>
        <v>0</v>
      </c>
      <c r="G558" s="46">
        <f>IF($A$1='Data Entry'!$C559,'Data Entry'!H559,"")</f>
        <v>0</v>
      </c>
      <c r="H558" s="46">
        <f>IF($A$1='Data Entry'!$C559,'Data Entry'!I559,"")</f>
        <v>0</v>
      </c>
      <c r="I558" s="46">
        <f>IF($A$1='Data Entry'!$C559,'Data Entry'!J559,"")</f>
        <v>0</v>
      </c>
      <c r="J558" s="46">
        <f>IF($A$1='Data Entry'!$C559,'Data Entry'!K559,"")</f>
        <v>0</v>
      </c>
      <c r="K558" s="46">
        <f>IF($A$1='Data Entry'!$C559,'Data Entry'!L559,"")</f>
        <v>0</v>
      </c>
      <c r="L558" s="46">
        <f>IF($A$1='Data Entry'!$C559,'Data Entry'!M559,"")</f>
        <v>0</v>
      </c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  <c r="AA558" s="43"/>
      <c r="AB558" s="43"/>
      <c r="AC558" s="43"/>
      <c r="AD558" s="43"/>
      <c r="AE558" s="43"/>
      <c r="AF558" s="43"/>
      <c r="AG558" s="43"/>
      <c r="AH558" s="43"/>
      <c r="AI558" s="43"/>
      <c r="AJ558" s="43"/>
    </row>
    <row r="559" spans="1:36" ht="15.95" customHeight="1" x14ac:dyDescent="0.2">
      <c r="A559" s="43"/>
      <c r="B559" s="45">
        <v>93</v>
      </c>
      <c r="C559" s="46">
        <f>IF($A$1='Data Entry'!$C560,'Data Entry'!D560,"")</f>
        <v>0</v>
      </c>
      <c r="D559" s="46">
        <f>IF($A$1='Data Entry'!$C560,'Data Entry'!E560,"")</f>
        <v>0</v>
      </c>
      <c r="E559" s="46">
        <f>IF($A$1='Data Entry'!$C560,'Data Entry'!F560,"")</f>
        <v>0</v>
      </c>
      <c r="F559" s="46">
        <f>IF($A$1='Data Entry'!$C560,'Data Entry'!G560,"")</f>
        <v>0</v>
      </c>
      <c r="G559" s="46">
        <f>IF($A$1='Data Entry'!$C560,'Data Entry'!H560,"")</f>
        <v>0</v>
      </c>
      <c r="H559" s="46">
        <f>IF($A$1='Data Entry'!$C560,'Data Entry'!I560,"")</f>
        <v>0</v>
      </c>
      <c r="I559" s="46">
        <f>IF($A$1='Data Entry'!$C560,'Data Entry'!J560,"")</f>
        <v>0</v>
      </c>
      <c r="J559" s="46">
        <f>IF($A$1='Data Entry'!$C560,'Data Entry'!K560,"")</f>
        <v>0</v>
      </c>
      <c r="K559" s="46">
        <f>IF($A$1='Data Entry'!$C560,'Data Entry'!L560,"")</f>
        <v>0</v>
      </c>
      <c r="L559" s="46">
        <f>IF($A$1='Data Entry'!$C560,'Data Entry'!M560,"")</f>
        <v>0</v>
      </c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  <c r="AA559" s="43"/>
      <c r="AB559" s="43"/>
      <c r="AC559" s="43"/>
      <c r="AD559" s="43"/>
      <c r="AE559" s="43"/>
      <c r="AF559" s="43"/>
      <c r="AG559" s="43"/>
      <c r="AH559" s="43"/>
      <c r="AI559" s="43"/>
      <c r="AJ559" s="43"/>
    </row>
    <row r="560" spans="1:36" ht="15.95" customHeight="1" x14ac:dyDescent="0.2">
      <c r="A560" s="43"/>
      <c r="B560" s="45">
        <v>93</v>
      </c>
      <c r="C560" s="46">
        <f>IF($A$1='Data Entry'!$C561,'Data Entry'!D561,"")</f>
        <v>0</v>
      </c>
      <c r="D560" s="46">
        <f>IF($A$1='Data Entry'!$C561,'Data Entry'!E561,"")</f>
        <v>0</v>
      </c>
      <c r="E560" s="46">
        <f>IF($A$1='Data Entry'!$C561,'Data Entry'!F561,"")</f>
        <v>0</v>
      </c>
      <c r="F560" s="46">
        <f>IF($A$1='Data Entry'!$C561,'Data Entry'!G561,"")</f>
        <v>0</v>
      </c>
      <c r="G560" s="46">
        <f>IF($A$1='Data Entry'!$C561,'Data Entry'!H561,"")</f>
        <v>0</v>
      </c>
      <c r="H560" s="46">
        <f>IF($A$1='Data Entry'!$C561,'Data Entry'!I561,"")</f>
        <v>0</v>
      </c>
      <c r="I560" s="46">
        <f>IF($A$1='Data Entry'!$C561,'Data Entry'!J561,"")</f>
        <v>0</v>
      </c>
      <c r="J560" s="46">
        <f>IF($A$1='Data Entry'!$C561,'Data Entry'!K561,"")</f>
        <v>0</v>
      </c>
      <c r="K560" s="46">
        <f>IF($A$1='Data Entry'!$C561,'Data Entry'!L561,"")</f>
        <v>0</v>
      </c>
      <c r="L560" s="46">
        <f>IF($A$1='Data Entry'!$C561,'Data Entry'!M561,"")</f>
        <v>0</v>
      </c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  <c r="AA560" s="43"/>
      <c r="AB560" s="43"/>
      <c r="AC560" s="43"/>
      <c r="AD560" s="43"/>
      <c r="AE560" s="43"/>
      <c r="AF560" s="43"/>
      <c r="AG560" s="43"/>
      <c r="AH560" s="43"/>
      <c r="AI560" s="43"/>
      <c r="AJ560" s="43"/>
    </row>
    <row r="561" spans="1:36" ht="15.95" customHeight="1" x14ac:dyDescent="0.2">
      <c r="A561" s="43"/>
      <c r="B561" s="45">
        <v>94</v>
      </c>
      <c r="C561" s="46">
        <f>IF($A$1='Data Entry'!$C562,'Data Entry'!D562,"")</f>
        <v>0</v>
      </c>
      <c r="D561" s="46">
        <f>IF($A$1='Data Entry'!$C562,'Data Entry'!E562,"")</f>
        <v>0</v>
      </c>
      <c r="E561" s="46">
        <f>IF($A$1='Data Entry'!$C562,'Data Entry'!F562,"")</f>
        <v>0</v>
      </c>
      <c r="F561" s="46">
        <f>IF($A$1='Data Entry'!$C562,'Data Entry'!G562,"")</f>
        <v>0</v>
      </c>
      <c r="G561" s="46">
        <f>IF($A$1='Data Entry'!$C562,'Data Entry'!H562,"")</f>
        <v>0</v>
      </c>
      <c r="H561" s="46">
        <f>IF($A$1='Data Entry'!$C562,'Data Entry'!I562,"")</f>
        <v>0</v>
      </c>
      <c r="I561" s="46">
        <f>IF($A$1='Data Entry'!$C562,'Data Entry'!J562,"")</f>
        <v>0</v>
      </c>
      <c r="J561" s="46">
        <f>IF($A$1='Data Entry'!$C562,'Data Entry'!K562,"")</f>
        <v>0</v>
      </c>
      <c r="K561" s="46">
        <f>IF($A$1='Data Entry'!$C562,'Data Entry'!L562,"")</f>
        <v>0</v>
      </c>
      <c r="L561" s="46">
        <f>IF($A$1='Data Entry'!$C562,'Data Entry'!M562,"")</f>
        <v>0</v>
      </c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  <c r="AA561" s="43"/>
      <c r="AB561" s="43"/>
      <c r="AC561" s="43"/>
      <c r="AD561" s="43"/>
      <c r="AE561" s="43"/>
      <c r="AF561" s="43"/>
      <c r="AG561" s="43"/>
      <c r="AH561" s="43"/>
      <c r="AI561" s="43"/>
      <c r="AJ561" s="43"/>
    </row>
    <row r="562" spans="1:36" ht="15.95" customHeight="1" x14ac:dyDescent="0.2">
      <c r="A562" s="43"/>
      <c r="B562" s="45">
        <v>94</v>
      </c>
      <c r="C562" s="46">
        <f>IF($A$1='Data Entry'!$C563,'Data Entry'!D563,"")</f>
        <v>0</v>
      </c>
      <c r="D562" s="46">
        <f>IF($A$1='Data Entry'!$C563,'Data Entry'!E563,"")</f>
        <v>0</v>
      </c>
      <c r="E562" s="46">
        <f>IF($A$1='Data Entry'!$C563,'Data Entry'!F563,"")</f>
        <v>0</v>
      </c>
      <c r="F562" s="46">
        <f>IF($A$1='Data Entry'!$C563,'Data Entry'!G563,"")</f>
        <v>0</v>
      </c>
      <c r="G562" s="46">
        <f>IF($A$1='Data Entry'!$C563,'Data Entry'!H563,"")</f>
        <v>0</v>
      </c>
      <c r="H562" s="46">
        <f>IF($A$1='Data Entry'!$C563,'Data Entry'!I563,"")</f>
        <v>0</v>
      </c>
      <c r="I562" s="46">
        <f>IF($A$1='Data Entry'!$C563,'Data Entry'!J563,"")</f>
        <v>0</v>
      </c>
      <c r="J562" s="46">
        <f>IF($A$1='Data Entry'!$C563,'Data Entry'!K563,"")</f>
        <v>0</v>
      </c>
      <c r="K562" s="46">
        <f>IF($A$1='Data Entry'!$C563,'Data Entry'!L563,"")</f>
        <v>0</v>
      </c>
      <c r="L562" s="46">
        <f>IF($A$1='Data Entry'!$C563,'Data Entry'!M563,"")</f>
        <v>0</v>
      </c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  <c r="AA562" s="43"/>
      <c r="AB562" s="43"/>
      <c r="AC562" s="43"/>
      <c r="AD562" s="43"/>
      <c r="AE562" s="43"/>
      <c r="AF562" s="43"/>
      <c r="AG562" s="43"/>
      <c r="AH562" s="43"/>
      <c r="AI562" s="43"/>
      <c r="AJ562" s="43"/>
    </row>
    <row r="563" spans="1:36" ht="15.95" customHeight="1" x14ac:dyDescent="0.2">
      <c r="A563" s="43"/>
      <c r="B563" s="45">
        <v>94</v>
      </c>
      <c r="C563" s="46">
        <f>IF($A$1='Data Entry'!$C564,'Data Entry'!D564,"")</f>
        <v>0</v>
      </c>
      <c r="D563" s="46">
        <f>IF($A$1='Data Entry'!$C564,'Data Entry'!E564,"")</f>
        <v>0</v>
      </c>
      <c r="E563" s="46">
        <f>IF($A$1='Data Entry'!$C564,'Data Entry'!F564,"")</f>
        <v>0</v>
      </c>
      <c r="F563" s="46">
        <f>IF($A$1='Data Entry'!$C564,'Data Entry'!G564,"")</f>
        <v>0</v>
      </c>
      <c r="G563" s="46">
        <f>IF($A$1='Data Entry'!$C564,'Data Entry'!H564,"")</f>
        <v>0</v>
      </c>
      <c r="H563" s="46">
        <f>IF($A$1='Data Entry'!$C564,'Data Entry'!I564,"")</f>
        <v>0</v>
      </c>
      <c r="I563" s="46">
        <f>IF($A$1='Data Entry'!$C564,'Data Entry'!J564,"")</f>
        <v>0</v>
      </c>
      <c r="J563" s="46">
        <f>IF($A$1='Data Entry'!$C564,'Data Entry'!K564,"")</f>
        <v>0</v>
      </c>
      <c r="K563" s="46">
        <f>IF($A$1='Data Entry'!$C564,'Data Entry'!L564,"")</f>
        <v>0</v>
      </c>
      <c r="L563" s="46">
        <f>IF($A$1='Data Entry'!$C564,'Data Entry'!M564,"")</f>
        <v>0</v>
      </c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  <c r="AA563" s="43"/>
      <c r="AB563" s="43"/>
      <c r="AC563" s="43"/>
      <c r="AD563" s="43"/>
      <c r="AE563" s="43"/>
      <c r="AF563" s="43"/>
      <c r="AG563" s="43"/>
      <c r="AH563" s="43"/>
      <c r="AI563" s="43"/>
      <c r="AJ563" s="43"/>
    </row>
    <row r="564" spans="1:36" ht="15.95" customHeight="1" x14ac:dyDescent="0.2">
      <c r="A564" s="43"/>
      <c r="B564" s="45">
        <v>94</v>
      </c>
      <c r="C564" s="46">
        <f>IF($A$1='Data Entry'!$C565,'Data Entry'!D565,"")</f>
        <v>0</v>
      </c>
      <c r="D564" s="46">
        <f>IF($A$1='Data Entry'!$C565,'Data Entry'!E565,"")</f>
        <v>0</v>
      </c>
      <c r="E564" s="46">
        <f>IF($A$1='Data Entry'!$C565,'Data Entry'!F565,"")</f>
        <v>0</v>
      </c>
      <c r="F564" s="46">
        <f>IF($A$1='Data Entry'!$C565,'Data Entry'!G565,"")</f>
        <v>0</v>
      </c>
      <c r="G564" s="46">
        <f>IF($A$1='Data Entry'!$C565,'Data Entry'!H565,"")</f>
        <v>0</v>
      </c>
      <c r="H564" s="46">
        <f>IF($A$1='Data Entry'!$C565,'Data Entry'!I565,"")</f>
        <v>0</v>
      </c>
      <c r="I564" s="46">
        <f>IF($A$1='Data Entry'!$C565,'Data Entry'!J565,"")</f>
        <v>0</v>
      </c>
      <c r="J564" s="46">
        <f>IF($A$1='Data Entry'!$C565,'Data Entry'!K565,"")</f>
        <v>0</v>
      </c>
      <c r="K564" s="46">
        <f>IF($A$1='Data Entry'!$C565,'Data Entry'!L565,"")</f>
        <v>0</v>
      </c>
      <c r="L564" s="46">
        <f>IF($A$1='Data Entry'!$C565,'Data Entry'!M565,"")</f>
        <v>0</v>
      </c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  <c r="AA564" s="43"/>
      <c r="AB564" s="43"/>
      <c r="AC564" s="43"/>
      <c r="AD564" s="43"/>
      <c r="AE564" s="43"/>
      <c r="AF564" s="43"/>
      <c r="AG564" s="43"/>
      <c r="AH564" s="43"/>
      <c r="AI564" s="43"/>
      <c r="AJ564" s="43"/>
    </row>
    <row r="565" spans="1:36" ht="15.95" customHeight="1" x14ac:dyDescent="0.2">
      <c r="A565" s="43"/>
      <c r="B565" s="45">
        <v>94</v>
      </c>
      <c r="C565" s="46">
        <f>IF($A$1='Data Entry'!$C566,'Data Entry'!D566,"")</f>
        <v>0</v>
      </c>
      <c r="D565" s="46">
        <f>IF($A$1='Data Entry'!$C566,'Data Entry'!E566,"")</f>
        <v>0</v>
      </c>
      <c r="E565" s="46">
        <f>IF($A$1='Data Entry'!$C566,'Data Entry'!F566,"")</f>
        <v>0</v>
      </c>
      <c r="F565" s="46">
        <f>IF($A$1='Data Entry'!$C566,'Data Entry'!G566,"")</f>
        <v>0</v>
      </c>
      <c r="G565" s="46">
        <f>IF($A$1='Data Entry'!$C566,'Data Entry'!H566,"")</f>
        <v>0</v>
      </c>
      <c r="H565" s="46">
        <f>IF($A$1='Data Entry'!$C566,'Data Entry'!I566,"")</f>
        <v>0</v>
      </c>
      <c r="I565" s="46">
        <f>IF($A$1='Data Entry'!$C566,'Data Entry'!J566,"")</f>
        <v>0</v>
      </c>
      <c r="J565" s="46">
        <f>IF($A$1='Data Entry'!$C566,'Data Entry'!K566,"")</f>
        <v>0</v>
      </c>
      <c r="K565" s="46">
        <f>IF($A$1='Data Entry'!$C566,'Data Entry'!L566,"")</f>
        <v>0</v>
      </c>
      <c r="L565" s="46">
        <f>IF($A$1='Data Entry'!$C566,'Data Entry'!M566,"")</f>
        <v>0</v>
      </c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  <c r="AA565" s="43"/>
      <c r="AB565" s="43"/>
      <c r="AC565" s="43"/>
      <c r="AD565" s="43"/>
      <c r="AE565" s="43"/>
      <c r="AF565" s="43"/>
      <c r="AG565" s="43"/>
      <c r="AH565" s="43"/>
      <c r="AI565" s="43"/>
      <c r="AJ565" s="43"/>
    </row>
    <row r="566" spans="1:36" ht="15.95" customHeight="1" x14ac:dyDescent="0.2">
      <c r="A566" s="43"/>
      <c r="B566" s="45">
        <v>94</v>
      </c>
      <c r="C566" s="46">
        <f>IF($A$1='Data Entry'!$C567,'Data Entry'!D567,"")</f>
        <v>0</v>
      </c>
      <c r="D566" s="46">
        <f>IF($A$1='Data Entry'!$C567,'Data Entry'!E567,"")</f>
        <v>0</v>
      </c>
      <c r="E566" s="46">
        <f>IF($A$1='Data Entry'!$C567,'Data Entry'!F567,"")</f>
        <v>0</v>
      </c>
      <c r="F566" s="46">
        <f>IF($A$1='Data Entry'!$C567,'Data Entry'!G567,"")</f>
        <v>0</v>
      </c>
      <c r="G566" s="46">
        <f>IF($A$1='Data Entry'!$C567,'Data Entry'!H567,"")</f>
        <v>0</v>
      </c>
      <c r="H566" s="46">
        <f>IF($A$1='Data Entry'!$C567,'Data Entry'!I567,"")</f>
        <v>0</v>
      </c>
      <c r="I566" s="46">
        <f>IF($A$1='Data Entry'!$C567,'Data Entry'!J567,"")</f>
        <v>0</v>
      </c>
      <c r="J566" s="46">
        <f>IF($A$1='Data Entry'!$C567,'Data Entry'!K567,"")</f>
        <v>0</v>
      </c>
      <c r="K566" s="46">
        <f>IF($A$1='Data Entry'!$C567,'Data Entry'!L567,"")</f>
        <v>0</v>
      </c>
      <c r="L566" s="46">
        <f>IF($A$1='Data Entry'!$C567,'Data Entry'!M567,"")</f>
        <v>0</v>
      </c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  <c r="AA566" s="43"/>
      <c r="AB566" s="43"/>
      <c r="AC566" s="43"/>
      <c r="AD566" s="43"/>
      <c r="AE566" s="43"/>
      <c r="AF566" s="43"/>
      <c r="AG566" s="43"/>
      <c r="AH566" s="43"/>
      <c r="AI566" s="43"/>
      <c r="AJ566" s="43"/>
    </row>
    <row r="567" spans="1:36" ht="15.95" customHeight="1" x14ac:dyDescent="0.2">
      <c r="A567" s="43"/>
      <c r="B567" s="45">
        <v>95</v>
      </c>
      <c r="C567" s="46">
        <f>IF($A$1='Data Entry'!$C568,'Data Entry'!D568,"")</f>
        <v>0</v>
      </c>
      <c r="D567" s="46">
        <f>IF($A$1='Data Entry'!$C568,'Data Entry'!E568,"")</f>
        <v>0</v>
      </c>
      <c r="E567" s="46">
        <f>IF($A$1='Data Entry'!$C568,'Data Entry'!F568,"")</f>
        <v>0</v>
      </c>
      <c r="F567" s="46">
        <f>IF($A$1='Data Entry'!$C568,'Data Entry'!G568,"")</f>
        <v>0</v>
      </c>
      <c r="G567" s="46">
        <f>IF($A$1='Data Entry'!$C568,'Data Entry'!H568,"")</f>
        <v>0</v>
      </c>
      <c r="H567" s="46">
        <f>IF($A$1='Data Entry'!$C568,'Data Entry'!I568,"")</f>
        <v>0</v>
      </c>
      <c r="I567" s="46">
        <f>IF($A$1='Data Entry'!$C568,'Data Entry'!J568,"")</f>
        <v>0</v>
      </c>
      <c r="J567" s="46">
        <f>IF($A$1='Data Entry'!$C568,'Data Entry'!K568,"")</f>
        <v>0</v>
      </c>
      <c r="K567" s="46">
        <f>IF($A$1='Data Entry'!$C568,'Data Entry'!L568,"")</f>
        <v>0</v>
      </c>
      <c r="L567" s="46">
        <f>IF($A$1='Data Entry'!$C568,'Data Entry'!M568,"")</f>
        <v>0</v>
      </c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  <c r="AA567" s="43"/>
      <c r="AB567" s="43"/>
      <c r="AC567" s="43"/>
      <c r="AD567" s="43"/>
      <c r="AE567" s="43"/>
      <c r="AF567" s="43"/>
      <c r="AG567" s="43"/>
      <c r="AH567" s="43"/>
      <c r="AI567" s="43"/>
      <c r="AJ567" s="43"/>
    </row>
    <row r="568" spans="1:36" ht="15.95" customHeight="1" x14ac:dyDescent="0.2">
      <c r="A568" s="43"/>
      <c r="B568" s="45">
        <v>95</v>
      </c>
      <c r="C568" s="46">
        <f>IF($A$1='Data Entry'!$C569,'Data Entry'!D569,"")</f>
        <v>0</v>
      </c>
      <c r="D568" s="46">
        <f>IF($A$1='Data Entry'!$C569,'Data Entry'!E569,"")</f>
        <v>0</v>
      </c>
      <c r="E568" s="46">
        <f>IF($A$1='Data Entry'!$C569,'Data Entry'!F569,"")</f>
        <v>0</v>
      </c>
      <c r="F568" s="46">
        <f>IF($A$1='Data Entry'!$C569,'Data Entry'!G569,"")</f>
        <v>0</v>
      </c>
      <c r="G568" s="46">
        <f>IF($A$1='Data Entry'!$C569,'Data Entry'!H569,"")</f>
        <v>0</v>
      </c>
      <c r="H568" s="46">
        <f>IF($A$1='Data Entry'!$C569,'Data Entry'!I569,"")</f>
        <v>0</v>
      </c>
      <c r="I568" s="46">
        <f>IF($A$1='Data Entry'!$C569,'Data Entry'!J569,"")</f>
        <v>0</v>
      </c>
      <c r="J568" s="46">
        <f>IF($A$1='Data Entry'!$C569,'Data Entry'!K569,"")</f>
        <v>0</v>
      </c>
      <c r="K568" s="46">
        <f>IF($A$1='Data Entry'!$C569,'Data Entry'!L569,"")</f>
        <v>0</v>
      </c>
      <c r="L568" s="46">
        <f>IF($A$1='Data Entry'!$C569,'Data Entry'!M569,"")</f>
        <v>0</v>
      </c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  <c r="AA568" s="43"/>
      <c r="AB568" s="43"/>
      <c r="AC568" s="43"/>
      <c r="AD568" s="43"/>
      <c r="AE568" s="43"/>
      <c r="AF568" s="43"/>
      <c r="AG568" s="43"/>
      <c r="AH568" s="43"/>
      <c r="AI568" s="43"/>
      <c r="AJ568" s="43"/>
    </row>
    <row r="569" spans="1:36" ht="15.95" customHeight="1" x14ac:dyDescent="0.2">
      <c r="A569" s="43"/>
      <c r="B569" s="45">
        <v>95</v>
      </c>
      <c r="C569" s="46">
        <f>IF($A$1='Data Entry'!$C570,'Data Entry'!D570,"")</f>
        <v>0</v>
      </c>
      <c r="D569" s="46">
        <f>IF($A$1='Data Entry'!$C570,'Data Entry'!E570,"")</f>
        <v>0</v>
      </c>
      <c r="E569" s="46">
        <f>IF($A$1='Data Entry'!$C570,'Data Entry'!F570,"")</f>
        <v>0</v>
      </c>
      <c r="F569" s="46">
        <f>IF($A$1='Data Entry'!$C570,'Data Entry'!G570,"")</f>
        <v>0</v>
      </c>
      <c r="G569" s="46">
        <f>IF($A$1='Data Entry'!$C570,'Data Entry'!H570,"")</f>
        <v>0</v>
      </c>
      <c r="H569" s="46">
        <f>IF($A$1='Data Entry'!$C570,'Data Entry'!I570,"")</f>
        <v>0</v>
      </c>
      <c r="I569" s="46">
        <f>IF($A$1='Data Entry'!$C570,'Data Entry'!J570,"")</f>
        <v>0</v>
      </c>
      <c r="J569" s="46">
        <f>IF($A$1='Data Entry'!$C570,'Data Entry'!K570,"")</f>
        <v>0</v>
      </c>
      <c r="K569" s="46">
        <f>IF($A$1='Data Entry'!$C570,'Data Entry'!L570,"")</f>
        <v>0</v>
      </c>
      <c r="L569" s="46">
        <f>IF($A$1='Data Entry'!$C570,'Data Entry'!M570,"")</f>
        <v>0</v>
      </c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  <c r="AA569" s="43"/>
      <c r="AB569" s="43"/>
      <c r="AC569" s="43"/>
      <c r="AD569" s="43"/>
      <c r="AE569" s="43"/>
      <c r="AF569" s="43"/>
      <c r="AG569" s="43"/>
      <c r="AH569" s="43"/>
      <c r="AI569" s="43"/>
      <c r="AJ569" s="43"/>
    </row>
    <row r="570" spans="1:36" ht="15.95" customHeight="1" x14ac:dyDescent="0.2">
      <c r="A570" s="43"/>
      <c r="B570" s="45">
        <v>95</v>
      </c>
      <c r="C570" s="46">
        <f>IF($A$1='Data Entry'!$C571,'Data Entry'!D571,"")</f>
        <v>0</v>
      </c>
      <c r="D570" s="46">
        <f>IF($A$1='Data Entry'!$C571,'Data Entry'!E571,"")</f>
        <v>0</v>
      </c>
      <c r="E570" s="46">
        <f>IF($A$1='Data Entry'!$C571,'Data Entry'!F571,"")</f>
        <v>0</v>
      </c>
      <c r="F570" s="46">
        <f>IF($A$1='Data Entry'!$C571,'Data Entry'!G571,"")</f>
        <v>0</v>
      </c>
      <c r="G570" s="46">
        <f>IF($A$1='Data Entry'!$C571,'Data Entry'!H571,"")</f>
        <v>0</v>
      </c>
      <c r="H570" s="46">
        <f>IF($A$1='Data Entry'!$C571,'Data Entry'!I571,"")</f>
        <v>0</v>
      </c>
      <c r="I570" s="46">
        <f>IF($A$1='Data Entry'!$C571,'Data Entry'!J571,"")</f>
        <v>0</v>
      </c>
      <c r="J570" s="46">
        <f>IF($A$1='Data Entry'!$C571,'Data Entry'!K571,"")</f>
        <v>0</v>
      </c>
      <c r="K570" s="46">
        <f>IF($A$1='Data Entry'!$C571,'Data Entry'!L571,"")</f>
        <v>0</v>
      </c>
      <c r="L570" s="46">
        <f>IF($A$1='Data Entry'!$C571,'Data Entry'!M571,"")</f>
        <v>0</v>
      </c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  <c r="AA570" s="43"/>
      <c r="AB570" s="43"/>
      <c r="AC570" s="43"/>
      <c r="AD570" s="43"/>
      <c r="AE570" s="43"/>
      <c r="AF570" s="43"/>
      <c r="AG570" s="43"/>
      <c r="AH570" s="43"/>
      <c r="AI570" s="43"/>
      <c r="AJ570" s="43"/>
    </row>
    <row r="571" spans="1:36" ht="15.95" customHeight="1" x14ac:dyDescent="0.2">
      <c r="A571" s="43"/>
      <c r="B571" s="45">
        <v>95</v>
      </c>
      <c r="C571" s="46">
        <f>IF($A$1='Data Entry'!$C572,'Data Entry'!D572,"")</f>
        <v>0</v>
      </c>
      <c r="D571" s="46">
        <f>IF($A$1='Data Entry'!$C572,'Data Entry'!E572,"")</f>
        <v>0</v>
      </c>
      <c r="E571" s="46">
        <f>IF($A$1='Data Entry'!$C572,'Data Entry'!F572,"")</f>
        <v>0</v>
      </c>
      <c r="F571" s="46">
        <f>IF($A$1='Data Entry'!$C572,'Data Entry'!G572,"")</f>
        <v>0</v>
      </c>
      <c r="G571" s="46">
        <f>IF($A$1='Data Entry'!$C572,'Data Entry'!H572,"")</f>
        <v>0</v>
      </c>
      <c r="H571" s="46">
        <f>IF($A$1='Data Entry'!$C572,'Data Entry'!I572,"")</f>
        <v>0</v>
      </c>
      <c r="I571" s="46">
        <f>IF($A$1='Data Entry'!$C572,'Data Entry'!J572,"")</f>
        <v>0</v>
      </c>
      <c r="J571" s="46">
        <f>IF($A$1='Data Entry'!$C572,'Data Entry'!K572,"")</f>
        <v>0</v>
      </c>
      <c r="K571" s="46">
        <f>IF($A$1='Data Entry'!$C572,'Data Entry'!L572,"")</f>
        <v>0</v>
      </c>
      <c r="L571" s="46">
        <f>IF($A$1='Data Entry'!$C572,'Data Entry'!M572,"")</f>
        <v>0</v>
      </c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  <c r="AA571" s="43"/>
      <c r="AB571" s="43"/>
      <c r="AC571" s="43"/>
      <c r="AD571" s="43"/>
      <c r="AE571" s="43"/>
      <c r="AF571" s="43"/>
      <c r="AG571" s="43"/>
      <c r="AH571" s="43"/>
      <c r="AI571" s="43"/>
      <c r="AJ571" s="43"/>
    </row>
    <row r="572" spans="1:36" ht="15.95" customHeight="1" x14ac:dyDescent="0.2">
      <c r="A572" s="43"/>
      <c r="B572" s="45">
        <v>95</v>
      </c>
      <c r="C572" s="46">
        <f>IF($A$1='Data Entry'!$C573,'Data Entry'!D573,"")</f>
        <v>0</v>
      </c>
      <c r="D572" s="46">
        <f>IF($A$1='Data Entry'!$C573,'Data Entry'!E573,"")</f>
        <v>0</v>
      </c>
      <c r="E572" s="46">
        <f>IF($A$1='Data Entry'!$C573,'Data Entry'!F573,"")</f>
        <v>0</v>
      </c>
      <c r="F572" s="46">
        <f>IF($A$1='Data Entry'!$C573,'Data Entry'!G573,"")</f>
        <v>0</v>
      </c>
      <c r="G572" s="46">
        <f>IF($A$1='Data Entry'!$C573,'Data Entry'!H573,"")</f>
        <v>0</v>
      </c>
      <c r="H572" s="46">
        <f>IF($A$1='Data Entry'!$C573,'Data Entry'!I573,"")</f>
        <v>0</v>
      </c>
      <c r="I572" s="46">
        <f>IF($A$1='Data Entry'!$C573,'Data Entry'!J573,"")</f>
        <v>0</v>
      </c>
      <c r="J572" s="46">
        <f>IF($A$1='Data Entry'!$C573,'Data Entry'!K573,"")</f>
        <v>0</v>
      </c>
      <c r="K572" s="46">
        <f>IF($A$1='Data Entry'!$C573,'Data Entry'!L573,"")</f>
        <v>0</v>
      </c>
      <c r="L572" s="46">
        <f>IF($A$1='Data Entry'!$C573,'Data Entry'!M573,"")</f>
        <v>0</v>
      </c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  <c r="AA572" s="43"/>
      <c r="AB572" s="43"/>
      <c r="AC572" s="43"/>
      <c r="AD572" s="43"/>
      <c r="AE572" s="43"/>
      <c r="AF572" s="43"/>
      <c r="AG572" s="43"/>
      <c r="AH572" s="43"/>
      <c r="AI572" s="43"/>
      <c r="AJ572" s="43"/>
    </row>
    <row r="573" spans="1:36" ht="15.95" customHeight="1" x14ac:dyDescent="0.2">
      <c r="A573" s="43"/>
      <c r="B573" s="45">
        <v>96</v>
      </c>
      <c r="C573" s="46">
        <f>IF($A$1='Data Entry'!$C574,'Data Entry'!D574,"")</f>
        <v>0</v>
      </c>
      <c r="D573" s="46">
        <f>IF($A$1='Data Entry'!$C574,'Data Entry'!E574,"")</f>
        <v>0</v>
      </c>
      <c r="E573" s="46">
        <f>IF($A$1='Data Entry'!$C574,'Data Entry'!F574,"")</f>
        <v>0</v>
      </c>
      <c r="F573" s="46">
        <f>IF($A$1='Data Entry'!$C574,'Data Entry'!G574,"")</f>
        <v>0</v>
      </c>
      <c r="G573" s="46">
        <f>IF($A$1='Data Entry'!$C574,'Data Entry'!H574,"")</f>
        <v>0</v>
      </c>
      <c r="H573" s="46">
        <f>IF($A$1='Data Entry'!$C574,'Data Entry'!I574,"")</f>
        <v>0</v>
      </c>
      <c r="I573" s="46">
        <f>IF($A$1='Data Entry'!$C574,'Data Entry'!J574,"")</f>
        <v>0</v>
      </c>
      <c r="J573" s="46">
        <f>IF($A$1='Data Entry'!$C574,'Data Entry'!K574,"")</f>
        <v>0</v>
      </c>
      <c r="K573" s="46">
        <f>IF($A$1='Data Entry'!$C574,'Data Entry'!L574,"")</f>
        <v>0</v>
      </c>
      <c r="L573" s="46">
        <f>IF($A$1='Data Entry'!$C574,'Data Entry'!M574,"")</f>
        <v>0</v>
      </c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  <c r="AA573" s="43"/>
      <c r="AB573" s="43"/>
      <c r="AC573" s="43"/>
      <c r="AD573" s="43"/>
      <c r="AE573" s="43"/>
      <c r="AF573" s="43"/>
      <c r="AG573" s="43"/>
      <c r="AH573" s="43"/>
      <c r="AI573" s="43"/>
      <c r="AJ573" s="43"/>
    </row>
    <row r="574" spans="1:36" ht="15.95" customHeight="1" x14ac:dyDescent="0.2">
      <c r="A574" s="43"/>
      <c r="B574" s="45">
        <v>96</v>
      </c>
      <c r="C574" s="46">
        <f>IF($A$1='Data Entry'!$C575,'Data Entry'!D575,"")</f>
        <v>0</v>
      </c>
      <c r="D574" s="46">
        <f>IF($A$1='Data Entry'!$C575,'Data Entry'!E575,"")</f>
        <v>0</v>
      </c>
      <c r="E574" s="46">
        <f>IF($A$1='Data Entry'!$C575,'Data Entry'!F575,"")</f>
        <v>0</v>
      </c>
      <c r="F574" s="46">
        <f>IF($A$1='Data Entry'!$C575,'Data Entry'!G575,"")</f>
        <v>0</v>
      </c>
      <c r="G574" s="46">
        <f>IF($A$1='Data Entry'!$C575,'Data Entry'!H575,"")</f>
        <v>0</v>
      </c>
      <c r="H574" s="46">
        <f>IF($A$1='Data Entry'!$C575,'Data Entry'!I575,"")</f>
        <v>0</v>
      </c>
      <c r="I574" s="46">
        <f>IF($A$1='Data Entry'!$C575,'Data Entry'!J575,"")</f>
        <v>0</v>
      </c>
      <c r="J574" s="46">
        <f>IF($A$1='Data Entry'!$C575,'Data Entry'!K575,"")</f>
        <v>0</v>
      </c>
      <c r="K574" s="46">
        <f>IF($A$1='Data Entry'!$C575,'Data Entry'!L575,"")</f>
        <v>0</v>
      </c>
      <c r="L574" s="46">
        <f>IF($A$1='Data Entry'!$C575,'Data Entry'!M575,"")</f>
        <v>0</v>
      </c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  <c r="AA574" s="43"/>
      <c r="AB574" s="43"/>
      <c r="AC574" s="43"/>
      <c r="AD574" s="43"/>
      <c r="AE574" s="43"/>
      <c r="AF574" s="43"/>
      <c r="AG574" s="43"/>
      <c r="AH574" s="43"/>
      <c r="AI574" s="43"/>
      <c r="AJ574" s="43"/>
    </row>
    <row r="575" spans="1:36" ht="15.95" customHeight="1" x14ac:dyDescent="0.2">
      <c r="A575" s="43"/>
      <c r="B575" s="45">
        <v>96</v>
      </c>
      <c r="C575" s="46">
        <f>IF($A$1='Data Entry'!$C576,'Data Entry'!D576,"")</f>
        <v>0</v>
      </c>
      <c r="D575" s="46">
        <f>IF($A$1='Data Entry'!$C576,'Data Entry'!E576,"")</f>
        <v>0</v>
      </c>
      <c r="E575" s="46">
        <f>IF($A$1='Data Entry'!$C576,'Data Entry'!F576,"")</f>
        <v>0</v>
      </c>
      <c r="F575" s="46">
        <f>IF($A$1='Data Entry'!$C576,'Data Entry'!G576,"")</f>
        <v>0</v>
      </c>
      <c r="G575" s="46">
        <f>IF($A$1='Data Entry'!$C576,'Data Entry'!H576,"")</f>
        <v>0</v>
      </c>
      <c r="H575" s="46">
        <f>IF($A$1='Data Entry'!$C576,'Data Entry'!I576,"")</f>
        <v>0</v>
      </c>
      <c r="I575" s="46">
        <f>IF($A$1='Data Entry'!$C576,'Data Entry'!J576,"")</f>
        <v>0</v>
      </c>
      <c r="J575" s="46">
        <f>IF($A$1='Data Entry'!$C576,'Data Entry'!K576,"")</f>
        <v>0</v>
      </c>
      <c r="K575" s="46">
        <f>IF($A$1='Data Entry'!$C576,'Data Entry'!L576,"")</f>
        <v>0</v>
      </c>
      <c r="L575" s="46">
        <f>IF($A$1='Data Entry'!$C576,'Data Entry'!M576,"")</f>
        <v>0</v>
      </c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  <c r="AA575" s="43"/>
      <c r="AB575" s="43"/>
      <c r="AC575" s="43"/>
      <c r="AD575" s="43"/>
      <c r="AE575" s="43"/>
      <c r="AF575" s="43"/>
      <c r="AG575" s="43"/>
      <c r="AH575" s="43"/>
      <c r="AI575" s="43"/>
      <c r="AJ575" s="43"/>
    </row>
    <row r="576" spans="1:36" ht="15.95" customHeight="1" x14ac:dyDescent="0.2">
      <c r="A576" s="43"/>
      <c r="B576" s="45">
        <v>96</v>
      </c>
      <c r="C576" s="46">
        <f>IF($A$1='Data Entry'!$C577,'Data Entry'!D577,"")</f>
        <v>0</v>
      </c>
      <c r="D576" s="46">
        <f>IF($A$1='Data Entry'!$C577,'Data Entry'!E577,"")</f>
        <v>0</v>
      </c>
      <c r="E576" s="46">
        <f>IF($A$1='Data Entry'!$C577,'Data Entry'!F577,"")</f>
        <v>0</v>
      </c>
      <c r="F576" s="46">
        <f>IF($A$1='Data Entry'!$C577,'Data Entry'!G577,"")</f>
        <v>0</v>
      </c>
      <c r="G576" s="46">
        <f>IF($A$1='Data Entry'!$C577,'Data Entry'!H577,"")</f>
        <v>0</v>
      </c>
      <c r="H576" s="46">
        <f>IF($A$1='Data Entry'!$C577,'Data Entry'!I577,"")</f>
        <v>0</v>
      </c>
      <c r="I576" s="46">
        <f>IF($A$1='Data Entry'!$C577,'Data Entry'!J577,"")</f>
        <v>0</v>
      </c>
      <c r="J576" s="46">
        <f>IF($A$1='Data Entry'!$C577,'Data Entry'!K577,"")</f>
        <v>0</v>
      </c>
      <c r="K576" s="46">
        <f>IF($A$1='Data Entry'!$C577,'Data Entry'!L577,"")</f>
        <v>0</v>
      </c>
      <c r="L576" s="46">
        <f>IF($A$1='Data Entry'!$C577,'Data Entry'!M577,"")</f>
        <v>0</v>
      </c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  <c r="AA576" s="43"/>
      <c r="AB576" s="43"/>
      <c r="AC576" s="43"/>
      <c r="AD576" s="43"/>
      <c r="AE576" s="43"/>
      <c r="AF576" s="43"/>
      <c r="AG576" s="43"/>
      <c r="AH576" s="43"/>
      <c r="AI576" s="43"/>
      <c r="AJ576" s="43"/>
    </row>
    <row r="577" spans="1:36" ht="15.95" customHeight="1" x14ac:dyDescent="0.2">
      <c r="A577" s="43"/>
      <c r="B577" s="45">
        <v>96</v>
      </c>
      <c r="C577" s="46">
        <f>IF($A$1='Data Entry'!$C578,'Data Entry'!D578,"")</f>
        <v>0</v>
      </c>
      <c r="D577" s="46">
        <f>IF($A$1='Data Entry'!$C578,'Data Entry'!E578,"")</f>
        <v>0</v>
      </c>
      <c r="E577" s="46">
        <f>IF($A$1='Data Entry'!$C578,'Data Entry'!F578,"")</f>
        <v>0</v>
      </c>
      <c r="F577" s="46">
        <f>IF($A$1='Data Entry'!$C578,'Data Entry'!G578,"")</f>
        <v>0</v>
      </c>
      <c r="G577" s="46">
        <f>IF($A$1='Data Entry'!$C578,'Data Entry'!H578,"")</f>
        <v>0</v>
      </c>
      <c r="H577" s="46">
        <f>IF($A$1='Data Entry'!$C578,'Data Entry'!I578,"")</f>
        <v>0</v>
      </c>
      <c r="I577" s="46">
        <f>IF($A$1='Data Entry'!$C578,'Data Entry'!J578,"")</f>
        <v>0</v>
      </c>
      <c r="J577" s="46">
        <f>IF($A$1='Data Entry'!$C578,'Data Entry'!K578,"")</f>
        <v>0</v>
      </c>
      <c r="K577" s="46">
        <f>IF($A$1='Data Entry'!$C578,'Data Entry'!L578,"")</f>
        <v>0</v>
      </c>
      <c r="L577" s="46">
        <f>IF($A$1='Data Entry'!$C578,'Data Entry'!M578,"")</f>
        <v>0</v>
      </c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  <c r="AA577" s="43"/>
      <c r="AB577" s="43"/>
      <c r="AC577" s="43"/>
      <c r="AD577" s="43"/>
      <c r="AE577" s="43"/>
      <c r="AF577" s="43"/>
      <c r="AG577" s="43"/>
      <c r="AH577" s="43"/>
      <c r="AI577" s="43"/>
      <c r="AJ577" s="43"/>
    </row>
    <row r="578" spans="1:36" ht="15.95" customHeight="1" x14ac:dyDescent="0.2">
      <c r="A578" s="43"/>
      <c r="B578" s="45">
        <v>96</v>
      </c>
      <c r="C578" s="46">
        <f>IF($A$1='Data Entry'!$C579,'Data Entry'!D579,"")</f>
        <v>0</v>
      </c>
      <c r="D578" s="46">
        <f>IF($A$1='Data Entry'!$C579,'Data Entry'!E579,"")</f>
        <v>0</v>
      </c>
      <c r="E578" s="46">
        <f>IF($A$1='Data Entry'!$C579,'Data Entry'!F579,"")</f>
        <v>0</v>
      </c>
      <c r="F578" s="46">
        <f>IF($A$1='Data Entry'!$C579,'Data Entry'!G579,"")</f>
        <v>0</v>
      </c>
      <c r="G578" s="46">
        <f>IF($A$1='Data Entry'!$C579,'Data Entry'!H579,"")</f>
        <v>0</v>
      </c>
      <c r="H578" s="46">
        <f>IF($A$1='Data Entry'!$C579,'Data Entry'!I579,"")</f>
        <v>0</v>
      </c>
      <c r="I578" s="46">
        <f>IF($A$1='Data Entry'!$C579,'Data Entry'!J579,"")</f>
        <v>0</v>
      </c>
      <c r="J578" s="46">
        <f>IF($A$1='Data Entry'!$C579,'Data Entry'!K579,"")</f>
        <v>0</v>
      </c>
      <c r="K578" s="46">
        <f>IF($A$1='Data Entry'!$C579,'Data Entry'!L579,"")</f>
        <v>0</v>
      </c>
      <c r="L578" s="46">
        <f>IF($A$1='Data Entry'!$C579,'Data Entry'!M579,"")</f>
        <v>0</v>
      </c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  <c r="AA578" s="43"/>
      <c r="AB578" s="43"/>
      <c r="AC578" s="43"/>
      <c r="AD578" s="43"/>
      <c r="AE578" s="43"/>
      <c r="AF578" s="43"/>
      <c r="AG578" s="43"/>
      <c r="AH578" s="43"/>
      <c r="AI578" s="43"/>
      <c r="AJ578" s="43"/>
    </row>
    <row r="579" spans="1:36" ht="15.95" customHeight="1" x14ac:dyDescent="0.2">
      <c r="A579" s="43"/>
      <c r="B579" s="45">
        <v>97</v>
      </c>
      <c r="C579" s="46">
        <f>IF($A$1='Data Entry'!$C580,'Data Entry'!D580,"")</f>
        <v>0</v>
      </c>
      <c r="D579" s="46">
        <f>IF($A$1='Data Entry'!$C580,'Data Entry'!E580,"")</f>
        <v>0</v>
      </c>
      <c r="E579" s="46">
        <f>IF($A$1='Data Entry'!$C580,'Data Entry'!F580,"")</f>
        <v>0</v>
      </c>
      <c r="F579" s="46">
        <f>IF($A$1='Data Entry'!$C580,'Data Entry'!G580,"")</f>
        <v>0</v>
      </c>
      <c r="G579" s="46">
        <f>IF($A$1='Data Entry'!$C580,'Data Entry'!H580,"")</f>
        <v>0</v>
      </c>
      <c r="H579" s="46">
        <f>IF($A$1='Data Entry'!$C580,'Data Entry'!I580,"")</f>
        <v>0</v>
      </c>
      <c r="I579" s="46">
        <f>IF($A$1='Data Entry'!$C580,'Data Entry'!J580,"")</f>
        <v>0</v>
      </c>
      <c r="J579" s="46">
        <f>IF($A$1='Data Entry'!$C580,'Data Entry'!K580,"")</f>
        <v>0</v>
      </c>
      <c r="K579" s="46">
        <f>IF($A$1='Data Entry'!$C580,'Data Entry'!L580,"")</f>
        <v>0</v>
      </c>
      <c r="L579" s="46">
        <f>IF($A$1='Data Entry'!$C580,'Data Entry'!M580,"")</f>
        <v>0</v>
      </c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  <c r="AA579" s="43"/>
      <c r="AB579" s="43"/>
      <c r="AC579" s="43"/>
      <c r="AD579" s="43"/>
      <c r="AE579" s="43"/>
      <c r="AF579" s="43"/>
      <c r="AG579" s="43"/>
      <c r="AH579" s="43"/>
      <c r="AI579" s="43"/>
      <c r="AJ579" s="43"/>
    </row>
    <row r="580" spans="1:36" ht="15.95" customHeight="1" x14ac:dyDescent="0.2">
      <c r="A580" s="43"/>
      <c r="B580" s="45">
        <v>97</v>
      </c>
      <c r="C580" s="46">
        <f>IF($A$1='Data Entry'!$C581,'Data Entry'!D581,"")</f>
        <v>0</v>
      </c>
      <c r="D580" s="46">
        <f>IF($A$1='Data Entry'!$C581,'Data Entry'!E581,"")</f>
        <v>0</v>
      </c>
      <c r="E580" s="46">
        <f>IF($A$1='Data Entry'!$C581,'Data Entry'!F581,"")</f>
        <v>0</v>
      </c>
      <c r="F580" s="46">
        <f>IF($A$1='Data Entry'!$C581,'Data Entry'!G581,"")</f>
        <v>0</v>
      </c>
      <c r="G580" s="46">
        <f>IF($A$1='Data Entry'!$C581,'Data Entry'!H581,"")</f>
        <v>0</v>
      </c>
      <c r="H580" s="46">
        <f>IF($A$1='Data Entry'!$C581,'Data Entry'!I581,"")</f>
        <v>0</v>
      </c>
      <c r="I580" s="46">
        <f>IF($A$1='Data Entry'!$C581,'Data Entry'!J581,"")</f>
        <v>0</v>
      </c>
      <c r="J580" s="46">
        <f>IF($A$1='Data Entry'!$C581,'Data Entry'!K581,"")</f>
        <v>0</v>
      </c>
      <c r="K580" s="46">
        <f>IF($A$1='Data Entry'!$C581,'Data Entry'!L581,"")</f>
        <v>0</v>
      </c>
      <c r="L580" s="46">
        <f>IF($A$1='Data Entry'!$C581,'Data Entry'!M581,"")</f>
        <v>0</v>
      </c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  <c r="AA580" s="43"/>
      <c r="AB580" s="43"/>
      <c r="AC580" s="43"/>
      <c r="AD580" s="43"/>
      <c r="AE580" s="43"/>
      <c r="AF580" s="43"/>
      <c r="AG580" s="43"/>
      <c r="AH580" s="43"/>
      <c r="AI580" s="43"/>
      <c r="AJ580" s="43"/>
    </row>
    <row r="581" spans="1:36" ht="15.95" customHeight="1" x14ac:dyDescent="0.2">
      <c r="A581" s="43"/>
      <c r="B581" s="45">
        <v>97</v>
      </c>
      <c r="C581" s="46">
        <f>IF($A$1='Data Entry'!$C582,'Data Entry'!D582,"")</f>
        <v>0</v>
      </c>
      <c r="D581" s="46">
        <f>IF($A$1='Data Entry'!$C582,'Data Entry'!E582,"")</f>
        <v>0</v>
      </c>
      <c r="E581" s="46">
        <f>IF($A$1='Data Entry'!$C582,'Data Entry'!F582,"")</f>
        <v>0</v>
      </c>
      <c r="F581" s="46">
        <f>IF($A$1='Data Entry'!$C582,'Data Entry'!G582,"")</f>
        <v>0</v>
      </c>
      <c r="G581" s="46">
        <f>IF($A$1='Data Entry'!$C582,'Data Entry'!H582,"")</f>
        <v>0</v>
      </c>
      <c r="H581" s="46">
        <f>IF($A$1='Data Entry'!$C582,'Data Entry'!I582,"")</f>
        <v>0</v>
      </c>
      <c r="I581" s="46">
        <f>IF($A$1='Data Entry'!$C582,'Data Entry'!J582,"")</f>
        <v>0</v>
      </c>
      <c r="J581" s="46">
        <f>IF($A$1='Data Entry'!$C582,'Data Entry'!K582,"")</f>
        <v>0</v>
      </c>
      <c r="K581" s="46">
        <f>IF($A$1='Data Entry'!$C582,'Data Entry'!L582,"")</f>
        <v>0</v>
      </c>
      <c r="L581" s="46">
        <f>IF($A$1='Data Entry'!$C582,'Data Entry'!M582,"")</f>
        <v>0</v>
      </c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  <c r="AA581" s="43"/>
      <c r="AB581" s="43"/>
      <c r="AC581" s="43"/>
      <c r="AD581" s="43"/>
      <c r="AE581" s="43"/>
      <c r="AF581" s="43"/>
      <c r="AG581" s="43"/>
      <c r="AH581" s="43"/>
      <c r="AI581" s="43"/>
      <c r="AJ581" s="43"/>
    </row>
    <row r="582" spans="1:36" ht="15.95" customHeight="1" x14ac:dyDescent="0.2">
      <c r="A582" s="43"/>
      <c r="B582" s="45">
        <v>97</v>
      </c>
      <c r="C582" s="46">
        <f>IF($A$1='Data Entry'!$C583,'Data Entry'!D583,"")</f>
        <v>0</v>
      </c>
      <c r="D582" s="46">
        <f>IF($A$1='Data Entry'!$C583,'Data Entry'!E583,"")</f>
        <v>0</v>
      </c>
      <c r="E582" s="46">
        <f>IF($A$1='Data Entry'!$C583,'Data Entry'!F583,"")</f>
        <v>0</v>
      </c>
      <c r="F582" s="46">
        <f>IF($A$1='Data Entry'!$C583,'Data Entry'!G583,"")</f>
        <v>0</v>
      </c>
      <c r="G582" s="46">
        <f>IF($A$1='Data Entry'!$C583,'Data Entry'!H583,"")</f>
        <v>0</v>
      </c>
      <c r="H582" s="46">
        <f>IF($A$1='Data Entry'!$C583,'Data Entry'!I583,"")</f>
        <v>0</v>
      </c>
      <c r="I582" s="46">
        <f>IF($A$1='Data Entry'!$C583,'Data Entry'!J583,"")</f>
        <v>0</v>
      </c>
      <c r="J582" s="46">
        <f>IF($A$1='Data Entry'!$C583,'Data Entry'!K583,"")</f>
        <v>0</v>
      </c>
      <c r="K582" s="46">
        <f>IF($A$1='Data Entry'!$C583,'Data Entry'!L583,"")</f>
        <v>0</v>
      </c>
      <c r="L582" s="46">
        <f>IF($A$1='Data Entry'!$C583,'Data Entry'!M583,"")</f>
        <v>0</v>
      </c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  <c r="AA582" s="43"/>
      <c r="AB582" s="43"/>
      <c r="AC582" s="43"/>
      <c r="AD582" s="43"/>
      <c r="AE582" s="43"/>
      <c r="AF582" s="43"/>
      <c r="AG582" s="43"/>
      <c r="AH582" s="43"/>
      <c r="AI582" s="43"/>
      <c r="AJ582" s="43"/>
    </row>
    <row r="583" spans="1:36" ht="15.95" customHeight="1" x14ac:dyDescent="0.2">
      <c r="A583" s="43"/>
      <c r="B583" s="45">
        <v>97</v>
      </c>
      <c r="C583" s="46">
        <f>IF($A$1='Data Entry'!$C584,'Data Entry'!D584,"")</f>
        <v>0</v>
      </c>
      <c r="D583" s="46">
        <f>IF($A$1='Data Entry'!$C584,'Data Entry'!E584,"")</f>
        <v>0</v>
      </c>
      <c r="E583" s="46">
        <f>IF($A$1='Data Entry'!$C584,'Data Entry'!F584,"")</f>
        <v>0</v>
      </c>
      <c r="F583" s="46">
        <f>IF($A$1='Data Entry'!$C584,'Data Entry'!G584,"")</f>
        <v>0</v>
      </c>
      <c r="G583" s="46">
        <f>IF($A$1='Data Entry'!$C584,'Data Entry'!H584,"")</f>
        <v>0</v>
      </c>
      <c r="H583" s="46">
        <f>IF($A$1='Data Entry'!$C584,'Data Entry'!I584,"")</f>
        <v>0</v>
      </c>
      <c r="I583" s="46">
        <f>IF($A$1='Data Entry'!$C584,'Data Entry'!J584,"")</f>
        <v>0</v>
      </c>
      <c r="J583" s="46">
        <f>IF($A$1='Data Entry'!$C584,'Data Entry'!K584,"")</f>
        <v>0</v>
      </c>
      <c r="K583" s="46">
        <f>IF($A$1='Data Entry'!$C584,'Data Entry'!L584,"")</f>
        <v>0</v>
      </c>
      <c r="L583" s="46">
        <f>IF($A$1='Data Entry'!$C584,'Data Entry'!M584,"")</f>
        <v>0</v>
      </c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  <c r="AA583" s="43"/>
      <c r="AB583" s="43"/>
      <c r="AC583" s="43"/>
      <c r="AD583" s="43"/>
      <c r="AE583" s="43"/>
      <c r="AF583" s="43"/>
      <c r="AG583" s="43"/>
      <c r="AH583" s="43"/>
      <c r="AI583" s="43"/>
      <c r="AJ583" s="43"/>
    </row>
    <row r="584" spans="1:36" ht="15.95" customHeight="1" x14ac:dyDescent="0.2">
      <c r="A584" s="43"/>
      <c r="B584" s="45">
        <v>97</v>
      </c>
      <c r="C584" s="46">
        <f>IF($A$1='Data Entry'!$C585,'Data Entry'!D585,"")</f>
        <v>0</v>
      </c>
      <c r="D584" s="46">
        <f>IF($A$1='Data Entry'!$C585,'Data Entry'!E585,"")</f>
        <v>0</v>
      </c>
      <c r="E584" s="46">
        <f>IF($A$1='Data Entry'!$C585,'Data Entry'!F585,"")</f>
        <v>0</v>
      </c>
      <c r="F584" s="46">
        <f>IF($A$1='Data Entry'!$C585,'Data Entry'!G585,"")</f>
        <v>0</v>
      </c>
      <c r="G584" s="46">
        <f>IF($A$1='Data Entry'!$C585,'Data Entry'!H585,"")</f>
        <v>0</v>
      </c>
      <c r="H584" s="46">
        <f>IF($A$1='Data Entry'!$C585,'Data Entry'!I585,"")</f>
        <v>0</v>
      </c>
      <c r="I584" s="46">
        <f>IF($A$1='Data Entry'!$C585,'Data Entry'!J585,"")</f>
        <v>0</v>
      </c>
      <c r="J584" s="46">
        <f>IF($A$1='Data Entry'!$C585,'Data Entry'!K585,"")</f>
        <v>0</v>
      </c>
      <c r="K584" s="46">
        <f>IF($A$1='Data Entry'!$C585,'Data Entry'!L585,"")</f>
        <v>0</v>
      </c>
      <c r="L584" s="46">
        <f>IF($A$1='Data Entry'!$C585,'Data Entry'!M585,"")</f>
        <v>0</v>
      </c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  <c r="AA584" s="43"/>
      <c r="AB584" s="43"/>
      <c r="AC584" s="43"/>
      <c r="AD584" s="43"/>
      <c r="AE584" s="43"/>
      <c r="AF584" s="43"/>
      <c r="AG584" s="43"/>
      <c r="AH584" s="43"/>
      <c r="AI584" s="43"/>
      <c r="AJ584" s="43"/>
    </row>
    <row r="585" spans="1:36" ht="15.95" customHeight="1" x14ac:dyDescent="0.2">
      <c r="A585" s="43"/>
      <c r="B585" s="45">
        <v>98</v>
      </c>
      <c r="C585" s="46">
        <f>IF($A$1='Data Entry'!$C586,'Data Entry'!D586,"")</f>
        <v>0</v>
      </c>
      <c r="D585" s="46">
        <f>IF($A$1='Data Entry'!$C586,'Data Entry'!E586,"")</f>
        <v>0</v>
      </c>
      <c r="E585" s="46">
        <f>IF($A$1='Data Entry'!$C586,'Data Entry'!F586,"")</f>
        <v>0</v>
      </c>
      <c r="F585" s="46">
        <f>IF($A$1='Data Entry'!$C586,'Data Entry'!G586,"")</f>
        <v>0</v>
      </c>
      <c r="G585" s="46">
        <f>IF($A$1='Data Entry'!$C586,'Data Entry'!H586,"")</f>
        <v>0</v>
      </c>
      <c r="H585" s="46">
        <f>IF($A$1='Data Entry'!$C586,'Data Entry'!I586,"")</f>
        <v>0</v>
      </c>
      <c r="I585" s="46">
        <f>IF($A$1='Data Entry'!$C586,'Data Entry'!J586,"")</f>
        <v>0</v>
      </c>
      <c r="J585" s="46">
        <f>IF($A$1='Data Entry'!$C586,'Data Entry'!K586,"")</f>
        <v>0</v>
      </c>
      <c r="K585" s="46">
        <f>IF($A$1='Data Entry'!$C586,'Data Entry'!L586,"")</f>
        <v>0</v>
      </c>
      <c r="L585" s="46">
        <f>IF($A$1='Data Entry'!$C586,'Data Entry'!M586,"")</f>
        <v>0</v>
      </c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  <c r="AA585" s="43"/>
      <c r="AB585" s="43"/>
      <c r="AC585" s="43"/>
      <c r="AD585" s="43"/>
      <c r="AE585" s="43"/>
      <c r="AF585" s="43"/>
      <c r="AG585" s="43"/>
      <c r="AH585" s="43"/>
      <c r="AI585" s="43"/>
      <c r="AJ585" s="43"/>
    </row>
    <row r="586" spans="1:36" ht="15.95" customHeight="1" x14ac:dyDescent="0.2">
      <c r="A586" s="43"/>
      <c r="B586" s="45">
        <v>98</v>
      </c>
      <c r="C586" s="46">
        <f>IF($A$1='Data Entry'!$C587,'Data Entry'!D587,"")</f>
        <v>0</v>
      </c>
      <c r="D586" s="46">
        <f>IF($A$1='Data Entry'!$C587,'Data Entry'!E587,"")</f>
        <v>0</v>
      </c>
      <c r="E586" s="46">
        <f>IF($A$1='Data Entry'!$C587,'Data Entry'!F587,"")</f>
        <v>0</v>
      </c>
      <c r="F586" s="46">
        <f>IF($A$1='Data Entry'!$C587,'Data Entry'!G587,"")</f>
        <v>0</v>
      </c>
      <c r="G586" s="46">
        <f>IF($A$1='Data Entry'!$C587,'Data Entry'!H587,"")</f>
        <v>0</v>
      </c>
      <c r="H586" s="46">
        <f>IF($A$1='Data Entry'!$C587,'Data Entry'!I587,"")</f>
        <v>0</v>
      </c>
      <c r="I586" s="46">
        <f>IF($A$1='Data Entry'!$C587,'Data Entry'!J587,"")</f>
        <v>0</v>
      </c>
      <c r="J586" s="46">
        <f>IF($A$1='Data Entry'!$C587,'Data Entry'!K587,"")</f>
        <v>0</v>
      </c>
      <c r="K586" s="46">
        <f>IF($A$1='Data Entry'!$C587,'Data Entry'!L587,"")</f>
        <v>0</v>
      </c>
      <c r="L586" s="46">
        <f>IF($A$1='Data Entry'!$C587,'Data Entry'!M587,"")</f>
        <v>0</v>
      </c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  <c r="AA586" s="43"/>
      <c r="AB586" s="43"/>
      <c r="AC586" s="43"/>
      <c r="AD586" s="43"/>
      <c r="AE586" s="43"/>
      <c r="AF586" s="43"/>
      <c r="AG586" s="43"/>
      <c r="AH586" s="43"/>
      <c r="AI586" s="43"/>
      <c r="AJ586" s="43"/>
    </row>
    <row r="587" spans="1:36" ht="15.95" customHeight="1" x14ac:dyDescent="0.2">
      <c r="A587" s="43"/>
      <c r="B587" s="45">
        <v>98</v>
      </c>
      <c r="C587" s="46">
        <f>IF($A$1='Data Entry'!$C588,'Data Entry'!D588,"")</f>
        <v>0</v>
      </c>
      <c r="D587" s="46">
        <f>IF($A$1='Data Entry'!$C588,'Data Entry'!E588,"")</f>
        <v>0</v>
      </c>
      <c r="E587" s="46">
        <f>IF($A$1='Data Entry'!$C588,'Data Entry'!F588,"")</f>
        <v>0</v>
      </c>
      <c r="F587" s="46">
        <f>IF($A$1='Data Entry'!$C588,'Data Entry'!G588,"")</f>
        <v>0</v>
      </c>
      <c r="G587" s="46">
        <f>IF($A$1='Data Entry'!$C588,'Data Entry'!H588,"")</f>
        <v>0</v>
      </c>
      <c r="H587" s="46">
        <f>IF($A$1='Data Entry'!$C588,'Data Entry'!I588,"")</f>
        <v>0</v>
      </c>
      <c r="I587" s="46">
        <f>IF($A$1='Data Entry'!$C588,'Data Entry'!J588,"")</f>
        <v>0</v>
      </c>
      <c r="J587" s="46">
        <f>IF($A$1='Data Entry'!$C588,'Data Entry'!K588,"")</f>
        <v>0</v>
      </c>
      <c r="K587" s="46">
        <f>IF($A$1='Data Entry'!$C588,'Data Entry'!L588,"")</f>
        <v>0</v>
      </c>
      <c r="L587" s="46">
        <f>IF($A$1='Data Entry'!$C588,'Data Entry'!M588,"")</f>
        <v>0</v>
      </c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  <c r="AA587" s="43"/>
      <c r="AB587" s="43"/>
      <c r="AC587" s="43"/>
      <c r="AD587" s="43"/>
      <c r="AE587" s="43"/>
      <c r="AF587" s="43"/>
      <c r="AG587" s="43"/>
      <c r="AH587" s="43"/>
      <c r="AI587" s="43"/>
      <c r="AJ587" s="43"/>
    </row>
    <row r="588" spans="1:36" ht="15.95" customHeight="1" x14ac:dyDescent="0.2">
      <c r="A588" s="43"/>
      <c r="B588" s="45">
        <v>98</v>
      </c>
      <c r="C588" s="46">
        <f>IF($A$1='Data Entry'!$C589,'Data Entry'!D589,"")</f>
        <v>0</v>
      </c>
      <c r="D588" s="46">
        <f>IF($A$1='Data Entry'!$C589,'Data Entry'!E589,"")</f>
        <v>0</v>
      </c>
      <c r="E588" s="46">
        <f>IF($A$1='Data Entry'!$C589,'Data Entry'!F589,"")</f>
        <v>0</v>
      </c>
      <c r="F588" s="46">
        <f>IF($A$1='Data Entry'!$C589,'Data Entry'!G589,"")</f>
        <v>0</v>
      </c>
      <c r="G588" s="46">
        <f>IF($A$1='Data Entry'!$C589,'Data Entry'!H589,"")</f>
        <v>0</v>
      </c>
      <c r="H588" s="46">
        <f>IF($A$1='Data Entry'!$C589,'Data Entry'!I589,"")</f>
        <v>0</v>
      </c>
      <c r="I588" s="46">
        <f>IF($A$1='Data Entry'!$C589,'Data Entry'!J589,"")</f>
        <v>0</v>
      </c>
      <c r="J588" s="46">
        <f>IF($A$1='Data Entry'!$C589,'Data Entry'!K589,"")</f>
        <v>0</v>
      </c>
      <c r="K588" s="46">
        <f>IF($A$1='Data Entry'!$C589,'Data Entry'!L589,"")</f>
        <v>0</v>
      </c>
      <c r="L588" s="46">
        <f>IF($A$1='Data Entry'!$C589,'Data Entry'!M589,"")</f>
        <v>0</v>
      </c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  <c r="AA588" s="43"/>
      <c r="AB588" s="43"/>
      <c r="AC588" s="43"/>
      <c r="AD588" s="43"/>
      <c r="AE588" s="43"/>
      <c r="AF588" s="43"/>
      <c r="AG588" s="43"/>
      <c r="AH588" s="43"/>
      <c r="AI588" s="43"/>
      <c r="AJ588" s="43"/>
    </row>
    <row r="589" spans="1:36" ht="15.95" customHeight="1" x14ac:dyDescent="0.2">
      <c r="A589" s="43"/>
      <c r="B589" s="45">
        <v>98</v>
      </c>
      <c r="C589" s="46">
        <f>IF($A$1='Data Entry'!$C590,'Data Entry'!D590,"")</f>
        <v>0</v>
      </c>
      <c r="D589" s="46">
        <f>IF($A$1='Data Entry'!$C590,'Data Entry'!E590,"")</f>
        <v>0</v>
      </c>
      <c r="E589" s="46">
        <f>IF($A$1='Data Entry'!$C590,'Data Entry'!F590,"")</f>
        <v>0</v>
      </c>
      <c r="F589" s="46">
        <f>IF($A$1='Data Entry'!$C590,'Data Entry'!G590,"")</f>
        <v>0</v>
      </c>
      <c r="G589" s="46">
        <f>IF($A$1='Data Entry'!$C590,'Data Entry'!H590,"")</f>
        <v>0</v>
      </c>
      <c r="H589" s="46">
        <f>IF($A$1='Data Entry'!$C590,'Data Entry'!I590,"")</f>
        <v>0</v>
      </c>
      <c r="I589" s="46">
        <f>IF($A$1='Data Entry'!$C590,'Data Entry'!J590,"")</f>
        <v>0</v>
      </c>
      <c r="J589" s="46">
        <f>IF($A$1='Data Entry'!$C590,'Data Entry'!K590,"")</f>
        <v>0</v>
      </c>
      <c r="K589" s="46">
        <f>IF($A$1='Data Entry'!$C590,'Data Entry'!L590,"")</f>
        <v>0</v>
      </c>
      <c r="L589" s="46">
        <f>IF($A$1='Data Entry'!$C590,'Data Entry'!M590,"")</f>
        <v>0</v>
      </c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  <c r="AA589" s="43"/>
      <c r="AB589" s="43"/>
      <c r="AC589" s="43"/>
      <c r="AD589" s="43"/>
      <c r="AE589" s="43"/>
      <c r="AF589" s="43"/>
      <c r="AG589" s="43"/>
      <c r="AH589" s="43"/>
      <c r="AI589" s="43"/>
      <c r="AJ589" s="43"/>
    </row>
    <row r="590" spans="1:36" ht="15.95" customHeight="1" x14ac:dyDescent="0.2">
      <c r="A590" s="43"/>
      <c r="B590" s="45">
        <v>98</v>
      </c>
      <c r="C590" s="46">
        <f>IF($A$1='Data Entry'!$C591,'Data Entry'!D591,"")</f>
        <v>0</v>
      </c>
      <c r="D590" s="46">
        <f>IF($A$1='Data Entry'!$C591,'Data Entry'!E591,"")</f>
        <v>0</v>
      </c>
      <c r="E590" s="46">
        <f>IF($A$1='Data Entry'!$C591,'Data Entry'!F591,"")</f>
        <v>0</v>
      </c>
      <c r="F590" s="46">
        <f>IF($A$1='Data Entry'!$C591,'Data Entry'!G591,"")</f>
        <v>0</v>
      </c>
      <c r="G590" s="46">
        <f>IF($A$1='Data Entry'!$C591,'Data Entry'!H591,"")</f>
        <v>0</v>
      </c>
      <c r="H590" s="46">
        <f>IF($A$1='Data Entry'!$C591,'Data Entry'!I591,"")</f>
        <v>0</v>
      </c>
      <c r="I590" s="46">
        <f>IF($A$1='Data Entry'!$C591,'Data Entry'!J591,"")</f>
        <v>0</v>
      </c>
      <c r="J590" s="46">
        <f>IF($A$1='Data Entry'!$C591,'Data Entry'!K591,"")</f>
        <v>0</v>
      </c>
      <c r="K590" s="46">
        <f>IF($A$1='Data Entry'!$C591,'Data Entry'!L591,"")</f>
        <v>0</v>
      </c>
      <c r="L590" s="46">
        <f>IF($A$1='Data Entry'!$C591,'Data Entry'!M591,"")</f>
        <v>0</v>
      </c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  <c r="AA590" s="43"/>
      <c r="AB590" s="43"/>
      <c r="AC590" s="43"/>
      <c r="AD590" s="43"/>
      <c r="AE590" s="43"/>
      <c r="AF590" s="43"/>
      <c r="AG590" s="43"/>
      <c r="AH590" s="43"/>
      <c r="AI590" s="43"/>
      <c r="AJ590" s="43"/>
    </row>
    <row r="591" spans="1:36" ht="15.95" customHeight="1" x14ac:dyDescent="0.2">
      <c r="A591" s="43"/>
      <c r="B591" s="45">
        <v>99</v>
      </c>
      <c r="C591" s="46">
        <f>IF($A$1='Data Entry'!$C592,'Data Entry'!D592,"")</f>
        <v>0</v>
      </c>
      <c r="D591" s="46">
        <f>IF($A$1='Data Entry'!$C592,'Data Entry'!E592,"")</f>
        <v>0</v>
      </c>
      <c r="E591" s="46">
        <f>IF($A$1='Data Entry'!$C592,'Data Entry'!F592,"")</f>
        <v>0</v>
      </c>
      <c r="F591" s="46">
        <f>IF($A$1='Data Entry'!$C592,'Data Entry'!G592,"")</f>
        <v>0</v>
      </c>
      <c r="G591" s="46">
        <f>IF($A$1='Data Entry'!$C592,'Data Entry'!H592,"")</f>
        <v>0</v>
      </c>
      <c r="H591" s="46">
        <f>IF($A$1='Data Entry'!$C592,'Data Entry'!I592,"")</f>
        <v>0</v>
      </c>
      <c r="I591" s="46">
        <f>IF($A$1='Data Entry'!$C592,'Data Entry'!J592,"")</f>
        <v>0</v>
      </c>
      <c r="J591" s="46">
        <f>IF($A$1='Data Entry'!$C592,'Data Entry'!K592,"")</f>
        <v>0</v>
      </c>
      <c r="K591" s="46">
        <f>IF($A$1='Data Entry'!$C592,'Data Entry'!L592,"")</f>
        <v>0</v>
      </c>
      <c r="L591" s="46">
        <f>IF($A$1='Data Entry'!$C592,'Data Entry'!M592,"")</f>
        <v>0</v>
      </c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  <c r="AA591" s="43"/>
      <c r="AB591" s="43"/>
      <c r="AC591" s="43"/>
      <c r="AD591" s="43"/>
      <c r="AE591" s="43"/>
      <c r="AF591" s="43"/>
      <c r="AG591" s="43"/>
      <c r="AH591" s="43"/>
      <c r="AI591" s="43"/>
      <c r="AJ591" s="43"/>
    </row>
    <row r="592" spans="1:36" ht="15.95" customHeight="1" x14ac:dyDescent="0.2">
      <c r="A592" s="43"/>
      <c r="B592" s="45">
        <v>99</v>
      </c>
      <c r="C592" s="46">
        <f>IF($A$1='Data Entry'!$C593,'Data Entry'!D593,"")</f>
        <v>0</v>
      </c>
      <c r="D592" s="46">
        <f>IF($A$1='Data Entry'!$C593,'Data Entry'!E593,"")</f>
        <v>0</v>
      </c>
      <c r="E592" s="46">
        <f>IF($A$1='Data Entry'!$C593,'Data Entry'!F593,"")</f>
        <v>0</v>
      </c>
      <c r="F592" s="46">
        <f>IF($A$1='Data Entry'!$C593,'Data Entry'!G593,"")</f>
        <v>0</v>
      </c>
      <c r="G592" s="46">
        <f>IF($A$1='Data Entry'!$C593,'Data Entry'!H593,"")</f>
        <v>0</v>
      </c>
      <c r="H592" s="46">
        <f>IF($A$1='Data Entry'!$C593,'Data Entry'!I593,"")</f>
        <v>0</v>
      </c>
      <c r="I592" s="46">
        <f>IF($A$1='Data Entry'!$C593,'Data Entry'!J593,"")</f>
        <v>0</v>
      </c>
      <c r="J592" s="46">
        <f>IF($A$1='Data Entry'!$C593,'Data Entry'!K593,"")</f>
        <v>0</v>
      </c>
      <c r="K592" s="46">
        <f>IF($A$1='Data Entry'!$C593,'Data Entry'!L593,"")</f>
        <v>0</v>
      </c>
      <c r="L592" s="46">
        <f>IF($A$1='Data Entry'!$C593,'Data Entry'!M593,"")</f>
        <v>0</v>
      </c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  <c r="AA592" s="43"/>
      <c r="AB592" s="43"/>
      <c r="AC592" s="43"/>
      <c r="AD592" s="43"/>
      <c r="AE592" s="43"/>
      <c r="AF592" s="43"/>
      <c r="AG592" s="43"/>
      <c r="AH592" s="43"/>
      <c r="AI592" s="43"/>
      <c r="AJ592" s="43"/>
    </row>
    <row r="593" spans="1:36" ht="15.95" customHeight="1" x14ac:dyDescent="0.2">
      <c r="A593" s="43"/>
      <c r="B593" s="45">
        <v>99</v>
      </c>
      <c r="C593" s="46">
        <f>IF($A$1='Data Entry'!$C594,'Data Entry'!D594,"")</f>
        <v>0</v>
      </c>
      <c r="D593" s="46">
        <f>IF($A$1='Data Entry'!$C594,'Data Entry'!E594,"")</f>
        <v>0</v>
      </c>
      <c r="E593" s="46">
        <f>IF($A$1='Data Entry'!$C594,'Data Entry'!F594,"")</f>
        <v>0</v>
      </c>
      <c r="F593" s="46">
        <f>IF($A$1='Data Entry'!$C594,'Data Entry'!G594,"")</f>
        <v>0</v>
      </c>
      <c r="G593" s="46">
        <f>IF($A$1='Data Entry'!$C594,'Data Entry'!H594,"")</f>
        <v>0</v>
      </c>
      <c r="H593" s="46">
        <f>IF($A$1='Data Entry'!$C594,'Data Entry'!I594,"")</f>
        <v>0</v>
      </c>
      <c r="I593" s="46">
        <f>IF($A$1='Data Entry'!$C594,'Data Entry'!J594,"")</f>
        <v>0</v>
      </c>
      <c r="J593" s="46">
        <f>IF($A$1='Data Entry'!$C594,'Data Entry'!K594,"")</f>
        <v>0</v>
      </c>
      <c r="K593" s="46">
        <f>IF($A$1='Data Entry'!$C594,'Data Entry'!L594,"")</f>
        <v>0</v>
      </c>
      <c r="L593" s="46">
        <f>IF($A$1='Data Entry'!$C594,'Data Entry'!M594,"")</f>
        <v>0</v>
      </c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  <c r="AA593" s="43"/>
      <c r="AB593" s="43"/>
      <c r="AC593" s="43"/>
      <c r="AD593" s="43"/>
      <c r="AE593" s="43"/>
      <c r="AF593" s="43"/>
      <c r="AG593" s="43"/>
      <c r="AH593" s="43"/>
      <c r="AI593" s="43"/>
      <c r="AJ593" s="43"/>
    </row>
    <row r="594" spans="1:36" ht="15.95" customHeight="1" x14ac:dyDescent="0.2">
      <c r="A594" s="43"/>
      <c r="B594" s="45">
        <v>99</v>
      </c>
      <c r="C594" s="46">
        <f>IF($A$1='Data Entry'!$C595,'Data Entry'!D595,"")</f>
        <v>0</v>
      </c>
      <c r="D594" s="46">
        <f>IF($A$1='Data Entry'!$C595,'Data Entry'!E595,"")</f>
        <v>0</v>
      </c>
      <c r="E594" s="46">
        <f>IF($A$1='Data Entry'!$C595,'Data Entry'!F595,"")</f>
        <v>0</v>
      </c>
      <c r="F594" s="46">
        <f>IF($A$1='Data Entry'!$C595,'Data Entry'!G595,"")</f>
        <v>0</v>
      </c>
      <c r="G594" s="46">
        <f>IF($A$1='Data Entry'!$C595,'Data Entry'!H595,"")</f>
        <v>0</v>
      </c>
      <c r="H594" s="46">
        <f>IF($A$1='Data Entry'!$C595,'Data Entry'!I595,"")</f>
        <v>0</v>
      </c>
      <c r="I594" s="46">
        <f>IF($A$1='Data Entry'!$C595,'Data Entry'!J595,"")</f>
        <v>0</v>
      </c>
      <c r="J594" s="46">
        <f>IF($A$1='Data Entry'!$C595,'Data Entry'!K595,"")</f>
        <v>0</v>
      </c>
      <c r="K594" s="46">
        <f>IF($A$1='Data Entry'!$C595,'Data Entry'!L595,"")</f>
        <v>0</v>
      </c>
      <c r="L594" s="46">
        <f>IF($A$1='Data Entry'!$C595,'Data Entry'!M595,"")</f>
        <v>0</v>
      </c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  <c r="AA594" s="43"/>
      <c r="AB594" s="43"/>
      <c r="AC594" s="43"/>
      <c r="AD594" s="43"/>
      <c r="AE594" s="43"/>
      <c r="AF594" s="43"/>
      <c r="AG594" s="43"/>
      <c r="AH594" s="43"/>
      <c r="AI594" s="43"/>
      <c r="AJ594" s="43"/>
    </row>
    <row r="595" spans="1:36" ht="15.95" customHeight="1" x14ac:dyDescent="0.2">
      <c r="A595" s="43"/>
      <c r="B595" s="45">
        <v>99</v>
      </c>
      <c r="C595" s="46">
        <f>IF($A$1='Data Entry'!$C596,'Data Entry'!D596,"")</f>
        <v>0</v>
      </c>
      <c r="D595" s="46">
        <f>IF($A$1='Data Entry'!$C596,'Data Entry'!E596,"")</f>
        <v>0</v>
      </c>
      <c r="E595" s="46">
        <f>IF($A$1='Data Entry'!$C596,'Data Entry'!F596,"")</f>
        <v>0</v>
      </c>
      <c r="F595" s="46">
        <f>IF($A$1='Data Entry'!$C596,'Data Entry'!G596,"")</f>
        <v>0</v>
      </c>
      <c r="G595" s="46">
        <f>IF($A$1='Data Entry'!$C596,'Data Entry'!H596,"")</f>
        <v>0</v>
      </c>
      <c r="H595" s="46">
        <f>IF($A$1='Data Entry'!$C596,'Data Entry'!I596,"")</f>
        <v>0</v>
      </c>
      <c r="I595" s="46">
        <f>IF($A$1='Data Entry'!$C596,'Data Entry'!J596,"")</f>
        <v>0</v>
      </c>
      <c r="J595" s="46">
        <f>IF($A$1='Data Entry'!$C596,'Data Entry'!K596,"")</f>
        <v>0</v>
      </c>
      <c r="K595" s="46">
        <f>IF($A$1='Data Entry'!$C596,'Data Entry'!L596,"")</f>
        <v>0</v>
      </c>
      <c r="L595" s="46">
        <f>IF($A$1='Data Entry'!$C596,'Data Entry'!M596,"")</f>
        <v>0</v>
      </c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  <c r="AA595" s="43"/>
      <c r="AB595" s="43"/>
      <c r="AC595" s="43"/>
      <c r="AD595" s="43"/>
      <c r="AE595" s="43"/>
      <c r="AF595" s="43"/>
      <c r="AG595" s="43"/>
      <c r="AH595" s="43"/>
      <c r="AI595" s="43"/>
      <c r="AJ595" s="43"/>
    </row>
    <row r="596" spans="1:36" ht="15.95" customHeight="1" x14ac:dyDescent="0.2">
      <c r="A596" s="43"/>
      <c r="B596" s="45">
        <v>99</v>
      </c>
      <c r="C596" s="46">
        <f>IF($A$1='Data Entry'!$C597,'Data Entry'!D597,"")</f>
        <v>0</v>
      </c>
      <c r="D596" s="46">
        <f>IF($A$1='Data Entry'!$C597,'Data Entry'!E597,"")</f>
        <v>0</v>
      </c>
      <c r="E596" s="46">
        <f>IF($A$1='Data Entry'!$C597,'Data Entry'!F597,"")</f>
        <v>0</v>
      </c>
      <c r="F596" s="46">
        <f>IF($A$1='Data Entry'!$C597,'Data Entry'!G597,"")</f>
        <v>0</v>
      </c>
      <c r="G596" s="46">
        <f>IF($A$1='Data Entry'!$C597,'Data Entry'!H597,"")</f>
        <v>0</v>
      </c>
      <c r="H596" s="46">
        <f>IF($A$1='Data Entry'!$C597,'Data Entry'!I597,"")</f>
        <v>0</v>
      </c>
      <c r="I596" s="46">
        <f>IF($A$1='Data Entry'!$C597,'Data Entry'!J597,"")</f>
        <v>0</v>
      </c>
      <c r="J596" s="46">
        <f>IF($A$1='Data Entry'!$C597,'Data Entry'!K597,"")</f>
        <v>0</v>
      </c>
      <c r="K596" s="46">
        <f>IF($A$1='Data Entry'!$C597,'Data Entry'!L597,"")</f>
        <v>0</v>
      </c>
      <c r="L596" s="46">
        <f>IF($A$1='Data Entry'!$C597,'Data Entry'!M597,"")</f>
        <v>0</v>
      </c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  <c r="AA596" s="43"/>
      <c r="AB596" s="43"/>
      <c r="AC596" s="43"/>
      <c r="AD596" s="43"/>
      <c r="AE596" s="43"/>
      <c r="AF596" s="43"/>
      <c r="AG596" s="43"/>
      <c r="AH596" s="43"/>
      <c r="AI596" s="43"/>
      <c r="AJ596" s="43"/>
    </row>
    <row r="597" spans="1:36" ht="15.95" customHeight="1" x14ac:dyDescent="0.2">
      <c r="A597" s="43"/>
      <c r="B597" s="45">
        <v>100</v>
      </c>
      <c r="C597" s="46">
        <f>IF($A$1='Data Entry'!$C598,'Data Entry'!D598,"")</f>
        <v>0</v>
      </c>
      <c r="D597" s="46">
        <f>IF($A$1='Data Entry'!$C598,'Data Entry'!E598,"")</f>
        <v>0</v>
      </c>
      <c r="E597" s="46">
        <f>IF($A$1='Data Entry'!$C598,'Data Entry'!F598,"")</f>
        <v>0</v>
      </c>
      <c r="F597" s="46">
        <f>IF($A$1='Data Entry'!$C598,'Data Entry'!G598,"")</f>
        <v>0</v>
      </c>
      <c r="G597" s="46">
        <f>IF($A$1='Data Entry'!$C598,'Data Entry'!H598,"")</f>
        <v>0</v>
      </c>
      <c r="H597" s="46">
        <f>IF($A$1='Data Entry'!$C598,'Data Entry'!I598,"")</f>
        <v>0</v>
      </c>
      <c r="I597" s="46">
        <f>IF($A$1='Data Entry'!$C598,'Data Entry'!J598,"")</f>
        <v>0</v>
      </c>
      <c r="J597" s="46">
        <f>IF($A$1='Data Entry'!$C598,'Data Entry'!K598,"")</f>
        <v>0</v>
      </c>
      <c r="K597" s="46">
        <f>IF($A$1='Data Entry'!$C598,'Data Entry'!L598,"")</f>
        <v>0</v>
      </c>
      <c r="L597" s="46">
        <f>IF($A$1='Data Entry'!$C598,'Data Entry'!M598,"")</f>
        <v>0</v>
      </c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  <c r="AA597" s="43"/>
      <c r="AB597" s="43"/>
      <c r="AC597" s="43"/>
      <c r="AD597" s="43"/>
      <c r="AE597" s="43"/>
      <c r="AF597" s="43"/>
      <c r="AG597" s="43"/>
      <c r="AH597" s="43"/>
      <c r="AI597" s="43"/>
      <c r="AJ597" s="43"/>
    </row>
    <row r="598" spans="1:36" ht="15.95" customHeight="1" x14ac:dyDescent="0.2">
      <c r="A598" s="43"/>
      <c r="B598" s="45">
        <v>100</v>
      </c>
      <c r="C598" s="46">
        <f>IF($A$1='Data Entry'!$C599,'Data Entry'!D599,"")</f>
        <v>0</v>
      </c>
      <c r="D598" s="46">
        <f>IF($A$1='Data Entry'!$C599,'Data Entry'!E599,"")</f>
        <v>0</v>
      </c>
      <c r="E598" s="46">
        <f>IF($A$1='Data Entry'!$C599,'Data Entry'!F599,"")</f>
        <v>0</v>
      </c>
      <c r="F598" s="46">
        <f>IF($A$1='Data Entry'!$C599,'Data Entry'!G599,"")</f>
        <v>0</v>
      </c>
      <c r="G598" s="46">
        <f>IF($A$1='Data Entry'!$C599,'Data Entry'!H599,"")</f>
        <v>0</v>
      </c>
      <c r="H598" s="46">
        <f>IF($A$1='Data Entry'!$C599,'Data Entry'!I599,"")</f>
        <v>0</v>
      </c>
      <c r="I598" s="46">
        <f>IF($A$1='Data Entry'!$C599,'Data Entry'!J599,"")</f>
        <v>0</v>
      </c>
      <c r="J598" s="46">
        <f>IF($A$1='Data Entry'!$C599,'Data Entry'!K599,"")</f>
        <v>0</v>
      </c>
      <c r="K598" s="46">
        <f>IF($A$1='Data Entry'!$C599,'Data Entry'!L599,"")</f>
        <v>0</v>
      </c>
      <c r="L598" s="46">
        <f>IF($A$1='Data Entry'!$C599,'Data Entry'!M599,"")</f>
        <v>0</v>
      </c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  <c r="AA598" s="43"/>
      <c r="AB598" s="43"/>
      <c r="AC598" s="43"/>
      <c r="AD598" s="43"/>
      <c r="AE598" s="43"/>
      <c r="AF598" s="43"/>
      <c r="AG598" s="43"/>
      <c r="AH598" s="43"/>
      <c r="AI598" s="43"/>
      <c r="AJ598" s="43"/>
    </row>
    <row r="599" spans="1:36" ht="15.95" customHeight="1" x14ac:dyDescent="0.2">
      <c r="A599" s="43"/>
      <c r="B599" s="45">
        <v>100</v>
      </c>
      <c r="C599" s="46">
        <f>IF($A$1='Data Entry'!$C600,'Data Entry'!D600,"")</f>
        <v>0</v>
      </c>
      <c r="D599" s="46">
        <f>IF($A$1='Data Entry'!$C600,'Data Entry'!E600,"")</f>
        <v>0</v>
      </c>
      <c r="E599" s="46">
        <f>IF($A$1='Data Entry'!$C600,'Data Entry'!F600,"")</f>
        <v>0</v>
      </c>
      <c r="F599" s="46">
        <f>IF($A$1='Data Entry'!$C600,'Data Entry'!G600,"")</f>
        <v>0</v>
      </c>
      <c r="G599" s="46">
        <f>IF($A$1='Data Entry'!$C600,'Data Entry'!H600,"")</f>
        <v>0</v>
      </c>
      <c r="H599" s="46">
        <f>IF($A$1='Data Entry'!$C600,'Data Entry'!I600,"")</f>
        <v>0</v>
      </c>
      <c r="I599" s="46">
        <f>IF($A$1='Data Entry'!$C600,'Data Entry'!J600,"")</f>
        <v>0</v>
      </c>
      <c r="J599" s="46">
        <f>IF($A$1='Data Entry'!$C600,'Data Entry'!K600,"")</f>
        <v>0</v>
      </c>
      <c r="K599" s="46">
        <f>IF($A$1='Data Entry'!$C600,'Data Entry'!L600,"")</f>
        <v>0</v>
      </c>
      <c r="L599" s="46">
        <f>IF($A$1='Data Entry'!$C600,'Data Entry'!M600,"")</f>
        <v>0</v>
      </c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  <c r="AA599" s="43"/>
      <c r="AB599" s="43"/>
      <c r="AC599" s="43"/>
      <c r="AD599" s="43"/>
      <c r="AE599" s="43"/>
      <c r="AF599" s="43"/>
      <c r="AG599" s="43"/>
      <c r="AH599" s="43"/>
      <c r="AI599" s="43"/>
      <c r="AJ599" s="43"/>
    </row>
    <row r="600" spans="1:36" ht="15.95" customHeight="1" x14ac:dyDescent="0.2">
      <c r="A600" s="43"/>
      <c r="B600" s="45">
        <v>100</v>
      </c>
      <c r="C600" s="46">
        <f>IF($A$1='Data Entry'!$C601,'Data Entry'!D601,"")</f>
        <v>0</v>
      </c>
      <c r="D600" s="46">
        <f>IF($A$1='Data Entry'!$C601,'Data Entry'!E601,"")</f>
        <v>0</v>
      </c>
      <c r="E600" s="46">
        <f>IF($A$1='Data Entry'!$C601,'Data Entry'!F601,"")</f>
        <v>0</v>
      </c>
      <c r="F600" s="46">
        <f>IF($A$1='Data Entry'!$C601,'Data Entry'!G601,"")</f>
        <v>0</v>
      </c>
      <c r="G600" s="46">
        <f>IF($A$1='Data Entry'!$C601,'Data Entry'!H601,"")</f>
        <v>0</v>
      </c>
      <c r="H600" s="46">
        <f>IF($A$1='Data Entry'!$C601,'Data Entry'!I601,"")</f>
        <v>0</v>
      </c>
      <c r="I600" s="46">
        <f>IF($A$1='Data Entry'!$C601,'Data Entry'!J601,"")</f>
        <v>0</v>
      </c>
      <c r="J600" s="46">
        <f>IF($A$1='Data Entry'!$C601,'Data Entry'!K601,"")</f>
        <v>0</v>
      </c>
      <c r="K600" s="46">
        <f>IF($A$1='Data Entry'!$C601,'Data Entry'!L601,"")</f>
        <v>0</v>
      </c>
      <c r="L600" s="46">
        <f>IF($A$1='Data Entry'!$C601,'Data Entry'!M601,"")</f>
        <v>0</v>
      </c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  <c r="AA600" s="43"/>
      <c r="AB600" s="43"/>
      <c r="AC600" s="43"/>
      <c r="AD600" s="43"/>
      <c r="AE600" s="43"/>
      <c r="AF600" s="43"/>
      <c r="AG600" s="43"/>
      <c r="AH600" s="43"/>
      <c r="AI600" s="43"/>
      <c r="AJ600" s="43"/>
    </row>
    <row r="601" spans="1:36" ht="15.95" customHeight="1" x14ac:dyDescent="0.2">
      <c r="A601" s="43"/>
      <c r="B601" s="45">
        <v>100</v>
      </c>
      <c r="C601" s="46">
        <f>IF($A$1='Data Entry'!$C602,'Data Entry'!D602,"")</f>
        <v>0</v>
      </c>
      <c r="D601" s="46">
        <f>IF($A$1='Data Entry'!$C602,'Data Entry'!E602,"")</f>
        <v>0</v>
      </c>
      <c r="E601" s="46">
        <f>IF($A$1='Data Entry'!$C602,'Data Entry'!F602,"")</f>
        <v>0</v>
      </c>
      <c r="F601" s="46">
        <f>IF($A$1='Data Entry'!$C602,'Data Entry'!G602,"")</f>
        <v>0</v>
      </c>
      <c r="G601" s="46">
        <f>IF($A$1='Data Entry'!$C602,'Data Entry'!H602,"")</f>
        <v>0</v>
      </c>
      <c r="H601" s="46">
        <f>IF($A$1='Data Entry'!$C602,'Data Entry'!I602,"")</f>
        <v>0</v>
      </c>
      <c r="I601" s="46">
        <f>IF($A$1='Data Entry'!$C602,'Data Entry'!J602,"")</f>
        <v>0</v>
      </c>
      <c r="J601" s="46">
        <f>IF($A$1='Data Entry'!$C602,'Data Entry'!K602,"")</f>
        <v>0</v>
      </c>
      <c r="K601" s="46">
        <f>IF($A$1='Data Entry'!$C602,'Data Entry'!L602,"")</f>
        <v>0</v>
      </c>
      <c r="L601" s="46">
        <f>IF($A$1='Data Entry'!$C602,'Data Entry'!M602,"")</f>
        <v>0</v>
      </c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  <c r="AA601" s="43"/>
      <c r="AB601" s="43"/>
      <c r="AC601" s="43"/>
      <c r="AD601" s="43"/>
      <c r="AE601" s="43"/>
      <c r="AF601" s="43"/>
      <c r="AG601" s="43"/>
      <c r="AH601" s="43"/>
      <c r="AI601" s="43"/>
      <c r="AJ601" s="43"/>
    </row>
    <row r="602" spans="1:36" ht="15.95" customHeight="1" x14ac:dyDescent="0.2">
      <c r="A602" s="43"/>
      <c r="B602" s="45">
        <v>100</v>
      </c>
      <c r="C602" s="46">
        <f>IF($A$1='Data Entry'!$C603,'Data Entry'!D603,"")</f>
        <v>0</v>
      </c>
      <c r="D602" s="46">
        <f>IF($A$1='Data Entry'!$C603,'Data Entry'!E603,"")</f>
        <v>0</v>
      </c>
      <c r="E602" s="46">
        <f>IF($A$1='Data Entry'!$C603,'Data Entry'!F603,"")</f>
        <v>0</v>
      </c>
      <c r="F602" s="46">
        <f>IF($A$1='Data Entry'!$C603,'Data Entry'!G603,"")</f>
        <v>0</v>
      </c>
      <c r="G602" s="46">
        <f>IF($A$1='Data Entry'!$C603,'Data Entry'!H603,"")</f>
        <v>0</v>
      </c>
      <c r="H602" s="46">
        <f>IF($A$1='Data Entry'!$C603,'Data Entry'!I603,"")</f>
        <v>0</v>
      </c>
      <c r="I602" s="46">
        <f>IF($A$1='Data Entry'!$C603,'Data Entry'!J603,"")</f>
        <v>0</v>
      </c>
      <c r="J602" s="46">
        <f>IF($A$1='Data Entry'!$C603,'Data Entry'!K603,"")</f>
        <v>0</v>
      </c>
      <c r="K602" s="46">
        <f>IF($A$1='Data Entry'!$C603,'Data Entry'!L603,"")</f>
        <v>0</v>
      </c>
      <c r="L602" s="46">
        <f>IF($A$1='Data Entry'!$C603,'Data Entry'!M603,"")</f>
        <v>0</v>
      </c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  <c r="AA602" s="43"/>
      <c r="AB602" s="43"/>
      <c r="AC602" s="43"/>
      <c r="AD602" s="43"/>
      <c r="AE602" s="43"/>
      <c r="AF602" s="43"/>
      <c r="AG602" s="43"/>
      <c r="AH602" s="43"/>
      <c r="AI602" s="43"/>
      <c r="AJ602" s="43"/>
    </row>
    <row r="603" spans="1:36" ht="15.95" customHeight="1" x14ac:dyDescent="0.2">
      <c r="A603" s="43"/>
      <c r="B603" s="45">
        <v>101</v>
      </c>
      <c r="C603" s="46">
        <f>IF($A$1='Data Entry'!$C604,'Data Entry'!D604,"")</f>
        <v>0</v>
      </c>
      <c r="D603" s="46">
        <f>IF($A$1='Data Entry'!$C604,'Data Entry'!E604,"")</f>
        <v>0</v>
      </c>
      <c r="E603" s="46">
        <f>IF($A$1='Data Entry'!$C604,'Data Entry'!F604,"")</f>
        <v>0</v>
      </c>
      <c r="F603" s="46">
        <f>IF($A$1='Data Entry'!$C604,'Data Entry'!G604,"")</f>
        <v>0</v>
      </c>
      <c r="G603" s="46">
        <f>IF($A$1='Data Entry'!$C604,'Data Entry'!H604,"")</f>
        <v>0</v>
      </c>
      <c r="H603" s="46">
        <f>IF($A$1='Data Entry'!$C604,'Data Entry'!I604,"")</f>
        <v>0</v>
      </c>
      <c r="I603" s="46">
        <f>IF($A$1='Data Entry'!$C604,'Data Entry'!J604,"")</f>
        <v>0</v>
      </c>
      <c r="J603" s="46">
        <f>IF($A$1='Data Entry'!$C604,'Data Entry'!K604,"")</f>
        <v>0</v>
      </c>
      <c r="K603" s="46">
        <f>IF($A$1='Data Entry'!$C604,'Data Entry'!L604,"")</f>
        <v>0</v>
      </c>
      <c r="L603" s="46">
        <f>IF($A$1='Data Entry'!$C604,'Data Entry'!M604,"")</f>
        <v>0</v>
      </c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  <c r="AA603" s="43"/>
      <c r="AB603" s="43"/>
      <c r="AC603" s="43"/>
      <c r="AD603" s="43"/>
      <c r="AE603" s="43"/>
      <c r="AF603" s="43"/>
      <c r="AG603" s="43"/>
      <c r="AH603" s="43"/>
      <c r="AI603" s="43"/>
      <c r="AJ603" s="43"/>
    </row>
    <row r="604" spans="1:36" ht="15.95" customHeight="1" x14ac:dyDescent="0.2">
      <c r="A604" s="43"/>
      <c r="B604" s="45">
        <v>101</v>
      </c>
      <c r="C604" s="46">
        <f>IF($A$1='Data Entry'!$C605,'Data Entry'!D605,"")</f>
        <v>0</v>
      </c>
      <c r="D604" s="46">
        <f>IF($A$1='Data Entry'!$C605,'Data Entry'!E605,"")</f>
        <v>0</v>
      </c>
      <c r="E604" s="46">
        <f>IF($A$1='Data Entry'!$C605,'Data Entry'!F605,"")</f>
        <v>0</v>
      </c>
      <c r="F604" s="46">
        <f>IF($A$1='Data Entry'!$C605,'Data Entry'!G605,"")</f>
        <v>0</v>
      </c>
      <c r="G604" s="46">
        <f>IF($A$1='Data Entry'!$C605,'Data Entry'!H605,"")</f>
        <v>0</v>
      </c>
      <c r="H604" s="46">
        <f>IF($A$1='Data Entry'!$C605,'Data Entry'!I605,"")</f>
        <v>0</v>
      </c>
      <c r="I604" s="46">
        <f>IF($A$1='Data Entry'!$C605,'Data Entry'!J605,"")</f>
        <v>0</v>
      </c>
      <c r="J604" s="46">
        <f>IF($A$1='Data Entry'!$C605,'Data Entry'!K605,"")</f>
        <v>0</v>
      </c>
      <c r="K604" s="46">
        <f>IF($A$1='Data Entry'!$C605,'Data Entry'!L605,"")</f>
        <v>0</v>
      </c>
      <c r="L604" s="46">
        <f>IF($A$1='Data Entry'!$C605,'Data Entry'!M605,"")</f>
        <v>0</v>
      </c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  <c r="AA604" s="43"/>
      <c r="AB604" s="43"/>
      <c r="AC604" s="43"/>
      <c r="AD604" s="43"/>
      <c r="AE604" s="43"/>
      <c r="AF604" s="43"/>
      <c r="AG604" s="43"/>
      <c r="AH604" s="43"/>
      <c r="AI604" s="43"/>
      <c r="AJ604" s="43"/>
    </row>
    <row r="605" spans="1:36" ht="15.95" customHeight="1" x14ac:dyDescent="0.2">
      <c r="A605" s="43"/>
      <c r="B605" s="45">
        <v>101</v>
      </c>
      <c r="C605" s="46">
        <f>IF($A$1='Data Entry'!$C606,'Data Entry'!D606,"")</f>
        <v>0</v>
      </c>
      <c r="D605" s="46">
        <f>IF($A$1='Data Entry'!$C606,'Data Entry'!E606,"")</f>
        <v>0</v>
      </c>
      <c r="E605" s="46">
        <f>IF($A$1='Data Entry'!$C606,'Data Entry'!F606,"")</f>
        <v>0</v>
      </c>
      <c r="F605" s="46">
        <f>IF($A$1='Data Entry'!$C606,'Data Entry'!G606,"")</f>
        <v>0</v>
      </c>
      <c r="G605" s="46">
        <f>IF($A$1='Data Entry'!$C606,'Data Entry'!H606,"")</f>
        <v>0</v>
      </c>
      <c r="H605" s="46">
        <f>IF($A$1='Data Entry'!$C606,'Data Entry'!I606,"")</f>
        <v>0</v>
      </c>
      <c r="I605" s="46">
        <f>IF($A$1='Data Entry'!$C606,'Data Entry'!J606,"")</f>
        <v>0</v>
      </c>
      <c r="J605" s="46">
        <f>IF($A$1='Data Entry'!$C606,'Data Entry'!K606,"")</f>
        <v>0</v>
      </c>
      <c r="K605" s="46">
        <f>IF($A$1='Data Entry'!$C606,'Data Entry'!L606,"")</f>
        <v>0</v>
      </c>
      <c r="L605" s="46">
        <f>IF($A$1='Data Entry'!$C606,'Data Entry'!M606,"")</f>
        <v>0</v>
      </c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  <c r="AA605" s="43"/>
      <c r="AB605" s="43"/>
      <c r="AC605" s="43"/>
      <c r="AD605" s="43"/>
      <c r="AE605" s="43"/>
      <c r="AF605" s="43"/>
      <c r="AG605" s="43"/>
      <c r="AH605" s="43"/>
      <c r="AI605" s="43"/>
      <c r="AJ605" s="43"/>
    </row>
    <row r="606" spans="1:36" ht="15.95" customHeight="1" x14ac:dyDescent="0.2">
      <c r="A606" s="43"/>
      <c r="B606" s="45">
        <v>101</v>
      </c>
      <c r="C606" s="46">
        <f>IF($A$1='Data Entry'!$C607,'Data Entry'!D607,"")</f>
        <v>0</v>
      </c>
      <c r="D606" s="46">
        <f>IF($A$1='Data Entry'!$C607,'Data Entry'!E607,"")</f>
        <v>0</v>
      </c>
      <c r="E606" s="46">
        <f>IF($A$1='Data Entry'!$C607,'Data Entry'!F607,"")</f>
        <v>0</v>
      </c>
      <c r="F606" s="46">
        <f>IF($A$1='Data Entry'!$C607,'Data Entry'!G607,"")</f>
        <v>0</v>
      </c>
      <c r="G606" s="46">
        <f>IF($A$1='Data Entry'!$C607,'Data Entry'!H607,"")</f>
        <v>0</v>
      </c>
      <c r="H606" s="46">
        <f>IF($A$1='Data Entry'!$C607,'Data Entry'!I607,"")</f>
        <v>0</v>
      </c>
      <c r="I606" s="46">
        <f>IF($A$1='Data Entry'!$C607,'Data Entry'!J607,"")</f>
        <v>0</v>
      </c>
      <c r="J606" s="46">
        <f>IF($A$1='Data Entry'!$C607,'Data Entry'!K607,"")</f>
        <v>0</v>
      </c>
      <c r="K606" s="46">
        <f>IF($A$1='Data Entry'!$C607,'Data Entry'!L607,"")</f>
        <v>0</v>
      </c>
      <c r="L606" s="46">
        <f>IF($A$1='Data Entry'!$C607,'Data Entry'!M607,"")</f>
        <v>0</v>
      </c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  <c r="AA606" s="43"/>
      <c r="AB606" s="43"/>
      <c r="AC606" s="43"/>
      <c r="AD606" s="43"/>
      <c r="AE606" s="43"/>
      <c r="AF606" s="43"/>
      <c r="AG606" s="43"/>
      <c r="AH606" s="43"/>
      <c r="AI606" s="43"/>
      <c r="AJ606" s="43"/>
    </row>
    <row r="607" spans="1:36" ht="15.95" customHeight="1" x14ac:dyDescent="0.2">
      <c r="A607" s="43"/>
      <c r="B607" s="45">
        <v>101</v>
      </c>
      <c r="C607" s="46">
        <f>IF($A$1='Data Entry'!$C608,'Data Entry'!D608,"")</f>
        <v>0</v>
      </c>
      <c r="D607" s="46">
        <f>IF($A$1='Data Entry'!$C608,'Data Entry'!E608,"")</f>
        <v>0</v>
      </c>
      <c r="E607" s="46">
        <f>IF($A$1='Data Entry'!$C608,'Data Entry'!F608,"")</f>
        <v>0</v>
      </c>
      <c r="F607" s="46">
        <f>IF($A$1='Data Entry'!$C608,'Data Entry'!G608,"")</f>
        <v>0</v>
      </c>
      <c r="G607" s="46">
        <f>IF($A$1='Data Entry'!$C608,'Data Entry'!H608,"")</f>
        <v>0</v>
      </c>
      <c r="H607" s="46">
        <f>IF($A$1='Data Entry'!$C608,'Data Entry'!I608,"")</f>
        <v>0</v>
      </c>
      <c r="I607" s="46">
        <f>IF($A$1='Data Entry'!$C608,'Data Entry'!J608,"")</f>
        <v>0</v>
      </c>
      <c r="J607" s="46">
        <f>IF($A$1='Data Entry'!$C608,'Data Entry'!K608,"")</f>
        <v>0</v>
      </c>
      <c r="K607" s="46">
        <f>IF($A$1='Data Entry'!$C608,'Data Entry'!L608,"")</f>
        <v>0</v>
      </c>
      <c r="L607" s="46">
        <f>IF($A$1='Data Entry'!$C608,'Data Entry'!M608,"")</f>
        <v>0</v>
      </c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  <c r="AA607" s="43"/>
      <c r="AB607" s="43"/>
      <c r="AC607" s="43"/>
      <c r="AD607" s="43"/>
      <c r="AE607" s="43"/>
      <c r="AF607" s="43"/>
      <c r="AG607" s="43"/>
      <c r="AH607" s="43"/>
      <c r="AI607" s="43"/>
      <c r="AJ607" s="43"/>
    </row>
    <row r="608" spans="1:36" ht="15.95" customHeight="1" x14ac:dyDescent="0.2">
      <c r="A608" s="43"/>
      <c r="B608" s="45">
        <v>101</v>
      </c>
      <c r="C608" s="46">
        <f>IF($A$1='Data Entry'!$C609,'Data Entry'!D609,"")</f>
        <v>0</v>
      </c>
      <c r="D608" s="46">
        <f>IF($A$1='Data Entry'!$C609,'Data Entry'!E609,"")</f>
        <v>0</v>
      </c>
      <c r="E608" s="46">
        <f>IF($A$1='Data Entry'!$C609,'Data Entry'!F609,"")</f>
        <v>0</v>
      </c>
      <c r="F608" s="46">
        <f>IF($A$1='Data Entry'!$C609,'Data Entry'!G609,"")</f>
        <v>0</v>
      </c>
      <c r="G608" s="46">
        <f>IF($A$1='Data Entry'!$C609,'Data Entry'!H609,"")</f>
        <v>0</v>
      </c>
      <c r="H608" s="46">
        <f>IF($A$1='Data Entry'!$C609,'Data Entry'!I609,"")</f>
        <v>0</v>
      </c>
      <c r="I608" s="46">
        <f>IF($A$1='Data Entry'!$C609,'Data Entry'!J609,"")</f>
        <v>0</v>
      </c>
      <c r="J608" s="46">
        <f>IF($A$1='Data Entry'!$C609,'Data Entry'!K609,"")</f>
        <v>0</v>
      </c>
      <c r="K608" s="46">
        <f>IF($A$1='Data Entry'!$C609,'Data Entry'!L609,"")</f>
        <v>0</v>
      </c>
      <c r="L608" s="46">
        <f>IF($A$1='Data Entry'!$C609,'Data Entry'!M609,"")</f>
        <v>0</v>
      </c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  <c r="AA608" s="43"/>
      <c r="AB608" s="43"/>
      <c r="AC608" s="43"/>
      <c r="AD608" s="43"/>
      <c r="AE608" s="43"/>
      <c r="AF608" s="43"/>
      <c r="AG608" s="43"/>
      <c r="AH608" s="43"/>
      <c r="AI608" s="43"/>
      <c r="AJ608" s="43"/>
    </row>
    <row r="609" spans="1:36" ht="15.95" customHeight="1" x14ac:dyDescent="0.2">
      <c r="A609" s="43"/>
      <c r="B609" s="45">
        <v>102</v>
      </c>
      <c r="C609" s="46">
        <f>IF($A$1='Data Entry'!$C610,'Data Entry'!D610,"")</f>
        <v>0</v>
      </c>
      <c r="D609" s="46">
        <f>IF($A$1='Data Entry'!$C610,'Data Entry'!E610,"")</f>
        <v>0</v>
      </c>
      <c r="E609" s="46">
        <f>IF($A$1='Data Entry'!$C610,'Data Entry'!F610,"")</f>
        <v>0</v>
      </c>
      <c r="F609" s="46">
        <f>IF($A$1='Data Entry'!$C610,'Data Entry'!G610,"")</f>
        <v>0</v>
      </c>
      <c r="G609" s="46">
        <f>IF($A$1='Data Entry'!$C610,'Data Entry'!H610,"")</f>
        <v>0</v>
      </c>
      <c r="H609" s="46">
        <f>IF($A$1='Data Entry'!$C610,'Data Entry'!I610,"")</f>
        <v>0</v>
      </c>
      <c r="I609" s="46">
        <f>IF($A$1='Data Entry'!$C610,'Data Entry'!J610,"")</f>
        <v>0</v>
      </c>
      <c r="J609" s="46">
        <f>IF($A$1='Data Entry'!$C610,'Data Entry'!K610,"")</f>
        <v>0</v>
      </c>
      <c r="K609" s="46">
        <f>IF($A$1='Data Entry'!$C610,'Data Entry'!L610,"")</f>
        <v>0</v>
      </c>
      <c r="L609" s="46">
        <f>IF($A$1='Data Entry'!$C610,'Data Entry'!M610,"")</f>
        <v>0</v>
      </c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  <c r="AA609" s="43"/>
      <c r="AB609" s="43"/>
      <c r="AC609" s="43"/>
      <c r="AD609" s="43"/>
      <c r="AE609" s="43"/>
      <c r="AF609" s="43"/>
      <c r="AG609" s="43"/>
      <c r="AH609" s="43"/>
      <c r="AI609" s="43"/>
      <c r="AJ609" s="43"/>
    </row>
    <row r="610" spans="1:36" ht="15.95" customHeight="1" x14ac:dyDescent="0.2">
      <c r="A610" s="43"/>
      <c r="B610" s="45">
        <v>102</v>
      </c>
      <c r="C610" s="46">
        <f>IF($A$1='Data Entry'!$C611,'Data Entry'!D611,"")</f>
        <v>0</v>
      </c>
      <c r="D610" s="46">
        <f>IF($A$1='Data Entry'!$C611,'Data Entry'!E611,"")</f>
        <v>0</v>
      </c>
      <c r="E610" s="46">
        <f>IF($A$1='Data Entry'!$C611,'Data Entry'!F611,"")</f>
        <v>0</v>
      </c>
      <c r="F610" s="46">
        <f>IF($A$1='Data Entry'!$C611,'Data Entry'!G611,"")</f>
        <v>0</v>
      </c>
      <c r="G610" s="46">
        <f>IF($A$1='Data Entry'!$C611,'Data Entry'!H611,"")</f>
        <v>0</v>
      </c>
      <c r="H610" s="46">
        <f>IF($A$1='Data Entry'!$C611,'Data Entry'!I611,"")</f>
        <v>0</v>
      </c>
      <c r="I610" s="46">
        <f>IF($A$1='Data Entry'!$C611,'Data Entry'!J611,"")</f>
        <v>0</v>
      </c>
      <c r="J610" s="46">
        <f>IF($A$1='Data Entry'!$C611,'Data Entry'!K611,"")</f>
        <v>0</v>
      </c>
      <c r="K610" s="46">
        <f>IF($A$1='Data Entry'!$C611,'Data Entry'!L611,"")</f>
        <v>0</v>
      </c>
      <c r="L610" s="46">
        <f>IF($A$1='Data Entry'!$C611,'Data Entry'!M611,"")</f>
        <v>0</v>
      </c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  <c r="AA610" s="43"/>
      <c r="AB610" s="43"/>
      <c r="AC610" s="43"/>
      <c r="AD610" s="43"/>
      <c r="AE610" s="43"/>
      <c r="AF610" s="43"/>
      <c r="AG610" s="43"/>
      <c r="AH610" s="43"/>
      <c r="AI610" s="43"/>
      <c r="AJ610" s="43"/>
    </row>
    <row r="611" spans="1:36" ht="15.95" customHeight="1" x14ac:dyDescent="0.2">
      <c r="A611" s="43"/>
      <c r="B611" s="45">
        <v>102</v>
      </c>
      <c r="C611" s="46">
        <f>IF($A$1='Data Entry'!$C612,'Data Entry'!D612,"")</f>
        <v>0</v>
      </c>
      <c r="D611" s="46">
        <f>IF($A$1='Data Entry'!$C612,'Data Entry'!E612,"")</f>
        <v>0</v>
      </c>
      <c r="E611" s="46">
        <f>IF($A$1='Data Entry'!$C612,'Data Entry'!F612,"")</f>
        <v>0</v>
      </c>
      <c r="F611" s="46">
        <f>IF($A$1='Data Entry'!$C612,'Data Entry'!G612,"")</f>
        <v>0</v>
      </c>
      <c r="G611" s="46">
        <f>IF($A$1='Data Entry'!$C612,'Data Entry'!H612,"")</f>
        <v>0</v>
      </c>
      <c r="H611" s="46">
        <f>IF($A$1='Data Entry'!$C612,'Data Entry'!I612,"")</f>
        <v>0</v>
      </c>
      <c r="I611" s="46">
        <f>IF($A$1='Data Entry'!$C612,'Data Entry'!J612,"")</f>
        <v>0</v>
      </c>
      <c r="J611" s="46">
        <f>IF($A$1='Data Entry'!$C612,'Data Entry'!K612,"")</f>
        <v>0</v>
      </c>
      <c r="K611" s="46">
        <f>IF($A$1='Data Entry'!$C612,'Data Entry'!L612,"")</f>
        <v>0</v>
      </c>
      <c r="L611" s="46">
        <f>IF($A$1='Data Entry'!$C612,'Data Entry'!M612,"")</f>
        <v>0</v>
      </c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  <c r="AA611" s="43"/>
      <c r="AB611" s="43"/>
      <c r="AC611" s="43"/>
      <c r="AD611" s="43"/>
      <c r="AE611" s="43"/>
      <c r="AF611" s="43"/>
      <c r="AG611" s="43"/>
      <c r="AH611" s="43"/>
      <c r="AI611" s="43"/>
      <c r="AJ611" s="43"/>
    </row>
    <row r="612" spans="1:36" ht="15.95" customHeight="1" x14ac:dyDescent="0.2">
      <c r="A612" s="43"/>
      <c r="B612" s="45">
        <v>102</v>
      </c>
      <c r="C612" s="46">
        <f>IF($A$1='Data Entry'!$C613,'Data Entry'!D613,"")</f>
        <v>0</v>
      </c>
      <c r="D612" s="46">
        <f>IF($A$1='Data Entry'!$C613,'Data Entry'!E613,"")</f>
        <v>0</v>
      </c>
      <c r="E612" s="46">
        <f>IF($A$1='Data Entry'!$C613,'Data Entry'!F613,"")</f>
        <v>0</v>
      </c>
      <c r="F612" s="46">
        <f>IF($A$1='Data Entry'!$C613,'Data Entry'!G613,"")</f>
        <v>0</v>
      </c>
      <c r="G612" s="46">
        <f>IF($A$1='Data Entry'!$C613,'Data Entry'!H613,"")</f>
        <v>0</v>
      </c>
      <c r="H612" s="46">
        <f>IF($A$1='Data Entry'!$C613,'Data Entry'!I613,"")</f>
        <v>0</v>
      </c>
      <c r="I612" s="46">
        <f>IF($A$1='Data Entry'!$C613,'Data Entry'!J613,"")</f>
        <v>0</v>
      </c>
      <c r="J612" s="46">
        <f>IF($A$1='Data Entry'!$C613,'Data Entry'!K613,"")</f>
        <v>0</v>
      </c>
      <c r="K612" s="46">
        <f>IF($A$1='Data Entry'!$C613,'Data Entry'!L613,"")</f>
        <v>0</v>
      </c>
      <c r="L612" s="46">
        <f>IF($A$1='Data Entry'!$C613,'Data Entry'!M613,"")</f>
        <v>0</v>
      </c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  <c r="AA612" s="43"/>
      <c r="AB612" s="43"/>
      <c r="AC612" s="43"/>
      <c r="AD612" s="43"/>
      <c r="AE612" s="43"/>
      <c r="AF612" s="43"/>
      <c r="AG612" s="43"/>
      <c r="AH612" s="43"/>
      <c r="AI612" s="43"/>
      <c r="AJ612" s="43"/>
    </row>
    <row r="613" spans="1:36" ht="15.95" customHeight="1" x14ac:dyDescent="0.2">
      <c r="A613" s="43"/>
      <c r="B613" s="45">
        <v>102</v>
      </c>
      <c r="C613" s="46">
        <f>IF($A$1='Data Entry'!$C614,'Data Entry'!D614,"")</f>
        <v>0</v>
      </c>
      <c r="D613" s="46">
        <f>IF($A$1='Data Entry'!$C614,'Data Entry'!E614,"")</f>
        <v>0</v>
      </c>
      <c r="E613" s="46">
        <f>IF($A$1='Data Entry'!$C614,'Data Entry'!F614,"")</f>
        <v>0</v>
      </c>
      <c r="F613" s="46">
        <f>IF($A$1='Data Entry'!$C614,'Data Entry'!G614,"")</f>
        <v>0</v>
      </c>
      <c r="G613" s="46">
        <f>IF($A$1='Data Entry'!$C614,'Data Entry'!H614,"")</f>
        <v>0</v>
      </c>
      <c r="H613" s="46">
        <f>IF($A$1='Data Entry'!$C614,'Data Entry'!I614,"")</f>
        <v>0</v>
      </c>
      <c r="I613" s="46">
        <f>IF($A$1='Data Entry'!$C614,'Data Entry'!J614,"")</f>
        <v>0</v>
      </c>
      <c r="J613" s="46">
        <f>IF($A$1='Data Entry'!$C614,'Data Entry'!K614,"")</f>
        <v>0</v>
      </c>
      <c r="K613" s="46">
        <f>IF($A$1='Data Entry'!$C614,'Data Entry'!L614,"")</f>
        <v>0</v>
      </c>
      <c r="L613" s="46">
        <f>IF($A$1='Data Entry'!$C614,'Data Entry'!M614,"")</f>
        <v>0</v>
      </c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  <c r="AA613" s="43"/>
      <c r="AB613" s="43"/>
      <c r="AC613" s="43"/>
      <c r="AD613" s="43"/>
      <c r="AE613" s="43"/>
      <c r="AF613" s="43"/>
      <c r="AG613" s="43"/>
      <c r="AH613" s="43"/>
      <c r="AI613" s="43"/>
      <c r="AJ613" s="43"/>
    </row>
    <row r="614" spans="1:36" ht="15.95" customHeight="1" x14ac:dyDescent="0.2">
      <c r="A614" s="43"/>
      <c r="B614" s="45">
        <v>102</v>
      </c>
      <c r="C614" s="46">
        <f>IF($A$1='Data Entry'!$C615,'Data Entry'!D615,"")</f>
        <v>0</v>
      </c>
      <c r="D614" s="46">
        <f>IF($A$1='Data Entry'!$C615,'Data Entry'!E615,"")</f>
        <v>0</v>
      </c>
      <c r="E614" s="46">
        <f>IF($A$1='Data Entry'!$C615,'Data Entry'!F615,"")</f>
        <v>0</v>
      </c>
      <c r="F614" s="46">
        <f>IF($A$1='Data Entry'!$C615,'Data Entry'!G615,"")</f>
        <v>0</v>
      </c>
      <c r="G614" s="46">
        <f>IF($A$1='Data Entry'!$C615,'Data Entry'!H615,"")</f>
        <v>0</v>
      </c>
      <c r="H614" s="46">
        <f>IF($A$1='Data Entry'!$C615,'Data Entry'!I615,"")</f>
        <v>0</v>
      </c>
      <c r="I614" s="46">
        <f>IF($A$1='Data Entry'!$C615,'Data Entry'!J615,"")</f>
        <v>0</v>
      </c>
      <c r="J614" s="46">
        <f>IF($A$1='Data Entry'!$C615,'Data Entry'!K615,"")</f>
        <v>0</v>
      </c>
      <c r="K614" s="46">
        <f>IF($A$1='Data Entry'!$C615,'Data Entry'!L615,"")</f>
        <v>0</v>
      </c>
      <c r="L614" s="46">
        <f>IF($A$1='Data Entry'!$C615,'Data Entry'!M615,"")</f>
        <v>0</v>
      </c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  <c r="AA614" s="43"/>
      <c r="AB614" s="43"/>
      <c r="AC614" s="43"/>
      <c r="AD614" s="43"/>
      <c r="AE614" s="43"/>
      <c r="AF614" s="43"/>
      <c r="AG614" s="43"/>
      <c r="AH614" s="43"/>
      <c r="AI614" s="43"/>
      <c r="AJ614" s="43"/>
    </row>
    <row r="615" spans="1:36" ht="15.95" customHeight="1" x14ac:dyDescent="0.2">
      <c r="A615" s="43"/>
      <c r="B615" s="45">
        <v>103</v>
      </c>
      <c r="C615" s="46">
        <f>IF($A$1='Data Entry'!$C616,'Data Entry'!D616,"")</f>
        <v>0</v>
      </c>
      <c r="D615" s="46">
        <f>IF($A$1='Data Entry'!$C616,'Data Entry'!E616,"")</f>
        <v>0</v>
      </c>
      <c r="E615" s="46">
        <f>IF($A$1='Data Entry'!$C616,'Data Entry'!F616,"")</f>
        <v>0</v>
      </c>
      <c r="F615" s="46">
        <f>IF($A$1='Data Entry'!$C616,'Data Entry'!G616,"")</f>
        <v>0</v>
      </c>
      <c r="G615" s="46">
        <f>IF($A$1='Data Entry'!$C616,'Data Entry'!H616,"")</f>
        <v>0</v>
      </c>
      <c r="H615" s="46">
        <f>IF($A$1='Data Entry'!$C616,'Data Entry'!I616,"")</f>
        <v>0</v>
      </c>
      <c r="I615" s="46">
        <f>IF($A$1='Data Entry'!$C616,'Data Entry'!J616,"")</f>
        <v>0</v>
      </c>
      <c r="J615" s="46">
        <f>IF($A$1='Data Entry'!$C616,'Data Entry'!K616,"")</f>
        <v>0</v>
      </c>
      <c r="K615" s="46">
        <f>IF($A$1='Data Entry'!$C616,'Data Entry'!L616,"")</f>
        <v>0</v>
      </c>
      <c r="L615" s="46">
        <f>IF($A$1='Data Entry'!$C616,'Data Entry'!M616,"")</f>
        <v>0</v>
      </c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  <c r="AA615" s="43"/>
      <c r="AB615" s="43"/>
      <c r="AC615" s="43"/>
      <c r="AD615" s="43"/>
      <c r="AE615" s="43"/>
      <c r="AF615" s="43"/>
      <c r="AG615" s="43"/>
      <c r="AH615" s="43"/>
      <c r="AI615" s="43"/>
      <c r="AJ615" s="43"/>
    </row>
    <row r="616" spans="1:36" ht="15.95" customHeight="1" x14ac:dyDescent="0.2">
      <c r="A616" s="43"/>
      <c r="B616" s="45">
        <v>103</v>
      </c>
      <c r="C616" s="46">
        <f>IF($A$1='Data Entry'!$C617,'Data Entry'!D617,"")</f>
        <v>0</v>
      </c>
      <c r="D616" s="46">
        <f>IF($A$1='Data Entry'!$C617,'Data Entry'!E617,"")</f>
        <v>0</v>
      </c>
      <c r="E616" s="46">
        <f>IF($A$1='Data Entry'!$C617,'Data Entry'!F617,"")</f>
        <v>0</v>
      </c>
      <c r="F616" s="46">
        <f>IF($A$1='Data Entry'!$C617,'Data Entry'!G617,"")</f>
        <v>0</v>
      </c>
      <c r="G616" s="46">
        <f>IF($A$1='Data Entry'!$C617,'Data Entry'!H617,"")</f>
        <v>0</v>
      </c>
      <c r="H616" s="46">
        <f>IF($A$1='Data Entry'!$C617,'Data Entry'!I617,"")</f>
        <v>0</v>
      </c>
      <c r="I616" s="46">
        <f>IF($A$1='Data Entry'!$C617,'Data Entry'!J617,"")</f>
        <v>0</v>
      </c>
      <c r="J616" s="46">
        <f>IF($A$1='Data Entry'!$C617,'Data Entry'!K617,"")</f>
        <v>0</v>
      </c>
      <c r="K616" s="46">
        <f>IF($A$1='Data Entry'!$C617,'Data Entry'!L617,"")</f>
        <v>0</v>
      </c>
      <c r="L616" s="46">
        <f>IF($A$1='Data Entry'!$C617,'Data Entry'!M617,"")</f>
        <v>0</v>
      </c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  <c r="AA616" s="43"/>
      <c r="AB616" s="43"/>
      <c r="AC616" s="43"/>
      <c r="AD616" s="43"/>
      <c r="AE616" s="43"/>
      <c r="AF616" s="43"/>
      <c r="AG616" s="43"/>
      <c r="AH616" s="43"/>
      <c r="AI616" s="43"/>
      <c r="AJ616" s="43"/>
    </row>
    <row r="617" spans="1:36" ht="15.95" customHeight="1" x14ac:dyDescent="0.2">
      <c r="A617" s="43"/>
      <c r="B617" s="45">
        <v>103</v>
      </c>
      <c r="C617" s="46">
        <f>IF($A$1='Data Entry'!$C618,'Data Entry'!D618,"")</f>
        <v>0</v>
      </c>
      <c r="D617" s="46">
        <f>IF($A$1='Data Entry'!$C618,'Data Entry'!E618,"")</f>
        <v>0</v>
      </c>
      <c r="E617" s="46">
        <f>IF($A$1='Data Entry'!$C618,'Data Entry'!F618,"")</f>
        <v>0</v>
      </c>
      <c r="F617" s="46">
        <f>IF($A$1='Data Entry'!$C618,'Data Entry'!G618,"")</f>
        <v>0</v>
      </c>
      <c r="G617" s="46">
        <f>IF($A$1='Data Entry'!$C618,'Data Entry'!H618,"")</f>
        <v>0</v>
      </c>
      <c r="H617" s="46">
        <f>IF($A$1='Data Entry'!$C618,'Data Entry'!I618,"")</f>
        <v>0</v>
      </c>
      <c r="I617" s="46">
        <f>IF($A$1='Data Entry'!$C618,'Data Entry'!J618,"")</f>
        <v>0</v>
      </c>
      <c r="J617" s="46">
        <f>IF($A$1='Data Entry'!$C618,'Data Entry'!K618,"")</f>
        <v>0</v>
      </c>
      <c r="K617" s="46">
        <f>IF($A$1='Data Entry'!$C618,'Data Entry'!L618,"")</f>
        <v>0</v>
      </c>
      <c r="L617" s="46">
        <f>IF($A$1='Data Entry'!$C618,'Data Entry'!M618,"")</f>
        <v>0</v>
      </c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  <c r="AA617" s="43"/>
      <c r="AB617" s="43"/>
      <c r="AC617" s="43"/>
      <c r="AD617" s="43"/>
      <c r="AE617" s="43"/>
      <c r="AF617" s="43"/>
      <c r="AG617" s="43"/>
      <c r="AH617" s="43"/>
      <c r="AI617" s="43"/>
      <c r="AJ617" s="43"/>
    </row>
    <row r="618" spans="1:36" ht="15.95" customHeight="1" x14ac:dyDescent="0.2">
      <c r="A618" s="43"/>
      <c r="B618" s="45">
        <v>103</v>
      </c>
      <c r="C618" s="46">
        <f>IF($A$1='Data Entry'!$C619,'Data Entry'!D619,"")</f>
        <v>0</v>
      </c>
      <c r="D618" s="46">
        <f>IF($A$1='Data Entry'!$C619,'Data Entry'!E619,"")</f>
        <v>0</v>
      </c>
      <c r="E618" s="46">
        <f>IF($A$1='Data Entry'!$C619,'Data Entry'!F619,"")</f>
        <v>0</v>
      </c>
      <c r="F618" s="46">
        <f>IF($A$1='Data Entry'!$C619,'Data Entry'!G619,"")</f>
        <v>0</v>
      </c>
      <c r="G618" s="46">
        <f>IF($A$1='Data Entry'!$C619,'Data Entry'!H619,"")</f>
        <v>0</v>
      </c>
      <c r="H618" s="46">
        <f>IF($A$1='Data Entry'!$C619,'Data Entry'!I619,"")</f>
        <v>0</v>
      </c>
      <c r="I618" s="46">
        <f>IF($A$1='Data Entry'!$C619,'Data Entry'!J619,"")</f>
        <v>0</v>
      </c>
      <c r="J618" s="46">
        <f>IF($A$1='Data Entry'!$C619,'Data Entry'!K619,"")</f>
        <v>0</v>
      </c>
      <c r="K618" s="46">
        <f>IF($A$1='Data Entry'!$C619,'Data Entry'!L619,"")</f>
        <v>0</v>
      </c>
      <c r="L618" s="46">
        <f>IF($A$1='Data Entry'!$C619,'Data Entry'!M619,"")</f>
        <v>0</v>
      </c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  <c r="AA618" s="43"/>
      <c r="AB618" s="43"/>
      <c r="AC618" s="43"/>
      <c r="AD618" s="43"/>
      <c r="AE618" s="43"/>
      <c r="AF618" s="43"/>
      <c r="AG618" s="43"/>
      <c r="AH618" s="43"/>
      <c r="AI618" s="43"/>
      <c r="AJ618" s="43"/>
    </row>
    <row r="619" spans="1:36" ht="15.95" customHeight="1" x14ac:dyDescent="0.2">
      <c r="A619" s="43"/>
      <c r="B619" s="45">
        <v>103</v>
      </c>
      <c r="C619" s="46">
        <f>IF($A$1='Data Entry'!$C620,'Data Entry'!D620,"")</f>
        <v>0</v>
      </c>
      <c r="D619" s="46">
        <f>IF($A$1='Data Entry'!$C620,'Data Entry'!E620,"")</f>
        <v>0</v>
      </c>
      <c r="E619" s="46">
        <f>IF($A$1='Data Entry'!$C620,'Data Entry'!F620,"")</f>
        <v>0</v>
      </c>
      <c r="F619" s="46">
        <f>IF($A$1='Data Entry'!$C620,'Data Entry'!G620,"")</f>
        <v>0</v>
      </c>
      <c r="G619" s="46">
        <f>IF($A$1='Data Entry'!$C620,'Data Entry'!H620,"")</f>
        <v>0</v>
      </c>
      <c r="H619" s="46">
        <f>IF($A$1='Data Entry'!$C620,'Data Entry'!I620,"")</f>
        <v>0</v>
      </c>
      <c r="I619" s="46">
        <f>IF($A$1='Data Entry'!$C620,'Data Entry'!J620,"")</f>
        <v>0</v>
      </c>
      <c r="J619" s="46">
        <f>IF($A$1='Data Entry'!$C620,'Data Entry'!K620,"")</f>
        <v>0</v>
      </c>
      <c r="K619" s="46">
        <f>IF($A$1='Data Entry'!$C620,'Data Entry'!L620,"")</f>
        <v>0</v>
      </c>
      <c r="L619" s="46">
        <f>IF($A$1='Data Entry'!$C620,'Data Entry'!M620,"")</f>
        <v>0</v>
      </c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  <c r="AA619" s="43"/>
      <c r="AB619" s="43"/>
      <c r="AC619" s="43"/>
      <c r="AD619" s="43"/>
      <c r="AE619" s="43"/>
      <c r="AF619" s="43"/>
      <c r="AG619" s="43"/>
      <c r="AH619" s="43"/>
      <c r="AI619" s="43"/>
      <c r="AJ619" s="43"/>
    </row>
    <row r="620" spans="1:36" ht="15.95" customHeight="1" x14ac:dyDescent="0.2">
      <c r="A620" s="43"/>
      <c r="B620" s="45">
        <v>103</v>
      </c>
      <c r="C620" s="46">
        <f>IF($A$1='Data Entry'!$C621,'Data Entry'!D621,"")</f>
        <v>0</v>
      </c>
      <c r="D620" s="46">
        <f>IF($A$1='Data Entry'!$C621,'Data Entry'!E621,"")</f>
        <v>0</v>
      </c>
      <c r="E620" s="46">
        <f>IF($A$1='Data Entry'!$C621,'Data Entry'!F621,"")</f>
        <v>0</v>
      </c>
      <c r="F620" s="46">
        <f>IF($A$1='Data Entry'!$C621,'Data Entry'!G621,"")</f>
        <v>0</v>
      </c>
      <c r="G620" s="46">
        <f>IF($A$1='Data Entry'!$C621,'Data Entry'!H621,"")</f>
        <v>0</v>
      </c>
      <c r="H620" s="46">
        <f>IF($A$1='Data Entry'!$C621,'Data Entry'!I621,"")</f>
        <v>0</v>
      </c>
      <c r="I620" s="46">
        <f>IF($A$1='Data Entry'!$C621,'Data Entry'!J621,"")</f>
        <v>0</v>
      </c>
      <c r="J620" s="46">
        <f>IF($A$1='Data Entry'!$C621,'Data Entry'!K621,"")</f>
        <v>0</v>
      </c>
      <c r="K620" s="46">
        <f>IF($A$1='Data Entry'!$C621,'Data Entry'!L621,"")</f>
        <v>0</v>
      </c>
      <c r="L620" s="46">
        <f>IF($A$1='Data Entry'!$C621,'Data Entry'!M621,"")</f>
        <v>0</v>
      </c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  <c r="AA620" s="43"/>
      <c r="AB620" s="43"/>
      <c r="AC620" s="43"/>
      <c r="AD620" s="43"/>
      <c r="AE620" s="43"/>
      <c r="AF620" s="43"/>
      <c r="AG620" s="43"/>
      <c r="AH620" s="43"/>
      <c r="AI620" s="43"/>
      <c r="AJ620" s="43"/>
    </row>
    <row r="621" spans="1:36" ht="15.95" customHeight="1" x14ac:dyDescent="0.2">
      <c r="A621" s="43"/>
      <c r="B621" s="45">
        <v>104</v>
      </c>
      <c r="C621" s="46">
        <f>IF($A$1='Data Entry'!$C622,'Data Entry'!D622,"")</f>
        <v>0</v>
      </c>
      <c r="D621" s="46">
        <f>IF($A$1='Data Entry'!$C622,'Data Entry'!E622,"")</f>
        <v>0</v>
      </c>
      <c r="E621" s="46">
        <f>IF($A$1='Data Entry'!$C622,'Data Entry'!F622,"")</f>
        <v>0</v>
      </c>
      <c r="F621" s="46">
        <f>IF($A$1='Data Entry'!$C622,'Data Entry'!G622,"")</f>
        <v>0</v>
      </c>
      <c r="G621" s="46">
        <f>IF($A$1='Data Entry'!$C622,'Data Entry'!H622,"")</f>
        <v>0</v>
      </c>
      <c r="H621" s="46">
        <f>IF($A$1='Data Entry'!$C622,'Data Entry'!I622,"")</f>
        <v>0</v>
      </c>
      <c r="I621" s="46">
        <f>IF($A$1='Data Entry'!$C622,'Data Entry'!J622,"")</f>
        <v>0</v>
      </c>
      <c r="J621" s="46">
        <f>IF($A$1='Data Entry'!$C622,'Data Entry'!K622,"")</f>
        <v>0</v>
      </c>
      <c r="K621" s="46">
        <f>IF($A$1='Data Entry'!$C622,'Data Entry'!L622,"")</f>
        <v>0</v>
      </c>
      <c r="L621" s="46">
        <f>IF($A$1='Data Entry'!$C622,'Data Entry'!M622,"")</f>
        <v>0</v>
      </c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  <c r="AA621" s="43"/>
      <c r="AB621" s="43"/>
      <c r="AC621" s="43"/>
      <c r="AD621" s="43"/>
      <c r="AE621" s="43"/>
      <c r="AF621" s="43"/>
      <c r="AG621" s="43"/>
      <c r="AH621" s="43"/>
      <c r="AI621" s="43"/>
      <c r="AJ621" s="43"/>
    </row>
    <row r="622" spans="1:36" ht="15.95" customHeight="1" x14ac:dyDescent="0.2">
      <c r="A622" s="43"/>
      <c r="B622" s="45">
        <v>104</v>
      </c>
      <c r="C622" s="46">
        <f>IF($A$1='Data Entry'!$C623,'Data Entry'!D623,"")</f>
        <v>0</v>
      </c>
      <c r="D622" s="46">
        <f>IF($A$1='Data Entry'!$C623,'Data Entry'!E623,"")</f>
        <v>0</v>
      </c>
      <c r="E622" s="46">
        <f>IF($A$1='Data Entry'!$C623,'Data Entry'!F623,"")</f>
        <v>0</v>
      </c>
      <c r="F622" s="46">
        <f>IF($A$1='Data Entry'!$C623,'Data Entry'!G623,"")</f>
        <v>0</v>
      </c>
      <c r="G622" s="46">
        <f>IF($A$1='Data Entry'!$C623,'Data Entry'!H623,"")</f>
        <v>0</v>
      </c>
      <c r="H622" s="46">
        <f>IF($A$1='Data Entry'!$C623,'Data Entry'!I623,"")</f>
        <v>0</v>
      </c>
      <c r="I622" s="46">
        <f>IF($A$1='Data Entry'!$C623,'Data Entry'!J623,"")</f>
        <v>0</v>
      </c>
      <c r="J622" s="46">
        <f>IF($A$1='Data Entry'!$C623,'Data Entry'!K623,"")</f>
        <v>0</v>
      </c>
      <c r="K622" s="46">
        <f>IF($A$1='Data Entry'!$C623,'Data Entry'!L623,"")</f>
        <v>0</v>
      </c>
      <c r="L622" s="46">
        <f>IF($A$1='Data Entry'!$C623,'Data Entry'!M623,"")</f>
        <v>0</v>
      </c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  <c r="AA622" s="43"/>
      <c r="AB622" s="43"/>
      <c r="AC622" s="43"/>
      <c r="AD622" s="43"/>
      <c r="AE622" s="43"/>
      <c r="AF622" s="43"/>
      <c r="AG622" s="43"/>
      <c r="AH622" s="43"/>
      <c r="AI622" s="43"/>
      <c r="AJ622" s="43"/>
    </row>
    <row r="623" spans="1:36" ht="15.95" customHeight="1" x14ac:dyDescent="0.2">
      <c r="A623" s="43"/>
      <c r="B623" s="45">
        <v>104</v>
      </c>
      <c r="C623" s="46">
        <f>IF($A$1='Data Entry'!$C624,'Data Entry'!D624,"")</f>
        <v>0</v>
      </c>
      <c r="D623" s="46">
        <f>IF($A$1='Data Entry'!$C624,'Data Entry'!E624,"")</f>
        <v>0</v>
      </c>
      <c r="E623" s="46">
        <f>IF($A$1='Data Entry'!$C624,'Data Entry'!F624,"")</f>
        <v>0</v>
      </c>
      <c r="F623" s="46">
        <f>IF($A$1='Data Entry'!$C624,'Data Entry'!G624,"")</f>
        <v>0</v>
      </c>
      <c r="G623" s="46">
        <f>IF($A$1='Data Entry'!$C624,'Data Entry'!H624,"")</f>
        <v>0</v>
      </c>
      <c r="H623" s="46">
        <f>IF($A$1='Data Entry'!$C624,'Data Entry'!I624,"")</f>
        <v>0</v>
      </c>
      <c r="I623" s="46">
        <f>IF($A$1='Data Entry'!$C624,'Data Entry'!J624,"")</f>
        <v>0</v>
      </c>
      <c r="J623" s="46">
        <f>IF($A$1='Data Entry'!$C624,'Data Entry'!K624,"")</f>
        <v>0</v>
      </c>
      <c r="K623" s="46">
        <f>IF($A$1='Data Entry'!$C624,'Data Entry'!L624,"")</f>
        <v>0</v>
      </c>
      <c r="L623" s="46">
        <f>IF($A$1='Data Entry'!$C624,'Data Entry'!M624,"")</f>
        <v>0</v>
      </c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  <c r="AA623" s="43"/>
      <c r="AB623" s="43"/>
      <c r="AC623" s="43"/>
      <c r="AD623" s="43"/>
      <c r="AE623" s="43"/>
      <c r="AF623" s="43"/>
      <c r="AG623" s="43"/>
      <c r="AH623" s="43"/>
      <c r="AI623" s="43"/>
      <c r="AJ623" s="43"/>
    </row>
    <row r="624" spans="1:36" ht="15.95" customHeight="1" x14ac:dyDescent="0.2">
      <c r="A624" s="43"/>
      <c r="B624" s="45">
        <v>104</v>
      </c>
      <c r="C624" s="46">
        <f>IF($A$1='Data Entry'!$C625,'Data Entry'!D625,"")</f>
        <v>0</v>
      </c>
      <c r="D624" s="46">
        <f>IF($A$1='Data Entry'!$C625,'Data Entry'!E625,"")</f>
        <v>0</v>
      </c>
      <c r="E624" s="46">
        <f>IF($A$1='Data Entry'!$C625,'Data Entry'!F625,"")</f>
        <v>0</v>
      </c>
      <c r="F624" s="46">
        <f>IF($A$1='Data Entry'!$C625,'Data Entry'!G625,"")</f>
        <v>0</v>
      </c>
      <c r="G624" s="46">
        <f>IF($A$1='Data Entry'!$C625,'Data Entry'!H625,"")</f>
        <v>0</v>
      </c>
      <c r="H624" s="46">
        <f>IF($A$1='Data Entry'!$C625,'Data Entry'!I625,"")</f>
        <v>0</v>
      </c>
      <c r="I624" s="46">
        <f>IF($A$1='Data Entry'!$C625,'Data Entry'!J625,"")</f>
        <v>0</v>
      </c>
      <c r="J624" s="46">
        <f>IF($A$1='Data Entry'!$C625,'Data Entry'!K625,"")</f>
        <v>0</v>
      </c>
      <c r="K624" s="46">
        <f>IF($A$1='Data Entry'!$C625,'Data Entry'!L625,"")</f>
        <v>0</v>
      </c>
      <c r="L624" s="46">
        <f>IF($A$1='Data Entry'!$C625,'Data Entry'!M625,"")</f>
        <v>0</v>
      </c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  <c r="AA624" s="43"/>
      <c r="AB624" s="43"/>
      <c r="AC624" s="43"/>
      <c r="AD624" s="43"/>
      <c r="AE624" s="43"/>
      <c r="AF624" s="43"/>
      <c r="AG624" s="43"/>
      <c r="AH624" s="43"/>
      <c r="AI624" s="43"/>
      <c r="AJ624" s="43"/>
    </row>
    <row r="625" spans="1:36" ht="15.95" customHeight="1" x14ac:dyDescent="0.2">
      <c r="A625" s="43"/>
      <c r="B625" s="45">
        <v>104</v>
      </c>
      <c r="C625" s="46">
        <f>IF($A$1='Data Entry'!$C626,'Data Entry'!D626,"")</f>
        <v>0</v>
      </c>
      <c r="D625" s="46">
        <f>IF($A$1='Data Entry'!$C626,'Data Entry'!E626,"")</f>
        <v>0</v>
      </c>
      <c r="E625" s="46">
        <f>IF($A$1='Data Entry'!$C626,'Data Entry'!F626,"")</f>
        <v>0</v>
      </c>
      <c r="F625" s="46">
        <f>IF($A$1='Data Entry'!$C626,'Data Entry'!G626,"")</f>
        <v>0</v>
      </c>
      <c r="G625" s="46">
        <f>IF($A$1='Data Entry'!$C626,'Data Entry'!H626,"")</f>
        <v>0</v>
      </c>
      <c r="H625" s="46">
        <f>IF($A$1='Data Entry'!$C626,'Data Entry'!I626,"")</f>
        <v>0</v>
      </c>
      <c r="I625" s="46">
        <f>IF($A$1='Data Entry'!$C626,'Data Entry'!J626,"")</f>
        <v>0</v>
      </c>
      <c r="J625" s="46">
        <f>IF($A$1='Data Entry'!$C626,'Data Entry'!K626,"")</f>
        <v>0</v>
      </c>
      <c r="K625" s="46">
        <f>IF($A$1='Data Entry'!$C626,'Data Entry'!L626,"")</f>
        <v>0</v>
      </c>
      <c r="L625" s="46">
        <f>IF($A$1='Data Entry'!$C626,'Data Entry'!M626,"")</f>
        <v>0</v>
      </c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  <c r="AA625" s="43"/>
      <c r="AB625" s="43"/>
      <c r="AC625" s="43"/>
      <c r="AD625" s="43"/>
      <c r="AE625" s="43"/>
      <c r="AF625" s="43"/>
      <c r="AG625" s="43"/>
      <c r="AH625" s="43"/>
      <c r="AI625" s="43"/>
      <c r="AJ625" s="43"/>
    </row>
    <row r="626" spans="1:36" ht="15.95" customHeight="1" x14ac:dyDescent="0.2">
      <c r="A626" s="43"/>
      <c r="B626" s="45">
        <v>104</v>
      </c>
      <c r="C626" s="46">
        <f>IF($A$1='Data Entry'!$C627,'Data Entry'!D627,"")</f>
        <v>0</v>
      </c>
      <c r="D626" s="46">
        <f>IF($A$1='Data Entry'!$C627,'Data Entry'!E627,"")</f>
        <v>0</v>
      </c>
      <c r="E626" s="46">
        <f>IF($A$1='Data Entry'!$C627,'Data Entry'!F627,"")</f>
        <v>0</v>
      </c>
      <c r="F626" s="46">
        <f>IF($A$1='Data Entry'!$C627,'Data Entry'!G627,"")</f>
        <v>0</v>
      </c>
      <c r="G626" s="46">
        <f>IF($A$1='Data Entry'!$C627,'Data Entry'!H627,"")</f>
        <v>0</v>
      </c>
      <c r="H626" s="46">
        <f>IF($A$1='Data Entry'!$C627,'Data Entry'!I627,"")</f>
        <v>0</v>
      </c>
      <c r="I626" s="46">
        <f>IF($A$1='Data Entry'!$C627,'Data Entry'!J627,"")</f>
        <v>0</v>
      </c>
      <c r="J626" s="46">
        <f>IF($A$1='Data Entry'!$C627,'Data Entry'!K627,"")</f>
        <v>0</v>
      </c>
      <c r="K626" s="46">
        <f>IF($A$1='Data Entry'!$C627,'Data Entry'!L627,"")</f>
        <v>0</v>
      </c>
      <c r="L626" s="46">
        <f>IF($A$1='Data Entry'!$C627,'Data Entry'!M627,"")</f>
        <v>0</v>
      </c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  <c r="AA626" s="43"/>
      <c r="AB626" s="43"/>
      <c r="AC626" s="43"/>
      <c r="AD626" s="43"/>
      <c r="AE626" s="43"/>
      <c r="AF626" s="43"/>
      <c r="AG626" s="43"/>
      <c r="AH626" s="43"/>
      <c r="AI626" s="43"/>
      <c r="AJ626" s="43"/>
    </row>
    <row r="627" spans="1:36" ht="15.95" customHeight="1" x14ac:dyDescent="0.2">
      <c r="A627" s="43"/>
      <c r="B627" s="45">
        <v>105</v>
      </c>
      <c r="C627" s="46">
        <f>IF($A$1='Data Entry'!$C628,'Data Entry'!D628,"")</f>
        <v>0</v>
      </c>
      <c r="D627" s="46">
        <f>IF($A$1='Data Entry'!$C628,'Data Entry'!E628,"")</f>
        <v>0</v>
      </c>
      <c r="E627" s="46">
        <f>IF($A$1='Data Entry'!$C628,'Data Entry'!F628,"")</f>
        <v>0</v>
      </c>
      <c r="F627" s="46">
        <f>IF($A$1='Data Entry'!$C628,'Data Entry'!G628,"")</f>
        <v>0</v>
      </c>
      <c r="G627" s="46">
        <f>IF($A$1='Data Entry'!$C628,'Data Entry'!H628,"")</f>
        <v>0</v>
      </c>
      <c r="H627" s="46">
        <f>IF($A$1='Data Entry'!$C628,'Data Entry'!I628,"")</f>
        <v>0</v>
      </c>
      <c r="I627" s="46">
        <f>IF($A$1='Data Entry'!$C628,'Data Entry'!J628,"")</f>
        <v>0</v>
      </c>
      <c r="J627" s="46">
        <f>IF($A$1='Data Entry'!$C628,'Data Entry'!K628,"")</f>
        <v>0</v>
      </c>
      <c r="K627" s="46">
        <f>IF($A$1='Data Entry'!$C628,'Data Entry'!L628,"")</f>
        <v>0</v>
      </c>
      <c r="L627" s="46">
        <f>IF($A$1='Data Entry'!$C628,'Data Entry'!M628,"")</f>
        <v>0</v>
      </c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  <c r="AA627" s="43"/>
      <c r="AB627" s="43"/>
      <c r="AC627" s="43"/>
      <c r="AD627" s="43"/>
      <c r="AE627" s="43"/>
      <c r="AF627" s="43"/>
      <c r="AG627" s="43"/>
      <c r="AH627" s="43"/>
      <c r="AI627" s="43"/>
      <c r="AJ627" s="43"/>
    </row>
    <row r="628" spans="1:36" ht="15.95" customHeight="1" x14ac:dyDescent="0.2">
      <c r="A628" s="43"/>
      <c r="B628" s="45">
        <v>105</v>
      </c>
      <c r="C628" s="46">
        <f>IF($A$1='Data Entry'!$C629,'Data Entry'!D629,"")</f>
        <v>0</v>
      </c>
      <c r="D628" s="46">
        <f>IF($A$1='Data Entry'!$C629,'Data Entry'!E629,"")</f>
        <v>0</v>
      </c>
      <c r="E628" s="46">
        <f>IF($A$1='Data Entry'!$C629,'Data Entry'!F629,"")</f>
        <v>0</v>
      </c>
      <c r="F628" s="46">
        <f>IF($A$1='Data Entry'!$C629,'Data Entry'!G629,"")</f>
        <v>0</v>
      </c>
      <c r="G628" s="46">
        <f>IF($A$1='Data Entry'!$C629,'Data Entry'!H629,"")</f>
        <v>0</v>
      </c>
      <c r="H628" s="46">
        <f>IF($A$1='Data Entry'!$C629,'Data Entry'!I629,"")</f>
        <v>0</v>
      </c>
      <c r="I628" s="46">
        <f>IF($A$1='Data Entry'!$C629,'Data Entry'!J629,"")</f>
        <v>0</v>
      </c>
      <c r="J628" s="46">
        <f>IF($A$1='Data Entry'!$C629,'Data Entry'!K629,"")</f>
        <v>0</v>
      </c>
      <c r="K628" s="46">
        <f>IF($A$1='Data Entry'!$C629,'Data Entry'!L629,"")</f>
        <v>0</v>
      </c>
      <c r="L628" s="46">
        <f>IF($A$1='Data Entry'!$C629,'Data Entry'!M629,"")</f>
        <v>0</v>
      </c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  <c r="AA628" s="43"/>
      <c r="AB628" s="43"/>
      <c r="AC628" s="43"/>
      <c r="AD628" s="43"/>
      <c r="AE628" s="43"/>
      <c r="AF628" s="43"/>
      <c r="AG628" s="43"/>
      <c r="AH628" s="43"/>
      <c r="AI628" s="43"/>
      <c r="AJ628" s="43"/>
    </row>
    <row r="629" spans="1:36" ht="15.95" customHeight="1" x14ac:dyDescent="0.2">
      <c r="A629" s="43"/>
      <c r="B629" s="45">
        <v>105</v>
      </c>
      <c r="C629" s="46">
        <f>IF($A$1='Data Entry'!$C630,'Data Entry'!D630,"")</f>
        <v>0</v>
      </c>
      <c r="D629" s="46">
        <f>IF($A$1='Data Entry'!$C630,'Data Entry'!E630,"")</f>
        <v>0</v>
      </c>
      <c r="E629" s="46">
        <f>IF($A$1='Data Entry'!$C630,'Data Entry'!F630,"")</f>
        <v>0</v>
      </c>
      <c r="F629" s="46">
        <f>IF($A$1='Data Entry'!$C630,'Data Entry'!G630,"")</f>
        <v>0</v>
      </c>
      <c r="G629" s="46">
        <f>IF($A$1='Data Entry'!$C630,'Data Entry'!H630,"")</f>
        <v>0</v>
      </c>
      <c r="H629" s="46">
        <f>IF($A$1='Data Entry'!$C630,'Data Entry'!I630,"")</f>
        <v>0</v>
      </c>
      <c r="I629" s="46">
        <f>IF($A$1='Data Entry'!$C630,'Data Entry'!J630,"")</f>
        <v>0</v>
      </c>
      <c r="J629" s="46">
        <f>IF($A$1='Data Entry'!$C630,'Data Entry'!K630,"")</f>
        <v>0</v>
      </c>
      <c r="K629" s="46">
        <f>IF($A$1='Data Entry'!$C630,'Data Entry'!L630,"")</f>
        <v>0</v>
      </c>
      <c r="L629" s="46">
        <f>IF($A$1='Data Entry'!$C630,'Data Entry'!M630,"")</f>
        <v>0</v>
      </c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  <c r="AA629" s="43"/>
      <c r="AB629" s="43"/>
      <c r="AC629" s="43"/>
      <c r="AD629" s="43"/>
      <c r="AE629" s="43"/>
      <c r="AF629" s="43"/>
      <c r="AG629" s="43"/>
      <c r="AH629" s="43"/>
      <c r="AI629" s="43"/>
      <c r="AJ629" s="43"/>
    </row>
    <row r="630" spans="1:36" ht="15.95" customHeight="1" x14ac:dyDescent="0.2">
      <c r="A630" s="43"/>
      <c r="B630" s="45">
        <v>105</v>
      </c>
      <c r="C630" s="46">
        <f>IF($A$1='Data Entry'!$C631,'Data Entry'!D631,"")</f>
        <v>0</v>
      </c>
      <c r="D630" s="46">
        <f>IF($A$1='Data Entry'!$C631,'Data Entry'!E631,"")</f>
        <v>0</v>
      </c>
      <c r="E630" s="46">
        <f>IF($A$1='Data Entry'!$C631,'Data Entry'!F631,"")</f>
        <v>0</v>
      </c>
      <c r="F630" s="46">
        <f>IF($A$1='Data Entry'!$C631,'Data Entry'!G631,"")</f>
        <v>0</v>
      </c>
      <c r="G630" s="46">
        <f>IF($A$1='Data Entry'!$C631,'Data Entry'!H631,"")</f>
        <v>0</v>
      </c>
      <c r="H630" s="46">
        <f>IF($A$1='Data Entry'!$C631,'Data Entry'!I631,"")</f>
        <v>0</v>
      </c>
      <c r="I630" s="46">
        <f>IF($A$1='Data Entry'!$C631,'Data Entry'!J631,"")</f>
        <v>0</v>
      </c>
      <c r="J630" s="46">
        <f>IF($A$1='Data Entry'!$C631,'Data Entry'!K631,"")</f>
        <v>0</v>
      </c>
      <c r="K630" s="46">
        <f>IF($A$1='Data Entry'!$C631,'Data Entry'!L631,"")</f>
        <v>0</v>
      </c>
      <c r="L630" s="46">
        <f>IF($A$1='Data Entry'!$C631,'Data Entry'!M631,"")</f>
        <v>0</v>
      </c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  <c r="AA630" s="43"/>
      <c r="AB630" s="43"/>
      <c r="AC630" s="43"/>
      <c r="AD630" s="43"/>
      <c r="AE630" s="43"/>
      <c r="AF630" s="43"/>
      <c r="AG630" s="43"/>
      <c r="AH630" s="43"/>
      <c r="AI630" s="43"/>
      <c r="AJ630" s="43"/>
    </row>
    <row r="631" spans="1:36" ht="15.95" customHeight="1" x14ac:dyDescent="0.2">
      <c r="A631" s="43"/>
      <c r="B631" s="45">
        <v>105</v>
      </c>
      <c r="C631" s="46">
        <f>IF($A$1='Data Entry'!$C632,'Data Entry'!D632,"")</f>
        <v>0</v>
      </c>
      <c r="D631" s="46">
        <f>IF($A$1='Data Entry'!$C632,'Data Entry'!E632,"")</f>
        <v>0</v>
      </c>
      <c r="E631" s="46">
        <f>IF($A$1='Data Entry'!$C632,'Data Entry'!F632,"")</f>
        <v>0</v>
      </c>
      <c r="F631" s="46">
        <f>IF($A$1='Data Entry'!$C632,'Data Entry'!G632,"")</f>
        <v>0</v>
      </c>
      <c r="G631" s="46">
        <f>IF($A$1='Data Entry'!$C632,'Data Entry'!H632,"")</f>
        <v>0</v>
      </c>
      <c r="H631" s="46">
        <f>IF($A$1='Data Entry'!$C632,'Data Entry'!I632,"")</f>
        <v>0</v>
      </c>
      <c r="I631" s="46">
        <f>IF($A$1='Data Entry'!$C632,'Data Entry'!J632,"")</f>
        <v>0</v>
      </c>
      <c r="J631" s="46">
        <f>IF($A$1='Data Entry'!$C632,'Data Entry'!K632,"")</f>
        <v>0</v>
      </c>
      <c r="K631" s="46">
        <f>IF($A$1='Data Entry'!$C632,'Data Entry'!L632,"")</f>
        <v>0</v>
      </c>
      <c r="L631" s="46">
        <f>IF($A$1='Data Entry'!$C632,'Data Entry'!M632,"")</f>
        <v>0</v>
      </c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  <c r="AA631" s="43"/>
      <c r="AB631" s="43"/>
      <c r="AC631" s="43"/>
      <c r="AD631" s="43"/>
      <c r="AE631" s="43"/>
      <c r="AF631" s="43"/>
      <c r="AG631" s="43"/>
      <c r="AH631" s="43"/>
      <c r="AI631" s="43"/>
      <c r="AJ631" s="43"/>
    </row>
    <row r="632" spans="1:36" ht="15.95" customHeight="1" x14ac:dyDescent="0.2">
      <c r="A632" s="43"/>
      <c r="B632" s="45">
        <v>105</v>
      </c>
      <c r="C632" s="46">
        <f>IF($A$1='Data Entry'!$C633,'Data Entry'!D633,"")</f>
        <v>0</v>
      </c>
      <c r="D632" s="46">
        <f>IF($A$1='Data Entry'!$C633,'Data Entry'!E633,"")</f>
        <v>0</v>
      </c>
      <c r="E632" s="46">
        <f>IF($A$1='Data Entry'!$C633,'Data Entry'!F633,"")</f>
        <v>0</v>
      </c>
      <c r="F632" s="46">
        <f>IF($A$1='Data Entry'!$C633,'Data Entry'!G633,"")</f>
        <v>0</v>
      </c>
      <c r="G632" s="46">
        <f>IF($A$1='Data Entry'!$C633,'Data Entry'!H633,"")</f>
        <v>0</v>
      </c>
      <c r="H632" s="46">
        <f>IF($A$1='Data Entry'!$C633,'Data Entry'!I633,"")</f>
        <v>0</v>
      </c>
      <c r="I632" s="46">
        <f>IF($A$1='Data Entry'!$C633,'Data Entry'!J633,"")</f>
        <v>0</v>
      </c>
      <c r="J632" s="46">
        <f>IF($A$1='Data Entry'!$C633,'Data Entry'!K633,"")</f>
        <v>0</v>
      </c>
      <c r="K632" s="46">
        <f>IF($A$1='Data Entry'!$C633,'Data Entry'!L633,"")</f>
        <v>0</v>
      </c>
      <c r="L632" s="46">
        <f>IF($A$1='Data Entry'!$C633,'Data Entry'!M633,"")</f>
        <v>0</v>
      </c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  <c r="AA632" s="43"/>
      <c r="AB632" s="43"/>
      <c r="AC632" s="43"/>
      <c r="AD632" s="43"/>
      <c r="AE632" s="43"/>
      <c r="AF632" s="43"/>
      <c r="AG632" s="43"/>
      <c r="AH632" s="43"/>
      <c r="AI632" s="43"/>
      <c r="AJ632" s="43"/>
    </row>
    <row r="633" spans="1:36" ht="15.95" customHeight="1" x14ac:dyDescent="0.2">
      <c r="A633" s="43"/>
      <c r="B633" s="45">
        <v>106</v>
      </c>
      <c r="C633" s="46">
        <f>IF($A$1='Data Entry'!$C634,'Data Entry'!D634,"")</f>
        <v>0</v>
      </c>
      <c r="D633" s="46">
        <f>IF($A$1='Data Entry'!$C634,'Data Entry'!E634,"")</f>
        <v>0</v>
      </c>
      <c r="E633" s="46">
        <f>IF($A$1='Data Entry'!$C634,'Data Entry'!F634,"")</f>
        <v>0</v>
      </c>
      <c r="F633" s="46">
        <f>IF($A$1='Data Entry'!$C634,'Data Entry'!G634,"")</f>
        <v>0</v>
      </c>
      <c r="G633" s="46">
        <f>IF($A$1='Data Entry'!$C634,'Data Entry'!H634,"")</f>
        <v>0</v>
      </c>
      <c r="H633" s="46">
        <f>IF($A$1='Data Entry'!$C634,'Data Entry'!I634,"")</f>
        <v>0</v>
      </c>
      <c r="I633" s="46">
        <f>IF($A$1='Data Entry'!$C634,'Data Entry'!J634,"")</f>
        <v>0</v>
      </c>
      <c r="J633" s="46">
        <f>IF($A$1='Data Entry'!$C634,'Data Entry'!K634,"")</f>
        <v>0</v>
      </c>
      <c r="K633" s="46">
        <f>IF($A$1='Data Entry'!$C634,'Data Entry'!L634,"")</f>
        <v>0</v>
      </c>
      <c r="L633" s="46">
        <f>IF($A$1='Data Entry'!$C634,'Data Entry'!M634,"")</f>
        <v>0</v>
      </c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  <c r="AA633" s="43"/>
      <c r="AB633" s="43"/>
      <c r="AC633" s="43"/>
      <c r="AD633" s="43"/>
      <c r="AE633" s="43"/>
      <c r="AF633" s="43"/>
      <c r="AG633" s="43"/>
      <c r="AH633" s="43"/>
      <c r="AI633" s="43"/>
      <c r="AJ633" s="43"/>
    </row>
    <row r="634" spans="1:36" ht="15.95" customHeight="1" x14ac:dyDescent="0.2">
      <c r="A634" s="43"/>
      <c r="B634" s="45">
        <v>106</v>
      </c>
      <c r="C634" s="46">
        <f>IF($A$1='Data Entry'!$C635,'Data Entry'!D635,"")</f>
        <v>0</v>
      </c>
      <c r="D634" s="46">
        <f>IF($A$1='Data Entry'!$C635,'Data Entry'!E635,"")</f>
        <v>0</v>
      </c>
      <c r="E634" s="46">
        <f>IF($A$1='Data Entry'!$C635,'Data Entry'!F635,"")</f>
        <v>0</v>
      </c>
      <c r="F634" s="46">
        <f>IF($A$1='Data Entry'!$C635,'Data Entry'!G635,"")</f>
        <v>0</v>
      </c>
      <c r="G634" s="46">
        <f>IF($A$1='Data Entry'!$C635,'Data Entry'!H635,"")</f>
        <v>0</v>
      </c>
      <c r="H634" s="46">
        <f>IF($A$1='Data Entry'!$C635,'Data Entry'!I635,"")</f>
        <v>0</v>
      </c>
      <c r="I634" s="46">
        <f>IF($A$1='Data Entry'!$C635,'Data Entry'!J635,"")</f>
        <v>0</v>
      </c>
      <c r="J634" s="46">
        <f>IF($A$1='Data Entry'!$C635,'Data Entry'!K635,"")</f>
        <v>0</v>
      </c>
      <c r="K634" s="46">
        <f>IF($A$1='Data Entry'!$C635,'Data Entry'!L635,"")</f>
        <v>0</v>
      </c>
      <c r="L634" s="46">
        <f>IF($A$1='Data Entry'!$C635,'Data Entry'!M635,"")</f>
        <v>0</v>
      </c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  <c r="AA634" s="43"/>
      <c r="AB634" s="43"/>
      <c r="AC634" s="43"/>
      <c r="AD634" s="43"/>
      <c r="AE634" s="43"/>
      <c r="AF634" s="43"/>
      <c r="AG634" s="43"/>
      <c r="AH634" s="43"/>
      <c r="AI634" s="43"/>
      <c r="AJ634" s="43"/>
    </row>
    <row r="635" spans="1:36" ht="15.95" customHeight="1" x14ac:dyDescent="0.2">
      <c r="A635" s="43"/>
      <c r="B635" s="45">
        <v>106</v>
      </c>
      <c r="C635" s="46">
        <f>IF($A$1='Data Entry'!$C636,'Data Entry'!D636,"")</f>
        <v>0</v>
      </c>
      <c r="D635" s="46">
        <f>IF($A$1='Data Entry'!$C636,'Data Entry'!E636,"")</f>
        <v>0</v>
      </c>
      <c r="E635" s="46">
        <f>IF($A$1='Data Entry'!$C636,'Data Entry'!F636,"")</f>
        <v>0</v>
      </c>
      <c r="F635" s="46">
        <f>IF($A$1='Data Entry'!$C636,'Data Entry'!G636,"")</f>
        <v>0</v>
      </c>
      <c r="G635" s="46">
        <f>IF($A$1='Data Entry'!$C636,'Data Entry'!H636,"")</f>
        <v>0</v>
      </c>
      <c r="H635" s="46">
        <f>IF($A$1='Data Entry'!$C636,'Data Entry'!I636,"")</f>
        <v>0</v>
      </c>
      <c r="I635" s="46">
        <f>IF($A$1='Data Entry'!$C636,'Data Entry'!J636,"")</f>
        <v>0</v>
      </c>
      <c r="J635" s="46">
        <f>IF($A$1='Data Entry'!$C636,'Data Entry'!K636,"")</f>
        <v>0</v>
      </c>
      <c r="K635" s="46">
        <f>IF($A$1='Data Entry'!$C636,'Data Entry'!L636,"")</f>
        <v>0</v>
      </c>
      <c r="L635" s="46">
        <f>IF($A$1='Data Entry'!$C636,'Data Entry'!M636,"")</f>
        <v>0</v>
      </c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  <c r="AA635" s="43"/>
      <c r="AB635" s="43"/>
      <c r="AC635" s="43"/>
      <c r="AD635" s="43"/>
      <c r="AE635" s="43"/>
      <c r="AF635" s="43"/>
      <c r="AG635" s="43"/>
      <c r="AH635" s="43"/>
      <c r="AI635" s="43"/>
      <c r="AJ635" s="43"/>
    </row>
    <row r="636" spans="1:36" ht="15.95" customHeight="1" x14ac:dyDescent="0.2">
      <c r="A636" s="43"/>
      <c r="B636" s="45">
        <v>106</v>
      </c>
      <c r="C636" s="46">
        <f>IF($A$1='Data Entry'!$C637,'Data Entry'!D637,"")</f>
        <v>0</v>
      </c>
      <c r="D636" s="46">
        <f>IF($A$1='Data Entry'!$C637,'Data Entry'!E637,"")</f>
        <v>0</v>
      </c>
      <c r="E636" s="46">
        <f>IF($A$1='Data Entry'!$C637,'Data Entry'!F637,"")</f>
        <v>0</v>
      </c>
      <c r="F636" s="46">
        <f>IF($A$1='Data Entry'!$C637,'Data Entry'!G637,"")</f>
        <v>0</v>
      </c>
      <c r="G636" s="46">
        <f>IF($A$1='Data Entry'!$C637,'Data Entry'!H637,"")</f>
        <v>0</v>
      </c>
      <c r="H636" s="46">
        <f>IF($A$1='Data Entry'!$C637,'Data Entry'!I637,"")</f>
        <v>0</v>
      </c>
      <c r="I636" s="46">
        <f>IF($A$1='Data Entry'!$C637,'Data Entry'!J637,"")</f>
        <v>0</v>
      </c>
      <c r="J636" s="46">
        <f>IF($A$1='Data Entry'!$C637,'Data Entry'!K637,"")</f>
        <v>0</v>
      </c>
      <c r="K636" s="46">
        <f>IF($A$1='Data Entry'!$C637,'Data Entry'!L637,"")</f>
        <v>0</v>
      </c>
      <c r="L636" s="46">
        <f>IF($A$1='Data Entry'!$C637,'Data Entry'!M637,"")</f>
        <v>0</v>
      </c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  <c r="AA636" s="43"/>
      <c r="AB636" s="43"/>
      <c r="AC636" s="43"/>
      <c r="AD636" s="43"/>
      <c r="AE636" s="43"/>
      <c r="AF636" s="43"/>
      <c r="AG636" s="43"/>
      <c r="AH636" s="43"/>
      <c r="AI636" s="43"/>
      <c r="AJ636" s="43"/>
    </row>
    <row r="637" spans="1:36" ht="15.95" customHeight="1" x14ac:dyDescent="0.2">
      <c r="A637" s="43"/>
      <c r="B637" s="45">
        <v>106</v>
      </c>
      <c r="C637" s="46">
        <f>IF($A$1='Data Entry'!$C638,'Data Entry'!D638,"")</f>
        <v>0</v>
      </c>
      <c r="D637" s="46">
        <f>IF($A$1='Data Entry'!$C638,'Data Entry'!E638,"")</f>
        <v>0</v>
      </c>
      <c r="E637" s="46">
        <f>IF($A$1='Data Entry'!$C638,'Data Entry'!F638,"")</f>
        <v>0</v>
      </c>
      <c r="F637" s="46">
        <f>IF($A$1='Data Entry'!$C638,'Data Entry'!G638,"")</f>
        <v>0</v>
      </c>
      <c r="G637" s="46">
        <f>IF($A$1='Data Entry'!$C638,'Data Entry'!H638,"")</f>
        <v>0</v>
      </c>
      <c r="H637" s="46">
        <f>IF($A$1='Data Entry'!$C638,'Data Entry'!I638,"")</f>
        <v>0</v>
      </c>
      <c r="I637" s="46">
        <f>IF($A$1='Data Entry'!$C638,'Data Entry'!J638,"")</f>
        <v>0</v>
      </c>
      <c r="J637" s="46">
        <f>IF($A$1='Data Entry'!$C638,'Data Entry'!K638,"")</f>
        <v>0</v>
      </c>
      <c r="K637" s="46">
        <f>IF($A$1='Data Entry'!$C638,'Data Entry'!L638,"")</f>
        <v>0</v>
      </c>
      <c r="L637" s="46">
        <f>IF($A$1='Data Entry'!$C638,'Data Entry'!M638,"")</f>
        <v>0</v>
      </c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  <c r="AA637" s="43"/>
      <c r="AB637" s="43"/>
      <c r="AC637" s="43"/>
      <c r="AD637" s="43"/>
      <c r="AE637" s="43"/>
      <c r="AF637" s="43"/>
      <c r="AG637" s="43"/>
      <c r="AH637" s="43"/>
      <c r="AI637" s="43"/>
      <c r="AJ637" s="43"/>
    </row>
    <row r="638" spans="1:36" ht="15.95" customHeight="1" x14ac:dyDescent="0.2">
      <c r="A638" s="43"/>
      <c r="B638" s="45">
        <v>106</v>
      </c>
      <c r="C638" s="46">
        <f>IF($A$1='Data Entry'!$C639,'Data Entry'!D639,"")</f>
        <v>0</v>
      </c>
      <c r="D638" s="46">
        <f>IF($A$1='Data Entry'!$C639,'Data Entry'!E639,"")</f>
        <v>0</v>
      </c>
      <c r="E638" s="46">
        <f>IF($A$1='Data Entry'!$C639,'Data Entry'!F639,"")</f>
        <v>0</v>
      </c>
      <c r="F638" s="46">
        <f>IF($A$1='Data Entry'!$C639,'Data Entry'!G639,"")</f>
        <v>0</v>
      </c>
      <c r="G638" s="46">
        <f>IF($A$1='Data Entry'!$C639,'Data Entry'!H639,"")</f>
        <v>0</v>
      </c>
      <c r="H638" s="46">
        <f>IF($A$1='Data Entry'!$C639,'Data Entry'!I639,"")</f>
        <v>0</v>
      </c>
      <c r="I638" s="46">
        <f>IF($A$1='Data Entry'!$C639,'Data Entry'!J639,"")</f>
        <v>0</v>
      </c>
      <c r="J638" s="46">
        <f>IF($A$1='Data Entry'!$C639,'Data Entry'!K639,"")</f>
        <v>0</v>
      </c>
      <c r="K638" s="46">
        <f>IF($A$1='Data Entry'!$C639,'Data Entry'!L639,"")</f>
        <v>0</v>
      </c>
      <c r="L638" s="46">
        <f>IF($A$1='Data Entry'!$C639,'Data Entry'!M639,"")</f>
        <v>0</v>
      </c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  <c r="AA638" s="43"/>
      <c r="AB638" s="43"/>
      <c r="AC638" s="43"/>
      <c r="AD638" s="43"/>
      <c r="AE638" s="43"/>
      <c r="AF638" s="43"/>
      <c r="AG638" s="43"/>
      <c r="AH638" s="43"/>
      <c r="AI638" s="43"/>
      <c r="AJ638" s="43"/>
    </row>
    <row r="639" spans="1:36" ht="15.95" customHeight="1" x14ac:dyDescent="0.2">
      <c r="A639" s="43"/>
      <c r="B639" s="45">
        <v>107</v>
      </c>
      <c r="C639" s="46">
        <f>IF($A$1='Data Entry'!$C640,'Data Entry'!D640,"")</f>
        <v>0</v>
      </c>
      <c r="D639" s="46">
        <f>IF($A$1='Data Entry'!$C640,'Data Entry'!E640,"")</f>
        <v>0</v>
      </c>
      <c r="E639" s="46">
        <f>IF($A$1='Data Entry'!$C640,'Data Entry'!F640,"")</f>
        <v>0</v>
      </c>
      <c r="F639" s="46">
        <f>IF($A$1='Data Entry'!$C640,'Data Entry'!G640,"")</f>
        <v>0</v>
      </c>
      <c r="G639" s="46">
        <f>IF($A$1='Data Entry'!$C640,'Data Entry'!H640,"")</f>
        <v>0</v>
      </c>
      <c r="H639" s="46">
        <f>IF($A$1='Data Entry'!$C640,'Data Entry'!I640,"")</f>
        <v>0</v>
      </c>
      <c r="I639" s="46">
        <f>IF($A$1='Data Entry'!$C640,'Data Entry'!J640,"")</f>
        <v>0</v>
      </c>
      <c r="J639" s="46">
        <f>IF($A$1='Data Entry'!$C640,'Data Entry'!K640,"")</f>
        <v>0</v>
      </c>
      <c r="K639" s="46">
        <f>IF($A$1='Data Entry'!$C640,'Data Entry'!L640,"")</f>
        <v>0</v>
      </c>
      <c r="L639" s="46">
        <f>IF($A$1='Data Entry'!$C640,'Data Entry'!M640,"")</f>
        <v>0</v>
      </c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  <c r="AA639" s="43"/>
      <c r="AB639" s="43"/>
      <c r="AC639" s="43"/>
      <c r="AD639" s="43"/>
      <c r="AE639" s="43"/>
      <c r="AF639" s="43"/>
      <c r="AG639" s="43"/>
      <c r="AH639" s="43"/>
      <c r="AI639" s="43"/>
      <c r="AJ639" s="43"/>
    </row>
    <row r="640" spans="1:36" ht="15.95" customHeight="1" x14ac:dyDescent="0.2">
      <c r="A640" s="43"/>
      <c r="B640" s="45">
        <v>107</v>
      </c>
      <c r="C640" s="46">
        <f>IF($A$1='Data Entry'!$C641,'Data Entry'!D641,"")</f>
        <v>0</v>
      </c>
      <c r="D640" s="46">
        <f>IF($A$1='Data Entry'!$C641,'Data Entry'!E641,"")</f>
        <v>0</v>
      </c>
      <c r="E640" s="46">
        <f>IF($A$1='Data Entry'!$C641,'Data Entry'!F641,"")</f>
        <v>0</v>
      </c>
      <c r="F640" s="46">
        <f>IF($A$1='Data Entry'!$C641,'Data Entry'!G641,"")</f>
        <v>0</v>
      </c>
      <c r="G640" s="46">
        <f>IF($A$1='Data Entry'!$C641,'Data Entry'!H641,"")</f>
        <v>0</v>
      </c>
      <c r="H640" s="46">
        <f>IF($A$1='Data Entry'!$C641,'Data Entry'!I641,"")</f>
        <v>0</v>
      </c>
      <c r="I640" s="46">
        <f>IF($A$1='Data Entry'!$C641,'Data Entry'!J641,"")</f>
        <v>0</v>
      </c>
      <c r="J640" s="46">
        <f>IF($A$1='Data Entry'!$C641,'Data Entry'!K641,"")</f>
        <v>0</v>
      </c>
      <c r="K640" s="46">
        <f>IF($A$1='Data Entry'!$C641,'Data Entry'!L641,"")</f>
        <v>0</v>
      </c>
      <c r="L640" s="46">
        <f>IF($A$1='Data Entry'!$C641,'Data Entry'!M641,"")</f>
        <v>0</v>
      </c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  <c r="AA640" s="43"/>
      <c r="AB640" s="43"/>
      <c r="AC640" s="43"/>
      <c r="AD640" s="43"/>
      <c r="AE640" s="43"/>
      <c r="AF640" s="43"/>
      <c r="AG640" s="43"/>
      <c r="AH640" s="43"/>
      <c r="AI640" s="43"/>
      <c r="AJ640" s="43"/>
    </row>
    <row r="641" spans="1:36" ht="15.95" customHeight="1" x14ac:dyDescent="0.2">
      <c r="A641" s="43"/>
      <c r="B641" s="45">
        <v>107</v>
      </c>
      <c r="C641" s="46">
        <f>IF($A$1='Data Entry'!$C642,'Data Entry'!D642,"")</f>
        <v>0</v>
      </c>
      <c r="D641" s="46">
        <f>IF($A$1='Data Entry'!$C642,'Data Entry'!E642,"")</f>
        <v>0</v>
      </c>
      <c r="E641" s="46">
        <f>IF($A$1='Data Entry'!$C642,'Data Entry'!F642,"")</f>
        <v>0</v>
      </c>
      <c r="F641" s="46">
        <f>IF($A$1='Data Entry'!$C642,'Data Entry'!G642,"")</f>
        <v>0</v>
      </c>
      <c r="G641" s="46">
        <f>IF($A$1='Data Entry'!$C642,'Data Entry'!H642,"")</f>
        <v>0</v>
      </c>
      <c r="H641" s="46">
        <f>IF($A$1='Data Entry'!$C642,'Data Entry'!I642,"")</f>
        <v>0</v>
      </c>
      <c r="I641" s="46">
        <f>IF($A$1='Data Entry'!$C642,'Data Entry'!J642,"")</f>
        <v>0</v>
      </c>
      <c r="J641" s="46">
        <f>IF($A$1='Data Entry'!$C642,'Data Entry'!K642,"")</f>
        <v>0</v>
      </c>
      <c r="K641" s="46">
        <f>IF($A$1='Data Entry'!$C642,'Data Entry'!L642,"")</f>
        <v>0</v>
      </c>
      <c r="L641" s="46">
        <f>IF($A$1='Data Entry'!$C642,'Data Entry'!M642,"")</f>
        <v>0</v>
      </c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  <c r="AA641" s="43"/>
      <c r="AB641" s="43"/>
      <c r="AC641" s="43"/>
      <c r="AD641" s="43"/>
      <c r="AE641" s="43"/>
      <c r="AF641" s="43"/>
      <c r="AG641" s="43"/>
      <c r="AH641" s="43"/>
      <c r="AI641" s="43"/>
      <c r="AJ641" s="43"/>
    </row>
    <row r="642" spans="1:36" ht="15.95" customHeight="1" x14ac:dyDescent="0.2">
      <c r="A642" s="43"/>
      <c r="B642" s="45">
        <v>107</v>
      </c>
      <c r="C642" s="46">
        <f>IF($A$1='Data Entry'!$C643,'Data Entry'!D643,"")</f>
        <v>0</v>
      </c>
      <c r="D642" s="46">
        <f>IF($A$1='Data Entry'!$C643,'Data Entry'!E643,"")</f>
        <v>0</v>
      </c>
      <c r="E642" s="46">
        <f>IF($A$1='Data Entry'!$C643,'Data Entry'!F643,"")</f>
        <v>0</v>
      </c>
      <c r="F642" s="46">
        <f>IF($A$1='Data Entry'!$C643,'Data Entry'!G643,"")</f>
        <v>0</v>
      </c>
      <c r="G642" s="46">
        <f>IF($A$1='Data Entry'!$C643,'Data Entry'!H643,"")</f>
        <v>0</v>
      </c>
      <c r="H642" s="46">
        <f>IF($A$1='Data Entry'!$C643,'Data Entry'!I643,"")</f>
        <v>0</v>
      </c>
      <c r="I642" s="46">
        <f>IF($A$1='Data Entry'!$C643,'Data Entry'!J643,"")</f>
        <v>0</v>
      </c>
      <c r="J642" s="46">
        <f>IF($A$1='Data Entry'!$C643,'Data Entry'!K643,"")</f>
        <v>0</v>
      </c>
      <c r="K642" s="46">
        <f>IF($A$1='Data Entry'!$C643,'Data Entry'!L643,"")</f>
        <v>0</v>
      </c>
      <c r="L642" s="46">
        <f>IF($A$1='Data Entry'!$C643,'Data Entry'!M643,"")</f>
        <v>0</v>
      </c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  <c r="AA642" s="43"/>
      <c r="AB642" s="43"/>
      <c r="AC642" s="43"/>
      <c r="AD642" s="43"/>
      <c r="AE642" s="43"/>
      <c r="AF642" s="43"/>
      <c r="AG642" s="43"/>
      <c r="AH642" s="43"/>
      <c r="AI642" s="43"/>
      <c r="AJ642" s="43"/>
    </row>
    <row r="643" spans="1:36" ht="15.95" customHeight="1" x14ac:dyDescent="0.2">
      <c r="A643" s="43"/>
      <c r="B643" s="45">
        <v>107</v>
      </c>
      <c r="C643" s="46">
        <f>IF($A$1='Data Entry'!$C644,'Data Entry'!D644,"")</f>
        <v>0</v>
      </c>
      <c r="D643" s="46">
        <f>IF($A$1='Data Entry'!$C644,'Data Entry'!E644,"")</f>
        <v>0</v>
      </c>
      <c r="E643" s="46">
        <f>IF($A$1='Data Entry'!$C644,'Data Entry'!F644,"")</f>
        <v>0</v>
      </c>
      <c r="F643" s="46">
        <f>IF($A$1='Data Entry'!$C644,'Data Entry'!G644,"")</f>
        <v>0</v>
      </c>
      <c r="G643" s="46">
        <f>IF($A$1='Data Entry'!$C644,'Data Entry'!H644,"")</f>
        <v>0</v>
      </c>
      <c r="H643" s="46">
        <f>IF($A$1='Data Entry'!$C644,'Data Entry'!I644,"")</f>
        <v>0</v>
      </c>
      <c r="I643" s="46">
        <f>IF($A$1='Data Entry'!$C644,'Data Entry'!J644,"")</f>
        <v>0</v>
      </c>
      <c r="J643" s="46">
        <f>IF($A$1='Data Entry'!$C644,'Data Entry'!K644,"")</f>
        <v>0</v>
      </c>
      <c r="K643" s="46">
        <f>IF($A$1='Data Entry'!$C644,'Data Entry'!L644,"")</f>
        <v>0</v>
      </c>
      <c r="L643" s="46">
        <f>IF($A$1='Data Entry'!$C644,'Data Entry'!M644,"")</f>
        <v>0</v>
      </c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  <c r="AA643" s="43"/>
      <c r="AB643" s="43"/>
      <c r="AC643" s="43"/>
      <c r="AD643" s="43"/>
      <c r="AE643" s="43"/>
      <c r="AF643" s="43"/>
      <c r="AG643" s="43"/>
      <c r="AH643" s="43"/>
      <c r="AI643" s="43"/>
      <c r="AJ643" s="43"/>
    </row>
    <row r="644" spans="1:36" ht="15.95" customHeight="1" x14ac:dyDescent="0.2">
      <c r="A644" s="43"/>
      <c r="B644" s="45">
        <v>107</v>
      </c>
      <c r="C644" s="46">
        <f>IF($A$1='Data Entry'!$C645,'Data Entry'!D645,"")</f>
        <v>0</v>
      </c>
      <c r="D644" s="46">
        <f>IF($A$1='Data Entry'!$C645,'Data Entry'!E645,"")</f>
        <v>0</v>
      </c>
      <c r="E644" s="46">
        <f>IF($A$1='Data Entry'!$C645,'Data Entry'!F645,"")</f>
        <v>0</v>
      </c>
      <c r="F644" s="46">
        <f>IF($A$1='Data Entry'!$C645,'Data Entry'!G645,"")</f>
        <v>0</v>
      </c>
      <c r="G644" s="46">
        <f>IF($A$1='Data Entry'!$C645,'Data Entry'!H645,"")</f>
        <v>0</v>
      </c>
      <c r="H644" s="46">
        <f>IF($A$1='Data Entry'!$C645,'Data Entry'!I645,"")</f>
        <v>0</v>
      </c>
      <c r="I644" s="46">
        <f>IF($A$1='Data Entry'!$C645,'Data Entry'!J645,"")</f>
        <v>0</v>
      </c>
      <c r="J644" s="46">
        <f>IF($A$1='Data Entry'!$C645,'Data Entry'!K645,"")</f>
        <v>0</v>
      </c>
      <c r="K644" s="46">
        <f>IF($A$1='Data Entry'!$C645,'Data Entry'!L645,"")</f>
        <v>0</v>
      </c>
      <c r="L644" s="46">
        <f>IF($A$1='Data Entry'!$C645,'Data Entry'!M645,"")</f>
        <v>0</v>
      </c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  <c r="AA644" s="43"/>
      <c r="AB644" s="43"/>
      <c r="AC644" s="43"/>
      <c r="AD644" s="43"/>
      <c r="AE644" s="43"/>
      <c r="AF644" s="43"/>
      <c r="AG644" s="43"/>
      <c r="AH644" s="43"/>
      <c r="AI644" s="43"/>
      <c r="AJ644" s="43"/>
    </row>
    <row r="645" spans="1:36" ht="15.95" customHeight="1" x14ac:dyDescent="0.2">
      <c r="A645" s="43"/>
      <c r="B645" s="45">
        <v>108</v>
      </c>
      <c r="C645" s="46">
        <f>IF($A$1='Data Entry'!$C646,'Data Entry'!D646,"")</f>
        <v>0</v>
      </c>
      <c r="D645" s="46">
        <f>IF($A$1='Data Entry'!$C646,'Data Entry'!E646,"")</f>
        <v>0</v>
      </c>
      <c r="E645" s="46">
        <f>IF($A$1='Data Entry'!$C646,'Data Entry'!F646,"")</f>
        <v>0</v>
      </c>
      <c r="F645" s="46">
        <f>IF($A$1='Data Entry'!$C646,'Data Entry'!G646,"")</f>
        <v>0</v>
      </c>
      <c r="G645" s="46">
        <f>IF($A$1='Data Entry'!$C646,'Data Entry'!H646,"")</f>
        <v>0</v>
      </c>
      <c r="H645" s="46">
        <f>IF($A$1='Data Entry'!$C646,'Data Entry'!I646,"")</f>
        <v>0</v>
      </c>
      <c r="I645" s="46">
        <f>IF($A$1='Data Entry'!$C646,'Data Entry'!J646,"")</f>
        <v>0</v>
      </c>
      <c r="J645" s="46">
        <f>IF($A$1='Data Entry'!$C646,'Data Entry'!K646,"")</f>
        <v>0</v>
      </c>
      <c r="K645" s="46">
        <f>IF($A$1='Data Entry'!$C646,'Data Entry'!L646,"")</f>
        <v>0</v>
      </c>
      <c r="L645" s="46">
        <f>IF($A$1='Data Entry'!$C646,'Data Entry'!M646,"")</f>
        <v>0</v>
      </c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  <c r="AA645" s="43"/>
      <c r="AB645" s="43"/>
      <c r="AC645" s="43"/>
      <c r="AD645" s="43"/>
      <c r="AE645" s="43"/>
      <c r="AF645" s="43"/>
      <c r="AG645" s="43"/>
      <c r="AH645" s="43"/>
      <c r="AI645" s="43"/>
      <c r="AJ645" s="43"/>
    </row>
    <row r="646" spans="1:36" ht="15.95" customHeight="1" x14ac:dyDescent="0.2">
      <c r="A646" s="43"/>
      <c r="B646" s="45">
        <v>108</v>
      </c>
      <c r="C646" s="46">
        <f>IF($A$1='Data Entry'!$C647,'Data Entry'!D647,"")</f>
        <v>0</v>
      </c>
      <c r="D646" s="46">
        <f>IF($A$1='Data Entry'!$C647,'Data Entry'!E647,"")</f>
        <v>0</v>
      </c>
      <c r="E646" s="46">
        <f>IF($A$1='Data Entry'!$C647,'Data Entry'!F647,"")</f>
        <v>0</v>
      </c>
      <c r="F646" s="46">
        <f>IF($A$1='Data Entry'!$C647,'Data Entry'!G647,"")</f>
        <v>0</v>
      </c>
      <c r="G646" s="46">
        <f>IF($A$1='Data Entry'!$C647,'Data Entry'!H647,"")</f>
        <v>0</v>
      </c>
      <c r="H646" s="46">
        <f>IF($A$1='Data Entry'!$C647,'Data Entry'!I647,"")</f>
        <v>0</v>
      </c>
      <c r="I646" s="46">
        <f>IF($A$1='Data Entry'!$C647,'Data Entry'!J647,"")</f>
        <v>0</v>
      </c>
      <c r="J646" s="46">
        <f>IF($A$1='Data Entry'!$C647,'Data Entry'!K647,"")</f>
        <v>0</v>
      </c>
      <c r="K646" s="46">
        <f>IF($A$1='Data Entry'!$C647,'Data Entry'!L647,"")</f>
        <v>0</v>
      </c>
      <c r="L646" s="46">
        <f>IF($A$1='Data Entry'!$C647,'Data Entry'!M647,"")</f>
        <v>0</v>
      </c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  <c r="AA646" s="43"/>
      <c r="AB646" s="43"/>
      <c r="AC646" s="43"/>
      <c r="AD646" s="43"/>
      <c r="AE646" s="43"/>
      <c r="AF646" s="43"/>
      <c r="AG646" s="43"/>
      <c r="AH646" s="43"/>
      <c r="AI646" s="43"/>
      <c r="AJ646" s="43"/>
    </row>
    <row r="647" spans="1:36" ht="15.95" customHeight="1" x14ac:dyDescent="0.2">
      <c r="A647" s="43"/>
      <c r="B647" s="45">
        <v>108</v>
      </c>
      <c r="C647" s="46">
        <f>IF($A$1='Data Entry'!$C648,'Data Entry'!D648,"")</f>
        <v>0</v>
      </c>
      <c r="D647" s="46">
        <f>IF($A$1='Data Entry'!$C648,'Data Entry'!E648,"")</f>
        <v>0</v>
      </c>
      <c r="E647" s="46">
        <f>IF($A$1='Data Entry'!$C648,'Data Entry'!F648,"")</f>
        <v>0</v>
      </c>
      <c r="F647" s="46">
        <f>IF($A$1='Data Entry'!$C648,'Data Entry'!G648,"")</f>
        <v>0</v>
      </c>
      <c r="G647" s="46">
        <f>IF($A$1='Data Entry'!$C648,'Data Entry'!H648,"")</f>
        <v>0</v>
      </c>
      <c r="H647" s="46">
        <f>IF($A$1='Data Entry'!$C648,'Data Entry'!I648,"")</f>
        <v>0</v>
      </c>
      <c r="I647" s="46">
        <f>IF($A$1='Data Entry'!$C648,'Data Entry'!J648,"")</f>
        <v>0</v>
      </c>
      <c r="J647" s="46">
        <f>IF($A$1='Data Entry'!$C648,'Data Entry'!K648,"")</f>
        <v>0</v>
      </c>
      <c r="K647" s="46">
        <f>IF($A$1='Data Entry'!$C648,'Data Entry'!L648,"")</f>
        <v>0</v>
      </c>
      <c r="L647" s="46">
        <f>IF($A$1='Data Entry'!$C648,'Data Entry'!M648,"")</f>
        <v>0</v>
      </c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  <c r="AA647" s="43"/>
      <c r="AB647" s="43"/>
      <c r="AC647" s="43"/>
      <c r="AD647" s="43"/>
      <c r="AE647" s="43"/>
      <c r="AF647" s="43"/>
      <c r="AG647" s="43"/>
      <c r="AH647" s="43"/>
      <c r="AI647" s="43"/>
      <c r="AJ647" s="43"/>
    </row>
    <row r="648" spans="1:36" ht="15.95" customHeight="1" x14ac:dyDescent="0.2">
      <c r="A648" s="43"/>
      <c r="B648" s="45">
        <v>108</v>
      </c>
      <c r="C648" s="46">
        <f>IF($A$1='Data Entry'!$C649,'Data Entry'!D649,"")</f>
        <v>0</v>
      </c>
      <c r="D648" s="46">
        <f>IF($A$1='Data Entry'!$C649,'Data Entry'!E649,"")</f>
        <v>0</v>
      </c>
      <c r="E648" s="46">
        <f>IF($A$1='Data Entry'!$C649,'Data Entry'!F649,"")</f>
        <v>0</v>
      </c>
      <c r="F648" s="46">
        <f>IF($A$1='Data Entry'!$C649,'Data Entry'!G649,"")</f>
        <v>0</v>
      </c>
      <c r="G648" s="46">
        <f>IF($A$1='Data Entry'!$C649,'Data Entry'!H649,"")</f>
        <v>0</v>
      </c>
      <c r="H648" s="46">
        <f>IF($A$1='Data Entry'!$C649,'Data Entry'!I649,"")</f>
        <v>0</v>
      </c>
      <c r="I648" s="46">
        <f>IF($A$1='Data Entry'!$C649,'Data Entry'!J649,"")</f>
        <v>0</v>
      </c>
      <c r="J648" s="46">
        <f>IF($A$1='Data Entry'!$C649,'Data Entry'!K649,"")</f>
        <v>0</v>
      </c>
      <c r="K648" s="46">
        <f>IF($A$1='Data Entry'!$C649,'Data Entry'!L649,"")</f>
        <v>0</v>
      </c>
      <c r="L648" s="46">
        <f>IF($A$1='Data Entry'!$C649,'Data Entry'!M649,"")</f>
        <v>0</v>
      </c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  <c r="AA648" s="43"/>
      <c r="AB648" s="43"/>
      <c r="AC648" s="43"/>
      <c r="AD648" s="43"/>
      <c r="AE648" s="43"/>
      <c r="AF648" s="43"/>
      <c r="AG648" s="43"/>
      <c r="AH648" s="43"/>
      <c r="AI648" s="43"/>
      <c r="AJ648" s="43"/>
    </row>
    <row r="649" spans="1:36" ht="15.95" customHeight="1" x14ac:dyDescent="0.2">
      <c r="A649" s="43"/>
      <c r="B649" s="45">
        <v>108</v>
      </c>
      <c r="C649" s="46">
        <f>IF($A$1='Data Entry'!$C650,'Data Entry'!D650,"")</f>
        <v>0</v>
      </c>
      <c r="D649" s="46">
        <f>IF($A$1='Data Entry'!$C650,'Data Entry'!E650,"")</f>
        <v>0</v>
      </c>
      <c r="E649" s="46">
        <f>IF($A$1='Data Entry'!$C650,'Data Entry'!F650,"")</f>
        <v>0</v>
      </c>
      <c r="F649" s="46">
        <f>IF($A$1='Data Entry'!$C650,'Data Entry'!G650,"")</f>
        <v>0</v>
      </c>
      <c r="G649" s="46">
        <f>IF($A$1='Data Entry'!$C650,'Data Entry'!H650,"")</f>
        <v>0</v>
      </c>
      <c r="H649" s="46">
        <f>IF($A$1='Data Entry'!$C650,'Data Entry'!I650,"")</f>
        <v>0</v>
      </c>
      <c r="I649" s="46">
        <f>IF($A$1='Data Entry'!$C650,'Data Entry'!J650,"")</f>
        <v>0</v>
      </c>
      <c r="J649" s="46">
        <f>IF($A$1='Data Entry'!$C650,'Data Entry'!K650,"")</f>
        <v>0</v>
      </c>
      <c r="K649" s="46">
        <f>IF($A$1='Data Entry'!$C650,'Data Entry'!L650,"")</f>
        <v>0</v>
      </c>
      <c r="L649" s="46">
        <f>IF($A$1='Data Entry'!$C650,'Data Entry'!M650,"")</f>
        <v>0</v>
      </c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  <c r="AA649" s="43"/>
      <c r="AB649" s="43"/>
      <c r="AC649" s="43"/>
      <c r="AD649" s="43"/>
      <c r="AE649" s="43"/>
      <c r="AF649" s="43"/>
      <c r="AG649" s="43"/>
      <c r="AH649" s="43"/>
      <c r="AI649" s="43"/>
      <c r="AJ649" s="43"/>
    </row>
    <row r="650" spans="1:36" ht="15.95" customHeight="1" x14ac:dyDescent="0.2">
      <c r="A650" s="43"/>
      <c r="B650" s="45">
        <v>108</v>
      </c>
      <c r="C650" s="46">
        <f>IF($A$1='Data Entry'!$C651,'Data Entry'!D651,"")</f>
        <v>0</v>
      </c>
      <c r="D650" s="46">
        <f>IF($A$1='Data Entry'!$C651,'Data Entry'!E651,"")</f>
        <v>0</v>
      </c>
      <c r="E650" s="46">
        <f>IF($A$1='Data Entry'!$C651,'Data Entry'!F651,"")</f>
        <v>0</v>
      </c>
      <c r="F650" s="46">
        <f>IF($A$1='Data Entry'!$C651,'Data Entry'!G651,"")</f>
        <v>0</v>
      </c>
      <c r="G650" s="46">
        <f>IF($A$1='Data Entry'!$C651,'Data Entry'!H651,"")</f>
        <v>0</v>
      </c>
      <c r="H650" s="46">
        <f>IF($A$1='Data Entry'!$C651,'Data Entry'!I651,"")</f>
        <v>0</v>
      </c>
      <c r="I650" s="46">
        <f>IF($A$1='Data Entry'!$C651,'Data Entry'!J651,"")</f>
        <v>0</v>
      </c>
      <c r="J650" s="46">
        <f>IF($A$1='Data Entry'!$C651,'Data Entry'!K651,"")</f>
        <v>0</v>
      </c>
      <c r="K650" s="46">
        <f>IF($A$1='Data Entry'!$C651,'Data Entry'!L651,"")</f>
        <v>0</v>
      </c>
      <c r="L650" s="46">
        <f>IF($A$1='Data Entry'!$C651,'Data Entry'!M651,"")</f>
        <v>0</v>
      </c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  <c r="AA650" s="43"/>
      <c r="AB650" s="43"/>
      <c r="AC650" s="43"/>
      <c r="AD650" s="43"/>
      <c r="AE650" s="43"/>
      <c r="AF650" s="43"/>
      <c r="AG650" s="43"/>
      <c r="AH650" s="43"/>
      <c r="AI650" s="43"/>
      <c r="AJ650" s="43"/>
    </row>
    <row r="651" spans="1:36" ht="15.95" customHeight="1" x14ac:dyDescent="0.2">
      <c r="A651" s="43"/>
      <c r="B651" s="45">
        <v>109</v>
      </c>
      <c r="C651" s="46">
        <f>IF($A$1='Data Entry'!$C652,'Data Entry'!D652,"")</f>
        <v>0</v>
      </c>
      <c r="D651" s="46">
        <f>IF($A$1='Data Entry'!$C652,'Data Entry'!E652,"")</f>
        <v>0</v>
      </c>
      <c r="E651" s="46">
        <f>IF($A$1='Data Entry'!$C652,'Data Entry'!F652,"")</f>
        <v>0</v>
      </c>
      <c r="F651" s="46">
        <f>IF($A$1='Data Entry'!$C652,'Data Entry'!G652,"")</f>
        <v>0</v>
      </c>
      <c r="G651" s="46">
        <f>IF($A$1='Data Entry'!$C652,'Data Entry'!H652,"")</f>
        <v>0</v>
      </c>
      <c r="H651" s="46">
        <f>IF($A$1='Data Entry'!$C652,'Data Entry'!I652,"")</f>
        <v>0</v>
      </c>
      <c r="I651" s="46">
        <f>IF($A$1='Data Entry'!$C652,'Data Entry'!J652,"")</f>
        <v>0</v>
      </c>
      <c r="J651" s="46">
        <f>IF($A$1='Data Entry'!$C652,'Data Entry'!K652,"")</f>
        <v>0</v>
      </c>
      <c r="K651" s="46">
        <f>IF($A$1='Data Entry'!$C652,'Data Entry'!L652,"")</f>
        <v>0</v>
      </c>
      <c r="L651" s="46">
        <f>IF($A$1='Data Entry'!$C652,'Data Entry'!M652,"")</f>
        <v>0</v>
      </c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  <c r="AA651" s="43"/>
      <c r="AB651" s="43"/>
      <c r="AC651" s="43"/>
      <c r="AD651" s="43"/>
      <c r="AE651" s="43"/>
      <c r="AF651" s="43"/>
      <c r="AG651" s="43"/>
      <c r="AH651" s="43"/>
      <c r="AI651" s="43"/>
      <c r="AJ651" s="43"/>
    </row>
    <row r="652" spans="1:36" ht="15.95" customHeight="1" x14ac:dyDescent="0.2">
      <c r="A652" s="43"/>
      <c r="B652" s="45">
        <v>109</v>
      </c>
      <c r="C652" s="46">
        <f>IF($A$1='Data Entry'!$C653,'Data Entry'!D653,"")</f>
        <v>0</v>
      </c>
      <c r="D652" s="46">
        <f>IF($A$1='Data Entry'!$C653,'Data Entry'!E653,"")</f>
        <v>0</v>
      </c>
      <c r="E652" s="46">
        <f>IF($A$1='Data Entry'!$C653,'Data Entry'!F653,"")</f>
        <v>0</v>
      </c>
      <c r="F652" s="46">
        <f>IF($A$1='Data Entry'!$C653,'Data Entry'!G653,"")</f>
        <v>0</v>
      </c>
      <c r="G652" s="46">
        <f>IF($A$1='Data Entry'!$C653,'Data Entry'!H653,"")</f>
        <v>0</v>
      </c>
      <c r="H652" s="46">
        <f>IF($A$1='Data Entry'!$C653,'Data Entry'!I653,"")</f>
        <v>0</v>
      </c>
      <c r="I652" s="46">
        <f>IF($A$1='Data Entry'!$C653,'Data Entry'!J653,"")</f>
        <v>0</v>
      </c>
      <c r="J652" s="46">
        <f>IF($A$1='Data Entry'!$C653,'Data Entry'!K653,"")</f>
        <v>0</v>
      </c>
      <c r="K652" s="46">
        <f>IF($A$1='Data Entry'!$C653,'Data Entry'!L653,"")</f>
        <v>0</v>
      </c>
      <c r="L652" s="46">
        <f>IF($A$1='Data Entry'!$C653,'Data Entry'!M653,"")</f>
        <v>0</v>
      </c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  <c r="AA652" s="43"/>
      <c r="AB652" s="43"/>
      <c r="AC652" s="43"/>
      <c r="AD652" s="43"/>
      <c r="AE652" s="43"/>
      <c r="AF652" s="43"/>
      <c r="AG652" s="43"/>
      <c r="AH652" s="43"/>
      <c r="AI652" s="43"/>
      <c r="AJ652" s="43"/>
    </row>
    <row r="653" spans="1:36" ht="15.95" customHeight="1" x14ac:dyDescent="0.2">
      <c r="A653" s="43"/>
      <c r="B653" s="45">
        <v>109</v>
      </c>
      <c r="C653" s="46">
        <f>IF($A$1='Data Entry'!$C654,'Data Entry'!D654,"")</f>
        <v>0</v>
      </c>
      <c r="D653" s="46">
        <f>IF($A$1='Data Entry'!$C654,'Data Entry'!E654,"")</f>
        <v>0</v>
      </c>
      <c r="E653" s="46">
        <f>IF($A$1='Data Entry'!$C654,'Data Entry'!F654,"")</f>
        <v>0</v>
      </c>
      <c r="F653" s="46">
        <f>IF($A$1='Data Entry'!$C654,'Data Entry'!G654,"")</f>
        <v>0</v>
      </c>
      <c r="G653" s="46">
        <f>IF($A$1='Data Entry'!$C654,'Data Entry'!H654,"")</f>
        <v>0</v>
      </c>
      <c r="H653" s="46">
        <f>IF($A$1='Data Entry'!$C654,'Data Entry'!I654,"")</f>
        <v>0</v>
      </c>
      <c r="I653" s="46">
        <f>IF($A$1='Data Entry'!$C654,'Data Entry'!J654,"")</f>
        <v>0</v>
      </c>
      <c r="J653" s="46">
        <f>IF($A$1='Data Entry'!$C654,'Data Entry'!K654,"")</f>
        <v>0</v>
      </c>
      <c r="K653" s="46">
        <f>IF($A$1='Data Entry'!$C654,'Data Entry'!L654,"")</f>
        <v>0</v>
      </c>
      <c r="L653" s="46">
        <f>IF($A$1='Data Entry'!$C654,'Data Entry'!M654,"")</f>
        <v>0</v>
      </c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  <c r="AA653" s="43"/>
      <c r="AB653" s="43"/>
      <c r="AC653" s="43"/>
      <c r="AD653" s="43"/>
      <c r="AE653" s="43"/>
      <c r="AF653" s="43"/>
      <c r="AG653" s="43"/>
      <c r="AH653" s="43"/>
      <c r="AI653" s="43"/>
      <c r="AJ653" s="43"/>
    </row>
    <row r="654" spans="1:36" ht="15.95" customHeight="1" x14ac:dyDescent="0.2">
      <c r="A654" s="43"/>
      <c r="B654" s="45">
        <v>109</v>
      </c>
      <c r="C654" s="46">
        <f>IF($A$1='Data Entry'!$C655,'Data Entry'!D655,"")</f>
        <v>0</v>
      </c>
      <c r="D654" s="46">
        <f>IF($A$1='Data Entry'!$C655,'Data Entry'!E655,"")</f>
        <v>0</v>
      </c>
      <c r="E654" s="46">
        <f>IF($A$1='Data Entry'!$C655,'Data Entry'!F655,"")</f>
        <v>0</v>
      </c>
      <c r="F654" s="46">
        <f>IF($A$1='Data Entry'!$C655,'Data Entry'!G655,"")</f>
        <v>0</v>
      </c>
      <c r="G654" s="46">
        <f>IF($A$1='Data Entry'!$C655,'Data Entry'!H655,"")</f>
        <v>0</v>
      </c>
      <c r="H654" s="46">
        <f>IF($A$1='Data Entry'!$C655,'Data Entry'!I655,"")</f>
        <v>0</v>
      </c>
      <c r="I654" s="46">
        <f>IF($A$1='Data Entry'!$C655,'Data Entry'!J655,"")</f>
        <v>0</v>
      </c>
      <c r="J654" s="46">
        <f>IF($A$1='Data Entry'!$C655,'Data Entry'!K655,"")</f>
        <v>0</v>
      </c>
      <c r="K654" s="46">
        <f>IF($A$1='Data Entry'!$C655,'Data Entry'!L655,"")</f>
        <v>0</v>
      </c>
      <c r="L654" s="46">
        <f>IF($A$1='Data Entry'!$C655,'Data Entry'!M655,"")</f>
        <v>0</v>
      </c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  <c r="AA654" s="43"/>
      <c r="AB654" s="43"/>
      <c r="AC654" s="43"/>
      <c r="AD654" s="43"/>
      <c r="AE654" s="43"/>
      <c r="AF654" s="43"/>
      <c r="AG654" s="43"/>
      <c r="AH654" s="43"/>
      <c r="AI654" s="43"/>
      <c r="AJ654" s="43"/>
    </row>
    <row r="655" spans="1:36" ht="15.95" customHeight="1" x14ac:dyDescent="0.2">
      <c r="A655" s="43"/>
      <c r="B655" s="45">
        <v>109</v>
      </c>
      <c r="C655" s="46">
        <f>IF($A$1='Data Entry'!$C656,'Data Entry'!D656,"")</f>
        <v>0</v>
      </c>
      <c r="D655" s="46">
        <f>IF($A$1='Data Entry'!$C656,'Data Entry'!E656,"")</f>
        <v>0</v>
      </c>
      <c r="E655" s="46">
        <f>IF($A$1='Data Entry'!$C656,'Data Entry'!F656,"")</f>
        <v>0</v>
      </c>
      <c r="F655" s="46">
        <f>IF($A$1='Data Entry'!$C656,'Data Entry'!G656,"")</f>
        <v>0</v>
      </c>
      <c r="G655" s="46">
        <f>IF($A$1='Data Entry'!$C656,'Data Entry'!H656,"")</f>
        <v>0</v>
      </c>
      <c r="H655" s="46">
        <f>IF($A$1='Data Entry'!$C656,'Data Entry'!I656,"")</f>
        <v>0</v>
      </c>
      <c r="I655" s="46">
        <f>IF($A$1='Data Entry'!$C656,'Data Entry'!J656,"")</f>
        <v>0</v>
      </c>
      <c r="J655" s="46">
        <f>IF($A$1='Data Entry'!$C656,'Data Entry'!K656,"")</f>
        <v>0</v>
      </c>
      <c r="K655" s="46">
        <f>IF($A$1='Data Entry'!$C656,'Data Entry'!L656,"")</f>
        <v>0</v>
      </c>
      <c r="L655" s="46">
        <f>IF($A$1='Data Entry'!$C656,'Data Entry'!M656,"")</f>
        <v>0</v>
      </c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  <c r="AA655" s="43"/>
      <c r="AB655" s="43"/>
      <c r="AC655" s="43"/>
      <c r="AD655" s="43"/>
      <c r="AE655" s="43"/>
      <c r="AF655" s="43"/>
      <c r="AG655" s="43"/>
      <c r="AH655" s="43"/>
      <c r="AI655" s="43"/>
      <c r="AJ655" s="43"/>
    </row>
    <row r="656" spans="1:36" ht="15.95" customHeight="1" x14ac:dyDescent="0.2">
      <c r="A656" s="43"/>
      <c r="B656" s="45">
        <v>109</v>
      </c>
      <c r="C656" s="46">
        <f>IF($A$1='Data Entry'!$C657,'Data Entry'!D657,"")</f>
        <v>0</v>
      </c>
      <c r="D656" s="46">
        <f>IF($A$1='Data Entry'!$C657,'Data Entry'!E657,"")</f>
        <v>0</v>
      </c>
      <c r="E656" s="46">
        <f>IF($A$1='Data Entry'!$C657,'Data Entry'!F657,"")</f>
        <v>0</v>
      </c>
      <c r="F656" s="46">
        <f>IF($A$1='Data Entry'!$C657,'Data Entry'!G657,"")</f>
        <v>0</v>
      </c>
      <c r="G656" s="46">
        <f>IF($A$1='Data Entry'!$C657,'Data Entry'!H657,"")</f>
        <v>0</v>
      </c>
      <c r="H656" s="46">
        <f>IF($A$1='Data Entry'!$C657,'Data Entry'!I657,"")</f>
        <v>0</v>
      </c>
      <c r="I656" s="46">
        <f>IF($A$1='Data Entry'!$C657,'Data Entry'!J657,"")</f>
        <v>0</v>
      </c>
      <c r="J656" s="46">
        <f>IF($A$1='Data Entry'!$C657,'Data Entry'!K657,"")</f>
        <v>0</v>
      </c>
      <c r="K656" s="46">
        <f>IF($A$1='Data Entry'!$C657,'Data Entry'!L657,"")</f>
        <v>0</v>
      </c>
      <c r="L656" s="46">
        <f>IF($A$1='Data Entry'!$C657,'Data Entry'!M657,"")</f>
        <v>0</v>
      </c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  <c r="AA656" s="43"/>
      <c r="AB656" s="43"/>
      <c r="AC656" s="43"/>
      <c r="AD656" s="43"/>
      <c r="AE656" s="43"/>
      <c r="AF656" s="43"/>
      <c r="AG656" s="43"/>
      <c r="AH656" s="43"/>
      <c r="AI656" s="43"/>
      <c r="AJ656" s="43"/>
    </row>
    <row r="657" spans="1:36" ht="15.95" customHeight="1" x14ac:dyDescent="0.2">
      <c r="A657" s="43"/>
      <c r="B657" s="45">
        <v>110</v>
      </c>
      <c r="C657" s="46">
        <f>IF($A$1='Data Entry'!$C658,'Data Entry'!D658,"")</f>
        <v>0</v>
      </c>
      <c r="D657" s="46">
        <f>IF($A$1='Data Entry'!$C658,'Data Entry'!E658,"")</f>
        <v>0</v>
      </c>
      <c r="E657" s="46">
        <f>IF($A$1='Data Entry'!$C658,'Data Entry'!F658,"")</f>
        <v>0</v>
      </c>
      <c r="F657" s="46">
        <f>IF($A$1='Data Entry'!$C658,'Data Entry'!G658,"")</f>
        <v>0</v>
      </c>
      <c r="G657" s="46">
        <f>IF($A$1='Data Entry'!$C658,'Data Entry'!H658,"")</f>
        <v>0</v>
      </c>
      <c r="H657" s="46">
        <f>IF($A$1='Data Entry'!$C658,'Data Entry'!I658,"")</f>
        <v>0</v>
      </c>
      <c r="I657" s="46">
        <f>IF($A$1='Data Entry'!$C658,'Data Entry'!J658,"")</f>
        <v>0</v>
      </c>
      <c r="J657" s="46">
        <f>IF($A$1='Data Entry'!$C658,'Data Entry'!K658,"")</f>
        <v>0</v>
      </c>
      <c r="K657" s="46">
        <f>IF($A$1='Data Entry'!$C658,'Data Entry'!L658,"")</f>
        <v>0</v>
      </c>
      <c r="L657" s="46">
        <f>IF($A$1='Data Entry'!$C658,'Data Entry'!M658,"")</f>
        <v>0</v>
      </c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  <c r="AA657" s="43"/>
      <c r="AB657" s="43"/>
      <c r="AC657" s="43"/>
      <c r="AD657" s="43"/>
      <c r="AE657" s="43"/>
      <c r="AF657" s="43"/>
      <c r="AG657" s="43"/>
      <c r="AH657" s="43"/>
      <c r="AI657" s="43"/>
      <c r="AJ657" s="43"/>
    </row>
    <row r="658" spans="1:36" ht="15.95" customHeight="1" x14ac:dyDescent="0.2">
      <c r="A658" s="43"/>
      <c r="B658" s="45">
        <v>110</v>
      </c>
      <c r="C658" s="46">
        <f>IF($A$1='Data Entry'!$C659,'Data Entry'!D659,"")</f>
        <v>0</v>
      </c>
      <c r="D658" s="46">
        <f>IF($A$1='Data Entry'!$C659,'Data Entry'!E659,"")</f>
        <v>0</v>
      </c>
      <c r="E658" s="46">
        <f>IF($A$1='Data Entry'!$C659,'Data Entry'!F659,"")</f>
        <v>0</v>
      </c>
      <c r="F658" s="46">
        <f>IF($A$1='Data Entry'!$C659,'Data Entry'!G659,"")</f>
        <v>0</v>
      </c>
      <c r="G658" s="46">
        <f>IF($A$1='Data Entry'!$C659,'Data Entry'!H659,"")</f>
        <v>0</v>
      </c>
      <c r="H658" s="46">
        <f>IF($A$1='Data Entry'!$C659,'Data Entry'!I659,"")</f>
        <v>0</v>
      </c>
      <c r="I658" s="46">
        <f>IF($A$1='Data Entry'!$C659,'Data Entry'!J659,"")</f>
        <v>0</v>
      </c>
      <c r="J658" s="46">
        <f>IF($A$1='Data Entry'!$C659,'Data Entry'!K659,"")</f>
        <v>0</v>
      </c>
      <c r="K658" s="46">
        <f>IF($A$1='Data Entry'!$C659,'Data Entry'!L659,"")</f>
        <v>0</v>
      </c>
      <c r="L658" s="46">
        <f>IF($A$1='Data Entry'!$C659,'Data Entry'!M659,"")</f>
        <v>0</v>
      </c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  <c r="AA658" s="43"/>
      <c r="AB658" s="43"/>
      <c r="AC658" s="43"/>
      <c r="AD658" s="43"/>
      <c r="AE658" s="43"/>
      <c r="AF658" s="43"/>
      <c r="AG658" s="43"/>
      <c r="AH658" s="43"/>
      <c r="AI658" s="43"/>
      <c r="AJ658" s="43"/>
    </row>
    <row r="659" spans="1:36" ht="15.95" customHeight="1" x14ac:dyDescent="0.2">
      <c r="A659" s="43"/>
      <c r="B659" s="45">
        <v>110</v>
      </c>
      <c r="C659" s="46">
        <f>IF($A$1='Data Entry'!$C660,'Data Entry'!D660,"")</f>
        <v>0</v>
      </c>
      <c r="D659" s="46">
        <f>IF($A$1='Data Entry'!$C660,'Data Entry'!E660,"")</f>
        <v>0</v>
      </c>
      <c r="E659" s="46">
        <f>IF($A$1='Data Entry'!$C660,'Data Entry'!F660,"")</f>
        <v>0</v>
      </c>
      <c r="F659" s="46">
        <f>IF($A$1='Data Entry'!$C660,'Data Entry'!G660,"")</f>
        <v>0</v>
      </c>
      <c r="G659" s="46">
        <f>IF($A$1='Data Entry'!$C660,'Data Entry'!H660,"")</f>
        <v>0</v>
      </c>
      <c r="H659" s="46">
        <f>IF($A$1='Data Entry'!$C660,'Data Entry'!I660,"")</f>
        <v>0</v>
      </c>
      <c r="I659" s="46">
        <f>IF($A$1='Data Entry'!$C660,'Data Entry'!J660,"")</f>
        <v>0</v>
      </c>
      <c r="J659" s="46">
        <f>IF($A$1='Data Entry'!$C660,'Data Entry'!K660,"")</f>
        <v>0</v>
      </c>
      <c r="K659" s="46">
        <f>IF($A$1='Data Entry'!$C660,'Data Entry'!L660,"")</f>
        <v>0</v>
      </c>
      <c r="L659" s="46">
        <f>IF($A$1='Data Entry'!$C660,'Data Entry'!M660,"")</f>
        <v>0</v>
      </c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  <c r="AA659" s="43"/>
      <c r="AB659" s="43"/>
      <c r="AC659" s="43"/>
      <c r="AD659" s="43"/>
      <c r="AE659" s="43"/>
      <c r="AF659" s="43"/>
      <c r="AG659" s="43"/>
      <c r="AH659" s="43"/>
      <c r="AI659" s="43"/>
      <c r="AJ659" s="43"/>
    </row>
    <row r="660" spans="1:36" ht="15.95" customHeight="1" x14ac:dyDescent="0.2">
      <c r="A660" s="43"/>
      <c r="B660" s="45">
        <v>110</v>
      </c>
      <c r="C660" s="46">
        <f>IF($A$1='Data Entry'!$C661,'Data Entry'!D661,"")</f>
        <v>0</v>
      </c>
      <c r="D660" s="46">
        <f>IF($A$1='Data Entry'!$C661,'Data Entry'!E661,"")</f>
        <v>0</v>
      </c>
      <c r="E660" s="46">
        <f>IF($A$1='Data Entry'!$C661,'Data Entry'!F661,"")</f>
        <v>0</v>
      </c>
      <c r="F660" s="46">
        <f>IF($A$1='Data Entry'!$C661,'Data Entry'!G661,"")</f>
        <v>0</v>
      </c>
      <c r="G660" s="46">
        <f>IF($A$1='Data Entry'!$C661,'Data Entry'!H661,"")</f>
        <v>0</v>
      </c>
      <c r="H660" s="46">
        <f>IF($A$1='Data Entry'!$C661,'Data Entry'!I661,"")</f>
        <v>0</v>
      </c>
      <c r="I660" s="46">
        <f>IF($A$1='Data Entry'!$C661,'Data Entry'!J661,"")</f>
        <v>0</v>
      </c>
      <c r="J660" s="46">
        <f>IF($A$1='Data Entry'!$C661,'Data Entry'!K661,"")</f>
        <v>0</v>
      </c>
      <c r="K660" s="46">
        <f>IF($A$1='Data Entry'!$C661,'Data Entry'!L661,"")</f>
        <v>0</v>
      </c>
      <c r="L660" s="46">
        <f>IF($A$1='Data Entry'!$C661,'Data Entry'!M661,"")</f>
        <v>0</v>
      </c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  <c r="AA660" s="43"/>
      <c r="AB660" s="43"/>
      <c r="AC660" s="43"/>
      <c r="AD660" s="43"/>
      <c r="AE660" s="43"/>
      <c r="AF660" s="43"/>
      <c r="AG660" s="43"/>
      <c r="AH660" s="43"/>
      <c r="AI660" s="43"/>
      <c r="AJ660" s="43"/>
    </row>
    <row r="661" spans="1:36" ht="15.95" customHeight="1" x14ac:dyDescent="0.2">
      <c r="A661" s="43"/>
      <c r="B661" s="45">
        <v>110</v>
      </c>
      <c r="C661" s="46">
        <f>IF($A$1='Data Entry'!$C662,'Data Entry'!D662,"")</f>
        <v>0</v>
      </c>
      <c r="D661" s="46">
        <f>IF($A$1='Data Entry'!$C662,'Data Entry'!E662,"")</f>
        <v>0</v>
      </c>
      <c r="E661" s="46">
        <f>IF($A$1='Data Entry'!$C662,'Data Entry'!F662,"")</f>
        <v>0</v>
      </c>
      <c r="F661" s="46">
        <f>IF($A$1='Data Entry'!$C662,'Data Entry'!G662,"")</f>
        <v>0</v>
      </c>
      <c r="G661" s="46">
        <f>IF($A$1='Data Entry'!$C662,'Data Entry'!H662,"")</f>
        <v>0</v>
      </c>
      <c r="H661" s="46">
        <f>IF($A$1='Data Entry'!$C662,'Data Entry'!I662,"")</f>
        <v>0</v>
      </c>
      <c r="I661" s="46">
        <f>IF($A$1='Data Entry'!$C662,'Data Entry'!J662,"")</f>
        <v>0</v>
      </c>
      <c r="J661" s="46">
        <f>IF($A$1='Data Entry'!$C662,'Data Entry'!K662,"")</f>
        <v>0</v>
      </c>
      <c r="K661" s="46">
        <f>IF($A$1='Data Entry'!$C662,'Data Entry'!L662,"")</f>
        <v>0</v>
      </c>
      <c r="L661" s="46">
        <f>IF($A$1='Data Entry'!$C662,'Data Entry'!M662,"")</f>
        <v>0</v>
      </c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  <c r="AA661" s="43"/>
      <c r="AB661" s="43"/>
      <c r="AC661" s="43"/>
      <c r="AD661" s="43"/>
      <c r="AE661" s="43"/>
      <c r="AF661" s="43"/>
      <c r="AG661" s="43"/>
      <c r="AH661" s="43"/>
      <c r="AI661" s="43"/>
      <c r="AJ661" s="43"/>
    </row>
    <row r="662" spans="1:36" ht="15.95" customHeight="1" x14ac:dyDescent="0.2">
      <c r="A662" s="43"/>
      <c r="B662" s="45">
        <v>110</v>
      </c>
      <c r="C662" s="46">
        <f>IF($A$1='Data Entry'!$C663,'Data Entry'!D663,"")</f>
        <v>0</v>
      </c>
      <c r="D662" s="46">
        <f>IF($A$1='Data Entry'!$C663,'Data Entry'!E663,"")</f>
        <v>0</v>
      </c>
      <c r="E662" s="46">
        <f>IF($A$1='Data Entry'!$C663,'Data Entry'!F663,"")</f>
        <v>0</v>
      </c>
      <c r="F662" s="46">
        <f>IF($A$1='Data Entry'!$C663,'Data Entry'!G663,"")</f>
        <v>0</v>
      </c>
      <c r="G662" s="46">
        <f>IF($A$1='Data Entry'!$C663,'Data Entry'!H663,"")</f>
        <v>0</v>
      </c>
      <c r="H662" s="46">
        <f>IF($A$1='Data Entry'!$C663,'Data Entry'!I663,"")</f>
        <v>0</v>
      </c>
      <c r="I662" s="46">
        <f>IF($A$1='Data Entry'!$C663,'Data Entry'!J663,"")</f>
        <v>0</v>
      </c>
      <c r="J662" s="46">
        <f>IF($A$1='Data Entry'!$C663,'Data Entry'!K663,"")</f>
        <v>0</v>
      </c>
      <c r="K662" s="46">
        <f>IF($A$1='Data Entry'!$C663,'Data Entry'!L663,"")</f>
        <v>0</v>
      </c>
      <c r="L662" s="46">
        <f>IF($A$1='Data Entry'!$C663,'Data Entry'!M663,"")</f>
        <v>0</v>
      </c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  <c r="AA662" s="43"/>
      <c r="AB662" s="43"/>
      <c r="AC662" s="43"/>
      <c r="AD662" s="43"/>
      <c r="AE662" s="43"/>
      <c r="AF662" s="43"/>
      <c r="AG662" s="43"/>
      <c r="AH662" s="43"/>
      <c r="AI662" s="43"/>
      <c r="AJ662" s="43"/>
    </row>
    <row r="663" spans="1:36" ht="15.95" customHeight="1" x14ac:dyDescent="0.2">
      <c r="A663" s="43"/>
      <c r="B663" s="45">
        <v>111</v>
      </c>
      <c r="C663" s="46">
        <f>IF($A$1='Data Entry'!$C664,'Data Entry'!D664,"")</f>
        <v>0</v>
      </c>
      <c r="D663" s="46">
        <f>IF($A$1='Data Entry'!$C664,'Data Entry'!E664,"")</f>
        <v>0</v>
      </c>
      <c r="E663" s="46">
        <f>IF($A$1='Data Entry'!$C664,'Data Entry'!F664,"")</f>
        <v>0</v>
      </c>
      <c r="F663" s="46">
        <f>IF($A$1='Data Entry'!$C664,'Data Entry'!G664,"")</f>
        <v>0</v>
      </c>
      <c r="G663" s="46">
        <f>IF($A$1='Data Entry'!$C664,'Data Entry'!H664,"")</f>
        <v>0</v>
      </c>
      <c r="H663" s="46">
        <f>IF($A$1='Data Entry'!$C664,'Data Entry'!I664,"")</f>
        <v>0</v>
      </c>
      <c r="I663" s="46">
        <f>IF($A$1='Data Entry'!$C664,'Data Entry'!J664,"")</f>
        <v>0</v>
      </c>
      <c r="J663" s="46">
        <f>IF($A$1='Data Entry'!$C664,'Data Entry'!K664,"")</f>
        <v>0</v>
      </c>
      <c r="K663" s="46">
        <f>IF($A$1='Data Entry'!$C664,'Data Entry'!L664,"")</f>
        <v>0</v>
      </c>
      <c r="L663" s="46">
        <f>IF($A$1='Data Entry'!$C664,'Data Entry'!M664,"")</f>
        <v>0</v>
      </c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  <c r="AA663" s="43"/>
      <c r="AB663" s="43"/>
      <c r="AC663" s="43"/>
      <c r="AD663" s="43"/>
      <c r="AE663" s="43"/>
      <c r="AF663" s="43"/>
      <c r="AG663" s="43"/>
      <c r="AH663" s="43"/>
      <c r="AI663" s="43"/>
      <c r="AJ663" s="43"/>
    </row>
    <row r="664" spans="1:36" ht="15.95" customHeight="1" x14ac:dyDescent="0.2">
      <c r="A664" s="43"/>
      <c r="B664" s="45">
        <v>111</v>
      </c>
      <c r="C664" s="46">
        <f>IF($A$1='Data Entry'!$C665,'Data Entry'!D665,"")</f>
        <v>0</v>
      </c>
      <c r="D664" s="46">
        <f>IF($A$1='Data Entry'!$C665,'Data Entry'!E665,"")</f>
        <v>0</v>
      </c>
      <c r="E664" s="46">
        <f>IF($A$1='Data Entry'!$C665,'Data Entry'!F665,"")</f>
        <v>0</v>
      </c>
      <c r="F664" s="46">
        <f>IF($A$1='Data Entry'!$C665,'Data Entry'!G665,"")</f>
        <v>0</v>
      </c>
      <c r="G664" s="46">
        <f>IF($A$1='Data Entry'!$C665,'Data Entry'!H665,"")</f>
        <v>0</v>
      </c>
      <c r="H664" s="46">
        <f>IF($A$1='Data Entry'!$C665,'Data Entry'!I665,"")</f>
        <v>0</v>
      </c>
      <c r="I664" s="46">
        <f>IF($A$1='Data Entry'!$C665,'Data Entry'!J665,"")</f>
        <v>0</v>
      </c>
      <c r="J664" s="46">
        <f>IF($A$1='Data Entry'!$C665,'Data Entry'!K665,"")</f>
        <v>0</v>
      </c>
      <c r="K664" s="46">
        <f>IF($A$1='Data Entry'!$C665,'Data Entry'!L665,"")</f>
        <v>0</v>
      </c>
      <c r="L664" s="46">
        <f>IF($A$1='Data Entry'!$C665,'Data Entry'!M665,"")</f>
        <v>0</v>
      </c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  <c r="AA664" s="43"/>
      <c r="AB664" s="43"/>
      <c r="AC664" s="43"/>
      <c r="AD664" s="43"/>
      <c r="AE664" s="43"/>
      <c r="AF664" s="43"/>
      <c r="AG664" s="43"/>
      <c r="AH664" s="43"/>
      <c r="AI664" s="43"/>
      <c r="AJ664" s="43"/>
    </row>
    <row r="665" spans="1:36" ht="15.95" customHeight="1" x14ac:dyDescent="0.2">
      <c r="A665" s="43"/>
      <c r="B665" s="45">
        <v>111</v>
      </c>
      <c r="C665" s="46">
        <f>IF($A$1='Data Entry'!$C666,'Data Entry'!D666,"")</f>
        <v>0</v>
      </c>
      <c r="D665" s="46">
        <f>IF($A$1='Data Entry'!$C666,'Data Entry'!E666,"")</f>
        <v>0</v>
      </c>
      <c r="E665" s="46">
        <f>IF($A$1='Data Entry'!$C666,'Data Entry'!F666,"")</f>
        <v>0</v>
      </c>
      <c r="F665" s="46">
        <f>IF($A$1='Data Entry'!$C666,'Data Entry'!G666,"")</f>
        <v>0</v>
      </c>
      <c r="G665" s="46">
        <f>IF($A$1='Data Entry'!$C666,'Data Entry'!H666,"")</f>
        <v>0</v>
      </c>
      <c r="H665" s="46">
        <f>IF($A$1='Data Entry'!$C666,'Data Entry'!I666,"")</f>
        <v>0</v>
      </c>
      <c r="I665" s="46">
        <f>IF($A$1='Data Entry'!$C666,'Data Entry'!J666,"")</f>
        <v>0</v>
      </c>
      <c r="J665" s="46">
        <f>IF($A$1='Data Entry'!$C666,'Data Entry'!K666,"")</f>
        <v>0</v>
      </c>
      <c r="K665" s="46">
        <f>IF($A$1='Data Entry'!$C666,'Data Entry'!L666,"")</f>
        <v>0</v>
      </c>
      <c r="L665" s="46">
        <f>IF($A$1='Data Entry'!$C666,'Data Entry'!M666,"")</f>
        <v>0</v>
      </c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  <c r="AA665" s="43"/>
      <c r="AB665" s="43"/>
      <c r="AC665" s="43"/>
      <c r="AD665" s="43"/>
      <c r="AE665" s="43"/>
      <c r="AF665" s="43"/>
      <c r="AG665" s="43"/>
      <c r="AH665" s="43"/>
      <c r="AI665" s="43"/>
      <c r="AJ665" s="43"/>
    </row>
    <row r="666" spans="1:36" ht="15.95" customHeight="1" x14ac:dyDescent="0.2">
      <c r="A666" s="43"/>
      <c r="B666" s="45">
        <v>111</v>
      </c>
      <c r="C666" s="46">
        <f>IF($A$1='Data Entry'!$C667,'Data Entry'!D667,"")</f>
        <v>0</v>
      </c>
      <c r="D666" s="46">
        <f>IF($A$1='Data Entry'!$C667,'Data Entry'!E667,"")</f>
        <v>0</v>
      </c>
      <c r="E666" s="46">
        <f>IF($A$1='Data Entry'!$C667,'Data Entry'!F667,"")</f>
        <v>0</v>
      </c>
      <c r="F666" s="46">
        <f>IF($A$1='Data Entry'!$C667,'Data Entry'!G667,"")</f>
        <v>0</v>
      </c>
      <c r="G666" s="46">
        <f>IF($A$1='Data Entry'!$C667,'Data Entry'!H667,"")</f>
        <v>0</v>
      </c>
      <c r="H666" s="46">
        <f>IF($A$1='Data Entry'!$C667,'Data Entry'!I667,"")</f>
        <v>0</v>
      </c>
      <c r="I666" s="46">
        <f>IF($A$1='Data Entry'!$C667,'Data Entry'!J667,"")</f>
        <v>0</v>
      </c>
      <c r="J666" s="46">
        <f>IF($A$1='Data Entry'!$C667,'Data Entry'!K667,"")</f>
        <v>0</v>
      </c>
      <c r="K666" s="46">
        <f>IF($A$1='Data Entry'!$C667,'Data Entry'!L667,"")</f>
        <v>0</v>
      </c>
      <c r="L666" s="46">
        <f>IF($A$1='Data Entry'!$C667,'Data Entry'!M667,"")</f>
        <v>0</v>
      </c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  <c r="AA666" s="43"/>
      <c r="AB666" s="43"/>
      <c r="AC666" s="43"/>
      <c r="AD666" s="43"/>
      <c r="AE666" s="43"/>
      <c r="AF666" s="43"/>
      <c r="AG666" s="43"/>
      <c r="AH666" s="43"/>
      <c r="AI666" s="43"/>
      <c r="AJ666" s="43"/>
    </row>
    <row r="667" spans="1:36" ht="15.95" customHeight="1" x14ac:dyDescent="0.2">
      <c r="A667" s="43"/>
      <c r="B667" s="45">
        <v>111</v>
      </c>
      <c r="C667" s="46">
        <f>IF($A$1='Data Entry'!$C668,'Data Entry'!D668,"")</f>
        <v>0</v>
      </c>
      <c r="D667" s="46">
        <f>IF($A$1='Data Entry'!$C668,'Data Entry'!E668,"")</f>
        <v>0</v>
      </c>
      <c r="E667" s="46">
        <f>IF($A$1='Data Entry'!$C668,'Data Entry'!F668,"")</f>
        <v>0</v>
      </c>
      <c r="F667" s="46">
        <f>IF($A$1='Data Entry'!$C668,'Data Entry'!G668,"")</f>
        <v>0</v>
      </c>
      <c r="G667" s="46">
        <f>IF($A$1='Data Entry'!$C668,'Data Entry'!H668,"")</f>
        <v>0</v>
      </c>
      <c r="H667" s="46">
        <f>IF($A$1='Data Entry'!$C668,'Data Entry'!I668,"")</f>
        <v>0</v>
      </c>
      <c r="I667" s="46">
        <f>IF($A$1='Data Entry'!$C668,'Data Entry'!J668,"")</f>
        <v>0</v>
      </c>
      <c r="J667" s="46">
        <f>IF($A$1='Data Entry'!$C668,'Data Entry'!K668,"")</f>
        <v>0</v>
      </c>
      <c r="K667" s="46">
        <f>IF($A$1='Data Entry'!$C668,'Data Entry'!L668,"")</f>
        <v>0</v>
      </c>
      <c r="L667" s="46">
        <f>IF($A$1='Data Entry'!$C668,'Data Entry'!M668,"")</f>
        <v>0</v>
      </c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  <c r="AA667" s="43"/>
      <c r="AB667" s="43"/>
      <c r="AC667" s="43"/>
      <c r="AD667" s="43"/>
      <c r="AE667" s="43"/>
      <c r="AF667" s="43"/>
      <c r="AG667" s="43"/>
      <c r="AH667" s="43"/>
      <c r="AI667" s="43"/>
      <c r="AJ667" s="43"/>
    </row>
    <row r="668" spans="1:36" ht="15.95" customHeight="1" x14ac:dyDescent="0.2">
      <c r="A668" s="43"/>
      <c r="B668" s="45">
        <v>111</v>
      </c>
      <c r="C668" s="46">
        <f>IF($A$1='Data Entry'!$C669,'Data Entry'!D669,"")</f>
        <v>0</v>
      </c>
      <c r="D668" s="46">
        <f>IF($A$1='Data Entry'!$C669,'Data Entry'!E669,"")</f>
        <v>0</v>
      </c>
      <c r="E668" s="46">
        <f>IF($A$1='Data Entry'!$C669,'Data Entry'!F669,"")</f>
        <v>0</v>
      </c>
      <c r="F668" s="46">
        <f>IF($A$1='Data Entry'!$C669,'Data Entry'!G669,"")</f>
        <v>0</v>
      </c>
      <c r="G668" s="46">
        <f>IF($A$1='Data Entry'!$C669,'Data Entry'!H669,"")</f>
        <v>0</v>
      </c>
      <c r="H668" s="46">
        <f>IF($A$1='Data Entry'!$C669,'Data Entry'!I669,"")</f>
        <v>0</v>
      </c>
      <c r="I668" s="46">
        <f>IF($A$1='Data Entry'!$C669,'Data Entry'!J669,"")</f>
        <v>0</v>
      </c>
      <c r="J668" s="46">
        <f>IF($A$1='Data Entry'!$C669,'Data Entry'!K669,"")</f>
        <v>0</v>
      </c>
      <c r="K668" s="46">
        <f>IF($A$1='Data Entry'!$C669,'Data Entry'!L669,"")</f>
        <v>0</v>
      </c>
      <c r="L668" s="46">
        <f>IF($A$1='Data Entry'!$C669,'Data Entry'!M669,"")</f>
        <v>0</v>
      </c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  <c r="AA668" s="43"/>
      <c r="AB668" s="43"/>
      <c r="AC668" s="43"/>
      <c r="AD668" s="43"/>
      <c r="AE668" s="43"/>
      <c r="AF668" s="43"/>
      <c r="AG668" s="43"/>
      <c r="AH668" s="43"/>
      <c r="AI668" s="43"/>
      <c r="AJ668" s="43"/>
    </row>
    <row r="669" spans="1:36" ht="15.95" customHeight="1" x14ac:dyDescent="0.2">
      <c r="A669" s="43"/>
      <c r="B669" s="45">
        <v>112</v>
      </c>
      <c r="C669" s="46">
        <f>IF($A$1='Data Entry'!$C670,'Data Entry'!D670,"")</f>
        <v>0</v>
      </c>
      <c r="D669" s="46">
        <f>IF($A$1='Data Entry'!$C670,'Data Entry'!E670,"")</f>
        <v>0</v>
      </c>
      <c r="E669" s="46">
        <f>IF($A$1='Data Entry'!$C670,'Data Entry'!F670,"")</f>
        <v>0</v>
      </c>
      <c r="F669" s="46">
        <f>IF($A$1='Data Entry'!$C670,'Data Entry'!G670,"")</f>
        <v>0</v>
      </c>
      <c r="G669" s="46">
        <f>IF($A$1='Data Entry'!$C670,'Data Entry'!H670,"")</f>
        <v>0</v>
      </c>
      <c r="H669" s="46">
        <f>IF($A$1='Data Entry'!$C670,'Data Entry'!I670,"")</f>
        <v>0</v>
      </c>
      <c r="I669" s="46">
        <f>IF($A$1='Data Entry'!$C670,'Data Entry'!J670,"")</f>
        <v>0</v>
      </c>
      <c r="J669" s="46">
        <f>IF($A$1='Data Entry'!$C670,'Data Entry'!K670,"")</f>
        <v>0</v>
      </c>
      <c r="K669" s="46">
        <f>IF($A$1='Data Entry'!$C670,'Data Entry'!L670,"")</f>
        <v>0</v>
      </c>
      <c r="L669" s="46">
        <f>IF($A$1='Data Entry'!$C670,'Data Entry'!M670,"")</f>
        <v>0</v>
      </c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  <c r="AA669" s="43"/>
      <c r="AB669" s="43"/>
      <c r="AC669" s="43"/>
      <c r="AD669" s="43"/>
      <c r="AE669" s="43"/>
      <c r="AF669" s="43"/>
      <c r="AG669" s="43"/>
      <c r="AH669" s="43"/>
      <c r="AI669" s="43"/>
      <c r="AJ669" s="43"/>
    </row>
    <row r="670" spans="1:36" ht="15.95" customHeight="1" x14ac:dyDescent="0.2">
      <c r="A670" s="43"/>
      <c r="B670" s="45">
        <v>112</v>
      </c>
      <c r="C670" s="46">
        <f>IF($A$1='Data Entry'!$C671,'Data Entry'!D671,"")</f>
        <v>0</v>
      </c>
      <c r="D670" s="46">
        <f>IF($A$1='Data Entry'!$C671,'Data Entry'!E671,"")</f>
        <v>0</v>
      </c>
      <c r="E670" s="46">
        <f>IF($A$1='Data Entry'!$C671,'Data Entry'!F671,"")</f>
        <v>0</v>
      </c>
      <c r="F670" s="46">
        <f>IF($A$1='Data Entry'!$C671,'Data Entry'!G671,"")</f>
        <v>0</v>
      </c>
      <c r="G670" s="46">
        <f>IF($A$1='Data Entry'!$C671,'Data Entry'!H671,"")</f>
        <v>0</v>
      </c>
      <c r="H670" s="46">
        <f>IF($A$1='Data Entry'!$C671,'Data Entry'!I671,"")</f>
        <v>0</v>
      </c>
      <c r="I670" s="46">
        <f>IF($A$1='Data Entry'!$C671,'Data Entry'!J671,"")</f>
        <v>0</v>
      </c>
      <c r="J670" s="46">
        <f>IF($A$1='Data Entry'!$C671,'Data Entry'!K671,"")</f>
        <v>0</v>
      </c>
      <c r="K670" s="46">
        <f>IF($A$1='Data Entry'!$C671,'Data Entry'!L671,"")</f>
        <v>0</v>
      </c>
      <c r="L670" s="46">
        <f>IF($A$1='Data Entry'!$C671,'Data Entry'!M671,"")</f>
        <v>0</v>
      </c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  <c r="AA670" s="43"/>
      <c r="AB670" s="43"/>
      <c r="AC670" s="43"/>
      <c r="AD670" s="43"/>
      <c r="AE670" s="43"/>
      <c r="AF670" s="43"/>
      <c r="AG670" s="43"/>
      <c r="AH670" s="43"/>
      <c r="AI670" s="43"/>
      <c r="AJ670" s="43"/>
    </row>
    <row r="671" spans="1:36" ht="15.95" customHeight="1" x14ac:dyDescent="0.2">
      <c r="A671" s="43"/>
      <c r="B671" s="45">
        <v>112</v>
      </c>
      <c r="C671" s="46">
        <f>IF($A$1='Data Entry'!$C672,'Data Entry'!D672,"")</f>
        <v>0</v>
      </c>
      <c r="D671" s="46">
        <f>IF($A$1='Data Entry'!$C672,'Data Entry'!E672,"")</f>
        <v>0</v>
      </c>
      <c r="E671" s="46">
        <f>IF($A$1='Data Entry'!$C672,'Data Entry'!F672,"")</f>
        <v>0</v>
      </c>
      <c r="F671" s="46">
        <f>IF($A$1='Data Entry'!$C672,'Data Entry'!G672,"")</f>
        <v>0</v>
      </c>
      <c r="G671" s="46">
        <f>IF($A$1='Data Entry'!$C672,'Data Entry'!H672,"")</f>
        <v>0</v>
      </c>
      <c r="H671" s="46">
        <f>IF($A$1='Data Entry'!$C672,'Data Entry'!I672,"")</f>
        <v>0</v>
      </c>
      <c r="I671" s="46">
        <f>IF($A$1='Data Entry'!$C672,'Data Entry'!J672,"")</f>
        <v>0</v>
      </c>
      <c r="J671" s="46">
        <f>IF($A$1='Data Entry'!$C672,'Data Entry'!K672,"")</f>
        <v>0</v>
      </c>
      <c r="K671" s="46">
        <f>IF($A$1='Data Entry'!$C672,'Data Entry'!L672,"")</f>
        <v>0</v>
      </c>
      <c r="L671" s="46">
        <f>IF($A$1='Data Entry'!$C672,'Data Entry'!M672,"")</f>
        <v>0</v>
      </c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  <c r="AA671" s="43"/>
      <c r="AB671" s="43"/>
      <c r="AC671" s="43"/>
      <c r="AD671" s="43"/>
      <c r="AE671" s="43"/>
      <c r="AF671" s="43"/>
      <c r="AG671" s="43"/>
      <c r="AH671" s="43"/>
      <c r="AI671" s="43"/>
      <c r="AJ671" s="43"/>
    </row>
    <row r="672" spans="1:36" ht="15.95" customHeight="1" x14ac:dyDescent="0.2">
      <c r="A672" s="43"/>
      <c r="B672" s="45">
        <v>112</v>
      </c>
      <c r="C672" s="46">
        <f>IF($A$1='Data Entry'!$C673,'Data Entry'!D673,"")</f>
        <v>0</v>
      </c>
      <c r="D672" s="46">
        <f>IF($A$1='Data Entry'!$C673,'Data Entry'!E673,"")</f>
        <v>0</v>
      </c>
      <c r="E672" s="46">
        <f>IF($A$1='Data Entry'!$C673,'Data Entry'!F673,"")</f>
        <v>0</v>
      </c>
      <c r="F672" s="46">
        <f>IF($A$1='Data Entry'!$C673,'Data Entry'!G673,"")</f>
        <v>0</v>
      </c>
      <c r="G672" s="46">
        <f>IF($A$1='Data Entry'!$C673,'Data Entry'!H673,"")</f>
        <v>0</v>
      </c>
      <c r="H672" s="46">
        <f>IF($A$1='Data Entry'!$C673,'Data Entry'!I673,"")</f>
        <v>0</v>
      </c>
      <c r="I672" s="46">
        <f>IF($A$1='Data Entry'!$C673,'Data Entry'!J673,"")</f>
        <v>0</v>
      </c>
      <c r="J672" s="46">
        <f>IF($A$1='Data Entry'!$C673,'Data Entry'!K673,"")</f>
        <v>0</v>
      </c>
      <c r="K672" s="46">
        <f>IF($A$1='Data Entry'!$C673,'Data Entry'!L673,"")</f>
        <v>0</v>
      </c>
      <c r="L672" s="46">
        <f>IF($A$1='Data Entry'!$C673,'Data Entry'!M673,"")</f>
        <v>0</v>
      </c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  <c r="AA672" s="43"/>
      <c r="AB672" s="43"/>
      <c r="AC672" s="43"/>
      <c r="AD672" s="43"/>
      <c r="AE672" s="43"/>
      <c r="AF672" s="43"/>
      <c r="AG672" s="43"/>
      <c r="AH672" s="43"/>
      <c r="AI672" s="43"/>
      <c r="AJ672" s="43"/>
    </row>
    <row r="673" spans="1:36" ht="15.95" customHeight="1" x14ac:dyDescent="0.2">
      <c r="A673" s="43"/>
      <c r="B673" s="45">
        <v>112</v>
      </c>
      <c r="C673" s="46">
        <f>IF($A$1='Data Entry'!$C674,'Data Entry'!D674,"")</f>
        <v>0</v>
      </c>
      <c r="D673" s="46">
        <f>IF($A$1='Data Entry'!$C674,'Data Entry'!E674,"")</f>
        <v>0</v>
      </c>
      <c r="E673" s="46">
        <f>IF($A$1='Data Entry'!$C674,'Data Entry'!F674,"")</f>
        <v>0</v>
      </c>
      <c r="F673" s="46">
        <f>IF($A$1='Data Entry'!$C674,'Data Entry'!G674,"")</f>
        <v>0</v>
      </c>
      <c r="G673" s="46">
        <f>IF($A$1='Data Entry'!$C674,'Data Entry'!H674,"")</f>
        <v>0</v>
      </c>
      <c r="H673" s="46">
        <f>IF($A$1='Data Entry'!$C674,'Data Entry'!I674,"")</f>
        <v>0</v>
      </c>
      <c r="I673" s="46">
        <f>IF($A$1='Data Entry'!$C674,'Data Entry'!J674,"")</f>
        <v>0</v>
      </c>
      <c r="J673" s="46">
        <f>IF($A$1='Data Entry'!$C674,'Data Entry'!K674,"")</f>
        <v>0</v>
      </c>
      <c r="K673" s="46">
        <f>IF($A$1='Data Entry'!$C674,'Data Entry'!L674,"")</f>
        <v>0</v>
      </c>
      <c r="L673" s="46">
        <f>IF($A$1='Data Entry'!$C674,'Data Entry'!M674,"")</f>
        <v>0</v>
      </c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  <c r="AA673" s="43"/>
      <c r="AB673" s="43"/>
      <c r="AC673" s="43"/>
      <c r="AD673" s="43"/>
      <c r="AE673" s="43"/>
      <c r="AF673" s="43"/>
      <c r="AG673" s="43"/>
      <c r="AH673" s="43"/>
      <c r="AI673" s="43"/>
      <c r="AJ673" s="43"/>
    </row>
    <row r="674" spans="1:36" ht="15.95" customHeight="1" x14ac:dyDescent="0.2">
      <c r="A674" s="43"/>
      <c r="B674" s="45">
        <v>112</v>
      </c>
      <c r="C674" s="46">
        <f>IF($A$1='Data Entry'!$C675,'Data Entry'!D675,"")</f>
        <v>0</v>
      </c>
      <c r="D674" s="46">
        <f>IF($A$1='Data Entry'!$C675,'Data Entry'!E675,"")</f>
        <v>0</v>
      </c>
      <c r="E674" s="46">
        <f>IF($A$1='Data Entry'!$C675,'Data Entry'!F675,"")</f>
        <v>0</v>
      </c>
      <c r="F674" s="46">
        <f>IF($A$1='Data Entry'!$C675,'Data Entry'!G675,"")</f>
        <v>0</v>
      </c>
      <c r="G674" s="46">
        <f>IF($A$1='Data Entry'!$C675,'Data Entry'!H675,"")</f>
        <v>0</v>
      </c>
      <c r="H674" s="46">
        <f>IF($A$1='Data Entry'!$C675,'Data Entry'!I675,"")</f>
        <v>0</v>
      </c>
      <c r="I674" s="46">
        <f>IF($A$1='Data Entry'!$C675,'Data Entry'!J675,"")</f>
        <v>0</v>
      </c>
      <c r="J674" s="46">
        <f>IF($A$1='Data Entry'!$C675,'Data Entry'!K675,"")</f>
        <v>0</v>
      </c>
      <c r="K674" s="46">
        <f>IF($A$1='Data Entry'!$C675,'Data Entry'!L675,"")</f>
        <v>0</v>
      </c>
      <c r="L674" s="46">
        <f>IF($A$1='Data Entry'!$C675,'Data Entry'!M675,"")</f>
        <v>0</v>
      </c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  <c r="AA674" s="43"/>
      <c r="AB674" s="43"/>
      <c r="AC674" s="43"/>
      <c r="AD674" s="43"/>
      <c r="AE674" s="43"/>
      <c r="AF674" s="43"/>
      <c r="AG674" s="43"/>
      <c r="AH674" s="43"/>
      <c r="AI674" s="43"/>
      <c r="AJ674" s="43"/>
    </row>
    <row r="675" spans="1:36" ht="15.95" customHeight="1" x14ac:dyDescent="0.2">
      <c r="A675" s="43"/>
      <c r="B675" s="45">
        <v>113</v>
      </c>
      <c r="C675" s="46">
        <f>IF($A$1='Data Entry'!$C676,'Data Entry'!D676,"")</f>
        <v>0</v>
      </c>
      <c r="D675" s="46">
        <f>IF($A$1='Data Entry'!$C676,'Data Entry'!E676,"")</f>
        <v>0</v>
      </c>
      <c r="E675" s="46">
        <f>IF($A$1='Data Entry'!$C676,'Data Entry'!F676,"")</f>
        <v>0</v>
      </c>
      <c r="F675" s="46">
        <f>IF($A$1='Data Entry'!$C676,'Data Entry'!G676,"")</f>
        <v>0</v>
      </c>
      <c r="G675" s="46">
        <f>IF($A$1='Data Entry'!$C676,'Data Entry'!H676,"")</f>
        <v>0</v>
      </c>
      <c r="H675" s="46">
        <f>IF($A$1='Data Entry'!$C676,'Data Entry'!I676,"")</f>
        <v>0</v>
      </c>
      <c r="I675" s="46">
        <f>IF($A$1='Data Entry'!$C676,'Data Entry'!J676,"")</f>
        <v>0</v>
      </c>
      <c r="J675" s="46">
        <f>IF($A$1='Data Entry'!$C676,'Data Entry'!K676,"")</f>
        <v>0</v>
      </c>
      <c r="K675" s="46">
        <f>IF($A$1='Data Entry'!$C676,'Data Entry'!L676,"")</f>
        <v>0</v>
      </c>
      <c r="L675" s="46">
        <f>IF($A$1='Data Entry'!$C676,'Data Entry'!M676,"")</f>
        <v>0</v>
      </c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  <c r="AA675" s="43"/>
      <c r="AB675" s="43"/>
      <c r="AC675" s="43"/>
      <c r="AD675" s="43"/>
      <c r="AE675" s="43"/>
      <c r="AF675" s="43"/>
      <c r="AG675" s="43"/>
      <c r="AH675" s="43"/>
      <c r="AI675" s="43"/>
      <c r="AJ675" s="43"/>
    </row>
    <row r="676" spans="1:36" ht="15.95" customHeight="1" x14ac:dyDescent="0.2">
      <c r="A676" s="43"/>
      <c r="B676" s="45">
        <v>113</v>
      </c>
      <c r="C676" s="46">
        <f>IF($A$1='Data Entry'!$C677,'Data Entry'!D677,"")</f>
        <v>0</v>
      </c>
      <c r="D676" s="46">
        <f>IF($A$1='Data Entry'!$C677,'Data Entry'!E677,"")</f>
        <v>0</v>
      </c>
      <c r="E676" s="46">
        <f>IF($A$1='Data Entry'!$C677,'Data Entry'!F677,"")</f>
        <v>0</v>
      </c>
      <c r="F676" s="46">
        <f>IF($A$1='Data Entry'!$C677,'Data Entry'!G677,"")</f>
        <v>0</v>
      </c>
      <c r="G676" s="46">
        <f>IF($A$1='Data Entry'!$C677,'Data Entry'!H677,"")</f>
        <v>0</v>
      </c>
      <c r="H676" s="46">
        <f>IF($A$1='Data Entry'!$C677,'Data Entry'!I677,"")</f>
        <v>0</v>
      </c>
      <c r="I676" s="46">
        <f>IF($A$1='Data Entry'!$C677,'Data Entry'!J677,"")</f>
        <v>0</v>
      </c>
      <c r="J676" s="46">
        <f>IF($A$1='Data Entry'!$C677,'Data Entry'!K677,"")</f>
        <v>0</v>
      </c>
      <c r="K676" s="46">
        <f>IF($A$1='Data Entry'!$C677,'Data Entry'!L677,"")</f>
        <v>0</v>
      </c>
      <c r="L676" s="46">
        <f>IF($A$1='Data Entry'!$C677,'Data Entry'!M677,"")</f>
        <v>0</v>
      </c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  <c r="AA676" s="43"/>
      <c r="AB676" s="43"/>
      <c r="AC676" s="43"/>
      <c r="AD676" s="43"/>
      <c r="AE676" s="43"/>
      <c r="AF676" s="43"/>
      <c r="AG676" s="43"/>
      <c r="AH676" s="43"/>
      <c r="AI676" s="43"/>
      <c r="AJ676" s="43"/>
    </row>
    <row r="677" spans="1:36" ht="15.95" customHeight="1" x14ac:dyDescent="0.2">
      <c r="A677" s="43"/>
      <c r="B677" s="45">
        <v>113</v>
      </c>
      <c r="C677" s="46">
        <f>IF($A$1='Data Entry'!$C678,'Data Entry'!D678,"")</f>
        <v>0</v>
      </c>
      <c r="D677" s="46">
        <f>IF($A$1='Data Entry'!$C678,'Data Entry'!E678,"")</f>
        <v>0</v>
      </c>
      <c r="E677" s="46">
        <f>IF($A$1='Data Entry'!$C678,'Data Entry'!F678,"")</f>
        <v>0</v>
      </c>
      <c r="F677" s="46">
        <f>IF($A$1='Data Entry'!$C678,'Data Entry'!G678,"")</f>
        <v>0</v>
      </c>
      <c r="G677" s="46">
        <f>IF($A$1='Data Entry'!$C678,'Data Entry'!H678,"")</f>
        <v>0</v>
      </c>
      <c r="H677" s="46">
        <f>IF($A$1='Data Entry'!$C678,'Data Entry'!I678,"")</f>
        <v>0</v>
      </c>
      <c r="I677" s="46">
        <f>IF($A$1='Data Entry'!$C678,'Data Entry'!J678,"")</f>
        <v>0</v>
      </c>
      <c r="J677" s="46">
        <f>IF($A$1='Data Entry'!$C678,'Data Entry'!K678,"")</f>
        <v>0</v>
      </c>
      <c r="K677" s="46">
        <f>IF($A$1='Data Entry'!$C678,'Data Entry'!L678,"")</f>
        <v>0</v>
      </c>
      <c r="L677" s="46">
        <f>IF($A$1='Data Entry'!$C678,'Data Entry'!M678,"")</f>
        <v>0</v>
      </c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  <c r="AA677" s="43"/>
      <c r="AB677" s="43"/>
      <c r="AC677" s="43"/>
      <c r="AD677" s="43"/>
      <c r="AE677" s="43"/>
      <c r="AF677" s="43"/>
      <c r="AG677" s="43"/>
      <c r="AH677" s="43"/>
      <c r="AI677" s="43"/>
      <c r="AJ677" s="43"/>
    </row>
    <row r="678" spans="1:36" ht="15.95" customHeight="1" x14ac:dyDescent="0.2">
      <c r="A678" s="43"/>
      <c r="B678" s="45">
        <v>113</v>
      </c>
      <c r="C678" s="46">
        <f>IF($A$1='Data Entry'!$C679,'Data Entry'!D679,"")</f>
        <v>0</v>
      </c>
      <c r="D678" s="46">
        <f>IF($A$1='Data Entry'!$C679,'Data Entry'!E679,"")</f>
        <v>0</v>
      </c>
      <c r="E678" s="46">
        <f>IF($A$1='Data Entry'!$C679,'Data Entry'!F679,"")</f>
        <v>0</v>
      </c>
      <c r="F678" s="46">
        <f>IF($A$1='Data Entry'!$C679,'Data Entry'!G679,"")</f>
        <v>0</v>
      </c>
      <c r="G678" s="46">
        <f>IF($A$1='Data Entry'!$C679,'Data Entry'!H679,"")</f>
        <v>0</v>
      </c>
      <c r="H678" s="46">
        <f>IF($A$1='Data Entry'!$C679,'Data Entry'!I679,"")</f>
        <v>0</v>
      </c>
      <c r="I678" s="46">
        <f>IF($A$1='Data Entry'!$C679,'Data Entry'!J679,"")</f>
        <v>0</v>
      </c>
      <c r="J678" s="46">
        <f>IF($A$1='Data Entry'!$C679,'Data Entry'!K679,"")</f>
        <v>0</v>
      </c>
      <c r="K678" s="46">
        <f>IF($A$1='Data Entry'!$C679,'Data Entry'!L679,"")</f>
        <v>0</v>
      </c>
      <c r="L678" s="46">
        <f>IF($A$1='Data Entry'!$C679,'Data Entry'!M679,"")</f>
        <v>0</v>
      </c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  <c r="AA678" s="43"/>
      <c r="AB678" s="43"/>
      <c r="AC678" s="43"/>
      <c r="AD678" s="43"/>
      <c r="AE678" s="43"/>
      <c r="AF678" s="43"/>
      <c r="AG678" s="43"/>
      <c r="AH678" s="43"/>
      <c r="AI678" s="43"/>
      <c r="AJ678" s="43"/>
    </row>
    <row r="679" spans="1:36" ht="15.95" customHeight="1" x14ac:dyDescent="0.2">
      <c r="A679" s="43"/>
      <c r="B679" s="45">
        <v>113</v>
      </c>
      <c r="C679" s="46">
        <f>IF($A$1='Data Entry'!$C680,'Data Entry'!D680,"")</f>
        <v>0</v>
      </c>
      <c r="D679" s="46">
        <f>IF($A$1='Data Entry'!$C680,'Data Entry'!E680,"")</f>
        <v>0</v>
      </c>
      <c r="E679" s="46">
        <f>IF($A$1='Data Entry'!$C680,'Data Entry'!F680,"")</f>
        <v>0</v>
      </c>
      <c r="F679" s="46">
        <f>IF($A$1='Data Entry'!$C680,'Data Entry'!G680,"")</f>
        <v>0</v>
      </c>
      <c r="G679" s="46">
        <f>IF($A$1='Data Entry'!$C680,'Data Entry'!H680,"")</f>
        <v>0</v>
      </c>
      <c r="H679" s="46">
        <f>IF($A$1='Data Entry'!$C680,'Data Entry'!I680,"")</f>
        <v>0</v>
      </c>
      <c r="I679" s="46">
        <f>IF($A$1='Data Entry'!$C680,'Data Entry'!J680,"")</f>
        <v>0</v>
      </c>
      <c r="J679" s="46">
        <f>IF($A$1='Data Entry'!$C680,'Data Entry'!K680,"")</f>
        <v>0</v>
      </c>
      <c r="K679" s="46">
        <f>IF($A$1='Data Entry'!$C680,'Data Entry'!L680,"")</f>
        <v>0</v>
      </c>
      <c r="L679" s="46">
        <f>IF($A$1='Data Entry'!$C680,'Data Entry'!M680,"")</f>
        <v>0</v>
      </c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  <c r="AA679" s="43"/>
      <c r="AB679" s="43"/>
      <c r="AC679" s="43"/>
      <c r="AD679" s="43"/>
      <c r="AE679" s="43"/>
      <c r="AF679" s="43"/>
      <c r="AG679" s="43"/>
      <c r="AH679" s="43"/>
      <c r="AI679" s="43"/>
      <c r="AJ679" s="43"/>
    </row>
    <row r="680" spans="1:36" ht="15.95" customHeight="1" x14ac:dyDescent="0.2">
      <c r="A680" s="43"/>
      <c r="B680" s="45">
        <v>113</v>
      </c>
      <c r="C680" s="46">
        <f>IF($A$1='Data Entry'!$C681,'Data Entry'!D681,"")</f>
        <v>0</v>
      </c>
      <c r="D680" s="46">
        <f>IF($A$1='Data Entry'!$C681,'Data Entry'!E681,"")</f>
        <v>0</v>
      </c>
      <c r="E680" s="46">
        <f>IF($A$1='Data Entry'!$C681,'Data Entry'!F681,"")</f>
        <v>0</v>
      </c>
      <c r="F680" s="46">
        <f>IF($A$1='Data Entry'!$C681,'Data Entry'!G681,"")</f>
        <v>0</v>
      </c>
      <c r="G680" s="46">
        <f>IF($A$1='Data Entry'!$C681,'Data Entry'!H681,"")</f>
        <v>0</v>
      </c>
      <c r="H680" s="46">
        <f>IF($A$1='Data Entry'!$C681,'Data Entry'!I681,"")</f>
        <v>0</v>
      </c>
      <c r="I680" s="46">
        <f>IF($A$1='Data Entry'!$C681,'Data Entry'!J681,"")</f>
        <v>0</v>
      </c>
      <c r="J680" s="46">
        <f>IF($A$1='Data Entry'!$C681,'Data Entry'!K681,"")</f>
        <v>0</v>
      </c>
      <c r="K680" s="46">
        <f>IF($A$1='Data Entry'!$C681,'Data Entry'!L681,"")</f>
        <v>0</v>
      </c>
      <c r="L680" s="46">
        <f>IF($A$1='Data Entry'!$C681,'Data Entry'!M681,"")</f>
        <v>0</v>
      </c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  <c r="AA680" s="43"/>
      <c r="AB680" s="43"/>
      <c r="AC680" s="43"/>
      <c r="AD680" s="43"/>
      <c r="AE680" s="43"/>
      <c r="AF680" s="43"/>
      <c r="AG680" s="43"/>
      <c r="AH680" s="43"/>
      <c r="AI680" s="43"/>
      <c r="AJ680" s="43"/>
    </row>
    <row r="681" spans="1:36" ht="15.95" customHeight="1" x14ac:dyDescent="0.2">
      <c r="A681" s="43"/>
      <c r="B681" s="45">
        <v>114</v>
      </c>
      <c r="C681" s="46">
        <f>IF($A$1='Data Entry'!$C682,'Data Entry'!D682,"")</f>
        <v>0</v>
      </c>
      <c r="D681" s="46">
        <f>IF($A$1='Data Entry'!$C682,'Data Entry'!E682,"")</f>
        <v>0</v>
      </c>
      <c r="E681" s="46">
        <f>IF($A$1='Data Entry'!$C682,'Data Entry'!F682,"")</f>
        <v>0</v>
      </c>
      <c r="F681" s="46">
        <f>IF($A$1='Data Entry'!$C682,'Data Entry'!G682,"")</f>
        <v>0</v>
      </c>
      <c r="G681" s="46">
        <f>IF($A$1='Data Entry'!$C682,'Data Entry'!H682,"")</f>
        <v>0</v>
      </c>
      <c r="H681" s="46">
        <f>IF($A$1='Data Entry'!$C682,'Data Entry'!I682,"")</f>
        <v>0</v>
      </c>
      <c r="I681" s="46">
        <f>IF($A$1='Data Entry'!$C682,'Data Entry'!J682,"")</f>
        <v>0</v>
      </c>
      <c r="J681" s="46">
        <f>IF($A$1='Data Entry'!$C682,'Data Entry'!K682,"")</f>
        <v>0</v>
      </c>
      <c r="K681" s="46">
        <f>IF($A$1='Data Entry'!$C682,'Data Entry'!L682,"")</f>
        <v>0</v>
      </c>
      <c r="L681" s="46">
        <f>IF($A$1='Data Entry'!$C682,'Data Entry'!M682,"")</f>
        <v>0</v>
      </c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  <c r="AA681" s="43"/>
      <c r="AB681" s="43"/>
      <c r="AC681" s="43"/>
      <c r="AD681" s="43"/>
      <c r="AE681" s="43"/>
      <c r="AF681" s="43"/>
      <c r="AG681" s="43"/>
      <c r="AH681" s="43"/>
      <c r="AI681" s="43"/>
      <c r="AJ681" s="43"/>
    </row>
    <row r="682" spans="1:36" ht="15.95" customHeight="1" x14ac:dyDescent="0.2">
      <c r="A682" s="43"/>
      <c r="B682" s="45">
        <v>114</v>
      </c>
      <c r="C682" s="46">
        <f>IF($A$1='Data Entry'!$C683,'Data Entry'!D683,"")</f>
        <v>0</v>
      </c>
      <c r="D682" s="46">
        <f>IF($A$1='Data Entry'!$C683,'Data Entry'!E683,"")</f>
        <v>0</v>
      </c>
      <c r="E682" s="46">
        <f>IF($A$1='Data Entry'!$C683,'Data Entry'!F683,"")</f>
        <v>0</v>
      </c>
      <c r="F682" s="46">
        <f>IF($A$1='Data Entry'!$C683,'Data Entry'!G683,"")</f>
        <v>0</v>
      </c>
      <c r="G682" s="46">
        <f>IF($A$1='Data Entry'!$C683,'Data Entry'!H683,"")</f>
        <v>0</v>
      </c>
      <c r="H682" s="46">
        <f>IF($A$1='Data Entry'!$C683,'Data Entry'!I683,"")</f>
        <v>0</v>
      </c>
      <c r="I682" s="46">
        <f>IF($A$1='Data Entry'!$C683,'Data Entry'!J683,"")</f>
        <v>0</v>
      </c>
      <c r="J682" s="46">
        <f>IF($A$1='Data Entry'!$C683,'Data Entry'!K683,"")</f>
        <v>0</v>
      </c>
      <c r="K682" s="46">
        <f>IF($A$1='Data Entry'!$C683,'Data Entry'!L683,"")</f>
        <v>0</v>
      </c>
      <c r="L682" s="46">
        <f>IF($A$1='Data Entry'!$C683,'Data Entry'!M683,"")</f>
        <v>0</v>
      </c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  <c r="AA682" s="43"/>
      <c r="AB682" s="43"/>
      <c r="AC682" s="43"/>
      <c r="AD682" s="43"/>
      <c r="AE682" s="43"/>
      <c r="AF682" s="43"/>
      <c r="AG682" s="43"/>
      <c r="AH682" s="43"/>
      <c r="AI682" s="43"/>
      <c r="AJ682" s="43"/>
    </row>
    <row r="683" spans="1:36" ht="15.95" customHeight="1" x14ac:dyDescent="0.2">
      <c r="A683" s="43"/>
      <c r="B683" s="45">
        <v>114</v>
      </c>
      <c r="C683" s="46">
        <f>IF($A$1='Data Entry'!$C684,'Data Entry'!D684,"")</f>
        <v>0</v>
      </c>
      <c r="D683" s="46">
        <f>IF($A$1='Data Entry'!$C684,'Data Entry'!E684,"")</f>
        <v>0</v>
      </c>
      <c r="E683" s="46">
        <f>IF($A$1='Data Entry'!$C684,'Data Entry'!F684,"")</f>
        <v>0</v>
      </c>
      <c r="F683" s="46">
        <f>IF($A$1='Data Entry'!$C684,'Data Entry'!G684,"")</f>
        <v>0</v>
      </c>
      <c r="G683" s="46">
        <f>IF($A$1='Data Entry'!$C684,'Data Entry'!H684,"")</f>
        <v>0</v>
      </c>
      <c r="H683" s="46">
        <f>IF($A$1='Data Entry'!$C684,'Data Entry'!I684,"")</f>
        <v>0</v>
      </c>
      <c r="I683" s="46">
        <f>IF($A$1='Data Entry'!$C684,'Data Entry'!J684,"")</f>
        <v>0</v>
      </c>
      <c r="J683" s="46">
        <f>IF($A$1='Data Entry'!$C684,'Data Entry'!K684,"")</f>
        <v>0</v>
      </c>
      <c r="K683" s="46">
        <f>IF($A$1='Data Entry'!$C684,'Data Entry'!L684,"")</f>
        <v>0</v>
      </c>
      <c r="L683" s="46">
        <f>IF($A$1='Data Entry'!$C684,'Data Entry'!M684,"")</f>
        <v>0</v>
      </c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  <c r="AA683" s="43"/>
      <c r="AB683" s="43"/>
      <c r="AC683" s="43"/>
      <c r="AD683" s="43"/>
      <c r="AE683" s="43"/>
      <c r="AF683" s="43"/>
      <c r="AG683" s="43"/>
      <c r="AH683" s="43"/>
      <c r="AI683" s="43"/>
      <c r="AJ683" s="43"/>
    </row>
    <row r="684" spans="1:36" ht="15.95" customHeight="1" x14ac:dyDescent="0.2">
      <c r="A684" s="43"/>
      <c r="B684" s="45">
        <v>114</v>
      </c>
      <c r="C684" s="46">
        <f>IF($A$1='Data Entry'!$C685,'Data Entry'!D685,"")</f>
        <v>0</v>
      </c>
      <c r="D684" s="46">
        <f>IF($A$1='Data Entry'!$C685,'Data Entry'!E685,"")</f>
        <v>0</v>
      </c>
      <c r="E684" s="46">
        <f>IF($A$1='Data Entry'!$C685,'Data Entry'!F685,"")</f>
        <v>0</v>
      </c>
      <c r="F684" s="46">
        <f>IF($A$1='Data Entry'!$C685,'Data Entry'!G685,"")</f>
        <v>0</v>
      </c>
      <c r="G684" s="46">
        <f>IF($A$1='Data Entry'!$C685,'Data Entry'!H685,"")</f>
        <v>0</v>
      </c>
      <c r="H684" s="46">
        <f>IF($A$1='Data Entry'!$C685,'Data Entry'!I685,"")</f>
        <v>0</v>
      </c>
      <c r="I684" s="46">
        <f>IF($A$1='Data Entry'!$C685,'Data Entry'!J685,"")</f>
        <v>0</v>
      </c>
      <c r="J684" s="46">
        <f>IF($A$1='Data Entry'!$C685,'Data Entry'!K685,"")</f>
        <v>0</v>
      </c>
      <c r="K684" s="46">
        <f>IF($A$1='Data Entry'!$C685,'Data Entry'!L685,"")</f>
        <v>0</v>
      </c>
      <c r="L684" s="46">
        <f>IF($A$1='Data Entry'!$C685,'Data Entry'!M685,"")</f>
        <v>0</v>
      </c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  <c r="AA684" s="43"/>
      <c r="AB684" s="43"/>
      <c r="AC684" s="43"/>
      <c r="AD684" s="43"/>
      <c r="AE684" s="43"/>
      <c r="AF684" s="43"/>
      <c r="AG684" s="43"/>
      <c r="AH684" s="43"/>
      <c r="AI684" s="43"/>
      <c r="AJ684" s="43"/>
    </row>
    <row r="685" spans="1:36" ht="15.95" customHeight="1" x14ac:dyDescent="0.2">
      <c r="A685" s="43"/>
      <c r="B685" s="45">
        <v>114</v>
      </c>
      <c r="C685" s="46">
        <f>IF($A$1='Data Entry'!$C686,'Data Entry'!D686,"")</f>
        <v>0</v>
      </c>
      <c r="D685" s="46">
        <f>IF($A$1='Data Entry'!$C686,'Data Entry'!E686,"")</f>
        <v>0</v>
      </c>
      <c r="E685" s="46">
        <f>IF($A$1='Data Entry'!$C686,'Data Entry'!F686,"")</f>
        <v>0</v>
      </c>
      <c r="F685" s="46">
        <f>IF($A$1='Data Entry'!$C686,'Data Entry'!G686,"")</f>
        <v>0</v>
      </c>
      <c r="G685" s="46">
        <f>IF($A$1='Data Entry'!$C686,'Data Entry'!H686,"")</f>
        <v>0</v>
      </c>
      <c r="H685" s="46">
        <f>IF($A$1='Data Entry'!$C686,'Data Entry'!I686,"")</f>
        <v>0</v>
      </c>
      <c r="I685" s="46">
        <f>IF($A$1='Data Entry'!$C686,'Data Entry'!J686,"")</f>
        <v>0</v>
      </c>
      <c r="J685" s="46">
        <f>IF($A$1='Data Entry'!$C686,'Data Entry'!K686,"")</f>
        <v>0</v>
      </c>
      <c r="K685" s="46">
        <f>IF($A$1='Data Entry'!$C686,'Data Entry'!L686,"")</f>
        <v>0</v>
      </c>
      <c r="L685" s="46">
        <f>IF($A$1='Data Entry'!$C686,'Data Entry'!M686,"")</f>
        <v>0</v>
      </c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  <c r="AA685" s="43"/>
      <c r="AB685" s="43"/>
      <c r="AC685" s="43"/>
      <c r="AD685" s="43"/>
      <c r="AE685" s="43"/>
      <c r="AF685" s="43"/>
      <c r="AG685" s="43"/>
      <c r="AH685" s="43"/>
      <c r="AI685" s="43"/>
      <c r="AJ685" s="43"/>
    </row>
    <row r="686" spans="1:36" ht="15.95" customHeight="1" x14ac:dyDescent="0.2">
      <c r="A686" s="43"/>
      <c r="B686" s="45">
        <v>114</v>
      </c>
      <c r="C686" s="46">
        <f>IF($A$1='Data Entry'!$C687,'Data Entry'!D687,"")</f>
        <v>0</v>
      </c>
      <c r="D686" s="46">
        <f>IF($A$1='Data Entry'!$C687,'Data Entry'!E687,"")</f>
        <v>0</v>
      </c>
      <c r="E686" s="46">
        <f>IF($A$1='Data Entry'!$C687,'Data Entry'!F687,"")</f>
        <v>0</v>
      </c>
      <c r="F686" s="46">
        <f>IF($A$1='Data Entry'!$C687,'Data Entry'!G687,"")</f>
        <v>0</v>
      </c>
      <c r="G686" s="46">
        <f>IF($A$1='Data Entry'!$C687,'Data Entry'!H687,"")</f>
        <v>0</v>
      </c>
      <c r="H686" s="46">
        <f>IF($A$1='Data Entry'!$C687,'Data Entry'!I687,"")</f>
        <v>0</v>
      </c>
      <c r="I686" s="46">
        <f>IF($A$1='Data Entry'!$C687,'Data Entry'!J687,"")</f>
        <v>0</v>
      </c>
      <c r="J686" s="46">
        <f>IF($A$1='Data Entry'!$C687,'Data Entry'!K687,"")</f>
        <v>0</v>
      </c>
      <c r="K686" s="46">
        <f>IF($A$1='Data Entry'!$C687,'Data Entry'!L687,"")</f>
        <v>0</v>
      </c>
      <c r="L686" s="46">
        <f>IF($A$1='Data Entry'!$C687,'Data Entry'!M687,"")</f>
        <v>0</v>
      </c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  <c r="AA686" s="43"/>
      <c r="AB686" s="43"/>
      <c r="AC686" s="43"/>
      <c r="AD686" s="43"/>
      <c r="AE686" s="43"/>
      <c r="AF686" s="43"/>
      <c r="AG686" s="43"/>
      <c r="AH686" s="43"/>
      <c r="AI686" s="43"/>
      <c r="AJ686" s="43"/>
    </row>
    <row r="687" spans="1:36" ht="15.95" customHeight="1" x14ac:dyDescent="0.2">
      <c r="A687" s="43"/>
      <c r="B687" s="45">
        <v>115</v>
      </c>
      <c r="C687" s="46">
        <f>IF($A$1='Data Entry'!$C688,'Data Entry'!D688,"")</f>
        <v>0</v>
      </c>
      <c r="D687" s="46">
        <f>IF($A$1='Data Entry'!$C688,'Data Entry'!E688,"")</f>
        <v>0</v>
      </c>
      <c r="E687" s="46">
        <f>IF($A$1='Data Entry'!$C688,'Data Entry'!F688,"")</f>
        <v>0</v>
      </c>
      <c r="F687" s="46">
        <f>IF($A$1='Data Entry'!$C688,'Data Entry'!G688,"")</f>
        <v>0</v>
      </c>
      <c r="G687" s="46">
        <f>IF($A$1='Data Entry'!$C688,'Data Entry'!H688,"")</f>
        <v>0</v>
      </c>
      <c r="H687" s="46">
        <f>IF($A$1='Data Entry'!$C688,'Data Entry'!I688,"")</f>
        <v>0</v>
      </c>
      <c r="I687" s="46">
        <f>IF($A$1='Data Entry'!$C688,'Data Entry'!J688,"")</f>
        <v>0</v>
      </c>
      <c r="J687" s="46">
        <f>IF($A$1='Data Entry'!$C688,'Data Entry'!K688,"")</f>
        <v>0</v>
      </c>
      <c r="K687" s="46">
        <f>IF($A$1='Data Entry'!$C688,'Data Entry'!L688,"")</f>
        <v>0</v>
      </c>
      <c r="L687" s="46">
        <f>IF($A$1='Data Entry'!$C688,'Data Entry'!M688,"")</f>
        <v>0</v>
      </c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  <c r="AA687" s="43"/>
      <c r="AB687" s="43"/>
      <c r="AC687" s="43"/>
      <c r="AD687" s="43"/>
      <c r="AE687" s="43"/>
      <c r="AF687" s="43"/>
      <c r="AG687" s="43"/>
      <c r="AH687" s="43"/>
      <c r="AI687" s="43"/>
      <c r="AJ687" s="43"/>
    </row>
    <row r="688" spans="1:36" ht="15.95" customHeight="1" x14ac:dyDescent="0.2">
      <c r="A688" s="43"/>
      <c r="B688" s="45">
        <v>115</v>
      </c>
      <c r="C688" s="46">
        <f>IF($A$1='Data Entry'!$C689,'Data Entry'!D689,"")</f>
        <v>0</v>
      </c>
      <c r="D688" s="46">
        <f>IF($A$1='Data Entry'!$C689,'Data Entry'!E689,"")</f>
        <v>0</v>
      </c>
      <c r="E688" s="46">
        <f>IF($A$1='Data Entry'!$C689,'Data Entry'!F689,"")</f>
        <v>0</v>
      </c>
      <c r="F688" s="46">
        <f>IF($A$1='Data Entry'!$C689,'Data Entry'!G689,"")</f>
        <v>0</v>
      </c>
      <c r="G688" s="46">
        <f>IF($A$1='Data Entry'!$C689,'Data Entry'!H689,"")</f>
        <v>0</v>
      </c>
      <c r="H688" s="46">
        <f>IF($A$1='Data Entry'!$C689,'Data Entry'!I689,"")</f>
        <v>0</v>
      </c>
      <c r="I688" s="46">
        <f>IF($A$1='Data Entry'!$C689,'Data Entry'!J689,"")</f>
        <v>0</v>
      </c>
      <c r="J688" s="46">
        <f>IF($A$1='Data Entry'!$C689,'Data Entry'!K689,"")</f>
        <v>0</v>
      </c>
      <c r="K688" s="46">
        <f>IF($A$1='Data Entry'!$C689,'Data Entry'!L689,"")</f>
        <v>0</v>
      </c>
      <c r="L688" s="46">
        <f>IF($A$1='Data Entry'!$C689,'Data Entry'!M689,"")</f>
        <v>0</v>
      </c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  <c r="AA688" s="43"/>
      <c r="AB688" s="43"/>
      <c r="AC688" s="43"/>
      <c r="AD688" s="43"/>
      <c r="AE688" s="43"/>
      <c r="AF688" s="43"/>
      <c r="AG688" s="43"/>
      <c r="AH688" s="43"/>
      <c r="AI688" s="43"/>
      <c r="AJ688" s="43"/>
    </row>
    <row r="689" spans="1:36" ht="15.95" customHeight="1" x14ac:dyDescent="0.2">
      <c r="A689" s="43"/>
      <c r="B689" s="45">
        <v>115</v>
      </c>
      <c r="C689" s="46">
        <f>IF($A$1='Data Entry'!$C690,'Data Entry'!D690,"")</f>
        <v>0</v>
      </c>
      <c r="D689" s="46">
        <f>IF($A$1='Data Entry'!$C690,'Data Entry'!E690,"")</f>
        <v>0</v>
      </c>
      <c r="E689" s="46">
        <f>IF($A$1='Data Entry'!$C690,'Data Entry'!F690,"")</f>
        <v>0</v>
      </c>
      <c r="F689" s="46">
        <f>IF($A$1='Data Entry'!$C690,'Data Entry'!G690,"")</f>
        <v>0</v>
      </c>
      <c r="G689" s="46">
        <f>IF($A$1='Data Entry'!$C690,'Data Entry'!H690,"")</f>
        <v>0</v>
      </c>
      <c r="H689" s="46">
        <f>IF($A$1='Data Entry'!$C690,'Data Entry'!I690,"")</f>
        <v>0</v>
      </c>
      <c r="I689" s="46">
        <f>IF($A$1='Data Entry'!$C690,'Data Entry'!J690,"")</f>
        <v>0</v>
      </c>
      <c r="J689" s="46">
        <f>IF($A$1='Data Entry'!$C690,'Data Entry'!K690,"")</f>
        <v>0</v>
      </c>
      <c r="K689" s="46">
        <f>IF($A$1='Data Entry'!$C690,'Data Entry'!L690,"")</f>
        <v>0</v>
      </c>
      <c r="L689" s="46">
        <f>IF($A$1='Data Entry'!$C690,'Data Entry'!M690,"")</f>
        <v>0</v>
      </c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  <c r="AA689" s="43"/>
      <c r="AB689" s="43"/>
      <c r="AC689" s="43"/>
      <c r="AD689" s="43"/>
      <c r="AE689" s="43"/>
      <c r="AF689" s="43"/>
      <c r="AG689" s="43"/>
      <c r="AH689" s="43"/>
      <c r="AI689" s="43"/>
      <c r="AJ689" s="43"/>
    </row>
    <row r="690" spans="1:36" ht="15.95" customHeight="1" x14ac:dyDescent="0.2">
      <c r="A690" s="43"/>
      <c r="B690" s="45">
        <v>115</v>
      </c>
      <c r="C690" s="46">
        <f>IF($A$1='Data Entry'!$C691,'Data Entry'!D691,"")</f>
        <v>0</v>
      </c>
      <c r="D690" s="46">
        <f>IF($A$1='Data Entry'!$C691,'Data Entry'!E691,"")</f>
        <v>0</v>
      </c>
      <c r="E690" s="46">
        <f>IF($A$1='Data Entry'!$C691,'Data Entry'!F691,"")</f>
        <v>0</v>
      </c>
      <c r="F690" s="46">
        <f>IF($A$1='Data Entry'!$C691,'Data Entry'!G691,"")</f>
        <v>0</v>
      </c>
      <c r="G690" s="46">
        <f>IF($A$1='Data Entry'!$C691,'Data Entry'!H691,"")</f>
        <v>0</v>
      </c>
      <c r="H690" s="46">
        <f>IF($A$1='Data Entry'!$C691,'Data Entry'!I691,"")</f>
        <v>0</v>
      </c>
      <c r="I690" s="46">
        <f>IF($A$1='Data Entry'!$C691,'Data Entry'!J691,"")</f>
        <v>0</v>
      </c>
      <c r="J690" s="46">
        <f>IF($A$1='Data Entry'!$C691,'Data Entry'!K691,"")</f>
        <v>0</v>
      </c>
      <c r="K690" s="46">
        <f>IF($A$1='Data Entry'!$C691,'Data Entry'!L691,"")</f>
        <v>0</v>
      </c>
      <c r="L690" s="46">
        <f>IF($A$1='Data Entry'!$C691,'Data Entry'!M691,"")</f>
        <v>0</v>
      </c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  <c r="AA690" s="43"/>
      <c r="AB690" s="43"/>
      <c r="AC690" s="43"/>
      <c r="AD690" s="43"/>
      <c r="AE690" s="43"/>
      <c r="AF690" s="43"/>
      <c r="AG690" s="43"/>
      <c r="AH690" s="43"/>
      <c r="AI690" s="43"/>
      <c r="AJ690" s="43"/>
    </row>
    <row r="691" spans="1:36" ht="15.95" customHeight="1" x14ac:dyDescent="0.2">
      <c r="A691" s="43"/>
      <c r="B691" s="45">
        <v>115</v>
      </c>
      <c r="C691" s="46">
        <f>IF($A$1='Data Entry'!$C692,'Data Entry'!D692,"")</f>
        <v>0</v>
      </c>
      <c r="D691" s="46">
        <f>IF($A$1='Data Entry'!$C692,'Data Entry'!E692,"")</f>
        <v>0</v>
      </c>
      <c r="E691" s="46">
        <f>IF($A$1='Data Entry'!$C692,'Data Entry'!F692,"")</f>
        <v>0</v>
      </c>
      <c r="F691" s="46">
        <f>IF($A$1='Data Entry'!$C692,'Data Entry'!G692,"")</f>
        <v>0</v>
      </c>
      <c r="G691" s="46">
        <f>IF($A$1='Data Entry'!$C692,'Data Entry'!H692,"")</f>
        <v>0</v>
      </c>
      <c r="H691" s="46">
        <f>IF($A$1='Data Entry'!$C692,'Data Entry'!I692,"")</f>
        <v>0</v>
      </c>
      <c r="I691" s="46">
        <f>IF($A$1='Data Entry'!$C692,'Data Entry'!J692,"")</f>
        <v>0</v>
      </c>
      <c r="J691" s="46">
        <f>IF($A$1='Data Entry'!$C692,'Data Entry'!K692,"")</f>
        <v>0</v>
      </c>
      <c r="K691" s="46">
        <f>IF($A$1='Data Entry'!$C692,'Data Entry'!L692,"")</f>
        <v>0</v>
      </c>
      <c r="L691" s="46">
        <f>IF($A$1='Data Entry'!$C692,'Data Entry'!M692,"")</f>
        <v>0</v>
      </c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  <c r="AA691" s="43"/>
      <c r="AB691" s="43"/>
      <c r="AC691" s="43"/>
      <c r="AD691" s="43"/>
      <c r="AE691" s="43"/>
      <c r="AF691" s="43"/>
      <c r="AG691" s="43"/>
      <c r="AH691" s="43"/>
      <c r="AI691" s="43"/>
      <c r="AJ691" s="43"/>
    </row>
    <row r="692" spans="1:36" ht="15.95" customHeight="1" x14ac:dyDescent="0.2">
      <c r="A692" s="43"/>
      <c r="B692" s="45">
        <v>115</v>
      </c>
      <c r="C692" s="46">
        <f>IF($A$1='Data Entry'!$C693,'Data Entry'!D693,"")</f>
        <v>0</v>
      </c>
      <c r="D692" s="46">
        <f>IF($A$1='Data Entry'!$C693,'Data Entry'!E693,"")</f>
        <v>0</v>
      </c>
      <c r="E692" s="46">
        <f>IF($A$1='Data Entry'!$C693,'Data Entry'!F693,"")</f>
        <v>0</v>
      </c>
      <c r="F692" s="46">
        <f>IF($A$1='Data Entry'!$C693,'Data Entry'!G693,"")</f>
        <v>0</v>
      </c>
      <c r="G692" s="46">
        <f>IF($A$1='Data Entry'!$C693,'Data Entry'!H693,"")</f>
        <v>0</v>
      </c>
      <c r="H692" s="46">
        <f>IF($A$1='Data Entry'!$C693,'Data Entry'!I693,"")</f>
        <v>0</v>
      </c>
      <c r="I692" s="46">
        <f>IF($A$1='Data Entry'!$C693,'Data Entry'!J693,"")</f>
        <v>0</v>
      </c>
      <c r="J692" s="46">
        <f>IF($A$1='Data Entry'!$C693,'Data Entry'!K693,"")</f>
        <v>0</v>
      </c>
      <c r="K692" s="46">
        <f>IF($A$1='Data Entry'!$C693,'Data Entry'!L693,"")</f>
        <v>0</v>
      </c>
      <c r="L692" s="46">
        <f>IF($A$1='Data Entry'!$C693,'Data Entry'!M693,"")</f>
        <v>0</v>
      </c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  <c r="AA692" s="43"/>
      <c r="AB692" s="43"/>
      <c r="AC692" s="43"/>
      <c r="AD692" s="43"/>
      <c r="AE692" s="43"/>
      <c r="AF692" s="43"/>
      <c r="AG692" s="43"/>
      <c r="AH692" s="43"/>
      <c r="AI692" s="43"/>
      <c r="AJ692" s="43"/>
    </row>
    <row r="693" spans="1:36" ht="15.95" customHeight="1" x14ac:dyDescent="0.2">
      <c r="A693" s="43"/>
      <c r="B693" s="45">
        <v>116</v>
      </c>
      <c r="C693" s="46">
        <f>IF($A$1='Data Entry'!$C694,'Data Entry'!D694,"")</f>
        <v>0</v>
      </c>
      <c r="D693" s="46">
        <f>IF($A$1='Data Entry'!$C694,'Data Entry'!E694,"")</f>
        <v>0</v>
      </c>
      <c r="E693" s="46">
        <f>IF($A$1='Data Entry'!$C694,'Data Entry'!F694,"")</f>
        <v>0</v>
      </c>
      <c r="F693" s="46">
        <f>IF($A$1='Data Entry'!$C694,'Data Entry'!G694,"")</f>
        <v>0</v>
      </c>
      <c r="G693" s="46">
        <f>IF($A$1='Data Entry'!$C694,'Data Entry'!H694,"")</f>
        <v>0</v>
      </c>
      <c r="H693" s="46">
        <f>IF($A$1='Data Entry'!$C694,'Data Entry'!I694,"")</f>
        <v>0</v>
      </c>
      <c r="I693" s="46">
        <f>IF($A$1='Data Entry'!$C694,'Data Entry'!J694,"")</f>
        <v>0</v>
      </c>
      <c r="J693" s="46">
        <f>IF($A$1='Data Entry'!$C694,'Data Entry'!K694,"")</f>
        <v>0</v>
      </c>
      <c r="K693" s="46">
        <f>IF($A$1='Data Entry'!$C694,'Data Entry'!L694,"")</f>
        <v>0</v>
      </c>
      <c r="L693" s="46">
        <f>IF($A$1='Data Entry'!$C694,'Data Entry'!M694,"")</f>
        <v>0</v>
      </c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  <c r="AA693" s="43"/>
      <c r="AB693" s="43"/>
      <c r="AC693" s="43"/>
      <c r="AD693" s="43"/>
      <c r="AE693" s="43"/>
      <c r="AF693" s="43"/>
      <c r="AG693" s="43"/>
      <c r="AH693" s="43"/>
      <c r="AI693" s="43"/>
      <c r="AJ693" s="43"/>
    </row>
    <row r="694" spans="1:36" ht="15.95" customHeight="1" x14ac:dyDescent="0.2">
      <c r="A694" s="43"/>
      <c r="B694" s="45">
        <v>116</v>
      </c>
      <c r="C694" s="46">
        <f>IF($A$1='Data Entry'!$C695,'Data Entry'!D695,"")</f>
        <v>0</v>
      </c>
      <c r="D694" s="46">
        <f>IF($A$1='Data Entry'!$C695,'Data Entry'!E695,"")</f>
        <v>0</v>
      </c>
      <c r="E694" s="46">
        <f>IF($A$1='Data Entry'!$C695,'Data Entry'!F695,"")</f>
        <v>0</v>
      </c>
      <c r="F694" s="46">
        <f>IF($A$1='Data Entry'!$C695,'Data Entry'!G695,"")</f>
        <v>0</v>
      </c>
      <c r="G694" s="46">
        <f>IF($A$1='Data Entry'!$C695,'Data Entry'!H695,"")</f>
        <v>0</v>
      </c>
      <c r="H694" s="46">
        <f>IF($A$1='Data Entry'!$C695,'Data Entry'!I695,"")</f>
        <v>0</v>
      </c>
      <c r="I694" s="46">
        <f>IF($A$1='Data Entry'!$C695,'Data Entry'!J695,"")</f>
        <v>0</v>
      </c>
      <c r="J694" s="46">
        <f>IF($A$1='Data Entry'!$C695,'Data Entry'!K695,"")</f>
        <v>0</v>
      </c>
      <c r="K694" s="46">
        <f>IF($A$1='Data Entry'!$C695,'Data Entry'!L695,"")</f>
        <v>0</v>
      </c>
      <c r="L694" s="46">
        <f>IF($A$1='Data Entry'!$C695,'Data Entry'!M695,"")</f>
        <v>0</v>
      </c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  <c r="AA694" s="43"/>
      <c r="AB694" s="43"/>
      <c r="AC694" s="43"/>
      <c r="AD694" s="43"/>
      <c r="AE694" s="43"/>
      <c r="AF694" s="43"/>
      <c r="AG694" s="43"/>
      <c r="AH694" s="43"/>
      <c r="AI694" s="43"/>
      <c r="AJ694" s="43"/>
    </row>
    <row r="695" spans="1:36" ht="15.95" customHeight="1" x14ac:dyDescent="0.2">
      <c r="A695" s="43"/>
      <c r="B695" s="45">
        <v>116</v>
      </c>
      <c r="C695" s="46">
        <f>IF($A$1='Data Entry'!$C696,'Data Entry'!D696,"")</f>
        <v>0</v>
      </c>
      <c r="D695" s="46">
        <f>IF($A$1='Data Entry'!$C696,'Data Entry'!E696,"")</f>
        <v>0</v>
      </c>
      <c r="E695" s="46">
        <f>IF($A$1='Data Entry'!$C696,'Data Entry'!F696,"")</f>
        <v>0</v>
      </c>
      <c r="F695" s="46">
        <f>IF($A$1='Data Entry'!$C696,'Data Entry'!G696,"")</f>
        <v>0</v>
      </c>
      <c r="G695" s="46">
        <f>IF($A$1='Data Entry'!$C696,'Data Entry'!H696,"")</f>
        <v>0</v>
      </c>
      <c r="H695" s="46">
        <f>IF($A$1='Data Entry'!$C696,'Data Entry'!I696,"")</f>
        <v>0</v>
      </c>
      <c r="I695" s="46">
        <f>IF($A$1='Data Entry'!$C696,'Data Entry'!J696,"")</f>
        <v>0</v>
      </c>
      <c r="J695" s="46">
        <f>IF($A$1='Data Entry'!$C696,'Data Entry'!K696,"")</f>
        <v>0</v>
      </c>
      <c r="K695" s="46">
        <f>IF($A$1='Data Entry'!$C696,'Data Entry'!L696,"")</f>
        <v>0</v>
      </c>
      <c r="L695" s="46">
        <f>IF($A$1='Data Entry'!$C696,'Data Entry'!M696,"")</f>
        <v>0</v>
      </c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  <c r="AA695" s="43"/>
      <c r="AB695" s="43"/>
      <c r="AC695" s="43"/>
      <c r="AD695" s="43"/>
      <c r="AE695" s="43"/>
      <c r="AF695" s="43"/>
      <c r="AG695" s="43"/>
      <c r="AH695" s="43"/>
      <c r="AI695" s="43"/>
      <c r="AJ695" s="43"/>
    </row>
    <row r="696" spans="1:36" ht="15.95" customHeight="1" x14ac:dyDescent="0.2">
      <c r="A696" s="43"/>
      <c r="B696" s="45">
        <v>116</v>
      </c>
      <c r="C696" s="46">
        <f>IF($A$1='Data Entry'!$C697,'Data Entry'!D697,"")</f>
        <v>0</v>
      </c>
      <c r="D696" s="46">
        <f>IF($A$1='Data Entry'!$C697,'Data Entry'!E697,"")</f>
        <v>0</v>
      </c>
      <c r="E696" s="46">
        <f>IF($A$1='Data Entry'!$C697,'Data Entry'!F697,"")</f>
        <v>0</v>
      </c>
      <c r="F696" s="46">
        <f>IF($A$1='Data Entry'!$C697,'Data Entry'!G697,"")</f>
        <v>0</v>
      </c>
      <c r="G696" s="46">
        <f>IF($A$1='Data Entry'!$C697,'Data Entry'!H697,"")</f>
        <v>0</v>
      </c>
      <c r="H696" s="46">
        <f>IF($A$1='Data Entry'!$C697,'Data Entry'!I697,"")</f>
        <v>0</v>
      </c>
      <c r="I696" s="46">
        <f>IF($A$1='Data Entry'!$C697,'Data Entry'!J697,"")</f>
        <v>0</v>
      </c>
      <c r="J696" s="46">
        <f>IF($A$1='Data Entry'!$C697,'Data Entry'!K697,"")</f>
        <v>0</v>
      </c>
      <c r="K696" s="46">
        <f>IF($A$1='Data Entry'!$C697,'Data Entry'!L697,"")</f>
        <v>0</v>
      </c>
      <c r="L696" s="46">
        <f>IF($A$1='Data Entry'!$C697,'Data Entry'!M697,"")</f>
        <v>0</v>
      </c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  <c r="AA696" s="43"/>
      <c r="AB696" s="43"/>
      <c r="AC696" s="43"/>
      <c r="AD696" s="43"/>
      <c r="AE696" s="43"/>
      <c r="AF696" s="43"/>
      <c r="AG696" s="43"/>
      <c r="AH696" s="43"/>
      <c r="AI696" s="43"/>
      <c r="AJ696" s="43"/>
    </row>
    <row r="697" spans="1:36" ht="15.95" customHeight="1" x14ac:dyDescent="0.2">
      <c r="A697" s="43"/>
      <c r="B697" s="45">
        <v>116</v>
      </c>
      <c r="C697" s="46">
        <f>IF($A$1='Data Entry'!$C698,'Data Entry'!D698,"")</f>
        <v>0</v>
      </c>
      <c r="D697" s="46">
        <f>IF($A$1='Data Entry'!$C698,'Data Entry'!E698,"")</f>
        <v>0</v>
      </c>
      <c r="E697" s="46">
        <f>IF($A$1='Data Entry'!$C698,'Data Entry'!F698,"")</f>
        <v>0</v>
      </c>
      <c r="F697" s="46">
        <f>IF($A$1='Data Entry'!$C698,'Data Entry'!G698,"")</f>
        <v>0</v>
      </c>
      <c r="G697" s="46">
        <f>IF($A$1='Data Entry'!$C698,'Data Entry'!H698,"")</f>
        <v>0</v>
      </c>
      <c r="H697" s="46">
        <f>IF($A$1='Data Entry'!$C698,'Data Entry'!I698,"")</f>
        <v>0</v>
      </c>
      <c r="I697" s="46">
        <f>IF($A$1='Data Entry'!$C698,'Data Entry'!J698,"")</f>
        <v>0</v>
      </c>
      <c r="J697" s="46">
        <f>IF($A$1='Data Entry'!$C698,'Data Entry'!K698,"")</f>
        <v>0</v>
      </c>
      <c r="K697" s="46">
        <f>IF($A$1='Data Entry'!$C698,'Data Entry'!L698,"")</f>
        <v>0</v>
      </c>
      <c r="L697" s="46">
        <f>IF($A$1='Data Entry'!$C698,'Data Entry'!M698,"")</f>
        <v>0</v>
      </c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  <c r="AA697" s="43"/>
      <c r="AB697" s="43"/>
      <c r="AC697" s="43"/>
      <c r="AD697" s="43"/>
      <c r="AE697" s="43"/>
      <c r="AF697" s="43"/>
      <c r="AG697" s="43"/>
      <c r="AH697" s="43"/>
      <c r="AI697" s="43"/>
      <c r="AJ697" s="43"/>
    </row>
    <row r="698" spans="1:36" ht="15.95" customHeight="1" x14ac:dyDescent="0.2">
      <c r="A698" s="43"/>
      <c r="B698" s="45">
        <v>116</v>
      </c>
      <c r="C698" s="46">
        <f>IF($A$1='Data Entry'!$C699,'Data Entry'!D699,"")</f>
        <v>0</v>
      </c>
      <c r="D698" s="46">
        <f>IF($A$1='Data Entry'!$C699,'Data Entry'!E699,"")</f>
        <v>0</v>
      </c>
      <c r="E698" s="46">
        <f>IF($A$1='Data Entry'!$C699,'Data Entry'!F699,"")</f>
        <v>0</v>
      </c>
      <c r="F698" s="46">
        <f>IF($A$1='Data Entry'!$C699,'Data Entry'!G699,"")</f>
        <v>0</v>
      </c>
      <c r="G698" s="46">
        <f>IF($A$1='Data Entry'!$C699,'Data Entry'!H699,"")</f>
        <v>0</v>
      </c>
      <c r="H698" s="46">
        <f>IF($A$1='Data Entry'!$C699,'Data Entry'!I699,"")</f>
        <v>0</v>
      </c>
      <c r="I698" s="46">
        <f>IF($A$1='Data Entry'!$C699,'Data Entry'!J699,"")</f>
        <v>0</v>
      </c>
      <c r="J698" s="46">
        <f>IF($A$1='Data Entry'!$C699,'Data Entry'!K699,"")</f>
        <v>0</v>
      </c>
      <c r="K698" s="46">
        <f>IF($A$1='Data Entry'!$C699,'Data Entry'!L699,"")</f>
        <v>0</v>
      </c>
      <c r="L698" s="46">
        <f>IF($A$1='Data Entry'!$C699,'Data Entry'!M699,"")</f>
        <v>0</v>
      </c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  <c r="AA698" s="43"/>
      <c r="AB698" s="43"/>
      <c r="AC698" s="43"/>
      <c r="AD698" s="43"/>
      <c r="AE698" s="43"/>
      <c r="AF698" s="43"/>
      <c r="AG698" s="43"/>
      <c r="AH698" s="43"/>
      <c r="AI698" s="43"/>
      <c r="AJ698" s="43"/>
    </row>
    <row r="699" spans="1:36" ht="15.95" customHeight="1" x14ac:dyDescent="0.2">
      <c r="A699" s="43"/>
      <c r="B699" s="45">
        <v>117</v>
      </c>
      <c r="C699" s="46">
        <f>IF($A$1='Data Entry'!$C700,'Data Entry'!D700,"")</f>
        <v>0</v>
      </c>
      <c r="D699" s="46">
        <f>IF($A$1='Data Entry'!$C700,'Data Entry'!E700,"")</f>
        <v>0</v>
      </c>
      <c r="E699" s="46">
        <f>IF($A$1='Data Entry'!$C700,'Data Entry'!F700,"")</f>
        <v>0</v>
      </c>
      <c r="F699" s="46">
        <f>IF($A$1='Data Entry'!$C700,'Data Entry'!G700,"")</f>
        <v>0</v>
      </c>
      <c r="G699" s="46">
        <f>IF($A$1='Data Entry'!$C700,'Data Entry'!H700,"")</f>
        <v>0</v>
      </c>
      <c r="H699" s="46">
        <f>IF($A$1='Data Entry'!$C700,'Data Entry'!I700,"")</f>
        <v>0</v>
      </c>
      <c r="I699" s="46">
        <f>IF($A$1='Data Entry'!$C700,'Data Entry'!J700,"")</f>
        <v>0</v>
      </c>
      <c r="J699" s="46">
        <f>IF($A$1='Data Entry'!$C700,'Data Entry'!K700,"")</f>
        <v>0</v>
      </c>
      <c r="K699" s="46">
        <f>IF($A$1='Data Entry'!$C700,'Data Entry'!L700,"")</f>
        <v>0</v>
      </c>
      <c r="L699" s="46">
        <f>IF($A$1='Data Entry'!$C700,'Data Entry'!M700,"")</f>
        <v>0</v>
      </c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  <c r="AA699" s="43"/>
      <c r="AB699" s="43"/>
      <c r="AC699" s="43"/>
      <c r="AD699" s="43"/>
      <c r="AE699" s="43"/>
      <c r="AF699" s="43"/>
      <c r="AG699" s="43"/>
      <c r="AH699" s="43"/>
      <c r="AI699" s="43"/>
      <c r="AJ699" s="43"/>
    </row>
    <row r="700" spans="1:36" ht="15.95" customHeight="1" x14ac:dyDescent="0.2">
      <c r="A700" s="43"/>
      <c r="B700" s="45">
        <v>117</v>
      </c>
      <c r="C700" s="46">
        <f>IF($A$1='Data Entry'!$C701,'Data Entry'!D701,"")</f>
        <v>0</v>
      </c>
      <c r="D700" s="46">
        <f>IF($A$1='Data Entry'!$C701,'Data Entry'!E701,"")</f>
        <v>0</v>
      </c>
      <c r="E700" s="46">
        <f>IF($A$1='Data Entry'!$C701,'Data Entry'!F701,"")</f>
        <v>0</v>
      </c>
      <c r="F700" s="46">
        <f>IF($A$1='Data Entry'!$C701,'Data Entry'!G701,"")</f>
        <v>0</v>
      </c>
      <c r="G700" s="46">
        <f>IF($A$1='Data Entry'!$C701,'Data Entry'!H701,"")</f>
        <v>0</v>
      </c>
      <c r="H700" s="46">
        <f>IF($A$1='Data Entry'!$C701,'Data Entry'!I701,"")</f>
        <v>0</v>
      </c>
      <c r="I700" s="46">
        <f>IF($A$1='Data Entry'!$C701,'Data Entry'!J701,"")</f>
        <v>0</v>
      </c>
      <c r="J700" s="46">
        <f>IF($A$1='Data Entry'!$C701,'Data Entry'!K701,"")</f>
        <v>0</v>
      </c>
      <c r="K700" s="46">
        <f>IF($A$1='Data Entry'!$C701,'Data Entry'!L701,"")</f>
        <v>0</v>
      </c>
      <c r="L700" s="46">
        <f>IF($A$1='Data Entry'!$C701,'Data Entry'!M701,"")</f>
        <v>0</v>
      </c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  <c r="AA700" s="43"/>
      <c r="AB700" s="43"/>
      <c r="AC700" s="43"/>
      <c r="AD700" s="43"/>
      <c r="AE700" s="43"/>
      <c r="AF700" s="43"/>
      <c r="AG700" s="43"/>
      <c r="AH700" s="43"/>
      <c r="AI700" s="43"/>
      <c r="AJ700" s="43"/>
    </row>
    <row r="701" spans="1:36" ht="15.95" customHeight="1" x14ac:dyDescent="0.2">
      <c r="A701" s="43"/>
      <c r="B701" s="45">
        <v>117</v>
      </c>
      <c r="C701" s="46">
        <f>IF($A$1='Data Entry'!$C702,'Data Entry'!D702,"")</f>
        <v>0</v>
      </c>
      <c r="D701" s="46">
        <f>IF($A$1='Data Entry'!$C702,'Data Entry'!E702,"")</f>
        <v>0</v>
      </c>
      <c r="E701" s="46">
        <f>IF($A$1='Data Entry'!$C702,'Data Entry'!F702,"")</f>
        <v>0</v>
      </c>
      <c r="F701" s="46">
        <f>IF($A$1='Data Entry'!$C702,'Data Entry'!G702,"")</f>
        <v>0</v>
      </c>
      <c r="G701" s="46">
        <f>IF($A$1='Data Entry'!$C702,'Data Entry'!H702,"")</f>
        <v>0</v>
      </c>
      <c r="H701" s="46">
        <f>IF($A$1='Data Entry'!$C702,'Data Entry'!I702,"")</f>
        <v>0</v>
      </c>
      <c r="I701" s="46">
        <f>IF($A$1='Data Entry'!$C702,'Data Entry'!J702,"")</f>
        <v>0</v>
      </c>
      <c r="J701" s="46">
        <f>IF($A$1='Data Entry'!$C702,'Data Entry'!K702,"")</f>
        <v>0</v>
      </c>
      <c r="K701" s="46">
        <f>IF($A$1='Data Entry'!$C702,'Data Entry'!L702,"")</f>
        <v>0</v>
      </c>
      <c r="L701" s="46">
        <f>IF($A$1='Data Entry'!$C702,'Data Entry'!M702,"")</f>
        <v>0</v>
      </c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  <c r="AA701" s="43"/>
      <c r="AB701" s="43"/>
      <c r="AC701" s="43"/>
      <c r="AD701" s="43"/>
      <c r="AE701" s="43"/>
      <c r="AF701" s="43"/>
      <c r="AG701" s="43"/>
      <c r="AH701" s="43"/>
      <c r="AI701" s="43"/>
      <c r="AJ701" s="43"/>
    </row>
    <row r="702" spans="1:36" ht="15.95" customHeight="1" x14ac:dyDescent="0.2">
      <c r="A702" s="43"/>
      <c r="B702" s="45">
        <v>117</v>
      </c>
      <c r="C702" s="46">
        <f>IF($A$1='Data Entry'!$C703,'Data Entry'!D703,"")</f>
        <v>0</v>
      </c>
      <c r="D702" s="46">
        <f>IF($A$1='Data Entry'!$C703,'Data Entry'!E703,"")</f>
        <v>0</v>
      </c>
      <c r="E702" s="46">
        <f>IF($A$1='Data Entry'!$C703,'Data Entry'!F703,"")</f>
        <v>0</v>
      </c>
      <c r="F702" s="46">
        <f>IF($A$1='Data Entry'!$C703,'Data Entry'!G703,"")</f>
        <v>0</v>
      </c>
      <c r="G702" s="46">
        <f>IF($A$1='Data Entry'!$C703,'Data Entry'!H703,"")</f>
        <v>0</v>
      </c>
      <c r="H702" s="46">
        <f>IF($A$1='Data Entry'!$C703,'Data Entry'!I703,"")</f>
        <v>0</v>
      </c>
      <c r="I702" s="46">
        <f>IF($A$1='Data Entry'!$C703,'Data Entry'!J703,"")</f>
        <v>0</v>
      </c>
      <c r="J702" s="46">
        <f>IF($A$1='Data Entry'!$C703,'Data Entry'!K703,"")</f>
        <v>0</v>
      </c>
      <c r="K702" s="46">
        <f>IF($A$1='Data Entry'!$C703,'Data Entry'!L703,"")</f>
        <v>0</v>
      </c>
      <c r="L702" s="46">
        <f>IF($A$1='Data Entry'!$C703,'Data Entry'!M703,"")</f>
        <v>0</v>
      </c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  <c r="AA702" s="43"/>
      <c r="AB702" s="43"/>
      <c r="AC702" s="43"/>
      <c r="AD702" s="43"/>
      <c r="AE702" s="43"/>
      <c r="AF702" s="43"/>
      <c r="AG702" s="43"/>
      <c r="AH702" s="43"/>
      <c r="AI702" s="43"/>
      <c r="AJ702" s="43"/>
    </row>
    <row r="703" spans="1:36" ht="15.95" customHeight="1" x14ac:dyDescent="0.2">
      <c r="A703" s="43"/>
      <c r="B703" s="45">
        <v>117</v>
      </c>
      <c r="C703" s="46">
        <f>IF($A$1='Data Entry'!$C704,'Data Entry'!D704,"")</f>
        <v>0</v>
      </c>
      <c r="D703" s="46">
        <f>IF($A$1='Data Entry'!$C704,'Data Entry'!E704,"")</f>
        <v>0</v>
      </c>
      <c r="E703" s="46">
        <f>IF($A$1='Data Entry'!$C704,'Data Entry'!F704,"")</f>
        <v>0</v>
      </c>
      <c r="F703" s="46">
        <f>IF($A$1='Data Entry'!$C704,'Data Entry'!G704,"")</f>
        <v>0</v>
      </c>
      <c r="G703" s="46">
        <f>IF($A$1='Data Entry'!$C704,'Data Entry'!H704,"")</f>
        <v>0</v>
      </c>
      <c r="H703" s="46">
        <f>IF($A$1='Data Entry'!$C704,'Data Entry'!I704,"")</f>
        <v>0</v>
      </c>
      <c r="I703" s="46">
        <f>IF($A$1='Data Entry'!$C704,'Data Entry'!J704,"")</f>
        <v>0</v>
      </c>
      <c r="J703" s="46">
        <f>IF($A$1='Data Entry'!$C704,'Data Entry'!K704,"")</f>
        <v>0</v>
      </c>
      <c r="K703" s="46">
        <f>IF($A$1='Data Entry'!$C704,'Data Entry'!L704,"")</f>
        <v>0</v>
      </c>
      <c r="L703" s="46">
        <f>IF($A$1='Data Entry'!$C704,'Data Entry'!M704,"")</f>
        <v>0</v>
      </c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  <c r="AA703" s="43"/>
      <c r="AB703" s="43"/>
      <c r="AC703" s="43"/>
      <c r="AD703" s="43"/>
      <c r="AE703" s="43"/>
      <c r="AF703" s="43"/>
      <c r="AG703" s="43"/>
      <c r="AH703" s="43"/>
      <c r="AI703" s="43"/>
      <c r="AJ703" s="43"/>
    </row>
    <row r="704" spans="1:36" ht="15.95" customHeight="1" x14ac:dyDescent="0.2">
      <c r="A704" s="43"/>
      <c r="B704" s="45">
        <v>117</v>
      </c>
      <c r="C704" s="46">
        <f>IF($A$1='Data Entry'!$C705,'Data Entry'!D705,"")</f>
        <v>0</v>
      </c>
      <c r="D704" s="46">
        <f>IF($A$1='Data Entry'!$C705,'Data Entry'!E705,"")</f>
        <v>0</v>
      </c>
      <c r="E704" s="46">
        <f>IF($A$1='Data Entry'!$C705,'Data Entry'!F705,"")</f>
        <v>0</v>
      </c>
      <c r="F704" s="46">
        <f>IF($A$1='Data Entry'!$C705,'Data Entry'!G705,"")</f>
        <v>0</v>
      </c>
      <c r="G704" s="46">
        <f>IF($A$1='Data Entry'!$C705,'Data Entry'!H705,"")</f>
        <v>0</v>
      </c>
      <c r="H704" s="46">
        <f>IF($A$1='Data Entry'!$C705,'Data Entry'!I705,"")</f>
        <v>0</v>
      </c>
      <c r="I704" s="46">
        <f>IF($A$1='Data Entry'!$C705,'Data Entry'!J705,"")</f>
        <v>0</v>
      </c>
      <c r="J704" s="46">
        <f>IF($A$1='Data Entry'!$C705,'Data Entry'!K705,"")</f>
        <v>0</v>
      </c>
      <c r="K704" s="46">
        <f>IF($A$1='Data Entry'!$C705,'Data Entry'!L705,"")</f>
        <v>0</v>
      </c>
      <c r="L704" s="46">
        <f>IF($A$1='Data Entry'!$C705,'Data Entry'!M705,"")</f>
        <v>0</v>
      </c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  <c r="AA704" s="43"/>
      <c r="AB704" s="43"/>
      <c r="AC704" s="43"/>
      <c r="AD704" s="43"/>
      <c r="AE704" s="43"/>
      <c r="AF704" s="43"/>
      <c r="AG704" s="43"/>
      <c r="AH704" s="43"/>
      <c r="AI704" s="43"/>
      <c r="AJ704" s="43"/>
    </row>
    <row r="705" spans="1:36" ht="15.95" customHeight="1" x14ac:dyDescent="0.2">
      <c r="A705" s="43"/>
      <c r="B705" s="45">
        <v>118</v>
      </c>
      <c r="C705" s="46">
        <f>IF($A$1='Data Entry'!$C706,'Data Entry'!D706,"")</f>
        <v>0</v>
      </c>
      <c r="D705" s="46">
        <f>IF($A$1='Data Entry'!$C706,'Data Entry'!E706,"")</f>
        <v>0</v>
      </c>
      <c r="E705" s="46">
        <f>IF($A$1='Data Entry'!$C706,'Data Entry'!F706,"")</f>
        <v>0</v>
      </c>
      <c r="F705" s="46">
        <f>IF($A$1='Data Entry'!$C706,'Data Entry'!G706,"")</f>
        <v>0</v>
      </c>
      <c r="G705" s="46">
        <f>IF($A$1='Data Entry'!$C706,'Data Entry'!H706,"")</f>
        <v>0</v>
      </c>
      <c r="H705" s="46">
        <f>IF($A$1='Data Entry'!$C706,'Data Entry'!I706,"")</f>
        <v>0</v>
      </c>
      <c r="I705" s="46">
        <f>IF($A$1='Data Entry'!$C706,'Data Entry'!J706,"")</f>
        <v>0</v>
      </c>
      <c r="J705" s="46">
        <f>IF($A$1='Data Entry'!$C706,'Data Entry'!K706,"")</f>
        <v>0</v>
      </c>
      <c r="K705" s="46">
        <f>IF($A$1='Data Entry'!$C706,'Data Entry'!L706,"")</f>
        <v>0</v>
      </c>
      <c r="L705" s="46">
        <f>IF($A$1='Data Entry'!$C706,'Data Entry'!M706,"")</f>
        <v>0</v>
      </c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  <c r="AA705" s="43"/>
      <c r="AB705" s="43"/>
      <c r="AC705" s="43"/>
      <c r="AD705" s="43"/>
      <c r="AE705" s="43"/>
      <c r="AF705" s="43"/>
      <c r="AG705" s="43"/>
      <c r="AH705" s="43"/>
      <c r="AI705" s="43"/>
      <c r="AJ705" s="43"/>
    </row>
    <row r="706" spans="1:36" ht="15.95" customHeight="1" x14ac:dyDescent="0.2">
      <c r="A706" s="43"/>
      <c r="B706" s="45">
        <v>118</v>
      </c>
      <c r="C706" s="46">
        <f>IF($A$1='Data Entry'!$C707,'Data Entry'!D707,"")</f>
        <v>0</v>
      </c>
      <c r="D706" s="46">
        <f>IF($A$1='Data Entry'!$C707,'Data Entry'!E707,"")</f>
        <v>0</v>
      </c>
      <c r="E706" s="46">
        <f>IF($A$1='Data Entry'!$C707,'Data Entry'!F707,"")</f>
        <v>0</v>
      </c>
      <c r="F706" s="46">
        <f>IF($A$1='Data Entry'!$C707,'Data Entry'!G707,"")</f>
        <v>0</v>
      </c>
      <c r="G706" s="46">
        <f>IF($A$1='Data Entry'!$C707,'Data Entry'!H707,"")</f>
        <v>0</v>
      </c>
      <c r="H706" s="46">
        <f>IF($A$1='Data Entry'!$C707,'Data Entry'!I707,"")</f>
        <v>0</v>
      </c>
      <c r="I706" s="46">
        <f>IF($A$1='Data Entry'!$C707,'Data Entry'!J707,"")</f>
        <v>0</v>
      </c>
      <c r="J706" s="46">
        <f>IF($A$1='Data Entry'!$C707,'Data Entry'!K707,"")</f>
        <v>0</v>
      </c>
      <c r="K706" s="46">
        <f>IF($A$1='Data Entry'!$C707,'Data Entry'!L707,"")</f>
        <v>0</v>
      </c>
      <c r="L706" s="46">
        <f>IF($A$1='Data Entry'!$C707,'Data Entry'!M707,"")</f>
        <v>0</v>
      </c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  <c r="AA706" s="43"/>
      <c r="AB706" s="43"/>
      <c r="AC706" s="43"/>
      <c r="AD706" s="43"/>
      <c r="AE706" s="43"/>
      <c r="AF706" s="43"/>
      <c r="AG706" s="43"/>
      <c r="AH706" s="43"/>
      <c r="AI706" s="43"/>
      <c r="AJ706" s="43"/>
    </row>
    <row r="707" spans="1:36" ht="15.95" customHeight="1" x14ac:dyDescent="0.2">
      <c r="A707" s="43"/>
      <c r="B707" s="45">
        <v>118</v>
      </c>
      <c r="C707" s="46">
        <f>IF($A$1='Data Entry'!$C708,'Data Entry'!D708,"")</f>
        <v>0</v>
      </c>
      <c r="D707" s="46">
        <f>IF($A$1='Data Entry'!$C708,'Data Entry'!E708,"")</f>
        <v>0</v>
      </c>
      <c r="E707" s="46">
        <f>IF($A$1='Data Entry'!$C708,'Data Entry'!F708,"")</f>
        <v>0</v>
      </c>
      <c r="F707" s="46">
        <f>IF($A$1='Data Entry'!$C708,'Data Entry'!G708,"")</f>
        <v>0</v>
      </c>
      <c r="G707" s="46">
        <f>IF($A$1='Data Entry'!$C708,'Data Entry'!H708,"")</f>
        <v>0</v>
      </c>
      <c r="H707" s="46">
        <f>IF($A$1='Data Entry'!$C708,'Data Entry'!I708,"")</f>
        <v>0</v>
      </c>
      <c r="I707" s="46">
        <f>IF($A$1='Data Entry'!$C708,'Data Entry'!J708,"")</f>
        <v>0</v>
      </c>
      <c r="J707" s="46">
        <f>IF($A$1='Data Entry'!$C708,'Data Entry'!K708,"")</f>
        <v>0</v>
      </c>
      <c r="K707" s="46">
        <f>IF($A$1='Data Entry'!$C708,'Data Entry'!L708,"")</f>
        <v>0</v>
      </c>
      <c r="L707" s="46">
        <f>IF($A$1='Data Entry'!$C708,'Data Entry'!M708,"")</f>
        <v>0</v>
      </c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  <c r="AA707" s="43"/>
      <c r="AB707" s="43"/>
      <c r="AC707" s="43"/>
      <c r="AD707" s="43"/>
      <c r="AE707" s="43"/>
      <c r="AF707" s="43"/>
      <c r="AG707" s="43"/>
      <c r="AH707" s="43"/>
      <c r="AI707" s="43"/>
      <c r="AJ707" s="43"/>
    </row>
    <row r="708" spans="1:36" ht="15.95" customHeight="1" x14ac:dyDescent="0.2">
      <c r="A708" s="43"/>
      <c r="B708" s="45">
        <v>118</v>
      </c>
      <c r="C708" s="46">
        <f>IF($A$1='Data Entry'!$C709,'Data Entry'!D709,"")</f>
        <v>0</v>
      </c>
      <c r="D708" s="46">
        <f>IF($A$1='Data Entry'!$C709,'Data Entry'!E709,"")</f>
        <v>0</v>
      </c>
      <c r="E708" s="46">
        <f>IF($A$1='Data Entry'!$C709,'Data Entry'!F709,"")</f>
        <v>0</v>
      </c>
      <c r="F708" s="46">
        <f>IF($A$1='Data Entry'!$C709,'Data Entry'!G709,"")</f>
        <v>0</v>
      </c>
      <c r="G708" s="46">
        <f>IF($A$1='Data Entry'!$C709,'Data Entry'!H709,"")</f>
        <v>0</v>
      </c>
      <c r="H708" s="46">
        <f>IF($A$1='Data Entry'!$C709,'Data Entry'!I709,"")</f>
        <v>0</v>
      </c>
      <c r="I708" s="46">
        <f>IF($A$1='Data Entry'!$C709,'Data Entry'!J709,"")</f>
        <v>0</v>
      </c>
      <c r="J708" s="46">
        <f>IF($A$1='Data Entry'!$C709,'Data Entry'!K709,"")</f>
        <v>0</v>
      </c>
      <c r="K708" s="46">
        <f>IF($A$1='Data Entry'!$C709,'Data Entry'!L709,"")</f>
        <v>0</v>
      </c>
      <c r="L708" s="46">
        <f>IF($A$1='Data Entry'!$C709,'Data Entry'!M709,"")</f>
        <v>0</v>
      </c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  <c r="AA708" s="43"/>
      <c r="AB708" s="43"/>
      <c r="AC708" s="43"/>
      <c r="AD708" s="43"/>
      <c r="AE708" s="43"/>
      <c r="AF708" s="43"/>
      <c r="AG708" s="43"/>
      <c r="AH708" s="43"/>
      <c r="AI708" s="43"/>
      <c r="AJ708" s="43"/>
    </row>
    <row r="709" spans="1:36" ht="15.95" customHeight="1" x14ac:dyDescent="0.2">
      <c r="A709" s="43"/>
      <c r="B709" s="45">
        <v>118</v>
      </c>
      <c r="C709" s="46">
        <f>IF($A$1='Data Entry'!$C710,'Data Entry'!D710,"")</f>
        <v>0</v>
      </c>
      <c r="D709" s="46">
        <f>IF($A$1='Data Entry'!$C710,'Data Entry'!E710,"")</f>
        <v>0</v>
      </c>
      <c r="E709" s="46">
        <f>IF($A$1='Data Entry'!$C710,'Data Entry'!F710,"")</f>
        <v>0</v>
      </c>
      <c r="F709" s="46">
        <f>IF($A$1='Data Entry'!$C710,'Data Entry'!G710,"")</f>
        <v>0</v>
      </c>
      <c r="G709" s="46">
        <f>IF($A$1='Data Entry'!$C710,'Data Entry'!H710,"")</f>
        <v>0</v>
      </c>
      <c r="H709" s="46">
        <f>IF($A$1='Data Entry'!$C710,'Data Entry'!I710,"")</f>
        <v>0</v>
      </c>
      <c r="I709" s="46">
        <f>IF($A$1='Data Entry'!$C710,'Data Entry'!J710,"")</f>
        <v>0</v>
      </c>
      <c r="J709" s="46">
        <f>IF($A$1='Data Entry'!$C710,'Data Entry'!K710,"")</f>
        <v>0</v>
      </c>
      <c r="K709" s="46">
        <f>IF($A$1='Data Entry'!$C710,'Data Entry'!L710,"")</f>
        <v>0</v>
      </c>
      <c r="L709" s="46">
        <f>IF($A$1='Data Entry'!$C710,'Data Entry'!M710,"")</f>
        <v>0</v>
      </c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  <c r="AA709" s="43"/>
      <c r="AB709" s="43"/>
      <c r="AC709" s="43"/>
      <c r="AD709" s="43"/>
      <c r="AE709" s="43"/>
      <c r="AF709" s="43"/>
      <c r="AG709" s="43"/>
      <c r="AH709" s="43"/>
      <c r="AI709" s="43"/>
      <c r="AJ709" s="43"/>
    </row>
    <row r="710" spans="1:36" ht="15.95" customHeight="1" x14ac:dyDescent="0.2">
      <c r="A710" s="43"/>
      <c r="B710" s="45">
        <v>118</v>
      </c>
      <c r="C710" s="46">
        <f>IF($A$1='Data Entry'!$C711,'Data Entry'!D711,"")</f>
        <v>0</v>
      </c>
      <c r="D710" s="46">
        <f>IF($A$1='Data Entry'!$C711,'Data Entry'!E711,"")</f>
        <v>0</v>
      </c>
      <c r="E710" s="46">
        <f>IF($A$1='Data Entry'!$C711,'Data Entry'!F711,"")</f>
        <v>0</v>
      </c>
      <c r="F710" s="46">
        <f>IF($A$1='Data Entry'!$C711,'Data Entry'!G711,"")</f>
        <v>0</v>
      </c>
      <c r="G710" s="46">
        <f>IF($A$1='Data Entry'!$C711,'Data Entry'!H711,"")</f>
        <v>0</v>
      </c>
      <c r="H710" s="46">
        <f>IF($A$1='Data Entry'!$C711,'Data Entry'!I711,"")</f>
        <v>0</v>
      </c>
      <c r="I710" s="46">
        <f>IF($A$1='Data Entry'!$C711,'Data Entry'!J711,"")</f>
        <v>0</v>
      </c>
      <c r="J710" s="46">
        <f>IF($A$1='Data Entry'!$C711,'Data Entry'!K711,"")</f>
        <v>0</v>
      </c>
      <c r="K710" s="46">
        <f>IF($A$1='Data Entry'!$C711,'Data Entry'!L711,"")</f>
        <v>0</v>
      </c>
      <c r="L710" s="46">
        <f>IF($A$1='Data Entry'!$C711,'Data Entry'!M711,"")</f>
        <v>0</v>
      </c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  <c r="AA710" s="43"/>
      <c r="AB710" s="43"/>
      <c r="AC710" s="43"/>
      <c r="AD710" s="43"/>
      <c r="AE710" s="43"/>
      <c r="AF710" s="43"/>
      <c r="AG710" s="43"/>
      <c r="AH710" s="43"/>
      <c r="AI710" s="43"/>
      <c r="AJ710" s="43"/>
    </row>
    <row r="711" spans="1:36" ht="15.95" customHeight="1" x14ac:dyDescent="0.2">
      <c r="A711" s="43"/>
      <c r="B711" s="45">
        <v>119</v>
      </c>
      <c r="C711" s="46">
        <f>IF($A$1='Data Entry'!$C712,'Data Entry'!D712,"")</f>
        <v>0</v>
      </c>
      <c r="D711" s="46">
        <f>IF($A$1='Data Entry'!$C712,'Data Entry'!E712,"")</f>
        <v>0</v>
      </c>
      <c r="E711" s="46">
        <f>IF($A$1='Data Entry'!$C712,'Data Entry'!F712,"")</f>
        <v>0</v>
      </c>
      <c r="F711" s="46">
        <f>IF($A$1='Data Entry'!$C712,'Data Entry'!G712,"")</f>
        <v>0</v>
      </c>
      <c r="G711" s="46">
        <f>IF($A$1='Data Entry'!$C712,'Data Entry'!H712,"")</f>
        <v>0</v>
      </c>
      <c r="H711" s="46">
        <f>IF($A$1='Data Entry'!$C712,'Data Entry'!I712,"")</f>
        <v>0</v>
      </c>
      <c r="I711" s="46">
        <f>IF($A$1='Data Entry'!$C712,'Data Entry'!J712,"")</f>
        <v>0</v>
      </c>
      <c r="J711" s="46">
        <f>IF($A$1='Data Entry'!$C712,'Data Entry'!K712,"")</f>
        <v>0</v>
      </c>
      <c r="K711" s="46">
        <f>IF($A$1='Data Entry'!$C712,'Data Entry'!L712,"")</f>
        <v>0</v>
      </c>
      <c r="L711" s="46">
        <f>IF($A$1='Data Entry'!$C712,'Data Entry'!M712,"")</f>
        <v>0</v>
      </c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  <c r="AA711" s="43"/>
      <c r="AB711" s="43"/>
      <c r="AC711" s="43"/>
      <c r="AD711" s="43"/>
      <c r="AE711" s="43"/>
      <c r="AF711" s="43"/>
      <c r="AG711" s="43"/>
      <c r="AH711" s="43"/>
      <c r="AI711" s="43"/>
      <c r="AJ711" s="43"/>
    </row>
    <row r="712" spans="1:36" ht="15.95" customHeight="1" x14ac:dyDescent="0.2">
      <c r="A712" s="43"/>
      <c r="B712" s="45">
        <v>119</v>
      </c>
      <c r="C712" s="46">
        <f>IF($A$1='Data Entry'!$C713,'Data Entry'!D713,"")</f>
        <v>0</v>
      </c>
      <c r="D712" s="46">
        <f>IF($A$1='Data Entry'!$C713,'Data Entry'!E713,"")</f>
        <v>0</v>
      </c>
      <c r="E712" s="46">
        <f>IF($A$1='Data Entry'!$C713,'Data Entry'!F713,"")</f>
        <v>0</v>
      </c>
      <c r="F712" s="46">
        <f>IF($A$1='Data Entry'!$C713,'Data Entry'!G713,"")</f>
        <v>0</v>
      </c>
      <c r="G712" s="46">
        <f>IF($A$1='Data Entry'!$C713,'Data Entry'!H713,"")</f>
        <v>0</v>
      </c>
      <c r="H712" s="46">
        <f>IF($A$1='Data Entry'!$C713,'Data Entry'!I713,"")</f>
        <v>0</v>
      </c>
      <c r="I712" s="46">
        <f>IF($A$1='Data Entry'!$C713,'Data Entry'!J713,"")</f>
        <v>0</v>
      </c>
      <c r="J712" s="46">
        <f>IF($A$1='Data Entry'!$C713,'Data Entry'!K713,"")</f>
        <v>0</v>
      </c>
      <c r="K712" s="46">
        <f>IF($A$1='Data Entry'!$C713,'Data Entry'!L713,"")</f>
        <v>0</v>
      </c>
      <c r="L712" s="46">
        <f>IF($A$1='Data Entry'!$C713,'Data Entry'!M713,"")</f>
        <v>0</v>
      </c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  <c r="AA712" s="43"/>
      <c r="AB712" s="43"/>
      <c r="AC712" s="43"/>
      <c r="AD712" s="43"/>
      <c r="AE712" s="43"/>
      <c r="AF712" s="43"/>
      <c r="AG712" s="43"/>
      <c r="AH712" s="43"/>
      <c r="AI712" s="43"/>
      <c r="AJ712" s="43"/>
    </row>
    <row r="713" spans="1:36" ht="15.95" customHeight="1" x14ac:dyDescent="0.2">
      <c r="A713" s="43"/>
      <c r="B713" s="45">
        <v>119</v>
      </c>
      <c r="C713" s="46">
        <f>IF($A$1='Data Entry'!$C714,'Data Entry'!D714,"")</f>
        <v>0</v>
      </c>
      <c r="D713" s="46">
        <f>IF($A$1='Data Entry'!$C714,'Data Entry'!E714,"")</f>
        <v>0</v>
      </c>
      <c r="E713" s="46">
        <f>IF($A$1='Data Entry'!$C714,'Data Entry'!F714,"")</f>
        <v>0</v>
      </c>
      <c r="F713" s="46">
        <f>IF($A$1='Data Entry'!$C714,'Data Entry'!G714,"")</f>
        <v>0</v>
      </c>
      <c r="G713" s="46">
        <f>IF($A$1='Data Entry'!$C714,'Data Entry'!H714,"")</f>
        <v>0</v>
      </c>
      <c r="H713" s="46">
        <f>IF($A$1='Data Entry'!$C714,'Data Entry'!I714,"")</f>
        <v>0</v>
      </c>
      <c r="I713" s="46">
        <f>IF($A$1='Data Entry'!$C714,'Data Entry'!J714,"")</f>
        <v>0</v>
      </c>
      <c r="J713" s="46">
        <f>IF($A$1='Data Entry'!$C714,'Data Entry'!K714,"")</f>
        <v>0</v>
      </c>
      <c r="K713" s="46">
        <f>IF($A$1='Data Entry'!$C714,'Data Entry'!L714,"")</f>
        <v>0</v>
      </c>
      <c r="L713" s="46">
        <f>IF($A$1='Data Entry'!$C714,'Data Entry'!M714,"")</f>
        <v>0</v>
      </c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  <c r="AA713" s="43"/>
      <c r="AB713" s="43"/>
      <c r="AC713" s="43"/>
      <c r="AD713" s="43"/>
      <c r="AE713" s="43"/>
      <c r="AF713" s="43"/>
      <c r="AG713" s="43"/>
      <c r="AH713" s="43"/>
      <c r="AI713" s="43"/>
      <c r="AJ713" s="43"/>
    </row>
    <row r="714" spans="1:36" ht="15.95" customHeight="1" x14ac:dyDescent="0.2">
      <c r="A714" s="43"/>
      <c r="B714" s="45">
        <v>119</v>
      </c>
      <c r="C714" s="46">
        <f>IF($A$1='Data Entry'!$C715,'Data Entry'!D715,"")</f>
        <v>0</v>
      </c>
      <c r="D714" s="46">
        <f>IF($A$1='Data Entry'!$C715,'Data Entry'!E715,"")</f>
        <v>0</v>
      </c>
      <c r="E714" s="46">
        <f>IF($A$1='Data Entry'!$C715,'Data Entry'!F715,"")</f>
        <v>0</v>
      </c>
      <c r="F714" s="46">
        <f>IF($A$1='Data Entry'!$C715,'Data Entry'!G715,"")</f>
        <v>0</v>
      </c>
      <c r="G714" s="46">
        <f>IF($A$1='Data Entry'!$C715,'Data Entry'!H715,"")</f>
        <v>0</v>
      </c>
      <c r="H714" s="46">
        <f>IF($A$1='Data Entry'!$C715,'Data Entry'!I715,"")</f>
        <v>0</v>
      </c>
      <c r="I714" s="46">
        <f>IF($A$1='Data Entry'!$C715,'Data Entry'!J715,"")</f>
        <v>0</v>
      </c>
      <c r="J714" s="46">
        <f>IF($A$1='Data Entry'!$C715,'Data Entry'!K715,"")</f>
        <v>0</v>
      </c>
      <c r="K714" s="46">
        <f>IF($A$1='Data Entry'!$C715,'Data Entry'!L715,"")</f>
        <v>0</v>
      </c>
      <c r="L714" s="46">
        <f>IF($A$1='Data Entry'!$C715,'Data Entry'!M715,"")</f>
        <v>0</v>
      </c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  <c r="AA714" s="43"/>
      <c r="AB714" s="43"/>
      <c r="AC714" s="43"/>
      <c r="AD714" s="43"/>
      <c r="AE714" s="43"/>
      <c r="AF714" s="43"/>
      <c r="AG714" s="43"/>
      <c r="AH714" s="43"/>
      <c r="AI714" s="43"/>
      <c r="AJ714" s="43"/>
    </row>
    <row r="715" spans="1:36" ht="15.95" customHeight="1" x14ac:dyDescent="0.2">
      <c r="A715" s="43"/>
      <c r="B715" s="45">
        <v>119</v>
      </c>
      <c r="C715" s="46">
        <f>IF($A$1='Data Entry'!$C716,'Data Entry'!D716,"")</f>
        <v>0</v>
      </c>
      <c r="D715" s="46">
        <f>IF($A$1='Data Entry'!$C716,'Data Entry'!E716,"")</f>
        <v>0</v>
      </c>
      <c r="E715" s="46">
        <f>IF($A$1='Data Entry'!$C716,'Data Entry'!F716,"")</f>
        <v>0</v>
      </c>
      <c r="F715" s="46">
        <f>IF($A$1='Data Entry'!$C716,'Data Entry'!G716,"")</f>
        <v>0</v>
      </c>
      <c r="G715" s="46">
        <f>IF($A$1='Data Entry'!$C716,'Data Entry'!H716,"")</f>
        <v>0</v>
      </c>
      <c r="H715" s="46">
        <f>IF($A$1='Data Entry'!$C716,'Data Entry'!I716,"")</f>
        <v>0</v>
      </c>
      <c r="I715" s="46">
        <f>IF($A$1='Data Entry'!$C716,'Data Entry'!J716,"")</f>
        <v>0</v>
      </c>
      <c r="J715" s="46">
        <f>IF($A$1='Data Entry'!$C716,'Data Entry'!K716,"")</f>
        <v>0</v>
      </c>
      <c r="K715" s="46">
        <f>IF($A$1='Data Entry'!$C716,'Data Entry'!L716,"")</f>
        <v>0</v>
      </c>
      <c r="L715" s="46">
        <f>IF($A$1='Data Entry'!$C716,'Data Entry'!M716,"")</f>
        <v>0</v>
      </c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  <c r="AA715" s="43"/>
      <c r="AB715" s="43"/>
      <c r="AC715" s="43"/>
      <c r="AD715" s="43"/>
      <c r="AE715" s="43"/>
      <c r="AF715" s="43"/>
      <c r="AG715" s="43"/>
      <c r="AH715" s="43"/>
      <c r="AI715" s="43"/>
      <c r="AJ715" s="43"/>
    </row>
    <row r="716" spans="1:36" ht="15.95" customHeight="1" x14ac:dyDescent="0.2">
      <c r="A716" s="43"/>
      <c r="B716" s="45">
        <v>119</v>
      </c>
      <c r="C716" s="46">
        <f>IF($A$1='Data Entry'!$C717,'Data Entry'!D717,"")</f>
        <v>0</v>
      </c>
      <c r="D716" s="46">
        <f>IF($A$1='Data Entry'!$C717,'Data Entry'!E717,"")</f>
        <v>0</v>
      </c>
      <c r="E716" s="46">
        <f>IF($A$1='Data Entry'!$C717,'Data Entry'!F717,"")</f>
        <v>0</v>
      </c>
      <c r="F716" s="46">
        <f>IF($A$1='Data Entry'!$C717,'Data Entry'!G717,"")</f>
        <v>0</v>
      </c>
      <c r="G716" s="46">
        <f>IF($A$1='Data Entry'!$C717,'Data Entry'!H717,"")</f>
        <v>0</v>
      </c>
      <c r="H716" s="46">
        <f>IF($A$1='Data Entry'!$C717,'Data Entry'!I717,"")</f>
        <v>0</v>
      </c>
      <c r="I716" s="46">
        <f>IF($A$1='Data Entry'!$C717,'Data Entry'!J717,"")</f>
        <v>0</v>
      </c>
      <c r="J716" s="46">
        <f>IF($A$1='Data Entry'!$C717,'Data Entry'!K717,"")</f>
        <v>0</v>
      </c>
      <c r="K716" s="46">
        <f>IF($A$1='Data Entry'!$C717,'Data Entry'!L717,"")</f>
        <v>0</v>
      </c>
      <c r="L716" s="46">
        <f>IF($A$1='Data Entry'!$C717,'Data Entry'!M717,"")</f>
        <v>0</v>
      </c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  <c r="AA716" s="43"/>
      <c r="AB716" s="43"/>
      <c r="AC716" s="43"/>
      <c r="AD716" s="43"/>
      <c r="AE716" s="43"/>
      <c r="AF716" s="43"/>
      <c r="AG716" s="43"/>
      <c r="AH716" s="43"/>
      <c r="AI716" s="43"/>
      <c r="AJ716" s="43"/>
    </row>
    <row r="717" spans="1:36" ht="15.95" customHeight="1" x14ac:dyDescent="0.2">
      <c r="A717" s="43"/>
      <c r="B717" s="45">
        <v>120</v>
      </c>
      <c r="C717" s="46">
        <f>IF($A$1='Data Entry'!$C718,'Data Entry'!D718,"")</f>
        <v>0</v>
      </c>
      <c r="D717" s="46">
        <f>IF($A$1='Data Entry'!$C718,'Data Entry'!E718,"")</f>
        <v>0</v>
      </c>
      <c r="E717" s="46">
        <f>IF($A$1='Data Entry'!$C718,'Data Entry'!F718,"")</f>
        <v>0</v>
      </c>
      <c r="F717" s="46">
        <f>IF($A$1='Data Entry'!$C718,'Data Entry'!G718,"")</f>
        <v>0</v>
      </c>
      <c r="G717" s="46">
        <f>IF($A$1='Data Entry'!$C718,'Data Entry'!H718,"")</f>
        <v>0</v>
      </c>
      <c r="H717" s="46">
        <f>IF($A$1='Data Entry'!$C718,'Data Entry'!I718,"")</f>
        <v>0</v>
      </c>
      <c r="I717" s="46">
        <f>IF($A$1='Data Entry'!$C718,'Data Entry'!J718,"")</f>
        <v>0</v>
      </c>
      <c r="J717" s="46">
        <f>IF($A$1='Data Entry'!$C718,'Data Entry'!K718,"")</f>
        <v>0</v>
      </c>
      <c r="K717" s="46">
        <f>IF($A$1='Data Entry'!$C718,'Data Entry'!L718,"")</f>
        <v>0</v>
      </c>
      <c r="L717" s="46">
        <f>IF($A$1='Data Entry'!$C718,'Data Entry'!M718,"")</f>
        <v>0</v>
      </c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  <c r="AA717" s="43"/>
      <c r="AB717" s="43"/>
      <c r="AC717" s="43"/>
      <c r="AD717" s="43"/>
      <c r="AE717" s="43"/>
      <c r="AF717" s="43"/>
      <c r="AG717" s="43"/>
      <c r="AH717" s="43"/>
      <c r="AI717" s="43"/>
      <c r="AJ717" s="43"/>
    </row>
    <row r="718" spans="1:36" ht="15.95" customHeight="1" x14ac:dyDescent="0.2">
      <c r="A718" s="43"/>
      <c r="B718" s="45">
        <v>120</v>
      </c>
      <c r="C718" s="46">
        <f>IF($A$1='Data Entry'!$C719,'Data Entry'!D719,"")</f>
        <v>0</v>
      </c>
      <c r="D718" s="46">
        <f>IF($A$1='Data Entry'!$C719,'Data Entry'!E719,"")</f>
        <v>0</v>
      </c>
      <c r="E718" s="46">
        <f>IF($A$1='Data Entry'!$C719,'Data Entry'!F719,"")</f>
        <v>0</v>
      </c>
      <c r="F718" s="46">
        <f>IF($A$1='Data Entry'!$C719,'Data Entry'!G719,"")</f>
        <v>0</v>
      </c>
      <c r="G718" s="46">
        <f>IF($A$1='Data Entry'!$C719,'Data Entry'!H719,"")</f>
        <v>0</v>
      </c>
      <c r="H718" s="46">
        <f>IF($A$1='Data Entry'!$C719,'Data Entry'!I719,"")</f>
        <v>0</v>
      </c>
      <c r="I718" s="46">
        <f>IF($A$1='Data Entry'!$C719,'Data Entry'!J719,"")</f>
        <v>0</v>
      </c>
      <c r="J718" s="46">
        <f>IF($A$1='Data Entry'!$C719,'Data Entry'!K719,"")</f>
        <v>0</v>
      </c>
      <c r="K718" s="46">
        <f>IF($A$1='Data Entry'!$C719,'Data Entry'!L719,"")</f>
        <v>0</v>
      </c>
      <c r="L718" s="46">
        <f>IF($A$1='Data Entry'!$C719,'Data Entry'!M719,"")</f>
        <v>0</v>
      </c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  <c r="AA718" s="43"/>
      <c r="AB718" s="43"/>
      <c r="AC718" s="43"/>
      <c r="AD718" s="43"/>
      <c r="AE718" s="43"/>
      <c r="AF718" s="43"/>
      <c r="AG718" s="43"/>
      <c r="AH718" s="43"/>
      <c r="AI718" s="43"/>
      <c r="AJ718" s="43"/>
    </row>
    <row r="719" spans="1:36" ht="15.95" customHeight="1" x14ac:dyDescent="0.2">
      <c r="A719" s="43"/>
      <c r="B719" s="45">
        <v>120</v>
      </c>
      <c r="C719" s="46">
        <f>IF($A$1='Data Entry'!$C720,'Data Entry'!D720,"")</f>
        <v>0</v>
      </c>
      <c r="D719" s="46">
        <f>IF($A$1='Data Entry'!$C720,'Data Entry'!E720,"")</f>
        <v>0</v>
      </c>
      <c r="E719" s="46">
        <f>IF($A$1='Data Entry'!$C720,'Data Entry'!F720,"")</f>
        <v>0</v>
      </c>
      <c r="F719" s="46">
        <f>IF($A$1='Data Entry'!$C720,'Data Entry'!G720,"")</f>
        <v>0</v>
      </c>
      <c r="G719" s="46">
        <f>IF($A$1='Data Entry'!$C720,'Data Entry'!H720,"")</f>
        <v>0</v>
      </c>
      <c r="H719" s="46">
        <f>IF($A$1='Data Entry'!$C720,'Data Entry'!I720,"")</f>
        <v>0</v>
      </c>
      <c r="I719" s="46">
        <f>IF($A$1='Data Entry'!$C720,'Data Entry'!J720,"")</f>
        <v>0</v>
      </c>
      <c r="J719" s="46">
        <f>IF($A$1='Data Entry'!$C720,'Data Entry'!K720,"")</f>
        <v>0</v>
      </c>
      <c r="K719" s="46">
        <f>IF($A$1='Data Entry'!$C720,'Data Entry'!L720,"")</f>
        <v>0</v>
      </c>
      <c r="L719" s="46">
        <f>IF($A$1='Data Entry'!$C720,'Data Entry'!M720,"")</f>
        <v>0</v>
      </c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  <c r="AA719" s="43"/>
      <c r="AB719" s="43"/>
      <c r="AC719" s="43"/>
      <c r="AD719" s="43"/>
      <c r="AE719" s="43"/>
      <c r="AF719" s="43"/>
      <c r="AG719" s="43"/>
      <c r="AH719" s="43"/>
      <c r="AI719" s="43"/>
      <c r="AJ719" s="43"/>
    </row>
    <row r="720" spans="1:36" ht="15.95" customHeight="1" x14ac:dyDescent="0.2">
      <c r="A720" s="43"/>
      <c r="B720" s="45">
        <v>120</v>
      </c>
      <c r="C720" s="46">
        <f>IF($A$1='Data Entry'!$C721,'Data Entry'!D721,"")</f>
        <v>0</v>
      </c>
      <c r="D720" s="46">
        <f>IF($A$1='Data Entry'!$C721,'Data Entry'!E721,"")</f>
        <v>0</v>
      </c>
      <c r="E720" s="46">
        <f>IF($A$1='Data Entry'!$C721,'Data Entry'!F721,"")</f>
        <v>0</v>
      </c>
      <c r="F720" s="46">
        <f>IF($A$1='Data Entry'!$C721,'Data Entry'!G721,"")</f>
        <v>0</v>
      </c>
      <c r="G720" s="46">
        <f>IF($A$1='Data Entry'!$C721,'Data Entry'!H721,"")</f>
        <v>0</v>
      </c>
      <c r="H720" s="46">
        <f>IF($A$1='Data Entry'!$C721,'Data Entry'!I721,"")</f>
        <v>0</v>
      </c>
      <c r="I720" s="46">
        <f>IF($A$1='Data Entry'!$C721,'Data Entry'!J721,"")</f>
        <v>0</v>
      </c>
      <c r="J720" s="46">
        <f>IF($A$1='Data Entry'!$C721,'Data Entry'!K721,"")</f>
        <v>0</v>
      </c>
      <c r="K720" s="46">
        <f>IF($A$1='Data Entry'!$C721,'Data Entry'!L721,"")</f>
        <v>0</v>
      </c>
      <c r="L720" s="46">
        <f>IF($A$1='Data Entry'!$C721,'Data Entry'!M721,"")</f>
        <v>0</v>
      </c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  <c r="AA720" s="43"/>
      <c r="AB720" s="43"/>
      <c r="AC720" s="43"/>
      <c r="AD720" s="43"/>
      <c r="AE720" s="43"/>
      <c r="AF720" s="43"/>
      <c r="AG720" s="43"/>
      <c r="AH720" s="43"/>
      <c r="AI720" s="43"/>
      <c r="AJ720" s="43"/>
    </row>
    <row r="721" spans="1:36" ht="15.95" customHeight="1" x14ac:dyDescent="0.2">
      <c r="A721" s="43"/>
      <c r="B721" s="45">
        <v>120</v>
      </c>
      <c r="C721" s="46">
        <f>IF($A$1='Data Entry'!$C722,'Data Entry'!D722,"")</f>
        <v>0</v>
      </c>
      <c r="D721" s="46">
        <f>IF($A$1='Data Entry'!$C722,'Data Entry'!E722,"")</f>
        <v>0</v>
      </c>
      <c r="E721" s="46">
        <f>IF($A$1='Data Entry'!$C722,'Data Entry'!F722,"")</f>
        <v>0</v>
      </c>
      <c r="F721" s="46">
        <f>IF($A$1='Data Entry'!$C722,'Data Entry'!G722,"")</f>
        <v>0</v>
      </c>
      <c r="G721" s="46">
        <f>IF($A$1='Data Entry'!$C722,'Data Entry'!H722,"")</f>
        <v>0</v>
      </c>
      <c r="H721" s="46">
        <f>IF($A$1='Data Entry'!$C722,'Data Entry'!I722,"")</f>
        <v>0</v>
      </c>
      <c r="I721" s="46">
        <f>IF($A$1='Data Entry'!$C722,'Data Entry'!J722,"")</f>
        <v>0</v>
      </c>
      <c r="J721" s="46">
        <f>IF($A$1='Data Entry'!$C722,'Data Entry'!K722,"")</f>
        <v>0</v>
      </c>
      <c r="K721" s="46">
        <f>IF($A$1='Data Entry'!$C722,'Data Entry'!L722,"")</f>
        <v>0</v>
      </c>
      <c r="L721" s="46">
        <f>IF($A$1='Data Entry'!$C722,'Data Entry'!M722,"")</f>
        <v>0</v>
      </c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  <c r="AA721" s="43"/>
      <c r="AB721" s="43"/>
      <c r="AC721" s="43"/>
      <c r="AD721" s="43"/>
      <c r="AE721" s="43"/>
      <c r="AF721" s="43"/>
      <c r="AG721" s="43"/>
      <c r="AH721" s="43"/>
      <c r="AI721" s="43"/>
      <c r="AJ721" s="43"/>
    </row>
    <row r="722" spans="1:36" ht="15.95" customHeight="1" x14ac:dyDescent="0.2">
      <c r="A722" s="43"/>
      <c r="B722" s="45">
        <v>120</v>
      </c>
      <c r="C722" s="46">
        <f>IF($A$1='Data Entry'!$C723,'Data Entry'!D723,"")</f>
        <v>0</v>
      </c>
      <c r="D722" s="46">
        <f>IF($A$1='Data Entry'!$C723,'Data Entry'!E723,"")</f>
        <v>0</v>
      </c>
      <c r="E722" s="46">
        <f>IF($A$1='Data Entry'!$C723,'Data Entry'!F723,"")</f>
        <v>0</v>
      </c>
      <c r="F722" s="46">
        <f>IF($A$1='Data Entry'!$C723,'Data Entry'!G723,"")</f>
        <v>0</v>
      </c>
      <c r="G722" s="46">
        <f>IF($A$1='Data Entry'!$C723,'Data Entry'!H723,"")</f>
        <v>0</v>
      </c>
      <c r="H722" s="46">
        <f>IF($A$1='Data Entry'!$C723,'Data Entry'!I723,"")</f>
        <v>0</v>
      </c>
      <c r="I722" s="46">
        <f>IF($A$1='Data Entry'!$C723,'Data Entry'!J723,"")</f>
        <v>0</v>
      </c>
      <c r="J722" s="46">
        <f>IF($A$1='Data Entry'!$C723,'Data Entry'!K723,"")</f>
        <v>0</v>
      </c>
      <c r="K722" s="46">
        <f>IF($A$1='Data Entry'!$C723,'Data Entry'!L723,"")</f>
        <v>0</v>
      </c>
      <c r="L722" s="46">
        <f>IF($A$1='Data Entry'!$C723,'Data Entry'!M723,"")</f>
        <v>0</v>
      </c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  <c r="AA722" s="43"/>
      <c r="AB722" s="43"/>
      <c r="AC722" s="43"/>
      <c r="AD722" s="43"/>
      <c r="AE722" s="43"/>
      <c r="AF722" s="43"/>
      <c r="AG722" s="43"/>
      <c r="AH722" s="43"/>
      <c r="AI722" s="43"/>
      <c r="AJ722" s="43"/>
    </row>
    <row r="723" spans="1:36" ht="15.95" customHeight="1" x14ac:dyDescent="0.2">
      <c r="A723" s="43"/>
      <c r="B723" s="45">
        <v>121</v>
      </c>
      <c r="C723" s="46">
        <f>IF($A$1='Data Entry'!$C724,'Data Entry'!D724,"")</f>
        <v>0</v>
      </c>
      <c r="D723" s="46">
        <f>IF($A$1='Data Entry'!$C724,'Data Entry'!E724,"")</f>
        <v>0</v>
      </c>
      <c r="E723" s="46">
        <f>IF($A$1='Data Entry'!$C724,'Data Entry'!F724,"")</f>
        <v>0</v>
      </c>
      <c r="F723" s="46">
        <f>IF($A$1='Data Entry'!$C724,'Data Entry'!G724,"")</f>
        <v>0</v>
      </c>
      <c r="G723" s="46">
        <f>IF($A$1='Data Entry'!$C724,'Data Entry'!H724,"")</f>
        <v>0</v>
      </c>
      <c r="H723" s="46">
        <f>IF($A$1='Data Entry'!$C724,'Data Entry'!I724,"")</f>
        <v>0</v>
      </c>
      <c r="I723" s="46">
        <f>IF($A$1='Data Entry'!$C724,'Data Entry'!J724,"")</f>
        <v>0</v>
      </c>
      <c r="J723" s="46">
        <f>IF($A$1='Data Entry'!$C724,'Data Entry'!K724,"")</f>
        <v>0</v>
      </c>
      <c r="K723" s="46">
        <f>IF($A$1='Data Entry'!$C724,'Data Entry'!L724,"")</f>
        <v>0</v>
      </c>
      <c r="L723" s="46">
        <f>IF($A$1='Data Entry'!$C724,'Data Entry'!M724,"")</f>
        <v>0</v>
      </c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  <c r="AA723" s="43"/>
      <c r="AB723" s="43"/>
      <c r="AC723" s="43"/>
      <c r="AD723" s="43"/>
      <c r="AE723" s="43"/>
      <c r="AF723" s="43"/>
      <c r="AG723" s="43"/>
      <c r="AH723" s="43"/>
      <c r="AI723" s="43"/>
      <c r="AJ723" s="43"/>
    </row>
    <row r="724" spans="1:36" ht="15.95" customHeight="1" x14ac:dyDescent="0.2">
      <c r="A724" s="43"/>
      <c r="B724" s="45">
        <v>121</v>
      </c>
      <c r="C724" s="46">
        <f>IF($A$1='Data Entry'!$C725,'Data Entry'!D725,"")</f>
        <v>0</v>
      </c>
      <c r="D724" s="46">
        <f>IF($A$1='Data Entry'!$C725,'Data Entry'!E725,"")</f>
        <v>0</v>
      </c>
      <c r="E724" s="46">
        <f>IF($A$1='Data Entry'!$C725,'Data Entry'!F725,"")</f>
        <v>0</v>
      </c>
      <c r="F724" s="46">
        <f>IF($A$1='Data Entry'!$C725,'Data Entry'!G725,"")</f>
        <v>0</v>
      </c>
      <c r="G724" s="46">
        <f>IF($A$1='Data Entry'!$C725,'Data Entry'!H725,"")</f>
        <v>0</v>
      </c>
      <c r="H724" s="46">
        <f>IF($A$1='Data Entry'!$C725,'Data Entry'!I725,"")</f>
        <v>0</v>
      </c>
      <c r="I724" s="46">
        <f>IF($A$1='Data Entry'!$C725,'Data Entry'!J725,"")</f>
        <v>0</v>
      </c>
      <c r="J724" s="46">
        <f>IF($A$1='Data Entry'!$C725,'Data Entry'!K725,"")</f>
        <v>0</v>
      </c>
      <c r="K724" s="46">
        <f>IF($A$1='Data Entry'!$C725,'Data Entry'!L725,"")</f>
        <v>0</v>
      </c>
      <c r="L724" s="46">
        <f>IF($A$1='Data Entry'!$C725,'Data Entry'!M725,"")</f>
        <v>0</v>
      </c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  <c r="AA724" s="43"/>
      <c r="AB724" s="43"/>
      <c r="AC724" s="43"/>
      <c r="AD724" s="43"/>
      <c r="AE724" s="43"/>
      <c r="AF724" s="43"/>
      <c r="AG724" s="43"/>
      <c r="AH724" s="43"/>
      <c r="AI724" s="43"/>
      <c r="AJ724" s="43"/>
    </row>
    <row r="725" spans="1:36" ht="15.95" customHeight="1" x14ac:dyDescent="0.2">
      <c r="A725" s="43"/>
      <c r="B725" s="45">
        <v>121</v>
      </c>
      <c r="C725" s="46">
        <f>IF($A$1='Data Entry'!$C726,'Data Entry'!D726,"")</f>
        <v>0</v>
      </c>
      <c r="D725" s="46">
        <f>IF($A$1='Data Entry'!$C726,'Data Entry'!E726,"")</f>
        <v>0</v>
      </c>
      <c r="E725" s="46">
        <f>IF($A$1='Data Entry'!$C726,'Data Entry'!F726,"")</f>
        <v>0</v>
      </c>
      <c r="F725" s="46">
        <f>IF($A$1='Data Entry'!$C726,'Data Entry'!G726,"")</f>
        <v>0</v>
      </c>
      <c r="G725" s="46">
        <f>IF($A$1='Data Entry'!$C726,'Data Entry'!H726,"")</f>
        <v>0</v>
      </c>
      <c r="H725" s="46">
        <f>IF($A$1='Data Entry'!$C726,'Data Entry'!I726,"")</f>
        <v>0</v>
      </c>
      <c r="I725" s="46">
        <f>IF($A$1='Data Entry'!$C726,'Data Entry'!J726,"")</f>
        <v>0</v>
      </c>
      <c r="J725" s="46">
        <f>IF($A$1='Data Entry'!$C726,'Data Entry'!K726,"")</f>
        <v>0</v>
      </c>
      <c r="K725" s="46">
        <f>IF($A$1='Data Entry'!$C726,'Data Entry'!L726,"")</f>
        <v>0</v>
      </c>
      <c r="L725" s="46">
        <f>IF($A$1='Data Entry'!$C726,'Data Entry'!M726,"")</f>
        <v>0</v>
      </c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  <c r="AA725" s="43"/>
      <c r="AB725" s="43"/>
      <c r="AC725" s="43"/>
      <c r="AD725" s="43"/>
      <c r="AE725" s="43"/>
      <c r="AF725" s="43"/>
      <c r="AG725" s="43"/>
      <c r="AH725" s="43"/>
      <c r="AI725" s="43"/>
      <c r="AJ725" s="43"/>
    </row>
    <row r="726" spans="1:36" ht="15.95" customHeight="1" x14ac:dyDescent="0.2">
      <c r="A726" s="43"/>
      <c r="B726" s="45">
        <v>121</v>
      </c>
      <c r="C726" s="46">
        <f>IF($A$1='Data Entry'!$C727,'Data Entry'!D727,"")</f>
        <v>0</v>
      </c>
      <c r="D726" s="46">
        <f>IF($A$1='Data Entry'!$C727,'Data Entry'!E727,"")</f>
        <v>0</v>
      </c>
      <c r="E726" s="46">
        <f>IF($A$1='Data Entry'!$C727,'Data Entry'!F727,"")</f>
        <v>0</v>
      </c>
      <c r="F726" s="46">
        <f>IF($A$1='Data Entry'!$C727,'Data Entry'!G727,"")</f>
        <v>0</v>
      </c>
      <c r="G726" s="46">
        <f>IF($A$1='Data Entry'!$C727,'Data Entry'!H727,"")</f>
        <v>0</v>
      </c>
      <c r="H726" s="46">
        <f>IF($A$1='Data Entry'!$C727,'Data Entry'!I727,"")</f>
        <v>0</v>
      </c>
      <c r="I726" s="46">
        <f>IF($A$1='Data Entry'!$C727,'Data Entry'!J727,"")</f>
        <v>0</v>
      </c>
      <c r="J726" s="46">
        <f>IF($A$1='Data Entry'!$C727,'Data Entry'!K727,"")</f>
        <v>0</v>
      </c>
      <c r="K726" s="46">
        <f>IF($A$1='Data Entry'!$C727,'Data Entry'!L727,"")</f>
        <v>0</v>
      </c>
      <c r="L726" s="46">
        <f>IF($A$1='Data Entry'!$C727,'Data Entry'!M727,"")</f>
        <v>0</v>
      </c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  <c r="AA726" s="43"/>
      <c r="AB726" s="43"/>
      <c r="AC726" s="43"/>
      <c r="AD726" s="43"/>
      <c r="AE726" s="43"/>
      <c r="AF726" s="43"/>
      <c r="AG726" s="43"/>
      <c r="AH726" s="43"/>
      <c r="AI726" s="43"/>
      <c r="AJ726" s="43"/>
    </row>
    <row r="727" spans="1:36" ht="15.95" customHeight="1" x14ac:dyDescent="0.2">
      <c r="A727" s="43"/>
      <c r="B727" s="45">
        <v>121</v>
      </c>
      <c r="C727" s="46">
        <f>IF($A$1='Data Entry'!$C728,'Data Entry'!D728,"")</f>
        <v>0</v>
      </c>
      <c r="D727" s="46">
        <f>IF($A$1='Data Entry'!$C728,'Data Entry'!E728,"")</f>
        <v>0</v>
      </c>
      <c r="E727" s="46">
        <f>IF($A$1='Data Entry'!$C728,'Data Entry'!F728,"")</f>
        <v>0</v>
      </c>
      <c r="F727" s="46">
        <f>IF($A$1='Data Entry'!$C728,'Data Entry'!G728,"")</f>
        <v>0</v>
      </c>
      <c r="G727" s="46">
        <f>IF($A$1='Data Entry'!$C728,'Data Entry'!H728,"")</f>
        <v>0</v>
      </c>
      <c r="H727" s="46">
        <f>IF($A$1='Data Entry'!$C728,'Data Entry'!I728,"")</f>
        <v>0</v>
      </c>
      <c r="I727" s="46">
        <f>IF($A$1='Data Entry'!$C728,'Data Entry'!J728,"")</f>
        <v>0</v>
      </c>
      <c r="J727" s="46">
        <f>IF($A$1='Data Entry'!$C728,'Data Entry'!K728,"")</f>
        <v>0</v>
      </c>
      <c r="K727" s="46">
        <f>IF($A$1='Data Entry'!$C728,'Data Entry'!L728,"")</f>
        <v>0</v>
      </c>
      <c r="L727" s="46">
        <f>IF($A$1='Data Entry'!$C728,'Data Entry'!M728,"")</f>
        <v>0</v>
      </c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  <c r="AA727" s="43"/>
      <c r="AB727" s="43"/>
      <c r="AC727" s="43"/>
      <c r="AD727" s="43"/>
      <c r="AE727" s="43"/>
      <c r="AF727" s="43"/>
      <c r="AG727" s="43"/>
      <c r="AH727" s="43"/>
      <c r="AI727" s="43"/>
      <c r="AJ727" s="43"/>
    </row>
    <row r="728" spans="1:36" ht="15.95" customHeight="1" x14ac:dyDescent="0.2">
      <c r="A728" s="43"/>
      <c r="B728" s="45">
        <v>121</v>
      </c>
      <c r="C728" s="46">
        <f>IF($A$1='Data Entry'!$C729,'Data Entry'!D729,"")</f>
        <v>0</v>
      </c>
      <c r="D728" s="46">
        <f>IF($A$1='Data Entry'!$C729,'Data Entry'!E729,"")</f>
        <v>0</v>
      </c>
      <c r="E728" s="46">
        <f>IF($A$1='Data Entry'!$C729,'Data Entry'!F729,"")</f>
        <v>0</v>
      </c>
      <c r="F728" s="46">
        <f>IF($A$1='Data Entry'!$C729,'Data Entry'!G729,"")</f>
        <v>0</v>
      </c>
      <c r="G728" s="46">
        <f>IF($A$1='Data Entry'!$C729,'Data Entry'!H729,"")</f>
        <v>0</v>
      </c>
      <c r="H728" s="46">
        <f>IF($A$1='Data Entry'!$C729,'Data Entry'!I729,"")</f>
        <v>0</v>
      </c>
      <c r="I728" s="46">
        <f>IF($A$1='Data Entry'!$C729,'Data Entry'!J729,"")</f>
        <v>0</v>
      </c>
      <c r="J728" s="46">
        <f>IF($A$1='Data Entry'!$C729,'Data Entry'!K729,"")</f>
        <v>0</v>
      </c>
      <c r="K728" s="46">
        <f>IF($A$1='Data Entry'!$C729,'Data Entry'!L729,"")</f>
        <v>0</v>
      </c>
      <c r="L728" s="46">
        <f>IF($A$1='Data Entry'!$C729,'Data Entry'!M729,"")</f>
        <v>0</v>
      </c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  <c r="AA728" s="43"/>
      <c r="AB728" s="43"/>
      <c r="AC728" s="43"/>
      <c r="AD728" s="43"/>
      <c r="AE728" s="43"/>
      <c r="AF728" s="43"/>
      <c r="AG728" s="43"/>
      <c r="AH728" s="43"/>
      <c r="AI728" s="43"/>
      <c r="AJ728" s="43"/>
    </row>
    <row r="729" spans="1:36" ht="15.95" customHeight="1" x14ac:dyDescent="0.2">
      <c r="A729" s="43"/>
      <c r="B729" s="45">
        <v>122</v>
      </c>
      <c r="C729" s="46">
        <f>IF($A$1='Data Entry'!$C730,'Data Entry'!D730,"")</f>
        <v>0</v>
      </c>
      <c r="D729" s="46">
        <f>IF($A$1='Data Entry'!$C730,'Data Entry'!E730,"")</f>
        <v>0</v>
      </c>
      <c r="E729" s="46">
        <f>IF($A$1='Data Entry'!$C730,'Data Entry'!F730,"")</f>
        <v>0</v>
      </c>
      <c r="F729" s="46">
        <f>IF($A$1='Data Entry'!$C730,'Data Entry'!G730,"")</f>
        <v>0</v>
      </c>
      <c r="G729" s="46">
        <f>IF($A$1='Data Entry'!$C730,'Data Entry'!H730,"")</f>
        <v>0</v>
      </c>
      <c r="H729" s="46">
        <f>IF($A$1='Data Entry'!$C730,'Data Entry'!I730,"")</f>
        <v>0</v>
      </c>
      <c r="I729" s="46">
        <f>IF($A$1='Data Entry'!$C730,'Data Entry'!J730,"")</f>
        <v>0</v>
      </c>
      <c r="J729" s="46">
        <f>IF($A$1='Data Entry'!$C730,'Data Entry'!K730,"")</f>
        <v>0</v>
      </c>
      <c r="K729" s="46">
        <f>IF($A$1='Data Entry'!$C730,'Data Entry'!L730,"")</f>
        <v>0</v>
      </c>
      <c r="L729" s="46">
        <f>IF($A$1='Data Entry'!$C730,'Data Entry'!M730,"")</f>
        <v>0</v>
      </c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  <c r="AA729" s="43"/>
      <c r="AB729" s="43"/>
      <c r="AC729" s="43"/>
      <c r="AD729" s="43"/>
      <c r="AE729" s="43"/>
      <c r="AF729" s="43"/>
      <c r="AG729" s="43"/>
      <c r="AH729" s="43"/>
      <c r="AI729" s="43"/>
      <c r="AJ729" s="43"/>
    </row>
    <row r="730" spans="1:36" ht="15.95" customHeight="1" x14ac:dyDescent="0.2">
      <c r="A730" s="43"/>
      <c r="B730" s="45">
        <v>122</v>
      </c>
      <c r="C730" s="46">
        <f>IF($A$1='Data Entry'!$C731,'Data Entry'!D731,"")</f>
        <v>0</v>
      </c>
      <c r="D730" s="46">
        <f>IF($A$1='Data Entry'!$C731,'Data Entry'!E731,"")</f>
        <v>0</v>
      </c>
      <c r="E730" s="46">
        <f>IF($A$1='Data Entry'!$C731,'Data Entry'!F731,"")</f>
        <v>0</v>
      </c>
      <c r="F730" s="46">
        <f>IF($A$1='Data Entry'!$C731,'Data Entry'!G731,"")</f>
        <v>0</v>
      </c>
      <c r="G730" s="46">
        <f>IF($A$1='Data Entry'!$C731,'Data Entry'!H731,"")</f>
        <v>0</v>
      </c>
      <c r="H730" s="46">
        <f>IF($A$1='Data Entry'!$C731,'Data Entry'!I731,"")</f>
        <v>0</v>
      </c>
      <c r="I730" s="46">
        <f>IF($A$1='Data Entry'!$C731,'Data Entry'!J731,"")</f>
        <v>0</v>
      </c>
      <c r="J730" s="46">
        <f>IF($A$1='Data Entry'!$C731,'Data Entry'!K731,"")</f>
        <v>0</v>
      </c>
      <c r="K730" s="46">
        <f>IF($A$1='Data Entry'!$C731,'Data Entry'!L731,"")</f>
        <v>0</v>
      </c>
      <c r="L730" s="46">
        <f>IF($A$1='Data Entry'!$C731,'Data Entry'!M731,"")</f>
        <v>0</v>
      </c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  <c r="AA730" s="43"/>
      <c r="AB730" s="43"/>
      <c r="AC730" s="43"/>
      <c r="AD730" s="43"/>
      <c r="AE730" s="43"/>
      <c r="AF730" s="43"/>
      <c r="AG730" s="43"/>
      <c r="AH730" s="43"/>
      <c r="AI730" s="43"/>
      <c r="AJ730" s="43"/>
    </row>
    <row r="731" spans="1:36" ht="15.95" customHeight="1" x14ac:dyDescent="0.2">
      <c r="A731" s="43"/>
      <c r="B731" s="45">
        <v>122</v>
      </c>
      <c r="C731" s="46">
        <f>IF($A$1='Data Entry'!$C732,'Data Entry'!D732,"")</f>
        <v>0</v>
      </c>
      <c r="D731" s="46">
        <f>IF($A$1='Data Entry'!$C732,'Data Entry'!E732,"")</f>
        <v>0</v>
      </c>
      <c r="E731" s="46">
        <f>IF($A$1='Data Entry'!$C732,'Data Entry'!F732,"")</f>
        <v>0</v>
      </c>
      <c r="F731" s="46">
        <f>IF($A$1='Data Entry'!$C732,'Data Entry'!G732,"")</f>
        <v>0</v>
      </c>
      <c r="G731" s="46">
        <f>IF($A$1='Data Entry'!$C732,'Data Entry'!H732,"")</f>
        <v>0</v>
      </c>
      <c r="H731" s="46">
        <f>IF($A$1='Data Entry'!$C732,'Data Entry'!I732,"")</f>
        <v>0</v>
      </c>
      <c r="I731" s="46">
        <f>IF($A$1='Data Entry'!$C732,'Data Entry'!J732,"")</f>
        <v>0</v>
      </c>
      <c r="J731" s="46">
        <f>IF($A$1='Data Entry'!$C732,'Data Entry'!K732,"")</f>
        <v>0</v>
      </c>
      <c r="K731" s="46">
        <f>IF($A$1='Data Entry'!$C732,'Data Entry'!L732,"")</f>
        <v>0</v>
      </c>
      <c r="L731" s="46">
        <f>IF($A$1='Data Entry'!$C732,'Data Entry'!M732,"")</f>
        <v>0</v>
      </c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  <c r="AA731" s="43"/>
      <c r="AB731" s="43"/>
      <c r="AC731" s="43"/>
      <c r="AD731" s="43"/>
      <c r="AE731" s="43"/>
      <c r="AF731" s="43"/>
      <c r="AG731" s="43"/>
      <c r="AH731" s="43"/>
      <c r="AI731" s="43"/>
      <c r="AJ731" s="43"/>
    </row>
    <row r="732" spans="1:36" ht="15.95" customHeight="1" x14ac:dyDescent="0.2">
      <c r="A732" s="43"/>
      <c r="B732" s="45">
        <v>122</v>
      </c>
      <c r="C732" s="46">
        <f>IF($A$1='Data Entry'!$C733,'Data Entry'!D733,"")</f>
        <v>0</v>
      </c>
      <c r="D732" s="46">
        <f>IF($A$1='Data Entry'!$C733,'Data Entry'!E733,"")</f>
        <v>0</v>
      </c>
      <c r="E732" s="46">
        <f>IF($A$1='Data Entry'!$C733,'Data Entry'!F733,"")</f>
        <v>0</v>
      </c>
      <c r="F732" s="46">
        <f>IF($A$1='Data Entry'!$C733,'Data Entry'!G733,"")</f>
        <v>0</v>
      </c>
      <c r="G732" s="46">
        <f>IF($A$1='Data Entry'!$C733,'Data Entry'!H733,"")</f>
        <v>0</v>
      </c>
      <c r="H732" s="46">
        <f>IF($A$1='Data Entry'!$C733,'Data Entry'!I733,"")</f>
        <v>0</v>
      </c>
      <c r="I732" s="46">
        <f>IF($A$1='Data Entry'!$C733,'Data Entry'!J733,"")</f>
        <v>0</v>
      </c>
      <c r="J732" s="46">
        <f>IF($A$1='Data Entry'!$C733,'Data Entry'!K733,"")</f>
        <v>0</v>
      </c>
      <c r="K732" s="46">
        <f>IF($A$1='Data Entry'!$C733,'Data Entry'!L733,"")</f>
        <v>0</v>
      </c>
      <c r="L732" s="46">
        <f>IF($A$1='Data Entry'!$C733,'Data Entry'!M733,"")</f>
        <v>0</v>
      </c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  <c r="AA732" s="43"/>
      <c r="AB732" s="43"/>
      <c r="AC732" s="43"/>
      <c r="AD732" s="43"/>
      <c r="AE732" s="43"/>
      <c r="AF732" s="43"/>
      <c r="AG732" s="43"/>
      <c r="AH732" s="43"/>
      <c r="AI732" s="43"/>
      <c r="AJ732" s="43"/>
    </row>
    <row r="733" spans="1:36" ht="15.95" customHeight="1" x14ac:dyDescent="0.2">
      <c r="A733" s="43"/>
      <c r="B733" s="45">
        <v>122</v>
      </c>
      <c r="C733" s="46">
        <f>IF($A$1='Data Entry'!$C734,'Data Entry'!D734,"")</f>
        <v>0</v>
      </c>
      <c r="D733" s="46">
        <f>IF($A$1='Data Entry'!$C734,'Data Entry'!E734,"")</f>
        <v>0</v>
      </c>
      <c r="E733" s="46">
        <f>IF($A$1='Data Entry'!$C734,'Data Entry'!F734,"")</f>
        <v>0</v>
      </c>
      <c r="F733" s="46">
        <f>IF($A$1='Data Entry'!$C734,'Data Entry'!G734,"")</f>
        <v>0</v>
      </c>
      <c r="G733" s="46">
        <f>IF($A$1='Data Entry'!$C734,'Data Entry'!H734,"")</f>
        <v>0</v>
      </c>
      <c r="H733" s="46">
        <f>IF($A$1='Data Entry'!$C734,'Data Entry'!I734,"")</f>
        <v>0</v>
      </c>
      <c r="I733" s="46">
        <f>IF($A$1='Data Entry'!$C734,'Data Entry'!J734,"")</f>
        <v>0</v>
      </c>
      <c r="J733" s="46">
        <f>IF($A$1='Data Entry'!$C734,'Data Entry'!K734,"")</f>
        <v>0</v>
      </c>
      <c r="K733" s="46">
        <f>IF($A$1='Data Entry'!$C734,'Data Entry'!L734,"")</f>
        <v>0</v>
      </c>
      <c r="L733" s="46">
        <f>IF($A$1='Data Entry'!$C734,'Data Entry'!M734,"")</f>
        <v>0</v>
      </c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  <c r="AA733" s="43"/>
      <c r="AB733" s="43"/>
      <c r="AC733" s="43"/>
      <c r="AD733" s="43"/>
      <c r="AE733" s="43"/>
      <c r="AF733" s="43"/>
      <c r="AG733" s="43"/>
      <c r="AH733" s="43"/>
      <c r="AI733" s="43"/>
      <c r="AJ733" s="43"/>
    </row>
    <row r="734" spans="1:36" ht="15.95" customHeight="1" x14ac:dyDescent="0.2">
      <c r="A734" s="43"/>
      <c r="B734" s="45">
        <v>122</v>
      </c>
      <c r="C734" s="46">
        <f>IF($A$1='Data Entry'!$C735,'Data Entry'!D735,"")</f>
        <v>0</v>
      </c>
      <c r="D734" s="46">
        <f>IF($A$1='Data Entry'!$C735,'Data Entry'!E735,"")</f>
        <v>0</v>
      </c>
      <c r="E734" s="46">
        <f>IF($A$1='Data Entry'!$C735,'Data Entry'!F735,"")</f>
        <v>0</v>
      </c>
      <c r="F734" s="46">
        <f>IF($A$1='Data Entry'!$C735,'Data Entry'!G735,"")</f>
        <v>0</v>
      </c>
      <c r="G734" s="46">
        <f>IF($A$1='Data Entry'!$C735,'Data Entry'!H735,"")</f>
        <v>0</v>
      </c>
      <c r="H734" s="46">
        <f>IF($A$1='Data Entry'!$C735,'Data Entry'!I735,"")</f>
        <v>0</v>
      </c>
      <c r="I734" s="46">
        <f>IF($A$1='Data Entry'!$C735,'Data Entry'!J735,"")</f>
        <v>0</v>
      </c>
      <c r="J734" s="46">
        <f>IF($A$1='Data Entry'!$C735,'Data Entry'!K735,"")</f>
        <v>0</v>
      </c>
      <c r="K734" s="46">
        <f>IF($A$1='Data Entry'!$C735,'Data Entry'!L735,"")</f>
        <v>0</v>
      </c>
      <c r="L734" s="46">
        <f>IF($A$1='Data Entry'!$C735,'Data Entry'!M735,"")</f>
        <v>0</v>
      </c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  <c r="AA734" s="43"/>
      <c r="AB734" s="43"/>
      <c r="AC734" s="43"/>
      <c r="AD734" s="43"/>
      <c r="AE734" s="43"/>
      <c r="AF734" s="43"/>
      <c r="AG734" s="43"/>
      <c r="AH734" s="43"/>
      <c r="AI734" s="43"/>
      <c r="AJ734" s="43"/>
    </row>
    <row r="735" spans="1:36" ht="15.95" customHeight="1" x14ac:dyDescent="0.2">
      <c r="A735" s="43"/>
      <c r="B735" s="45">
        <v>123</v>
      </c>
      <c r="C735" s="46">
        <f>IF($A$1='Data Entry'!$C736,'Data Entry'!D736,"")</f>
        <v>0</v>
      </c>
      <c r="D735" s="46">
        <f>IF($A$1='Data Entry'!$C736,'Data Entry'!E736,"")</f>
        <v>0</v>
      </c>
      <c r="E735" s="46">
        <f>IF($A$1='Data Entry'!$C736,'Data Entry'!F736,"")</f>
        <v>0</v>
      </c>
      <c r="F735" s="46">
        <f>IF($A$1='Data Entry'!$C736,'Data Entry'!G736,"")</f>
        <v>0</v>
      </c>
      <c r="G735" s="46">
        <f>IF($A$1='Data Entry'!$C736,'Data Entry'!H736,"")</f>
        <v>0</v>
      </c>
      <c r="H735" s="46">
        <f>IF($A$1='Data Entry'!$C736,'Data Entry'!I736,"")</f>
        <v>0</v>
      </c>
      <c r="I735" s="46">
        <f>IF($A$1='Data Entry'!$C736,'Data Entry'!J736,"")</f>
        <v>0</v>
      </c>
      <c r="J735" s="46">
        <f>IF($A$1='Data Entry'!$C736,'Data Entry'!K736,"")</f>
        <v>0</v>
      </c>
      <c r="K735" s="46">
        <f>IF($A$1='Data Entry'!$C736,'Data Entry'!L736,"")</f>
        <v>0</v>
      </c>
      <c r="L735" s="46">
        <f>IF($A$1='Data Entry'!$C736,'Data Entry'!M736,"")</f>
        <v>0</v>
      </c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  <c r="AA735" s="43"/>
      <c r="AB735" s="43"/>
      <c r="AC735" s="43"/>
      <c r="AD735" s="43"/>
      <c r="AE735" s="43"/>
      <c r="AF735" s="43"/>
      <c r="AG735" s="43"/>
      <c r="AH735" s="43"/>
      <c r="AI735" s="43"/>
      <c r="AJ735" s="43"/>
    </row>
    <row r="736" spans="1:36" ht="15.95" customHeight="1" x14ac:dyDescent="0.2">
      <c r="A736" s="43"/>
      <c r="B736" s="45">
        <v>123</v>
      </c>
      <c r="C736" s="46">
        <f>IF($A$1='Data Entry'!$C737,'Data Entry'!D737,"")</f>
        <v>0</v>
      </c>
      <c r="D736" s="46">
        <f>IF($A$1='Data Entry'!$C737,'Data Entry'!E737,"")</f>
        <v>0</v>
      </c>
      <c r="E736" s="46">
        <f>IF($A$1='Data Entry'!$C737,'Data Entry'!F737,"")</f>
        <v>0</v>
      </c>
      <c r="F736" s="46">
        <f>IF($A$1='Data Entry'!$C737,'Data Entry'!G737,"")</f>
        <v>0</v>
      </c>
      <c r="G736" s="46">
        <f>IF($A$1='Data Entry'!$C737,'Data Entry'!H737,"")</f>
        <v>0</v>
      </c>
      <c r="H736" s="46">
        <f>IF($A$1='Data Entry'!$C737,'Data Entry'!I737,"")</f>
        <v>0</v>
      </c>
      <c r="I736" s="46">
        <f>IF($A$1='Data Entry'!$C737,'Data Entry'!J737,"")</f>
        <v>0</v>
      </c>
      <c r="J736" s="46">
        <f>IF($A$1='Data Entry'!$C737,'Data Entry'!K737,"")</f>
        <v>0</v>
      </c>
      <c r="K736" s="46">
        <f>IF($A$1='Data Entry'!$C737,'Data Entry'!L737,"")</f>
        <v>0</v>
      </c>
      <c r="L736" s="46">
        <f>IF($A$1='Data Entry'!$C737,'Data Entry'!M737,"")</f>
        <v>0</v>
      </c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  <c r="AA736" s="43"/>
      <c r="AB736" s="43"/>
      <c r="AC736" s="43"/>
      <c r="AD736" s="43"/>
      <c r="AE736" s="43"/>
      <c r="AF736" s="43"/>
      <c r="AG736" s="43"/>
      <c r="AH736" s="43"/>
      <c r="AI736" s="43"/>
      <c r="AJ736" s="43"/>
    </row>
    <row r="737" spans="1:36" ht="15.95" customHeight="1" x14ac:dyDescent="0.2">
      <c r="A737" s="43"/>
      <c r="B737" s="45">
        <v>123</v>
      </c>
      <c r="C737" s="46">
        <f>IF($A$1='Data Entry'!$C738,'Data Entry'!D738,"")</f>
        <v>0</v>
      </c>
      <c r="D737" s="46">
        <f>IF($A$1='Data Entry'!$C738,'Data Entry'!E738,"")</f>
        <v>0</v>
      </c>
      <c r="E737" s="46">
        <f>IF($A$1='Data Entry'!$C738,'Data Entry'!F738,"")</f>
        <v>0</v>
      </c>
      <c r="F737" s="46">
        <f>IF($A$1='Data Entry'!$C738,'Data Entry'!G738,"")</f>
        <v>0</v>
      </c>
      <c r="G737" s="46">
        <f>IF($A$1='Data Entry'!$C738,'Data Entry'!H738,"")</f>
        <v>0</v>
      </c>
      <c r="H737" s="46">
        <f>IF($A$1='Data Entry'!$C738,'Data Entry'!I738,"")</f>
        <v>0</v>
      </c>
      <c r="I737" s="46">
        <f>IF($A$1='Data Entry'!$C738,'Data Entry'!J738,"")</f>
        <v>0</v>
      </c>
      <c r="J737" s="46">
        <f>IF($A$1='Data Entry'!$C738,'Data Entry'!K738,"")</f>
        <v>0</v>
      </c>
      <c r="K737" s="46">
        <f>IF($A$1='Data Entry'!$C738,'Data Entry'!L738,"")</f>
        <v>0</v>
      </c>
      <c r="L737" s="46">
        <f>IF($A$1='Data Entry'!$C738,'Data Entry'!M738,"")</f>
        <v>0</v>
      </c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  <c r="AA737" s="43"/>
      <c r="AB737" s="43"/>
      <c r="AC737" s="43"/>
      <c r="AD737" s="43"/>
      <c r="AE737" s="43"/>
      <c r="AF737" s="43"/>
      <c r="AG737" s="43"/>
      <c r="AH737" s="43"/>
      <c r="AI737" s="43"/>
      <c r="AJ737" s="43"/>
    </row>
    <row r="738" spans="1:36" ht="15.95" customHeight="1" x14ac:dyDescent="0.2">
      <c r="A738" s="43"/>
      <c r="B738" s="45">
        <v>123</v>
      </c>
      <c r="C738" s="46">
        <f>IF($A$1='Data Entry'!$C739,'Data Entry'!D739,"")</f>
        <v>0</v>
      </c>
      <c r="D738" s="46">
        <f>IF($A$1='Data Entry'!$C739,'Data Entry'!E739,"")</f>
        <v>0</v>
      </c>
      <c r="E738" s="46">
        <f>IF($A$1='Data Entry'!$C739,'Data Entry'!F739,"")</f>
        <v>0</v>
      </c>
      <c r="F738" s="46">
        <f>IF($A$1='Data Entry'!$C739,'Data Entry'!G739,"")</f>
        <v>0</v>
      </c>
      <c r="G738" s="46">
        <f>IF($A$1='Data Entry'!$C739,'Data Entry'!H739,"")</f>
        <v>0</v>
      </c>
      <c r="H738" s="46">
        <f>IF($A$1='Data Entry'!$C739,'Data Entry'!I739,"")</f>
        <v>0</v>
      </c>
      <c r="I738" s="46">
        <f>IF($A$1='Data Entry'!$C739,'Data Entry'!J739,"")</f>
        <v>0</v>
      </c>
      <c r="J738" s="46">
        <f>IF($A$1='Data Entry'!$C739,'Data Entry'!K739,"")</f>
        <v>0</v>
      </c>
      <c r="K738" s="46">
        <f>IF($A$1='Data Entry'!$C739,'Data Entry'!L739,"")</f>
        <v>0</v>
      </c>
      <c r="L738" s="46">
        <f>IF($A$1='Data Entry'!$C739,'Data Entry'!M739,"")</f>
        <v>0</v>
      </c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  <c r="AA738" s="43"/>
      <c r="AB738" s="43"/>
      <c r="AC738" s="43"/>
      <c r="AD738" s="43"/>
      <c r="AE738" s="43"/>
      <c r="AF738" s="43"/>
      <c r="AG738" s="43"/>
      <c r="AH738" s="43"/>
      <c r="AI738" s="43"/>
      <c r="AJ738" s="43"/>
    </row>
    <row r="739" spans="1:36" ht="15.95" customHeight="1" x14ac:dyDescent="0.2">
      <c r="A739" s="43"/>
      <c r="B739" s="45">
        <v>123</v>
      </c>
      <c r="C739" s="46">
        <f>IF($A$1='Data Entry'!$C740,'Data Entry'!D740,"")</f>
        <v>0</v>
      </c>
      <c r="D739" s="46">
        <f>IF($A$1='Data Entry'!$C740,'Data Entry'!E740,"")</f>
        <v>0</v>
      </c>
      <c r="E739" s="46">
        <f>IF($A$1='Data Entry'!$C740,'Data Entry'!F740,"")</f>
        <v>0</v>
      </c>
      <c r="F739" s="46">
        <f>IF($A$1='Data Entry'!$C740,'Data Entry'!G740,"")</f>
        <v>0</v>
      </c>
      <c r="G739" s="46">
        <f>IF($A$1='Data Entry'!$C740,'Data Entry'!H740,"")</f>
        <v>0</v>
      </c>
      <c r="H739" s="46">
        <f>IF($A$1='Data Entry'!$C740,'Data Entry'!I740,"")</f>
        <v>0</v>
      </c>
      <c r="I739" s="46">
        <f>IF($A$1='Data Entry'!$C740,'Data Entry'!J740,"")</f>
        <v>0</v>
      </c>
      <c r="J739" s="46">
        <f>IF($A$1='Data Entry'!$C740,'Data Entry'!K740,"")</f>
        <v>0</v>
      </c>
      <c r="K739" s="46">
        <f>IF($A$1='Data Entry'!$C740,'Data Entry'!L740,"")</f>
        <v>0</v>
      </c>
      <c r="L739" s="46">
        <f>IF($A$1='Data Entry'!$C740,'Data Entry'!M740,"")</f>
        <v>0</v>
      </c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  <c r="AA739" s="43"/>
      <c r="AB739" s="43"/>
      <c r="AC739" s="43"/>
      <c r="AD739" s="43"/>
      <c r="AE739" s="43"/>
      <c r="AF739" s="43"/>
      <c r="AG739" s="43"/>
      <c r="AH739" s="43"/>
      <c r="AI739" s="43"/>
      <c r="AJ739" s="43"/>
    </row>
    <row r="740" spans="1:36" ht="15.95" customHeight="1" x14ac:dyDescent="0.2">
      <c r="A740" s="43"/>
      <c r="B740" s="45">
        <v>123</v>
      </c>
      <c r="C740" s="46">
        <f>IF($A$1='Data Entry'!$C741,'Data Entry'!D741,"")</f>
        <v>0</v>
      </c>
      <c r="D740" s="46">
        <f>IF($A$1='Data Entry'!$C741,'Data Entry'!E741,"")</f>
        <v>0</v>
      </c>
      <c r="E740" s="46">
        <f>IF($A$1='Data Entry'!$C741,'Data Entry'!F741,"")</f>
        <v>0</v>
      </c>
      <c r="F740" s="46">
        <f>IF($A$1='Data Entry'!$C741,'Data Entry'!G741,"")</f>
        <v>0</v>
      </c>
      <c r="G740" s="46">
        <f>IF($A$1='Data Entry'!$C741,'Data Entry'!H741,"")</f>
        <v>0</v>
      </c>
      <c r="H740" s="46">
        <f>IF($A$1='Data Entry'!$C741,'Data Entry'!I741,"")</f>
        <v>0</v>
      </c>
      <c r="I740" s="46">
        <f>IF($A$1='Data Entry'!$C741,'Data Entry'!J741,"")</f>
        <v>0</v>
      </c>
      <c r="J740" s="46">
        <f>IF($A$1='Data Entry'!$C741,'Data Entry'!K741,"")</f>
        <v>0</v>
      </c>
      <c r="K740" s="46">
        <f>IF($A$1='Data Entry'!$C741,'Data Entry'!L741,"")</f>
        <v>0</v>
      </c>
      <c r="L740" s="46">
        <f>IF($A$1='Data Entry'!$C741,'Data Entry'!M741,"")</f>
        <v>0</v>
      </c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  <c r="AA740" s="43"/>
      <c r="AB740" s="43"/>
      <c r="AC740" s="43"/>
      <c r="AD740" s="43"/>
      <c r="AE740" s="43"/>
      <c r="AF740" s="43"/>
      <c r="AG740" s="43"/>
      <c r="AH740" s="43"/>
      <c r="AI740" s="43"/>
      <c r="AJ740" s="43"/>
    </row>
    <row r="741" spans="1:36" ht="15.95" customHeight="1" x14ac:dyDescent="0.2">
      <c r="A741" s="43"/>
      <c r="B741" s="45">
        <v>124</v>
      </c>
      <c r="C741" s="46">
        <f>IF($A$1='Data Entry'!$C742,'Data Entry'!D742,"")</f>
        <v>0</v>
      </c>
      <c r="D741" s="46">
        <f>IF($A$1='Data Entry'!$C742,'Data Entry'!E742,"")</f>
        <v>0</v>
      </c>
      <c r="E741" s="46">
        <f>IF($A$1='Data Entry'!$C742,'Data Entry'!F742,"")</f>
        <v>0</v>
      </c>
      <c r="F741" s="46">
        <f>IF($A$1='Data Entry'!$C742,'Data Entry'!G742,"")</f>
        <v>0</v>
      </c>
      <c r="G741" s="46">
        <f>IF($A$1='Data Entry'!$C742,'Data Entry'!H742,"")</f>
        <v>0</v>
      </c>
      <c r="H741" s="46">
        <f>IF($A$1='Data Entry'!$C742,'Data Entry'!I742,"")</f>
        <v>0</v>
      </c>
      <c r="I741" s="46">
        <f>IF($A$1='Data Entry'!$C742,'Data Entry'!J742,"")</f>
        <v>0</v>
      </c>
      <c r="J741" s="46">
        <f>IF($A$1='Data Entry'!$C742,'Data Entry'!K742,"")</f>
        <v>0</v>
      </c>
      <c r="K741" s="46">
        <f>IF($A$1='Data Entry'!$C742,'Data Entry'!L742,"")</f>
        <v>0</v>
      </c>
      <c r="L741" s="46">
        <f>IF($A$1='Data Entry'!$C742,'Data Entry'!M742,"")</f>
        <v>0</v>
      </c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  <c r="AA741" s="43"/>
      <c r="AB741" s="43"/>
      <c r="AC741" s="43"/>
      <c r="AD741" s="43"/>
      <c r="AE741" s="43"/>
      <c r="AF741" s="43"/>
      <c r="AG741" s="43"/>
      <c r="AH741" s="43"/>
      <c r="AI741" s="43"/>
      <c r="AJ741" s="43"/>
    </row>
    <row r="742" spans="1:36" ht="15.95" customHeight="1" x14ac:dyDescent="0.2">
      <c r="A742" s="43"/>
      <c r="B742" s="45">
        <v>124</v>
      </c>
      <c r="C742" s="46">
        <f>IF($A$1='Data Entry'!$C743,'Data Entry'!D743,"")</f>
        <v>0</v>
      </c>
      <c r="D742" s="46">
        <f>IF($A$1='Data Entry'!$C743,'Data Entry'!E743,"")</f>
        <v>0</v>
      </c>
      <c r="E742" s="46">
        <f>IF($A$1='Data Entry'!$C743,'Data Entry'!F743,"")</f>
        <v>0</v>
      </c>
      <c r="F742" s="46">
        <f>IF($A$1='Data Entry'!$C743,'Data Entry'!G743,"")</f>
        <v>0</v>
      </c>
      <c r="G742" s="46">
        <f>IF($A$1='Data Entry'!$C743,'Data Entry'!H743,"")</f>
        <v>0</v>
      </c>
      <c r="H742" s="46">
        <f>IF($A$1='Data Entry'!$C743,'Data Entry'!I743,"")</f>
        <v>0</v>
      </c>
      <c r="I742" s="46">
        <f>IF($A$1='Data Entry'!$C743,'Data Entry'!J743,"")</f>
        <v>0</v>
      </c>
      <c r="J742" s="46">
        <f>IF($A$1='Data Entry'!$C743,'Data Entry'!K743,"")</f>
        <v>0</v>
      </c>
      <c r="K742" s="46">
        <f>IF($A$1='Data Entry'!$C743,'Data Entry'!L743,"")</f>
        <v>0</v>
      </c>
      <c r="L742" s="46">
        <f>IF($A$1='Data Entry'!$C743,'Data Entry'!M743,"")</f>
        <v>0</v>
      </c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  <c r="AA742" s="43"/>
      <c r="AB742" s="43"/>
      <c r="AC742" s="43"/>
      <c r="AD742" s="43"/>
      <c r="AE742" s="43"/>
      <c r="AF742" s="43"/>
      <c r="AG742" s="43"/>
      <c r="AH742" s="43"/>
      <c r="AI742" s="43"/>
      <c r="AJ742" s="43"/>
    </row>
    <row r="743" spans="1:36" ht="15.95" customHeight="1" x14ac:dyDescent="0.2">
      <c r="A743" s="43"/>
      <c r="B743" s="45">
        <v>124</v>
      </c>
      <c r="C743" s="46">
        <f>IF($A$1='Data Entry'!$C744,'Data Entry'!D744,"")</f>
        <v>0</v>
      </c>
      <c r="D743" s="46">
        <f>IF($A$1='Data Entry'!$C744,'Data Entry'!E744,"")</f>
        <v>0</v>
      </c>
      <c r="E743" s="46">
        <f>IF($A$1='Data Entry'!$C744,'Data Entry'!F744,"")</f>
        <v>0</v>
      </c>
      <c r="F743" s="46">
        <f>IF($A$1='Data Entry'!$C744,'Data Entry'!G744,"")</f>
        <v>0</v>
      </c>
      <c r="G743" s="46">
        <f>IF($A$1='Data Entry'!$C744,'Data Entry'!H744,"")</f>
        <v>0</v>
      </c>
      <c r="H743" s="46">
        <f>IF($A$1='Data Entry'!$C744,'Data Entry'!I744,"")</f>
        <v>0</v>
      </c>
      <c r="I743" s="46">
        <f>IF($A$1='Data Entry'!$C744,'Data Entry'!J744,"")</f>
        <v>0</v>
      </c>
      <c r="J743" s="46">
        <f>IF($A$1='Data Entry'!$C744,'Data Entry'!K744,"")</f>
        <v>0</v>
      </c>
      <c r="K743" s="46">
        <f>IF($A$1='Data Entry'!$C744,'Data Entry'!L744,"")</f>
        <v>0</v>
      </c>
      <c r="L743" s="46">
        <f>IF($A$1='Data Entry'!$C744,'Data Entry'!M744,"")</f>
        <v>0</v>
      </c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  <c r="AA743" s="43"/>
      <c r="AB743" s="43"/>
      <c r="AC743" s="43"/>
      <c r="AD743" s="43"/>
      <c r="AE743" s="43"/>
      <c r="AF743" s="43"/>
      <c r="AG743" s="43"/>
      <c r="AH743" s="43"/>
      <c r="AI743" s="43"/>
      <c r="AJ743" s="43"/>
    </row>
    <row r="744" spans="1:36" ht="15.95" customHeight="1" x14ac:dyDescent="0.2">
      <c r="A744" s="43"/>
      <c r="B744" s="45">
        <v>124</v>
      </c>
      <c r="C744" s="46">
        <f>IF($A$1='Data Entry'!$C745,'Data Entry'!D745,"")</f>
        <v>0</v>
      </c>
      <c r="D744" s="46">
        <f>IF($A$1='Data Entry'!$C745,'Data Entry'!E745,"")</f>
        <v>0</v>
      </c>
      <c r="E744" s="46">
        <f>IF($A$1='Data Entry'!$C745,'Data Entry'!F745,"")</f>
        <v>0</v>
      </c>
      <c r="F744" s="46">
        <f>IF($A$1='Data Entry'!$C745,'Data Entry'!G745,"")</f>
        <v>0</v>
      </c>
      <c r="G744" s="46">
        <f>IF($A$1='Data Entry'!$C745,'Data Entry'!H745,"")</f>
        <v>0</v>
      </c>
      <c r="H744" s="46">
        <f>IF($A$1='Data Entry'!$C745,'Data Entry'!I745,"")</f>
        <v>0</v>
      </c>
      <c r="I744" s="46">
        <f>IF($A$1='Data Entry'!$C745,'Data Entry'!J745,"")</f>
        <v>0</v>
      </c>
      <c r="J744" s="46">
        <f>IF($A$1='Data Entry'!$C745,'Data Entry'!K745,"")</f>
        <v>0</v>
      </c>
      <c r="K744" s="46">
        <f>IF($A$1='Data Entry'!$C745,'Data Entry'!L745,"")</f>
        <v>0</v>
      </c>
      <c r="L744" s="46">
        <f>IF($A$1='Data Entry'!$C745,'Data Entry'!M745,"")</f>
        <v>0</v>
      </c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  <c r="AA744" s="43"/>
      <c r="AB744" s="43"/>
      <c r="AC744" s="43"/>
      <c r="AD744" s="43"/>
      <c r="AE744" s="43"/>
      <c r="AF744" s="43"/>
      <c r="AG744" s="43"/>
      <c r="AH744" s="43"/>
      <c r="AI744" s="43"/>
      <c r="AJ744" s="43"/>
    </row>
    <row r="745" spans="1:36" ht="15.95" customHeight="1" x14ac:dyDescent="0.2">
      <c r="A745" s="43"/>
      <c r="B745" s="45">
        <v>124</v>
      </c>
      <c r="C745" s="46">
        <f>IF($A$1='Data Entry'!$C746,'Data Entry'!D746,"")</f>
        <v>0</v>
      </c>
      <c r="D745" s="46">
        <f>IF($A$1='Data Entry'!$C746,'Data Entry'!E746,"")</f>
        <v>0</v>
      </c>
      <c r="E745" s="46">
        <f>IF($A$1='Data Entry'!$C746,'Data Entry'!F746,"")</f>
        <v>0</v>
      </c>
      <c r="F745" s="46">
        <f>IF($A$1='Data Entry'!$C746,'Data Entry'!G746,"")</f>
        <v>0</v>
      </c>
      <c r="G745" s="46">
        <f>IF($A$1='Data Entry'!$C746,'Data Entry'!H746,"")</f>
        <v>0</v>
      </c>
      <c r="H745" s="46">
        <f>IF($A$1='Data Entry'!$C746,'Data Entry'!I746,"")</f>
        <v>0</v>
      </c>
      <c r="I745" s="46">
        <f>IF($A$1='Data Entry'!$C746,'Data Entry'!J746,"")</f>
        <v>0</v>
      </c>
      <c r="J745" s="46">
        <f>IF($A$1='Data Entry'!$C746,'Data Entry'!K746,"")</f>
        <v>0</v>
      </c>
      <c r="K745" s="46">
        <f>IF($A$1='Data Entry'!$C746,'Data Entry'!L746,"")</f>
        <v>0</v>
      </c>
      <c r="L745" s="46">
        <f>IF($A$1='Data Entry'!$C746,'Data Entry'!M746,"")</f>
        <v>0</v>
      </c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  <c r="AA745" s="43"/>
      <c r="AB745" s="43"/>
      <c r="AC745" s="43"/>
      <c r="AD745" s="43"/>
      <c r="AE745" s="43"/>
      <c r="AF745" s="43"/>
      <c r="AG745" s="43"/>
      <c r="AH745" s="43"/>
      <c r="AI745" s="43"/>
      <c r="AJ745" s="43"/>
    </row>
    <row r="746" spans="1:36" ht="15.95" customHeight="1" x14ac:dyDescent="0.2">
      <c r="A746" s="43"/>
      <c r="B746" s="45">
        <v>124</v>
      </c>
      <c r="C746" s="46">
        <f>IF($A$1='Data Entry'!$C747,'Data Entry'!D747,"")</f>
        <v>0</v>
      </c>
      <c r="D746" s="46">
        <f>IF($A$1='Data Entry'!$C747,'Data Entry'!E747,"")</f>
        <v>0</v>
      </c>
      <c r="E746" s="46">
        <f>IF($A$1='Data Entry'!$C747,'Data Entry'!F747,"")</f>
        <v>0</v>
      </c>
      <c r="F746" s="46">
        <f>IF($A$1='Data Entry'!$C747,'Data Entry'!G747,"")</f>
        <v>0</v>
      </c>
      <c r="G746" s="46">
        <f>IF($A$1='Data Entry'!$C747,'Data Entry'!H747,"")</f>
        <v>0</v>
      </c>
      <c r="H746" s="46">
        <f>IF($A$1='Data Entry'!$C747,'Data Entry'!I747,"")</f>
        <v>0</v>
      </c>
      <c r="I746" s="46">
        <f>IF($A$1='Data Entry'!$C747,'Data Entry'!J747,"")</f>
        <v>0</v>
      </c>
      <c r="J746" s="46">
        <f>IF($A$1='Data Entry'!$C747,'Data Entry'!K747,"")</f>
        <v>0</v>
      </c>
      <c r="K746" s="46">
        <f>IF($A$1='Data Entry'!$C747,'Data Entry'!L747,"")</f>
        <v>0</v>
      </c>
      <c r="L746" s="46">
        <f>IF($A$1='Data Entry'!$C747,'Data Entry'!M747,"")</f>
        <v>0</v>
      </c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  <c r="AA746" s="43"/>
      <c r="AB746" s="43"/>
      <c r="AC746" s="43"/>
      <c r="AD746" s="43"/>
      <c r="AE746" s="43"/>
      <c r="AF746" s="43"/>
      <c r="AG746" s="43"/>
      <c r="AH746" s="43"/>
      <c r="AI746" s="43"/>
      <c r="AJ746" s="43"/>
    </row>
    <row r="747" spans="1:36" ht="15.95" customHeight="1" x14ac:dyDescent="0.2">
      <c r="A747" s="43"/>
      <c r="B747" s="45">
        <v>125</v>
      </c>
      <c r="C747" s="46">
        <f>IF($A$1='Data Entry'!$C748,'Data Entry'!D748,"")</f>
        <v>0</v>
      </c>
      <c r="D747" s="46">
        <f>IF($A$1='Data Entry'!$C748,'Data Entry'!E748,"")</f>
        <v>0</v>
      </c>
      <c r="E747" s="46">
        <f>IF($A$1='Data Entry'!$C748,'Data Entry'!F748,"")</f>
        <v>0</v>
      </c>
      <c r="F747" s="46">
        <f>IF($A$1='Data Entry'!$C748,'Data Entry'!G748,"")</f>
        <v>0</v>
      </c>
      <c r="G747" s="46">
        <f>IF($A$1='Data Entry'!$C748,'Data Entry'!H748,"")</f>
        <v>0</v>
      </c>
      <c r="H747" s="46">
        <f>IF($A$1='Data Entry'!$C748,'Data Entry'!I748,"")</f>
        <v>0</v>
      </c>
      <c r="I747" s="46">
        <f>IF($A$1='Data Entry'!$C748,'Data Entry'!J748,"")</f>
        <v>0</v>
      </c>
      <c r="J747" s="46">
        <f>IF($A$1='Data Entry'!$C748,'Data Entry'!K748,"")</f>
        <v>0</v>
      </c>
      <c r="K747" s="46">
        <f>IF($A$1='Data Entry'!$C748,'Data Entry'!L748,"")</f>
        <v>0</v>
      </c>
      <c r="L747" s="46">
        <f>IF($A$1='Data Entry'!$C748,'Data Entry'!M748,"")</f>
        <v>0</v>
      </c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  <c r="AA747" s="43"/>
      <c r="AB747" s="43"/>
      <c r="AC747" s="43"/>
      <c r="AD747" s="43"/>
      <c r="AE747" s="43"/>
      <c r="AF747" s="43"/>
      <c r="AG747" s="43"/>
      <c r="AH747" s="43"/>
      <c r="AI747" s="43"/>
      <c r="AJ747" s="43"/>
    </row>
    <row r="748" spans="1:36" ht="15.95" customHeight="1" x14ac:dyDescent="0.2">
      <c r="A748" s="43"/>
      <c r="B748" s="45">
        <v>125</v>
      </c>
      <c r="C748" s="46">
        <f>IF($A$1='Data Entry'!$C749,'Data Entry'!D749,"")</f>
        <v>0</v>
      </c>
      <c r="D748" s="46">
        <f>IF($A$1='Data Entry'!$C749,'Data Entry'!E749,"")</f>
        <v>0</v>
      </c>
      <c r="E748" s="46">
        <f>IF($A$1='Data Entry'!$C749,'Data Entry'!F749,"")</f>
        <v>0</v>
      </c>
      <c r="F748" s="46">
        <f>IF($A$1='Data Entry'!$C749,'Data Entry'!G749,"")</f>
        <v>0</v>
      </c>
      <c r="G748" s="46">
        <f>IF($A$1='Data Entry'!$C749,'Data Entry'!H749,"")</f>
        <v>0</v>
      </c>
      <c r="H748" s="46">
        <f>IF($A$1='Data Entry'!$C749,'Data Entry'!I749,"")</f>
        <v>0</v>
      </c>
      <c r="I748" s="46">
        <f>IF($A$1='Data Entry'!$C749,'Data Entry'!J749,"")</f>
        <v>0</v>
      </c>
      <c r="J748" s="46">
        <f>IF($A$1='Data Entry'!$C749,'Data Entry'!K749,"")</f>
        <v>0</v>
      </c>
      <c r="K748" s="46">
        <f>IF($A$1='Data Entry'!$C749,'Data Entry'!L749,"")</f>
        <v>0</v>
      </c>
      <c r="L748" s="46">
        <f>IF($A$1='Data Entry'!$C749,'Data Entry'!M749,"")</f>
        <v>0</v>
      </c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  <c r="AA748" s="43"/>
      <c r="AB748" s="43"/>
      <c r="AC748" s="43"/>
      <c r="AD748" s="43"/>
      <c r="AE748" s="43"/>
      <c r="AF748" s="43"/>
      <c r="AG748" s="43"/>
      <c r="AH748" s="43"/>
      <c r="AI748" s="43"/>
      <c r="AJ748" s="43"/>
    </row>
    <row r="749" spans="1:36" ht="15.95" customHeight="1" x14ac:dyDescent="0.2">
      <c r="A749" s="43"/>
      <c r="B749" s="45">
        <v>125</v>
      </c>
      <c r="C749" s="46">
        <f>IF($A$1='Data Entry'!$C750,'Data Entry'!D750,"")</f>
        <v>0</v>
      </c>
      <c r="D749" s="46">
        <f>IF($A$1='Data Entry'!$C750,'Data Entry'!E750,"")</f>
        <v>0</v>
      </c>
      <c r="E749" s="46">
        <f>IF($A$1='Data Entry'!$C750,'Data Entry'!F750,"")</f>
        <v>0</v>
      </c>
      <c r="F749" s="46">
        <f>IF($A$1='Data Entry'!$C750,'Data Entry'!G750,"")</f>
        <v>0</v>
      </c>
      <c r="G749" s="46">
        <f>IF($A$1='Data Entry'!$C750,'Data Entry'!H750,"")</f>
        <v>0</v>
      </c>
      <c r="H749" s="46">
        <f>IF($A$1='Data Entry'!$C750,'Data Entry'!I750,"")</f>
        <v>0</v>
      </c>
      <c r="I749" s="46">
        <f>IF($A$1='Data Entry'!$C750,'Data Entry'!J750,"")</f>
        <v>0</v>
      </c>
      <c r="J749" s="46">
        <f>IF($A$1='Data Entry'!$C750,'Data Entry'!K750,"")</f>
        <v>0</v>
      </c>
      <c r="K749" s="46">
        <f>IF($A$1='Data Entry'!$C750,'Data Entry'!L750,"")</f>
        <v>0</v>
      </c>
      <c r="L749" s="46">
        <f>IF($A$1='Data Entry'!$C750,'Data Entry'!M750,"")</f>
        <v>0</v>
      </c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  <c r="AA749" s="43"/>
      <c r="AB749" s="43"/>
      <c r="AC749" s="43"/>
      <c r="AD749" s="43"/>
      <c r="AE749" s="43"/>
      <c r="AF749" s="43"/>
      <c r="AG749" s="43"/>
      <c r="AH749" s="43"/>
      <c r="AI749" s="43"/>
      <c r="AJ749" s="43"/>
    </row>
    <row r="750" spans="1:36" ht="15.95" customHeight="1" x14ac:dyDescent="0.2">
      <c r="A750" s="43"/>
      <c r="B750" s="45">
        <v>125</v>
      </c>
      <c r="C750" s="46">
        <f>IF($A$1='Data Entry'!$C751,'Data Entry'!D751,"")</f>
        <v>0</v>
      </c>
      <c r="D750" s="46">
        <f>IF($A$1='Data Entry'!$C751,'Data Entry'!E751,"")</f>
        <v>0</v>
      </c>
      <c r="E750" s="46">
        <f>IF($A$1='Data Entry'!$C751,'Data Entry'!F751,"")</f>
        <v>0</v>
      </c>
      <c r="F750" s="46">
        <f>IF($A$1='Data Entry'!$C751,'Data Entry'!G751,"")</f>
        <v>0</v>
      </c>
      <c r="G750" s="46">
        <f>IF($A$1='Data Entry'!$C751,'Data Entry'!H751,"")</f>
        <v>0</v>
      </c>
      <c r="H750" s="46">
        <f>IF($A$1='Data Entry'!$C751,'Data Entry'!I751,"")</f>
        <v>0</v>
      </c>
      <c r="I750" s="46">
        <f>IF($A$1='Data Entry'!$C751,'Data Entry'!J751,"")</f>
        <v>0</v>
      </c>
      <c r="J750" s="46">
        <f>IF($A$1='Data Entry'!$C751,'Data Entry'!K751,"")</f>
        <v>0</v>
      </c>
      <c r="K750" s="46">
        <f>IF($A$1='Data Entry'!$C751,'Data Entry'!L751,"")</f>
        <v>0</v>
      </c>
      <c r="L750" s="46">
        <f>IF($A$1='Data Entry'!$C751,'Data Entry'!M751,"")</f>
        <v>0</v>
      </c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  <c r="AA750" s="43"/>
      <c r="AB750" s="43"/>
      <c r="AC750" s="43"/>
      <c r="AD750" s="43"/>
      <c r="AE750" s="43"/>
      <c r="AF750" s="43"/>
      <c r="AG750" s="43"/>
      <c r="AH750" s="43"/>
      <c r="AI750" s="43"/>
      <c r="AJ750" s="43"/>
    </row>
    <row r="751" spans="1:36" ht="15.95" customHeight="1" x14ac:dyDescent="0.2">
      <c r="A751" s="43"/>
      <c r="B751" s="45">
        <v>125</v>
      </c>
      <c r="C751" s="46">
        <f>IF($A$1='Data Entry'!$C752,'Data Entry'!D752,"")</f>
        <v>0</v>
      </c>
      <c r="D751" s="46">
        <f>IF($A$1='Data Entry'!$C752,'Data Entry'!E752,"")</f>
        <v>0</v>
      </c>
      <c r="E751" s="46">
        <f>IF($A$1='Data Entry'!$C752,'Data Entry'!F752,"")</f>
        <v>0</v>
      </c>
      <c r="F751" s="46">
        <f>IF($A$1='Data Entry'!$C752,'Data Entry'!G752,"")</f>
        <v>0</v>
      </c>
      <c r="G751" s="46">
        <f>IF($A$1='Data Entry'!$C752,'Data Entry'!H752,"")</f>
        <v>0</v>
      </c>
      <c r="H751" s="46">
        <f>IF($A$1='Data Entry'!$C752,'Data Entry'!I752,"")</f>
        <v>0</v>
      </c>
      <c r="I751" s="46">
        <f>IF($A$1='Data Entry'!$C752,'Data Entry'!J752,"")</f>
        <v>0</v>
      </c>
      <c r="J751" s="46">
        <f>IF($A$1='Data Entry'!$C752,'Data Entry'!K752,"")</f>
        <v>0</v>
      </c>
      <c r="K751" s="46">
        <f>IF($A$1='Data Entry'!$C752,'Data Entry'!L752,"")</f>
        <v>0</v>
      </c>
      <c r="L751" s="46">
        <f>IF($A$1='Data Entry'!$C752,'Data Entry'!M752,"")</f>
        <v>0</v>
      </c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  <c r="AA751" s="43"/>
      <c r="AB751" s="43"/>
      <c r="AC751" s="43"/>
      <c r="AD751" s="43"/>
      <c r="AE751" s="43"/>
      <c r="AF751" s="43"/>
      <c r="AG751" s="43"/>
      <c r="AH751" s="43"/>
      <c r="AI751" s="43"/>
      <c r="AJ751" s="43"/>
    </row>
    <row r="752" spans="1:36" ht="15.95" customHeight="1" x14ac:dyDescent="0.2">
      <c r="A752" s="43"/>
      <c r="B752" s="45">
        <v>125</v>
      </c>
      <c r="C752" s="46">
        <f>IF($A$1='Data Entry'!$C753,'Data Entry'!D753,"")</f>
        <v>0</v>
      </c>
      <c r="D752" s="46">
        <f>IF($A$1='Data Entry'!$C753,'Data Entry'!E753,"")</f>
        <v>0</v>
      </c>
      <c r="E752" s="46">
        <f>IF($A$1='Data Entry'!$C753,'Data Entry'!F753,"")</f>
        <v>0</v>
      </c>
      <c r="F752" s="46">
        <f>IF($A$1='Data Entry'!$C753,'Data Entry'!G753,"")</f>
        <v>0</v>
      </c>
      <c r="G752" s="46">
        <f>IF($A$1='Data Entry'!$C753,'Data Entry'!H753,"")</f>
        <v>0</v>
      </c>
      <c r="H752" s="46">
        <f>IF($A$1='Data Entry'!$C753,'Data Entry'!I753,"")</f>
        <v>0</v>
      </c>
      <c r="I752" s="46">
        <f>IF($A$1='Data Entry'!$C753,'Data Entry'!J753,"")</f>
        <v>0</v>
      </c>
      <c r="J752" s="46">
        <f>IF($A$1='Data Entry'!$C753,'Data Entry'!K753,"")</f>
        <v>0</v>
      </c>
      <c r="K752" s="46">
        <f>IF($A$1='Data Entry'!$C753,'Data Entry'!L753,"")</f>
        <v>0</v>
      </c>
      <c r="L752" s="46">
        <f>IF($A$1='Data Entry'!$C753,'Data Entry'!M753,"")</f>
        <v>0</v>
      </c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  <c r="AA752" s="43"/>
      <c r="AB752" s="43"/>
      <c r="AC752" s="43"/>
      <c r="AD752" s="43"/>
      <c r="AE752" s="43"/>
      <c r="AF752" s="43"/>
      <c r="AG752" s="43"/>
      <c r="AH752" s="43"/>
      <c r="AI752" s="43"/>
      <c r="AJ752" s="43"/>
    </row>
    <row r="753" spans="1:36" ht="15.95" customHeight="1" x14ac:dyDescent="0.2">
      <c r="A753" s="43"/>
      <c r="B753" s="45">
        <v>126</v>
      </c>
      <c r="C753" s="46">
        <f>IF($A$1='Data Entry'!$C754,'Data Entry'!D754,"")</f>
        <v>0</v>
      </c>
      <c r="D753" s="46">
        <f>IF($A$1='Data Entry'!$C754,'Data Entry'!E754,"")</f>
        <v>0</v>
      </c>
      <c r="E753" s="46">
        <f>IF($A$1='Data Entry'!$C754,'Data Entry'!F754,"")</f>
        <v>0</v>
      </c>
      <c r="F753" s="46">
        <f>IF($A$1='Data Entry'!$C754,'Data Entry'!G754,"")</f>
        <v>0</v>
      </c>
      <c r="G753" s="46">
        <f>IF($A$1='Data Entry'!$C754,'Data Entry'!H754,"")</f>
        <v>0</v>
      </c>
      <c r="H753" s="46">
        <f>IF($A$1='Data Entry'!$C754,'Data Entry'!I754,"")</f>
        <v>0</v>
      </c>
      <c r="I753" s="46">
        <f>IF($A$1='Data Entry'!$C754,'Data Entry'!J754,"")</f>
        <v>0</v>
      </c>
      <c r="J753" s="46">
        <f>IF($A$1='Data Entry'!$C754,'Data Entry'!K754,"")</f>
        <v>0</v>
      </c>
      <c r="K753" s="46">
        <f>IF($A$1='Data Entry'!$C754,'Data Entry'!L754,"")</f>
        <v>0</v>
      </c>
      <c r="L753" s="46">
        <f>IF($A$1='Data Entry'!$C754,'Data Entry'!M754,"")</f>
        <v>0</v>
      </c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  <c r="AA753" s="43"/>
      <c r="AB753" s="43"/>
      <c r="AC753" s="43"/>
      <c r="AD753" s="43"/>
      <c r="AE753" s="43"/>
      <c r="AF753" s="43"/>
      <c r="AG753" s="43"/>
      <c r="AH753" s="43"/>
      <c r="AI753" s="43"/>
      <c r="AJ753" s="43"/>
    </row>
    <row r="754" spans="1:36" ht="15.95" customHeight="1" x14ac:dyDescent="0.2">
      <c r="A754" s="43"/>
      <c r="B754" s="45">
        <v>126</v>
      </c>
      <c r="C754" s="46">
        <f>IF($A$1='Data Entry'!$C755,'Data Entry'!D755,"")</f>
        <v>0</v>
      </c>
      <c r="D754" s="46">
        <f>IF($A$1='Data Entry'!$C755,'Data Entry'!E755,"")</f>
        <v>0</v>
      </c>
      <c r="E754" s="46">
        <f>IF($A$1='Data Entry'!$C755,'Data Entry'!F755,"")</f>
        <v>0</v>
      </c>
      <c r="F754" s="46">
        <f>IF($A$1='Data Entry'!$C755,'Data Entry'!G755,"")</f>
        <v>0</v>
      </c>
      <c r="G754" s="46">
        <f>IF($A$1='Data Entry'!$C755,'Data Entry'!H755,"")</f>
        <v>0</v>
      </c>
      <c r="H754" s="46">
        <f>IF($A$1='Data Entry'!$C755,'Data Entry'!I755,"")</f>
        <v>0</v>
      </c>
      <c r="I754" s="46">
        <f>IF($A$1='Data Entry'!$C755,'Data Entry'!J755,"")</f>
        <v>0</v>
      </c>
      <c r="J754" s="46">
        <f>IF($A$1='Data Entry'!$C755,'Data Entry'!K755,"")</f>
        <v>0</v>
      </c>
      <c r="K754" s="46">
        <f>IF($A$1='Data Entry'!$C755,'Data Entry'!L755,"")</f>
        <v>0</v>
      </c>
      <c r="L754" s="46">
        <f>IF($A$1='Data Entry'!$C755,'Data Entry'!M755,"")</f>
        <v>0</v>
      </c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  <c r="AA754" s="43"/>
      <c r="AB754" s="43"/>
      <c r="AC754" s="43"/>
      <c r="AD754" s="43"/>
      <c r="AE754" s="43"/>
      <c r="AF754" s="43"/>
      <c r="AG754" s="43"/>
      <c r="AH754" s="43"/>
      <c r="AI754" s="43"/>
      <c r="AJ754" s="43"/>
    </row>
    <row r="755" spans="1:36" ht="15.95" customHeight="1" x14ac:dyDescent="0.2">
      <c r="A755" s="43"/>
      <c r="B755" s="45">
        <v>126</v>
      </c>
      <c r="C755" s="46">
        <f>IF($A$1='Data Entry'!$C756,'Data Entry'!D756,"")</f>
        <v>0</v>
      </c>
      <c r="D755" s="46">
        <f>IF($A$1='Data Entry'!$C756,'Data Entry'!E756,"")</f>
        <v>0</v>
      </c>
      <c r="E755" s="46">
        <f>IF($A$1='Data Entry'!$C756,'Data Entry'!F756,"")</f>
        <v>0</v>
      </c>
      <c r="F755" s="46">
        <f>IF($A$1='Data Entry'!$C756,'Data Entry'!G756,"")</f>
        <v>0</v>
      </c>
      <c r="G755" s="46">
        <f>IF($A$1='Data Entry'!$C756,'Data Entry'!H756,"")</f>
        <v>0</v>
      </c>
      <c r="H755" s="46">
        <f>IF($A$1='Data Entry'!$C756,'Data Entry'!I756,"")</f>
        <v>0</v>
      </c>
      <c r="I755" s="46">
        <f>IF($A$1='Data Entry'!$C756,'Data Entry'!J756,"")</f>
        <v>0</v>
      </c>
      <c r="J755" s="46">
        <f>IF($A$1='Data Entry'!$C756,'Data Entry'!K756,"")</f>
        <v>0</v>
      </c>
      <c r="K755" s="46">
        <f>IF($A$1='Data Entry'!$C756,'Data Entry'!L756,"")</f>
        <v>0</v>
      </c>
      <c r="L755" s="46">
        <f>IF($A$1='Data Entry'!$C756,'Data Entry'!M756,"")</f>
        <v>0</v>
      </c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  <c r="AA755" s="43"/>
      <c r="AB755" s="43"/>
      <c r="AC755" s="43"/>
      <c r="AD755" s="43"/>
      <c r="AE755" s="43"/>
      <c r="AF755" s="43"/>
      <c r="AG755" s="43"/>
      <c r="AH755" s="43"/>
      <c r="AI755" s="43"/>
      <c r="AJ755" s="43"/>
    </row>
    <row r="756" spans="1:36" ht="15.95" customHeight="1" x14ac:dyDescent="0.2">
      <c r="A756" s="43"/>
      <c r="B756" s="45">
        <v>126</v>
      </c>
      <c r="C756" s="46">
        <f>IF($A$1='Data Entry'!$C757,'Data Entry'!D757,"")</f>
        <v>0</v>
      </c>
      <c r="D756" s="46">
        <f>IF($A$1='Data Entry'!$C757,'Data Entry'!E757,"")</f>
        <v>0</v>
      </c>
      <c r="E756" s="46">
        <f>IF($A$1='Data Entry'!$C757,'Data Entry'!F757,"")</f>
        <v>0</v>
      </c>
      <c r="F756" s="46">
        <f>IF($A$1='Data Entry'!$C757,'Data Entry'!G757,"")</f>
        <v>0</v>
      </c>
      <c r="G756" s="46">
        <f>IF($A$1='Data Entry'!$C757,'Data Entry'!H757,"")</f>
        <v>0</v>
      </c>
      <c r="H756" s="46">
        <f>IF($A$1='Data Entry'!$C757,'Data Entry'!I757,"")</f>
        <v>0</v>
      </c>
      <c r="I756" s="46">
        <f>IF($A$1='Data Entry'!$C757,'Data Entry'!J757,"")</f>
        <v>0</v>
      </c>
      <c r="J756" s="46">
        <f>IF($A$1='Data Entry'!$C757,'Data Entry'!K757,"")</f>
        <v>0</v>
      </c>
      <c r="K756" s="46">
        <f>IF($A$1='Data Entry'!$C757,'Data Entry'!L757,"")</f>
        <v>0</v>
      </c>
      <c r="L756" s="46">
        <f>IF($A$1='Data Entry'!$C757,'Data Entry'!M757,"")</f>
        <v>0</v>
      </c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  <c r="AA756" s="43"/>
      <c r="AB756" s="43"/>
      <c r="AC756" s="43"/>
      <c r="AD756" s="43"/>
      <c r="AE756" s="43"/>
      <c r="AF756" s="43"/>
      <c r="AG756" s="43"/>
      <c r="AH756" s="43"/>
      <c r="AI756" s="43"/>
      <c r="AJ756" s="43"/>
    </row>
    <row r="757" spans="1:36" ht="15.95" customHeight="1" x14ac:dyDescent="0.2">
      <c r="A757" s="43"/>
      <c r="B757" s="45">
        <v>126</v>
      </c>
      <c r="C757" s="46">
        <f>IF($A$1='Data Entry'!$C758,'Data Entry'!D758,"")</f>
        <v>0</v>
      </c>
      <c r="D757" s="46">
        <f>IF($A$1='Data Entry'!$C758,'Data Entry'!E758,"")</f>
        <v>0</v>
      </c>
      <c r="E757" s="46">
        <f>IF($A$1='Data Entry'!$C758,'Data Entry'!F758,"")</f>
        <v>0</v>
      </c>
      <c r="F757" s="46">
        <f>IF($A$1='Data Entry'!$C758,'Data Entry'!G758,"")</f>
        <v>0</v>
      </c>
      <c r="G757" s="46">
        <f>IF($A$1='Data Entry'!$C758,'Data Entry'!H758,"")</f>
        <v>0</v>
      </c>
      <c r="H757" s="46">
        <f>IF($A$1='Data Entry'!$C758,'Data Entry'!I758,"")</f>
        <v>0</v>
      </c>
      <c r="I757" s="46">
        <f>IF($A$1='Data Entry'!$C758,'Data Entry'!J758,"")</f>
        <v>0</v>
      </c>
      <c r="J757" s="46">
        <f>IF($A$1='Data Entry'!$C758,'Data Entry'!K758,"")</f>
        <v>0</v>
      </c>
      <c r="K757" s="46">
        <f>IF($A$1='Data Entry'!$C758,'Data Entry'!L758,"")</f>
        <v>0</v>
      </c>
      <c r="L757" s="46">
        <f>IF($A$1='Data Entry'!$C758,'Data Entry'!M758,"")</f>
        <v>0</v>
      </c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  <c r="AA757" s="43"/>
      <c r="AB757" s="43"/>
      <c r="AC757" s="43"/>
      <c r="AD757" s="43"/>
      <c r="AE757" s="43"/>
      <c r="AF757" s="43"/>
      <c r="AG757" s="43"/>
      <c r="AH757" s="43"/>
      <c r="AI757" s="43"/>
      <c r="AJ757" s="43"/>
    </row>
    <row r="758" spans="1:36" ht="15.95" customHeight="1" x14ac:dyDescent="0.2">
      <c r="A758" s="43"/>
      <c r="B758" s="45">
        <v>126</v>
      </c>
      <c r="C758" s="46">
        <f>IF($A$1='Data Entry'!$C759,'Data Entry'!D759,"")</f>
        <v>0</v>
      </c>
      <c r="D758" s="46">
        <f>IF($A$1='Data Entry'!$C759,'Data Entry'!E759,"")</f>
        <v>0</v>
      </c>
      <c r="E758" s="46">
        <f>IF($A$1='Data Entry'!$C759,'Data Entry'!F759,"")</f>
        <v>0</v>
      </c>
      <c r="F758" s="46">
        <f>IF($A$1='Data Entry'!$C759,'Data Entry'!G759,"")</f>
        <v>0</v>
      </c>
      <c r="G758" s="46">
        <f>IF($A$1='Data Entry'!$C759,'Data Entry'!H759,"")</f>
        <v>0</v>
      </c>
      <c r="H758" s="46">
        <f>IF($A$1='Data Entry'!$C759,'Data Entry'!I759,"")</f>
        <v>0</v>
      </c>
      <c r="I758" s="46">
        <f>IF($A$1='Data Entry'!$C759,'Data Entry'!J759,"")</f>
        <v>0</v>
      </c>
      <c r="J758" s="46">
        <f>IF($A$1='Data Entry'!$C759,'Data Entry'!K759,"")</f>
        <v>0</v>
      </c>
      <c r="K758" s="46">
        <f>IF($A$1='Data Entry'!$C759,'Data Entry'!L759,"")</f>
        <v>0</v>
      </c>
      <c r="L758" s="46">
        <f>IF($A$1='Data Entry'!$C759,'Data Entry'!M759,"")</f>
        <v>0</v>
      </c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  <c r="AA758" s="43"/>
      <c r="AB758" s="43"/>
      <c r="AC758" s="43"/>
      <c r="AD758" s="43"/>
      <c r="AE758" s="43"/>
      <c r="AF758" s="43"/>
      <c r="AG758" s="43"/>
      <c r="AH758" s="43"/>
      <c r="AI758" s="43"/>
      <c r="AJ758" s="43"/>
    </row>
    <row r="759" spans="1:36" ht="15.95" customHeight="1" x14ac:dyDescent="0.2">
      <c r="A759" s="43"/>
      <c r="B759" s="45">
        <v>127</v>
      </c>
      <c r="C759" s="46">
        <f>IF($A$1='Data Entry'!$C760,'Data Entry'!D760,"")</f>
        <v>0</v>
      </c>
      <c r="D759" s="46">
        <f>IF($A$1='Data Entry'!$C760,'Data Entry'!E760,"")</f>
        <v>0</v>
      </c>
      <c r="E759" s="46">
        <f>IF($A$1='Data Entry'!$C760,'Data Entry'!F760,"")</f>
        <v>0</v>
      </c>
      <c r="F759" s="46">
        <f>IF($A$1='Data Entry'!$C760,'Data Entry'!G760,"")</f>
        <v>0</v>
      </c>
      <c r="G759" s="46">
        <f>IF($A$1='Data Entry'!$C760,'Data Entry'!H760,"")</f>
        <v>0</v>
      </c>
      <c r="H759" s="46">
        <f>IF($A$1='Data Entry'!$C760,'Data Entry'!I760,"")</f>
        <v>0</v>
      </c>
      <c r="I759" s="46">
        <f>IF($A$1='Data Entry'!$C760,'Data Entry'!J760,"")</f>
        <v>0</v>
      </c>
      <c r="J759" s="46">
        <f>IF($A$1='Data Entry'!$C760,'Data Entry'!K760,"")</f>
        <v>0</v>
      </c>
      <c r="K759" s="46">
        <f>IF($A$1='Data Entry'!$C760,'Data Entry'!L760,"")</f>
        <v>0</v>
      </c>
      <c r="L759" s="46">
        <f>IF($A$1='Data Entry'!$C760,'Data Entry'!M760,"")</f>
        <v>0</v>
      </c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  <c r="AA759" s="43"/>
      <c r="AB759" s="43"/>
      <c r="AC759" s="43"/>
      <c r="AD759" s="43"/>
      <c r="AE759" s="43"/>
      <c r="AF759" s="43"/>
      <c r="AG759" s="43"/>
      <c r="AH759" s="43"/>
      <c r="AI759" s="43"/>
      <c r="AJ759" s="43"/>
    </row>
    <row r="760" spans="1:36" ht="15.95" customHeight="1" x14ac:dyDescent="0.2">
      <c r="A760" s="43"/>
      <c r="B760" s="45">
        <v>127</v>
      </c>
      <c r="C760" s="46">
        <f>IF($A$1='Data Entry'!$C761,'Data Entry'!D761,"")</f>
        <v>0</v>
      </c>
      <c r="D760" s="46">
        <f>IF($A$1='Data Entry'!$C761,'Data Entry'!E761,"")</f>
        <v>0</v>
      </c>
      <c r="E760" s="46">
        <f>IF($A$1='Data Entry'!$C761,'Data Entry'!F761,"")</f>
        <v>0</v>
      </c>
      <c r="F760" s="46">
        <f>IF($A$1='Data Entry'!$C761,'Data Entry'!G761,"")</f>
        <v>0</v>
      </c>
      <c r="G760" s="46">
        <f>IF($A$1='Data Entry'!$C761,'Data Entry'!H761,"")</f>
        <v>0</v>
      </c>
      <c r="H760" s="46">
        <f>IF($A$1='Data Entry'!$C761,'Data Entry'!I761,"")</f>
        <v>0</v>
      </c>
      <c r="I760" s="46">
        <f>IF($A$1='Data Entry'!$C761,'Data Entry'!J761,"")</f>
        <v>0</v>
      </c>
      <c r="J760" s="46">
        <f>IF($A$1='Data Entry'!$C761,'Data Entry'!K761,"")</f>
        <v>0</v>
      </c>
      <c r="K760" s="46">
        <f>IF($A$1='Data Entry'!$C761,'Data Entry'!L761,"")</f>
        <v>0</v>
      </c>
      <c r="L760" s="46">
        <f>IF($A$1='Data Entry'!$C761,'Data Entry'!M761,"")</f>
        <v>0</v>
      </c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  <c r="AA760" s="43"/>
      <c r="AB760" s="43"/>
      <c r="AC760" s="43"/>
      <c r="AD760" s="43"/>
      <c r="AE760" s="43"/>
      <c r="AF760" s="43"/>
      <c r="AG760" s="43"/>
      <c r="AH760" s="43"/>
      <c r="AI760" s="43"/>
      <c r="AJ760" s="43"/>
    </row>
    <row r="761" spans="1:36" ht="15.95" customHeight="1" x14ac:dyDescent="0.2">
      <c r="A761" s="43"/>
      <c r="B761" s="45">
        <v>127</v>
      </c>
      <c r="C761" s="46">
        <f>IF($A$1='Data Entry'!$C762,'Data Entry'!D762,"")</f>
        <v>0</v>
      </c>
      <c r="D761" s="46">
        <f>IF($A$1='Data Entry'!$C762,'Data Entry'!E762,"")</f>
        <v>0</v>
      </c>
      <c r="E761" s="46">
        <f>IF($A$1='Data Entry'!$C762,'Data Entry'!F762,"")</f>
        <v>0</v>
      </c>
      <c r="F761" s="46">
        <f>IF($A$1='Data Entry'!$C762,'Data Entry'!G762,"")</f>
        <v>0</v>
      </c>
      <c r="G761" s="46">
        <f>IF($A$1='Data Entry'!$C762,'Data Entry'!H762,"")</f>
        <v>0</v>
      </c>
      <c r="H761" s="46">
        <f>IF($A$1='Data Entry'!$C762,'Data Entry'!I762,"")</f>
        <v>0</v>
      </c>
      <c r="I761" s="46">
        <f>IF($A$1='Data Entry'!$C762,'Data Entry'!J762,"")</f>
        <v>0</v>
      </c>
      <c r="J761" s="46">
        <f>IF($A$1='Data Entry'!$C762,'Data Entry'!K762,"")</f>
        <v>0</v>
      </c>
      <c r="K761" s="46">
        <f>IF($A$1='Data Entry'!$C762,'Data Entry'!L762,"")</f>
        <v>0</v>
      </c>
      <c r="L761" s="46">
        <f>IF($A$1='Data Entry'!$C762,'Data Entry'!M762,"")</f>
        <v>0</v>
      </c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  <c r="AA761" s="43"/>
      <c r="AB761" s="43"/>
      <c r="AC761" s="43"/>
      <c r="AD761" s="43"/>
      <c r="AE761" s="43"/>
      <c r="AF761" s="43"/>
      <c r="AG761" s="43"/>
      <c r="AH761" s="43"/>
      <c r="AI761" s="43"/>
      <c r="AJ761" s="43"/>
    </row>
    <row r="762" spans="1:36" ht="15.95" customHeight="1" x14ac:dyDescent="0.2">
      <c r="A762" s="43"/>
      <c r="B762" s="45">
        <v>127</v>
      </c>
      <c r="C762" s="46">
        <f>IF($A$1='Data Entry'!$C763,'Data Entry'!D763,"")</f>
        <v>0</v>
      </c>
      <c r="D762" s="46">
        <f>IF($A$1='Data Entry'!$C763,'Data Entry'!E763,"")</f>
        <v>0</v>
      </c>
      <c r="E762" s="46">
        <f>IF($A$1='Data Entry'!$C763,'Data Entry'!F763,"")</f>
        <v>0</v>
      </c>
      <c r="F762" s="46">
        <f>IF($A$1='Data Entry'!$C763,'Data Entry'!G763,"")</f>
        <v>0</v>
      </c>
      <c r="G762" s="46">
        <f>IF($A$1='Data Entry'!$C763,'Data Entry'!H763,"")</f>
        <v>0</v>
      </c>
      <c r="H762" s="46">
        <f>IF($A$1='Data Entry'!$C763,'Data Entry'!I763,"")</f>
        <v>0</v>
      </c>
      <c r="I762" s="46">
        <f>IF($A$1='Data Entry'!$C763,'Data Entry'!J763,"")</f>
        <v>0</v>
      </c>
      <c r="J762" s="46">
        <f>IF($A$1='Data Entry'!$C763,'Data Entry'!K763,"")</f>
        <v>0</v>
      </c>
      <c r="K762" s="46">
        <f>IF($A$1='Data Entry'!$C763,'Data Entry'!L763,"")</f>
        <v>0</v>
      </c>
      <c r="L762" s="46">
        <f>IF($A$1='Data Entry'!$C763,'Data Entry'!M763,"")</f>
        <v>0</v>
      </c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  <c r="AA762" s="43"/>
      <c r="AB762" s="43"/>
      <c r="AC762" s="43"/>
      <c r="AD762" s="43"/>
      <c r="AE762" s="43"/>
      <c r="AF762" s="43"/>
      <c r="AG762" s="43"/>
      <c r="AH762" s="43"/>
      <c r="AI762" s="43"/>
      <c r="AJ762" s="43"/>
    </row>
    <row r="763" spans="1:36" ht="15.95" customHeight="1" x14ac:dyDescent="0.2">
      <c r="A763" s="43"/>
      <c r="B763" s="45">
        <v>127</v>
      </c>
      <c r="C763" s="46">
        <f>IF($A$1='Data Entry'!$C764,'Data Entry'!D764,"")</f>
        <v>0</v>
      </c>
      <c r="D763" s="46">
        <f>IF($A$1='Data Entry'!$C764,'Data Entry'!E764,"")</f>
        <v>0</v>
      </c>
      <c r="E763" s="46">
        <f>IF($A$1='Data Entry'!$C764,'Data Entry'!F764,"")</f>
        <v>0</v>
      </c>
      <c r="F763" s="46">
        <f>IF($A$1='Data Entry'!$C764,'Data Entry'!G764,"")</f>
        <v>0</v>
      </c>
      <c r="G763" s="46">
        <f>IF($A$1='Data Entry'!$C764,'Data Entry'!H764,"")</f>
        <v>0</v>
      </c>
      <c r="H763" s="46">
        <f>IF($A$1='Data Entry'!$C764,'Data Entry'!I764,"")</f>
        <v>0</v>
      </c>
      <c r="I763" s="46">
        <f>IF($A$1='Data Entry'!$C764,'Data Entry'!J764,"")</f>
        <v>0</v>
      </c>
      <c r="J763" s="46">
        <f>IF($A$1='Data Entry'!$C764,'Data Entry'!K764,"")</f>
        <v>0</v>
      </c>
      <c r="K763" s="46">
        <f>IF($A$1='Data Entry'!$C764,'Data Entry'!L764,"")</f>
        <v>0</v>
      </c>
      <c r="L763" s="46">
        <f>IF($A$1='Data Entry'!$C764,'Data Entry'!M764,"")</f>
        <v>0</v>
      </c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  <c r="AA763" s="43"/>
      <c r="AB763" s="43"/>
      <c r="AC763" s="43"/>
      <c r="AD763" s="43"/>
      <c r="AE763" s="43"/>
      <c r="AF763" s="43"/>
      <c r="AG763" s="43"/>
      <c r="AH763" s="43"/>
      <c r="AI763" s="43"/>
      <c r="AJ763" s="43"/>
    </row>
    <row r="764" spans="1:36" ht="15.95" customHeight="1" x14ac:dyDescent="0.2">
      <c r="A764" s="43"/>
      <c r="B764" s="45">
        <v>127</v>
      </c>
      <c r="C764" s="46">
        <f>IF($A$1='Data Entry'!$C765,'Data Entry'!D765,"")</f>
        <v>0</v>
      </c>
      <c r="D764" s="46">
        <f>IF($A$1='Data Entry'!$C765,'Data Entry'!E765,"")</f>
        <v>0</v>
      </c>
      <c r="E764" s="46">
        <f>IF($A$1='Data Entry'!$C765,'Data Entry'!F765,"")</f>
        <v>0</v>
      </c>
      <c r="F764" s="46">
        <f>IF($A$1='Data Entry'!$C765,'Data Entry'!G765,"")</f>
        <v>0</v>
      </c>
      <c r="G764" s="46">
        <f>IF($A$1='Data Entry'!$C765,'Data Entry'!H765,"")</f>
        <v>0</v>
      </c>
      <c r="H764" s="46">
        <f>IF($A$1='Data Entry'!$C765,'Data Entry'!I765,"")</f>
        <v>0</v>
      </c>
      <c r="I764" s="46">
        <f>IF($A$1='Data Entry'!$C765,'Data Entry'!J765,"")</f>
        <v>0</v>
      </c>
      <c r="J764" s="46">
        <f>IF($A$1='Data Entry'!$C765,'Data Entry'!K765,"")</f>
        <v>0</v>
      </c>
      <c r="K764" s="46">
        <f>IF($A$1='Data Entry'!$C765,'Data Entry'!L765,"")</f>
        <v>0</v>
      </c>
      <c r="L764" s="46">
        <f>IF($A$1='Data Entry'!$C765,'Data Entry'!M765,"")</f>
        <v>0</v>
      </c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  <c r="AA764" s="43"/>
      <c r="AB764" s="43"/>
      <c r="AC764" s="43"/>
      <c r="AD764" s="43"/>
      <c r="AE764" s="43"/>
      <c r="AF764" s="43"/>
      <c r="AG764" s="43"/>
      <c r="AH764" s="43"/>
      <c r="AI764" s="43"/>
      <c r="AJ764" s="43"/>
    </row>
    <row r="765" spans="1:36" ht="15.95" customHeight="1" x14ac:dyDescent="0.2">
      <c r="A765" s="43"/>
      <c r="B765" s="45">
        <v>128</v>
      </c>
      <c r="C765" s="46">
        <f>IF($A$1='Data Entry'!$C766,'Data Entry'!D766,"")</f>
        <v>0</v>
      </c>
      <c r="D765" s="46">
        <f>IF($A$1='Data Entry'!$C766,'Data Entry'!E766,"")</f>
        <v>0</v>
      </c>
      <c r="E765" s="46">
        <f>IF($A$1='Data Entry'!$C766,'Data Entry'!F766,"")</f>
        <v>0</v>
      </c>
      <c r="F765" s="46">
        <f>IF($A$1='Data Entry'!$C766,'Data Entry'!G766,"")</f>
        <v>0</v>
      </c>
      <c r="G765" s="46">
        <f>IF($A$1='Data Entry'!$C766,'Data Entry'!H766,"")</f>
        <v>0</v>
      </c>
      <c r="H765" s="46">
        <f>IF($A$1='Data Entry'!$C766,'Data Entry'!I766,"")</f>
        <v>0</v>
      </c>
      <c r="I765" s="46">
        <f>IF($A$1='Data Entry'!$C766,'Data Entry'!J766,"")</f>
        <v>0</v>
      </c>
      <c r="J765" s="46">
        <f>IF($A$1='Data Entry'!$C766,'Data Entry'!K766,"")</f>
        <v>0</v>
      </c>
      <c r="K765" s="46">
        <f>IF($A$1='Data Entry'!$C766,'Data Entry'!L766,"")</f>
        <v>0</v>
      </c>
      <c r="L765" s="46">
        <f>IF($A$1='Data Entry'!$C766,'Data Entry'!M766,"")</f>
        <v>0</v>
      </c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  <c r="AA765" s="43"/>
      <c r="AB765" s="43"/>
      <c r="AC765" s="43"/>
      <c r="AD765" s="43"/>
      <c r="AE765" s="43"/>
      <c r="AF765" s="43"/>
      <c r="AG765" s="43"/>
      <c r="AH765" s="43"/>
      <c r="AI765" s="43"/>
      <c r="AJ765" s="43"/>
    </row>
    <row r="766" spans="1:36" ht="15.95" customHeight="1" x14ac:dyDescent="0.2">
      <c r="A766" s="43"/>
      <c r="B766" s="45">
        <v>128</v>
      </c>
      <c r="C766" s="46">
        <f>IF($A$1='Data Entry'!$C767,'Data Entry'!D767,"")</f>
        <v>0</v>
      </c>
      <c r="D766" s="46">
        <f>IF($A$1='Data Entry'!$C767,'Data Entry'!E767,"")</f>
        <v>0</v>
      </c>
      <c r="E766" s="46">
        <f>IF($A$1='Data Entry'!$C767,'Data Entry'!F767,"")</f>
        <v>0</v>
      </c>
      <c r="F766" s="46">
        <f>IF($A$1='Data Entry'!$C767,'Data Entry'!G767,"")</f>
        <v>0</v>
      </c>
      <c r="G766" s="46">
        <f>IF($A$1='Data Entry'!$C767,'Data Entry'!H767,"")</f>
        <v>0</v>
      </c>
      <c r="H766" s="46">
        <f>IF($A$1='Data Entry'!$C767,'Data Entry'!I767,"")</f>
        <v>0</v>
      </c>
      <c r="I766" s="46">
        <f>IF($A$1='Data Entry'!$C767,'Data Entry'!J767,"")</f>
        <v>0</v>
      </c>
      <c r="J766" s="46">
        <f>IF($A$1='Data Entry'!$C767,'Data Entry'!K767,"")</f>
        <v>0</v>
      </c>
      <c r="K766" s="46">
        <f>IF($A$1='Data Entry'!$C767,'Data Entry'!L767,"")</f>
        <v>0</v>
      </c>
      <c r="L766" s="46">
        <f>IF($A$1='Data Entry'!$C767,'Data Entry'!M767,"")</f>
        <v>0</v>
      </c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  <c r="AA766" s="43"/>
      <c r="AB766" s="43"/>
      <c r="AC766" s="43"/>
      <c r="AD766" s="43"/>
      <c r="AE766" s="43"/>
      <c r="AF766" s="43"/>
      <c r="AG766" s="43"/>
      <c r="AH766" s="43"/>
      <c r="AI766" s="43"/>
      <c r="AJ766" s="43"/>
    </row>
    <row r="767" spans="1:36" ht="15.95" customHeight="1" x14ac:dyDescent="0.2">
      <c r="A767" s="43"/>
      <c r="B767" s="45">
        <v>128</v>
      </c>
      <c r="C767" s="46">
        <f>IF($A$1='Data Entry'!$C768,'Data Entry'!D768,"")</f>
        <v>0</v>
      </c>
      <c r="D767" s="46">
        <f>IF($A$1='Data Entry'!$C768,'Data Entry'!E768,"")</f>
        <v>0</v>
      </c>
      <c r="E767" s="46">
        <f>IF($A$1='Data Entry'!$C768,'Data Entry'!F768,"")</f>
        <v>0</v>
      </c>
      <c r="F767" s="46">
        <f>IF($A$1='Data Entry'!$C768,'Data Entry'!G768,"")</f>
        <v>0</v>
      </c>
      <c r="G767" s="46">
        <f>IF($A$1='Data Entry'!$C768,'Data Entry'!H768,"")</f>
        <v>0</v>
      </c>
      <c r="H767" s="46">
        <f>IF($A$1='Data Entry'!$C768,'Data Entry'!I768,"")</f>
        <v>0</v>
      </c>
      <c r="I767" s="46">
        <f>IF($A$1='Data Entry'!$C768,'Data Entry'!J768,"")</f>
        <v>0</v>
      </c>
      <c r="J767" s="46">
        <f>IF($A$1='Data Entry'!$C768,'Data Entry'!K768,"")</f>
        <v>0</v>
      </c>
      <c r="K767" s="46">
        <f>IF($A$1='Data Entry'!$C768,'Data Entry'!L768,"")</f>
        <v>0</v>
      </c>
      <c r="L767" s="46">
        <f>IF($A$1='Data Entry'!$C768,'Data Entry'!M768,"")</f>
        <v>0</v>
      </c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  <c r="AA767" s="43"/>
      <c r="AB767" s="43"/>
      <c r="AC767" s="43"/>
      <c r="AD767" s="43"/>
      <c r="AE767" s="43"/>
      <c r="AF767" s="43"/>
      <c r="AG767" s="43"/>
      <c r="AH767" s="43"/>
      <c r="AI767" s="43"/>
      <c r="AJ767" s="43"/>
    </row>
    <row r="768" spans="1:36" ht="15.95" customHeight="1" x14ac:dyDescent="0.2">
      <c r="A768" s="43"/>
      <c r="B768" s="45">
        <v>128</v>
      </c>
      <c r="C768" s="46">
        <f>IF($A$1='Data Entry'!$C769,'Data Entry'!D769,"")</f>
        <v>0</v>
      </c>
      <c r="D768" s="46">
        <f>IF($A$1='Data Entry'!$C769,'Data Entry'!E769,"")</f>
        <v>0</v>
      </c>
      <c r="E768" s="46">
        <f>IF($A$1='Data Entry'!$C769,'Data Entry'!F769,"")</f>
        <v>0</v>
      </c>
      <c r="F768" s="46">
        <f>IF($A$1='Data Entry'!$C769,'Data Entry'!G769,"")</f>
        <v>0</v>
      </c>
      <c r="G768" s="46">
        <f>IF($A$1='Data Entry'!$C769,'Data Entry'!H769,"")</f>
        <v>0</v>
      </c>
      <c r="H768" s="46">
        <f>IF($A$1='Data Entry'!$C769,'Data Entry'!I769,"")</f>
        <v>0</v>
      </c>
      <c r="I768" s="46">
        <f>IF($A$1='Data Entry'!$C769,'Data Entry'!J769,"")</f>
        <v>0</v>
      </c>
      <c r="J768" s="46">
        <f>IF($A$1='Data Entry'!$C769,'Data Entry'!K769,"")</f>
        <v>0</v>
      </c>
      <c r="K768" s="46">
        <f>IF($A$1='Data Entry'!$C769,'Data Entry'!L769,"")</f>
        <v>0</v>
      </c>
      <c r="L768" s="46">
        <f>IF($A$1='Data Entry'!$C769,'Data Entry'!M769,"")</f>
        <v>0</v>
      </c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  <c r="AA768" s="43"/>
      <c r="AB768" s="43"/>
      <c r="AC768" s="43"/>
      <c r="AD768" s="43"/>
      <c r="AE768" s="43"/>
      <c r="AF768" s="43"/>
      <c r="AG768" s="43"/>
      <c r="AH768" s="43"/>
      <c r="AI768" s="43"/>
      <c r="AJ768" s="43"/>
    </row>
    <row r="769" spans="1:36" ht="15.95" customHeight="1" x14ac:dyDescent="0.2">
      <c r="A769" s="43"/>
      <c r="B769" s="45">
        <v>128</v>
      </c>
      <c r="C769" s="46">
        <f>IF($A$1='Data Entry'!$C770,'Data Entry'!D770,"")</f>
        <v>0</v>
      </c>
      <c r="D769" s="46">
        <f>IF($A$1='Data Entry'!$C770,'Data Entry'!E770,"")</f>
        <v>0</v>
      </c>
      <c r="E769" s="46">
        <f>IF($A$1='Data Entry'!$C770,'Data Entry'!F770,"")</f>
        <v>0</v>
      </c>
      <c r="F769" s="46">
        <f>IF($A$1='Data Entry'!$C770,'Data Entry'!G770,"")</f>
        <v>0</v>
      </c>
      <c r="G769" s="46">
        <f>IF($A$1='Data Entry'!$C770,'Data Entry'!H770,"")</f>
        <v>0</v>
      </c>
      <c r="H769" s="46">
        <f>IF($A$1='Data Entry'!$C770,'Data Entry'!I770,"")</f>
        <v>0</v>
      </c>
      <c r="I769" s="46">
        <f>IF($A$1='Data Entry'!$C770,'Data Entry'!J770,"")</f>
        <v>0</v>
      </c>
      <c r="J769" s="46">
        <f>IF($A$1='Data Entry'!$C770,'Data Entry'!K770,"")</f>
        <v>0</v>
      </c>
      <c r="K769" s="46">
        <f>IF($A$1='Data Entry'!$C770,'Data Entry'!L770,"")</f>
        <v>0</v>
      </c>
      <c r="L769" s="46">
        <f>IF($A$1='Data Entry'!$C770,'Data Entry'!M770,"")</f>
        <v>0</v>
      </c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  <c r="AA769" s="43"/>
      <c r="AB769" s="43"/>
      <c r="AC769" s="43"/>
      <c r="AD769" s="43"/>
      <c r="AE769" s="43"/>
      <c r="AF769" s="43"/>
      <c r="AG769" s="43"/>
      <c r="AH769" s="43"/>
      <c r="AI769" s="43"/>
      <c r="AJ769" s="43"/>
    </row>
    <row r="770" spans="1:36" ht="15.95" customHeight="1" x14ac:dyDescent="0.2">
      <c r="A770" s="43"/>
      <c r="B770" s="45">
        <v>128</v>
      </c>
      <c r="C770" s="46">
        <f>IF($A$1='Data Entry'!$C771,'Data Entry'!D771,"")</f>
        <v>0</v>
      </c>
      <c r="D770" s="46">
        <f>IF($A$1='Data Entry'!$C771,'Data Entry'!E771,"")</f>
        <v>0</v>
      </c>
      <c r="E770" s="46">
        <f>IF($A$1='Data Entry'!$C771,'Data Entry'!F771,"")</f>
        <v>0</v>
      </c>
      <c r="F770" s="46">
        <f>IF($A$1='Data Entry'!$C771,'Data Entry'!G771,"")</f>
        <v>0</v>
      </c>
      <c r="G770" s="46">
        <f>IF($A$1='Data Entry'!$C771,'Data Entry'!H771,"")</f>
        <v>0</v>
      </c>
      <c r="H770" s="46">
        <f>IF($A$1='Data Entry'!$C771,'Data Entry'!I771,"")</f>
        <v>0</v>
      </c>
      <c r="I770" s="46">
        <f>IF($A$1='Data Entry'!$C771,'Data Entry'!J771,"")</f>
        <v>0</v>
      </c>
      <c r="J770" s="46">
        <f>IF($A$1='Data Entry'!$C771,'Data Entry'!K771,"")</f>
        <v>0</v>
      </c>
      <c r="K770" s="46">
        <f>IF($A$1='Data Entry'!$C771,'Data Entry'!L771,"")</f>
        <v>0</v>
      </c>
      <c r="L770" s="46">
        <f>IF($A$1='Data Entry'!$C771,'Data Entry'!M771,"")</f>
        <v>0</v>
      </c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  <c r="AA770" s="43"/>
      <c r="AB770" s="43"/>
      <c r="AC770" s="43"/>
      <c r="AD770" s="43"/>
      <c r="AE770" s="43"/>
      <c r="AF770" s="43"/>
      <c r="AG770" s="43"/>
      <c r="AH770" s="43"/>
      <c r="AI770" s="43"/>
      <c r="AJ770" s="43"/>
    </row>
    <row r="771" spans="1:36" ht="15.95" customHeight="1" x14ac:dyDescent="0.2">
      <c r="A771" s="43"/>
      <c r="B771" s="45">
        <v>129</v>
      </c>
      <c r="C771" s="46">
        <f>IF($A$1='Data Entry'!$C772,'Data Entry'!D772,"")</f>
        <v>0</v>
      </c>
      <c r="D771" s="46">
        <f>IF($A$1='Data Entry'!$C772,'Data Entry'!E772,"")</f>
        <v>0</v>
      </c>
      <c r="E771" s="46">
        <f>IF($A$1='Data Entry'!$C772,'Data Entry'!F772,"")</f>
        <v>0</v>
      </c>
      <c r="F771" s="46">
        <f>IF($A$1='Data Entry'!$C772,'Data Entry'!G772,"")</f>
        <v>0</v>
      </c>
      <c r="G771" s="46">
        <f>IF($A$1='Data Entry'!$C772,'Data Entry'!H772,"")</f>
        <v>0</v>
      </c>
      <c r="H771" s="46">
        <f>IF($A$1='Data Entry'!$C772,'Data Entry'!I772,"")</f>
        <v>0</v>
      </c>
      <c r="I771" s="46">
        <f>IF($A$1='Data Entry'!$C772,'Data Entry'!J772,"")</f>
        <v>0</v>
      </c>
      <c r="J771" s="46">
        <f>IF($A$1='Data Entry'!$C772,'Data Entry'!K772,"")</f>
        <v>0</v>
      </c>
      <c r="K771" s="46">
        <f>IF($A$1='Data Entry'!$C772,'Data Entry'!L772,"")</f>
        <v>0</v>
      </c>
      <c r="L771" s="46">
        <f>IF($A$1='Data Entry'!$C772,'Data Entry'!M772,"")</f>
        <v>0</v>
      </c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  <c r="AA771" s="43"/>
      <c r="AB771" s="43"/>
      <c r="AC771" s="43"/>
      <c r="AD771" s="43"/>
      <c r="AE771" s="43"/>
      <c r="AF771" s="43"/>
      <c r="AG771" s="43"/>
      <c r="AH771" s="43"/>
      <c r="AI771" s="43"/>
      <c r="AJ771" s="43"/>
    </row>
    <row r="772" spans="1:36" ht="15.95" customHeight="1" x14ac:dyDescent="0.2">
      <c r="A772" s="43"/>
      <c r="B772" s="45">
        <v>129</v>
      </c>
      <c r="C772" s="46">
        <f>IF($A$1='Data Entry'!$C773,'Data Entry'!D773,"")</f>
        <v>0</v>
      </c>
      <c r="D772" s="46">
        <f>IF($A$1='Data Entry'!$C773,'Data Entry'!E773,"")</f>
        <v>0</v>
      </c>
      <c r="E772" s="46">
        <f>IF($A$1='Data Entry'!$C773,'Data Entry'!F773,"")</f>
        <v>0</v>
      </c>
      <c r="F772" s="46">
        <f>IF($A$1='Data Entry'!$C773,'Data Entry'!G773,"")</f>
        <v>0</v>
      </c>
      <c r="G772" s="46">
        <f>IF($A$1='Data Entry'!$C773,'Data Entry'!H773,"")</f>
        <v>0</v>
      </c>
      <c r="H772" s="46">
        <f>IF($A$1='Data Entry'!$C773,'Data Entry'!I773,"")</f>
        <v>0</v>
      </c>
      <c r="I772" s="46">
        <f>IF($A$1='Data Entry'!$C773,'Data Entry'!J773,"")</f>
        <v>0</v>
      </c>
      <c r="J772" s="46">
        <f>IF($A$1='Data Entry'!$C773,'Data Entry'!K773,"")</f>
        <v>0</v>
      </c>
      <c r="K772" s="46">
        <f>IF($A$1='Data Entry'!$C773,'Data Entry'!L773,"")</f>
        <v>0</v>
      </c>
      <c r="L772" s="46">
        <f>IF($A$1='Data Entry'!$C773,'Data Entry'!M773,"")</f>
        <v>0</v>
      </c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  <c r="AA772" s="43"/>
      <c r="AB772" s="43"/>
      <c r="AC772" s="43"/>
      <c r="AD772" s="43"/>
      <c r="AE772" s="43"/>
      <c r="AF772" s="43"/>
      <c r="AG772" s="43"/>
      <c r="AH772" s="43"/>
      <c r="AI772" s="43"/>
      <c r="AJ772" s="43"/>
    </row>
    <row r="773" spans="1:36" ht="15.95" customHeight="1" x14ac:dyDescent="0.2">
      <c r="A773" s="43"/>
      <c r="B773" s="45">
        <v>129</v>
      </c>
      <c r="C773" s="46">
        <f>IF($A$1='Data Entry'!$C774,'Data Entry'!D774,"")</f>
        <v>0</v>
      </c>
      <c r="D773" s="46">
        <f>IF($A$1='Data Entry'!$C774,'Data Entry'!E774,"")</f>
        <v>0</v>
      </c>
      <c r="E773" s="46">
        <f>IF($A$1='Data Entry'!$C774,'Data Entry'!F774,"")</f>
        <v>0</v>
      </c>
      <c r="F773" s="46">
        <f>IF($A$1='Data Entry'!$C774,'Data Entry'!G774,"")</f>
        <v>0</v>
      </c>
      <c r="G773" s="46">
        <f>IF($A$1='Data Entry'!$C774,'Data Entry'!H774,"")</f>
        <v>0</v>
      </c>
      <c r="H773" s="46">
        <f>IF($A$1='Data Entry'!$C774,'Data Entry'!I774,"")</f>
        <v>0</v>
      </c>
      <c r="I773" s="46">
        <f>IF($A$1='Data Entry'!$C774,'Data Entry'!J774,"")</f>
        <v>0</v>
      </c>
      <c r="J773" s="46">
        <f>IF($A$1='Data Entry'!$C774,'Data Entry'!K774,"")</f>
        <v>0</v>
      </c>
      <c r="K773" s="46">
        <f>IF($A$1='Data Entry'!$C774,'Data Entry'!L774,"")</f>
        <v>0</v>
      </c>
      <c r="L773" s="46">
        <f>IF($A$1='Data Entry'!$C774,'Data Entry'!M774,"")</f>
        <v>0</v>
      </c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  <c r="AA773" s="43"/>
      <c r="AB773" s="43"/>
      <c r="AC773" s="43"/>
      <c r="AD773" s="43"/>
      <c r="AE773" s="43"/>
      <c r="AF773" s="43"/>
      <c r="AG773" s="43"/>
      <c r="AH773" s="43"/>
      <c r="AI773" s="43"/>
      <c r="AJ773" s="43"/>
    </row>
    <row r="774" spans="1:36" ht="15.95" customHeight="1" x14ac:dyDescent="0.2">
      <c r="A774" s="43"/>
      <c r="B774" s="45">
        <v>129</v>
      </c>
      <c r="C774" s="46">
        <f>IF($A$1='Data Entry'!$C775,'Data Entry'!D775,"")</f>
        <v>0</v>
      </c>
      <c r="D774" s="46">
        <f>IF($A$1='Data Entry'!$C775,'Data Entry'!E775,"")</f>
        <v>0</v>
      </c>
      <c r="E774" s="46">
        <f>IF($A$1='Data Entry'!$C775,'Data Entry'!F775,"")</f>
        <v>0</v>
      </c>
      <c r="F774" s="46">
        <f>IF($A$1='Data Entry'!$C775,'Data Entry'!G775,"")</f>
        <v>0</v>
      </c>
      <c r="G774" s="46">
        <f>IF($A$1='Data Entry'!$C775,'Data Entry'!H775,"")</f>
        <v>0</v>
      </c>
      <c r="H774" s="46">
        <f>IF($A$1='Data Entry'!$C775,'Data Entry'!I775,"")</f>
        <v>0</v>
      </c>
      <c r="I774" s="46">
        <f>IF($A$1='Data Entry'!$C775,'Data Entry'!J775,"")</f>
        <v>0</v>
      </c>
      <c r="J774" s="46">
        <f>IF($A$1='Data Entry'!$C775,'Data Entry'!K775,"")</f>
        <v>0</v>
      </c>
      <c r="K774" s="46">
        <f>IF($A$1='Data Entry'!$C775,'Data Entry'!L775,"")</f>
        <v>0</v>
      </c>
      <c r="L774" s="46">
        <f>IF($A$1='Data Entry'!$C775,'Data Entry'!M775,"")</f>
        <v>0</v>
      </c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  <c r="AA774" s="43"/>
      <c r="AB774" s="43"/>
      <c r="AC774" s="43"/>
      <c r="AD774" s="43"/>
      <c r="AE774" s="43"/>
      <c r="AF774" s="43"/>
      <c r="AG774" s="43"/>
      <c r="AH774" s="43"/>
      <c r="AI774" s="43"/>
      <c r="AJ774" s="43"/>
    </row>
    <row r="775" spans="1:36" ht="15.95" customHeight="1" x14ac:dyDescent="0.2">
      <c r="A775" s="43"/>
      <c r="B775" s="45">
        <v>129</v>
      </c>
      <c r="C775" s="46">
        <f>IF($A$1='Data Entry'!$C776,'Data Entry'!D776,"")</f>
        <v>0</v>
      </c>
      <c r="D775" s="46">
        <f>IF($A$1='Data Entry'!$C776,'Data Entry'!E776,"")</f>
        <v>0</v>
      </c>
      <c r="E775" s="46">
        <f>IF($A$1='Data Entry'!$C776,'Data Entry'!F776,"")</f>
        <v>0</v>
      </c>
      <c r="F775" s="46">
        <f>IF($A$1='Data Entry'!$C776,'Data Entry'!G776,"")</f>
        <v>0</v>
      </c>
      <c r="G775" s="46">
        <f>IF($A$1='Data Entry'!$C776,'Data Entry'!H776,"")</f>
        <v>0</v>
      </c>
      <c r="H775" s="46">
        <f>IF($A$1='Data Entry'!$C776,'Data Entry'!I776,"")</f>
        <v>0</v>
      </c>
      <c r="I775" s="46">
        <f>IF($A$1='Data Entry'!$C776,'Data Entry'!J776,"")</f>
        <v>0</v>
      </c>
      <c r="J775" s="46">
        <f>IF($A$1='Data Entry'!$C776,'Data Entry'!K776,"")</f>
        <v>0</v>
      </c>
      <c r="K775" s="46">
        <f>IF($A$1='Data Entry'!$C776,'Data Entry'!L776,"")</f>
        <v>0</v>
      </c>
      <c r="L775" s="46">
        <f>IF($A$1='Data Entry'!$C776,'Data Entry'!M776,"")</f>
        <v>0</v>
      </c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  <c r="AA775" s="43"/>
      <c r="AB775" s="43"/>
      <c r="AC775" s="43"/>
      <c r="AD775" s="43"/>
      <c r="AE775" s="43"/>
      <c r="AF775" s="43"/>
      <c r="AG775" s="43"/>
      <c r="AH775" s="43"/>
      <c r="AI775" s="43"/>
      <c r="AJ775" s="43"/>
    </row>
    <row r="776" spans="1:36" ht="15.95" customHeight="1" x14ac:dyDescent="0.2">
      <c r="A776" s="43"/>
      <c r="B776" s="45">
        <v>129</v>
      </c>
      <c r="C776" s="46">
        <f>IF($A$1='Data Entry'!$C777,'Data Entry'!D777,"")</f>
        <v>0</v>
      </c>
      <c r="D776" s="46">
        <f>IF($A$1='Data Entry'!$C777,'Data Entry'!E777,"")</f>
        <v>0</v>
      </c>
      <c r="E776" s="46">
        <f>IF($A$1='Data Entry'!$C777,'Data Entry'!F777,"")</f>
        <v>0</v>
      </c>
      <c r="F776" s="46">
        <f>IF($A$1='Data Entry'!$C777,'Data Entry'!G777,"")</f>
        <v>0</v>
      </c>
      <c r="G776" s="46">
        <f>IF($A$1='Data Entry'!$C777,'Data Entry'!H777,"")</f>
        <v>0</v>
      </c>
      <c r="H776" s="46">
        <f>IF($A$1='Data Entry'!$C777,'Data Entry'!I777,"")</f>
        <v>0</v>
      </c>
      <c r="I776" s="46">
        <f>IF($A$1='Data Entry'!$C777,'Data Entry'!J777,"")</f>
        <v>0</v>
      </c>
      <c r="J776" s="46">
        <f>IF($A$1='Data Entry'!$C777,'Data Entry'!K777,"")</f>
        <v>0</v>
      </c>
      <c r="K776" s="46">
        <f>IF($A$1='Data Entry'!$C777,'Data Entry'!L777,"")</f>
        <v>0</v>
      </c>
      <c r="L776" s="46">
        <f>IF($A$1='Data Entry'!$C777,'Data Entry'!M777,"")</f>
        <v>0</v>
      </c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  <c r="AA776" s="43"/>
      <c r="AB776" s="43"/>
      <c r="AC776" s="43"/>
      <c r="AD776" s="43"/>
      <c r="AE776" s="43"/>
      <c r="AF776" s="43"/>
      <c r="AG776" s="43"/>
      <c r="AH776" s="43"/>
      <c r="AI776" s="43"/>
      <c r="AJ776" s="43"/>
    </row>
    <row r="777" spans="1:36" ht="15.95" customHeight="1" x14ac:dyDescent="0.2">
      <c r="A777" s="43"/>
      <c r="B777" s="45">
        <v>130</v>
      </c>
      <c r="C777" s="46">
        <f>IF($A$1='Data Entry'!$C778,'Data Entry'!D778,"")</f>
        <v>0</v>
      </c>
      <c r="D777" s="46">
        <f>IF($A$1='Data Entry'!$C778,'Data Entry'!E778,"")</f>
        <v>0</v>
      </c>
      <c r="E777" s="46">
        <f>IF($A$1='Data Entry'!$C778,'Data Entry'!F778,"")</f>
        <v>0</v>
      </c>
      <c r="F777" s="46">
        <f>IF($A$1='Data Entry'!$C778,'Data Entry'!G778,"")</f>
        <v>0</v>
      </c>
      <c r="G777" s="46">
        <f>IF($A$1='Data Entry'!$C778,'Data Entry'!H778,"")</f>
        <v>0</v>
      </c>
      <c r="H777" s="46">
        <f>IF($A$1='Data Entry'!$C778,'Data Entry'!I778,"")</f>
        <v>0</v>
      </c>
      <c r="I777" s="46">
        <f>IF($A$1='Data Entry'!$C778,'Data Entry'!J778,"")</f>
        <v>0</v>
      </c>
      <c r="J777" s="46">
        <f>IF($A$1='Data Entry'!$C778,'Data Entry'!K778,"")</f>
        <v>0</v>
      </c>
      <c r="K777" s="46">
        <f>IF($A$1='Data Entry'!$C778,'Data Entry'!L778,"")</f>
        <v>0</v>
      </c>
      <c r="L777" s="46">
        <f>IF($A$1='Data Entry'!$C778,'Data Entry'!M778,"")</f>
        <v>0</v>
      </c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  <c r="AA777" s="43"/>
      <c r="AB777" s="43"/>
      <c r="AC777" s="43"/>
      <c r="AD777" s="43"/>
      <c r="AE777" s="43"/>
      <c r="AF777" s="43"/>
      <c r="AG777" s="43"/>
      <c r="AH777" s="43"/>
      <c r="AI777" s="43"/>
      <c r="AJ777" s="43"/>
    </row>
    <row r="778" spans="1:36" ht="15.95" customHeight="1" x14ac:dyDescent="0.2">
      <c r="A778" s="43"/>
      <c r="B778" s="45">
        <v>130</v>
      </c>
      <c r="C778" s="46">
        <f>IF($A$1='Data Entry'!$C779,'Data Entry'!D779,"")</f>
        <v>0</v>
      </c>
      <c r="D778" s="46">
        <f>IF($A$1='Data Entry'!$C779,'Data Entry'!E779,"")</f>
        <v>0</v>
      </c>
      <c r="E778" s="46">
        <f>IF($A$1='Data Entry'!$C779,'Data Entry'!F779,"")</f>
        <v>0</v>
      </c>
      <c r="F778" s="46">
        <f>IF($A$1='Data Entry'!$C779,'Data Entry'!G779,"")</f>
        <v>0</v>
      </c>
      <c r="G778" s="46">
        <f>IF($A$1='Data Entry'!$C779,'Data Entry'!H779,"")</f>
        <v>0</v>
      </c>
      <c r="H778" s="46">
        <f>IF($A$1='Data Entry'!$C779,'Data Entry'!I779,"")</f>
        <v>0</v>
      </c>
      <c r="I778" s="46">
        <f>IF($A$1='Data Entry'!$C779,'Data Entry'!J779,"")</f>
        <v>0</v>
      </c>
      <c r="J778" s="46">
        <f>IF($A$1='Data Entry'!$C779,'Data Entry'!K779,"")</f>
        <v>0</v>
      </c>
      <c r="K778" s="46">
        <f>IF($A$1='Data Entry'!$C779,'Data Entry'!L779,"")</f>
        <v>0</v>
      </c>
      <c r="L778" s="46">
        <f>IF($A$1='Data Entry'!$C779,'Data Entry'!M779,"")</f>
        <v>0</v>
      </c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  <c r="AA778" s="43"/>
      <c r="AB778" s="43"/>
      <c r="AC778" s="43"/>
      <c r="AD778" s="43"/>
      <c r="AE778" s="43"/>
      <c r="AF778" s="43"/>
      <c r="AG778" s="43"/>
      <c r="AH778" s="43"/>
      <c r="AI778" s="43"/>
      <c r="AJ778" s="43"/>
    </row>
    <row r="779" spans="1:36" ht="15.95" customHeight="1" x14ac:dyDescent="0.2">
      <c r="A779" s="43"/>
      <c r="B779" s="45">
        <v>130</v>
      </c>
      <c r="C779" s="46">
        <f>IF($A$1='Data Entry'!$C780,'Data Entry'!D780,"")</f>
        <v>0</v>
      </c>
      <c r="D779" s="46">
        <f>IF($A$1='Data Entry'!$C780,'Data Entry'!E780,"")</f>
        <v>0</v>
      </c>
      <c r="E779" s="46">
        <f>IF($A$1='Data Entry'!$C780,'Data Entry'!F780,"")</f>
        <v>0</v>
      </c>
      <c r="F779" s="46">
        <f>IF($A$1='Data Entry'!$C780,'Data Entry'!G780,"")</f>
        <v>0</v>
      </c>
      <c r="G779" s="46">
        <f>IF($A$1='Data Entry'!$C780,'Data Entry'!H780,"")</f>
        <v>0</v>
      </c>
      <c r="H779" s="46">
        <f>IF($A$1='Data Entry'!$C780,'Data Entry'!I780,"")</f>
        <v>0</v>
      </c>
      <c r="I779" s="46">
        <f>IF($A$1='Data Entry'!$C780,'Data Entry'!J780,"")</f>
        <v>0</v>
      </c>
      <c r="J779" s="46">
        <f>IF($A$1='Data Entry'!$C780,'Data Entry'!K780,"")</f>
        <v>0</v>
      </c>
      <c r="K779" s="46">
        <f>IF($A$1='Data Entry'!$C780,'Data Entry'!L780,"")</f>
        <v>0</v>
      </c>
      <c r="L779" s="46">
        <f>IF($A$1='Data Entry'!$C780,'Data Entry'!M780,"")</f>
        <v>0</v>
      </c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  <c r="AA779" s="43"/>
      <c r="AB779" s="43"/>
      <c r="AC779" s="43"/>
      <c r="AD779" s="43"/>
      <c r="AE779" s="43"/>
      <c r="AF779" s="43"/>
      <c r="AG779" s="43"/>
      <c r="AH779" s="43"/>
      <c r="AI779" s="43"/>
      <c r="AJ779" s="43"/>
    </row>
    <row r="780" spans="1:36" ht="15.95" customHeight="1" x14ac:dyDescent="0.2">
      <c r="A780" s="43"/>
      <c r="B780" s="45">
        <v>130</v>
      </c>
      <c r="C780" s="46">
        <f>IF($A$1='Data Entry'!$C781,'Data Entry'!D781,"")</f>
        <v>0</v>
      </c>
      <c r="D780" s="46">
        <f>IF($A$1='Data Entry'!$C781,'Data Entry'!E781,"")</f>
        <v>0</v>
      </c>
      <c r="E780" s="46">
        <f>IF($A$1='Data Entry'!$C781,'Data Entry'!F781,"")</f>
        <v>0</v>
      </c>
      <c r="F780" s="46">
        <f>IF($A$1='Data Entry'!$C781,'Data Entry'!G781,"")</f>
        <v>0</v>
      </c>
      <c r="G780" s="46">
        <f>IF($A$1='Data Entry'!$C781,'Data Entry'!H781,"")</f>
        <v>0</v>
      </c>
      <c r="H780" s="46">
        <f>IF($A$1='Data Entry'!$C781,'Data Entry'!I781,"")</f>
        <v>0</v>
      </c>
      <c r="I780" s="46">
        <f>IF($A$1='Data Entry'!$C781,'Data Entry'!J781,"")</f>
        <v>0</v>
      </c>
      <c r="J780" s="46">
        <f>IF($A$1='Data Entry'!$C781,'Data Entry'!K781,"")</f>
        <v>0</v>
      </c>
      <c r="K780" s="46">
        <f>IF($A$1='Data Entry'!$C781,'Data Entry'!L781,"")</f>
        <v>0</v>
      </c>
      <c r="L780" s="46">
        <f>IF($A$1='Data Entry'!$C781,'Data Entry'!M781,"")</f>
        <v>0</v>
      </c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  <c r="AA780" s="43"/>
      <c r="AB780" s="43"/>
      <c r="AC780" s="43"/>
      <c r="AD780" s="43"/>
      <c r="AE780" s="43"/>
      <c r="AF780" s="43"/>
      <c r="AG780" s="43"/>
      <c r="AH780" s="43"/>
      <c r="AI780" s="43"/>
      <c r="AJ780" s="43"/>
    </row>
    <row r="781" spans="1:36" ht="15.95" customHeight="1" x14ac:dyDescent="0.2">
      <c r="A781" s="43"/>
      <c r="B781" s="45">
        <v>130</v>
      </c>
      <c r="C781" s="46">
        <f>IF($A$1='Data Entry'!$C782,'Data Entry'!D782,"")</f>
        <v>0</v>
      </c>
      <c r="D781" s="46">
        <f>IF($A$1='Data Entry'!$C782,'Data Entry'!E782,"")</f>
        <v>0</v>
      </c>
      <c r="E781" s="46">
        <f>IF($A$1='Data Entry'!$C782,'Data Entry'!F782,"")</f>
        <v>0</v>
      </c>
      <c r="F781" s="46">
        <f>IF($A$1='Data Entry'!$C782,'Data Entry'!G782,"")</f>
        <v>0</v>
      </c>
      <c r="G781" s="46">
        <f>IF($A$1='Data Entry'!$C782,'Data Entry'!H782,"")</f>
        <v>0</v>
      </c>
      <c r="H781" s="46">
        <f>IF($A$1='Data Entry'!$C782,'Data Entry'!I782,"")</f>
        <v>0</v>
      </c>
      <c r="I781" s="46">
        <f>IF($A$1='Data Entry'!$C782,'Data Entry'!J782,"")</f>
        <v>0</v>
      </c>
      <c r="J781" s="46">
        <f>IF($A$1='Data Entry'!$C782,'Data Entry'!K782,"")</f>
        <v>0</v>
      </c>
      <c r="K781" s="46">
        <f>IF($A$1='Data Entry'!$C782,'Data Entry'!L782,"")</f>
        <v>0</v>
      </c>
      <c r="L781" s="46">
        <f>IF($A$1='Data Entry'!$C782,'Data Entry'!M782,"")</f>
        <v>0</v>
      </c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  <c r="AA781" s="43"/>
      <c r="AB781" s="43"/>
      <c r="AC781" s="43"/>
      <c r="AD781" s="43"/>
      <c r="AE781" s="43"/>
      <c r="AF781" s="43"/>
      <c r="AG781" s="43"/>
      <c r="AH781" s="43"/>
      <c r="AI781" s="43"/>
      <c r="AJ781" s="43"/>
    </row>
    <row r="782" spans="1:36" ht="15.95" customHeight="1" x14ac:dyDescent="0.2">
      <c r="A782" s="43"/>
      <c r="B782" s="45">
        <v>130</v>
      </c>
      <c r="C782" s="46">
        <f>IF($A$1='Data Entry'!$C783,'Data Entry'!D783,"")</f>
        <v>0</v>
      </c>
      <c r="D782" s="46">
        <f>IF($A$1='Data Entry'!$C783,'Data Entry'!E783,"")</f>
        <v>0</v>
      </c>
      <c r="E782" s="46">
        <f>IF($A$1='Data Entry'!$C783,'Data Entry'!F783,"")</f>
        <v>0</v>
      </c>
      <c r="F782" s="46">
        <f>IF($A$1='Data Entry'!$C783,'Data Entry'!G783,"")</f>
        <v>0</v>
      </c>
      <c r="G782" s="46">
        <f>IF($A$1='Data Entry'!$C783,'Data Entry'!H783,"")</f>
        <v>0</v>
      </c>
      <c r="H782" s="46">
        <f>IF($A$1='Data Entry'!$C783,'Data Entry'!I783,"")</f>
        <v>0</v>
      </c>
      <c r="I782" s="46">
        <f>IF($A$1='Data Entry'!$C783,'Data Entry'!J783,"")</f>
        <v>0</v>
      </c>
      <c r="J782" s="46">
        <f>IF($A$1='Data Entry'!$C783,'Data Entry'!K783,"")</f>
        <v>0</v>
      </c>
      <c r="K782" s="46">
        <f>IF($A$1='Data Entry'!$C783,'Data Entry'!L783,"")</f>
        <v>0</v>
      </c>
      <c r="L782" s="46">
        <f>IF($A$1='Data Entry'!$C783,'Data Entry'!M783,"")</f>
        <v>0</v>
      </c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  <c r="AA782" s="43"/>
      <c r="AB782" s="43"/>
      <c r="AC782" s="43"/>
      <c r="AD782" s="43"/>
      <c r="AE782" s="43"/>
      <c r="AF782" s="43"/>
      <c r="AG782" s="43"/>
      <c r="AH782" s="43"/>
      <c r="AI782" s="43"/>
      <c r="AJ782" s="43"/>
    </row>
    <row r="783" spans="1:36" ht="15.95" customHeight="1" x14ac:dyDescent="0.2">
      <c r="A783" s="43"/>
      <c r="B783" s="45">
        <v>131</v>
      </c>
      <c r="C783" s="46">
        <f>IF($A$1='Data Entry'!$C784,'Data Entry'!D784,"")</f>
        <v>0</v>
      </c>
      <c r="D783" s="46">
        <f>IF($A$1='Data Entry'!$C784,'Data Entry'!E784,"")</f>
        <v>0</v>
      </c>
      <c r="E783" s="46">
        <f>IF($A$1='Data Entry'!$C784,'Data Entry'!F784,"")</f>
        <v>0</v>
      </c>
      <c r="F783" s="46">
        <f>IF($A$1='Data Entry'!$C784,'Data Entry'!G784,"")</f>
        <v>0</v>
      </c>
      <c r="G783" s="46">
        <f>IF($A$1='Data Entry'!$C784,'Data Entry'!H784,"")</f>
        <v>0</v>
      </c>
      <c r="H783" s="46">
        <f>IF($A$1='Data Entry'!$C784,'Data Entry'!I784,"")</f>
        <v>0</v>
      </c>
      <c r="I783" s="46">
        <f>IF($A$1='Data Entry'!$C784,'Data Entry'!J784,"")</f>
        <v>0</v>
      </c>
      <c r="J783" s="46">
        <f>IF($A$1='Data Entry'!$C784,'Data Entry'!K784,"")</f>
        <v>0</v>
      </c>
      <c r="K783" s="46">
        <f>IF($A$1='Data Entry'!$C784,'Data Entry'!L784,"")</f>
        <v>0</v>
      </c>
      <c r="L783" s="46">
        <f>IF($A$1='Data Entry'!$C784,'Data Entry'!M784,"")</f>
        <v>0</v>
      </c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  <c r="AA783" s="43"/>
      <c r="AB783" s="43"/>
      <c r="AC783" s="43"/>
      <c r="AD783" s="43"/>
      <c r="AE783" s="43"/>
      <c r="AF783" s="43"/>
      <c r="AG783" s="43"/>
      <c r="AH783" s="43"/>
      <c r="AI783" s="43"/>
      <c r="AJ783" s="43"/>
    </row>
    <row r="784" spans="1:36" ht="15.95" customHeight="1" x14ac:dyDescent="0.2">
      <c r="A784" s="43"/>
      <c r="B784" s="45">
        <v>131</v>
      </c>
      <c r="C784" s="46">
        <f>IF($A$1='Data Entry'!$C785,'Data Entry'!D785,"")</f>
        <v>0</v>
      </c>
      <c r="D784" s="46">
        <f>IF($A$1='Data Entry'!$C785,'Data Entry'!E785,"")</f>
        <v>0</v>
      </c>
      <c r="E784" s="46">
        <f>IF($A$1='Data Entry'!$C785,'Data Entry'!F785,"")</f>
        <v>0</v>
      </c>
      <c r="F784" s="46">
        <f>IF($A$1='Data Entry'!$C785,'Data Entry'!G785,"")</f>
        <v>0</v>
      </c>
      <c r="G784" s="46">
        <f>IF($A$1='Data Entry'!$C785,'Data Entry'!H785,"")</f>
        <v>0</v>
      </c>
      <c r="H784" s="46">
        <f>IF($A$1='Data Entry'!$C785,'Data Entry'!I785,"")</f>
        <v>0</v>
      </c>
      <c r="I784" s="46">
        <f>IF($A$1='Data Entry'!$C785,'Data Entry'!J785,"")</f>
        <v>0</v>
      </c>
      <c r="J784" s="46">
        <f>IF($A$1='Data Entry'!$C785,'Data Entry'!K785,"")</f>
        <v>0</v>
      </c>
      <c r="K784" s="46">
        <f>IF($A$1='Data Entry'!$C785,'Data Entry'!L785,"")</f>
        <v>0</v>
      </c>
      <c r="L784" s="46">
        <f>IF($A$1='Data Entry'!$C785,'Data Entry'!M785,"")</f>
        <v>0</v>
      </c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  <c r="AA784" s="43"/>
      <c r="AB784" s="43"/>
      <c r="AC784" s="43"/>
      <c r="AD784" s="43"/>
      <c r="AE784" s="43"/>
      <c r="AF784" s="43"/>
      <c r="AG784" s="43"/>
      <c r="AH784" s="43"/>
      <c r="AI784" s="43"/>
      <c r="AJ784" s="43"/>
    </row>
    <row r="785" spans="1:36" ht="15.95" customHeight="1" x14ac:dyDescent="0.2">
      <c r="A785" s="43"/>
      <c r="B785" s="45">
        <v>131</v>
      </c>
      <c r="C785" s="46">
        <f>IF($A$1='Data Entry'!$C786,'Data Entry'!D786,"")</f>
        <v>0</v>
      </c>
      <c r="D785" s="46">
        <f>IF($A$1='Data Entry'!$C786,'Data Entry'!E786,"")</f>
        <v>0</v>
      </c>
      <c r="E785" s="46">
        <f>IF($A$1='Data Entry'!$C786,'Data Entry'!F786,"")</f>
        <v>0</v>
      </c>
      <c r="F785" s="46">
        <f>IF($A$1='Data Entry'!$C786,'Data Entry'!G786,"")</f>
        <v>0</v>
      </c>
      <c r="G785" s="46">
        <f>IF($A$1='Data Entry'!$C786,'Data Entry'!H786,"")</f>
        <v>0</v>
      </c>
      <c r="H785" s="46">
        <f>IF($A$1='Data Entry'!$C786,'Data Entry'!I786,"")</f>
        <v>0</v>
      </c>
      <c r="I785" s="46">
        <f>IF($A$1='Data Entry'!$C786,'Data Entry'!J786,"")</f>
        <v>0</v>
      </c>
      <c r="J785" s="46">
        <f>IF($A$1='Data Entry'!$C786,'Data Entry'!K786,"")</f>
        <v>0</v>
      </c>
      <c r="K785" s="46">
        <f>IF($A$1='Data Entry'!$C786,'Data Entry'!L786,"")</f>
        <v>0</v>
      </c>
      <c r="L785" s="46">
        <f>IF($A$1='Data Entry'!$C786,'Data Entry'!M786,"")</f>
        <v>0</v>
      </c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  <c r="AA785" s="43"/>
      <c r="AB785" s="43"/>
      <c r="AC785" s="43"/>
      <c r="AD785" s="43"/>
      <c r="AE785" s="43"/>
      <c r="AF785" s="43"/>
      <c r="AG785" s="43"/>
      <c r="AH785" s="43"/>
      <c r="AI785" s="43"/>
      <c r="AJ785" s="43"/>
    </row>
    <row r="786" spans="1:36" ht="15.95" customHeight="1" x14ac:dyDescent="0.2">
      <c r="A786" s="43"/>
      <c r="B786" s="45">
        <v>131</v>
      </c>
      <c r="C786" s="46">
        <f>IF($A$1='Data Entry'!$C787,'Data Entry'!D787,"")</f>
        <v>0</v>
      </c>
      <c r="D786" s="46">
        <f>IF($A$1='Data Entry'!$C787,'Data Entry'!E787,"")</f>
        <v>0</v>
      </c>
      <c r="E786" s="46">
        <f>IF($A$1='Data Entry'!$C787,'Data Entry'!F787,"")</f>
        <v>0</v>
      </c>
      <c r="F786" s="46">
        <f>IF($A$1='Data Entry'!$C787,'Data Entry'!G787,"")</f>
        <v>0</v>
      </c>
      <c r="G786" s="46">
        <f>IF($A$1='Data Entry'!$C787,'Data Entry'!H787,"")</f>
        <v>0</v>
      </c>
      <c r="H786" s="46">
        <f>IF($A$1='Data Entry'!$C787,'Data Entry'!I787,"")</f>
        <v>0</v>
      </c>
      <c r="I786" s="46">
        <f>IF($A$1='Data Entry'!$C787,'Data Entry'!J787,"")</f>
        <v>0</v>
      </c>
      <c r="J786" s="46">
        <f>IF($A$1='Data Entry'!$C787,'Data Entry'!K787,"")</f>
        <v>0</v>
      </c>
      <c r="K786" s="46">
        <f>IF($A$1='Data Entry'!$C787,'Data Entry'!L787,"")</f>
        <v>0</v>
      </c>
      <c r="L786" s="46">
        <f>IF($A$1='Data Entry'!$C787,'Data Entry'!M787,"")</f>
        <v>0</v>
      </c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  <c r="AA786" s="43"/>
      <c r="AB786" s="43"/>
      <c r="AC786" s="43"/>
      <c r="AD786" s="43"/>
      <c r="AE786" s="43"/>
      <c r="AF786" s="43"/>
      <c r="AG786" s="43"/>
      <c r="AH786" s="43"/>
      <c r="AI786" s="43"/>
      <c r="AJ786" s="43"/>
    </row>
    <row r="787" spans="1:36" ht="15.95" customHeight="1" x14ac:dyDescent="0.2">
      <c r="A787" s="43"/>
      <c r="B787" s="45">
        <v>131</v>
      </c>
      <c r="C787" s="46">
        <f>IF($A$1='Data Entry'!$C788,'Data Entry'!D788,"")</f>
        <v>0</v>
      </c>
      <c r="D787" s="46">
        <f>IF($A$1='Data Entry'!$C788,'Data Entry'!E788,"")</f>
        <v>0</v>
      </c>
      <c r="E787" s="46">
        <f>IF($A$1='Data Entry'!$C788,'Data Entry'!F788,"")</f>
        <v>0</v>
      </c>
      <c r="F787" s="46">
        <f>IF($A$1='Data Entry'!$C788,'Data Entry'!G788,"")</f>
        <v>0</v>
      </c>
      <c r="G787" s="46">
        <f>IF($A$1='Data Entry'!$C788,'Data Entry'!H788,"")</f>
        <v>0</v>
      </c>
      <c r="H787" s="46">
        <f>IF($A$1='Data Entry'!$C788,'Data Entry'!I788,"")</f>
        <v>0</v>
      </c>
      <c r="I787" s="46">
        <f>IF($A$1='Data Entry'!$C788,'Data Entry'!J788,"")</f>
        <v>0</v>
      </c>
      <c r="J787" s="46">
        <f>IF($A$1='Data Entry'!$C788,'Data Entry'!K788,"")</f>
        <v>0</v>
      </c>
      <c r="K787" s="46">
        <f>IF($A$1='Data Entry'!$C788,'Data Entry'!L788,"")</f>
        <v>0</v>
      </c>
      <c r="L787" s="46">
        <f>IF($A$1='Data Entry'!$C788,'Data Entry'!M788,"")</f>
        <v>0</v>
      </c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  <c r="AA787" s="43"/>
      <c r="AB787" s="43"/>
      <c r="AC787" s="43"/>
      <c r="AD787" s="43"/>
      <c r="AE787" s="43"/>
      <c r="AF787" s="43"/>
      <c r="AG787" s="43"/>
      <c r="AH787" s="43"/>
      <c r="AI787" s="43"/>
      <c r="AJ787" s="43"/>
    </row>
    <row r="788" spans="1:36" ht="15.95" customHeight="1" x14ac:dyDescent="0.2">
      <c r="A788" s="43"/>
      <c r="B788" s="45">
        <v>131</v>
      </c>
      <c r="C788" s="46">
        <f>IF($A$1='Data Entry'!$C789,'Data Entry'!D789,"")</f>
        <v>0</v>
      </c>
      <c r="D788" s="46">
        <f>IF($A$1='Data Entry'!$C789,'Data Entry'!E789,"")</f>
        <v>0</v>
      </c>
      <c r="E788" s="46">
        <f>IF($A$1='Data Entry'!$C789,'Data Entry'!F789,"")</f>
        <v>0</v>
      </c>
      <c r="F788" s="46">
        <f>IF($A$1='Data Entry'!$C789,'Data Entry'!G789,"")</f>
        <v>0</v>
      </c>
      <c r="G788" s="46">
        <f>IF($A$1='Data Entry'!$C789,'Data Entry'!H789,"")</f>
        <v>0</v>
      </c>
      <c r="H788" s="46">
        <f>IF($A$1='Data Entry'!$C789,'Data Entry'!I789,"")</f>
        <v>0</v>
      </c>
      <c r="I788" s="46">
        <f>IF($A$1='Data Entry'!$C789,'Data Entry'!J789,"")</f>
        <v>0</v>
      </c>
      <c r="J788" s="46">
        <f>IF($A$1='Data Entry'!$C789,'Data Entry'!K789,"")</f>
        <v>0</v>
      </c>
      <c r="K788" s="46">
        <f>IF($A$1='Data Entry'!$C789,'Data Entry'!L789,"")</f>
        <v>0</v>
      </c>
      <c r="L788" s="46">
        <f>IF($A$1='Data Entry'!$C789,'Data Entry'!M789,"")</f>
        <v>0</v>
      </c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  <c r="AA788" s="43"/>
      <c r="AB788" s="43"/>
      <c r="AC788" s="43"/>
      <c r="AD788" s="43"/>
      <c r="AE788" s="43"/>
      <c r="AF788" s="43"/>
      <c r="AG788" s="43"/>
      <c r="AH788" s="43"/>
      <c r="AI788" s="43"/>
      <c r="AJ788" s="43"/>
    </row>
    <row r="789" spans="1:36" ht="15.95" customHeight="1" x14ac:dyDescent="0.2">
      <c r="A789" s="43"/>
      <c r="B789" s="45">
        <v>132</v>
      </c>
      <c r="C789" s="46">
        <f>IF($A$1='Data Entry'!$C790,'Data Entry'!D790,"")</f>
        <v>0</v>
      </c>
      <c r="D789" s="46">
        <f>IF($A$1='Data Entry'!$C790,'Data Entry'!E790,"")</f>
        <v>0</v>
      </c>
      <c r="E789" s="46">
        <f>IF($A$1='Data Entry'!$C790,'Data Entry'!F790,"")</f>
        <v>0</v>
      </c>
      <c r="F789" s="46">
        <f>IF($A$1='Data Entry'!$C790,'Data Entry'!G790,"")</f>
        <v>0</v>
      </c>
      <c r="G789" s="46">
        <f>IF($A$1='Data Entry'!$C790,'Data Entry'!H790,"")</f>
        <v>0</v>
      </c>
      <c r="H789" s="46">
        <f>IF($A$1='Data Entry'!$C790,'Data Entry'!I790,"")</f>
        <v>0</v>
      </c>
      <c r="I789" s="46">
        <f>IF($A$1='Data Entry'!$C790,'Data Entry'!J790,"")</f>
        <v>0</v>
      </c>
      <c r="J789" s="46">
        <f>IF($A$1='Data Entry'!$C790,'Data Entry'!K790,"")</f>
        <v>0</v>
      </c>
      <c r="K789" s="46">
        <f>IF($A$1='Data Entry'!$C790,'Data Entry'!L790,"")</f>
        <v>0</v>
      </c>
      <c r="L789" s="46">
        <f>IF($A$1='Data Entry'!$C790,'Data Entry'!M790,"")</f>
        <v>0</v>
      </c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  <c r="AA789" s="43"/>
      <c r="AB789" s="43"/>
      <c r="AC789" s="43"/>
      <c r="AD789" s="43"/>
      <c r="AE789" s="43"/>
      <c r="AF789" s="43"/>
      <c r="AG789" s="43"/>
      <c r="AH789" s="43"/>
      <c r="AI789" s="43"/>
      <c r="AJ789" s="43"/>
    </row>
    <row r="790" spans="1:36" ht="15.95" customHeight="1" x14ac:dyDescent="0.2">
      <c r="A790" s="43"/>
      <c r="B790" s="45">
        <v>132</v>
      </c>
      <c r="C790" s="46">
        <f>IF($A$1='Data Entry'!$C791,'Data Entry'!D791,"")</f>
        <v>0</v>
      </c>
      <c r="D790" s="46">
        <f>IF($A$1='Data Entry'!$C791,'Data Entry'!E791,"")</f>
        <v>0</v>
      </c>
      <c r="E790" s="46">
        <f>IF($A$1='Data Entry'!$C791,'Data Entry'!F791,"")</f>
        <v>0</v>
      </c>
      <c r="F790" s="46">
        <f>IF($A$1='Data Entry'!$C791,'Data Entry'!G791,"")</f>
        <v>0</v>
      </c>
      <c r="G790" s="46">
        <f>IF($A$1='Data Entry'!$C791,'Data Entry'!H791,"")</f>
        <v>0</v>
      </c>
      <c r="H790" s="46">
        <f>IF($A$1='Data Entry'!$C791,'Data Entry'!I791,"")</f>
        <v>0</v>
      </c>
      <c r="I790" s="46">
        <f>IF($A$1='Data Entry'!$C791,'Data Entry'!J791,"")</f>
        <v>0</v>
      </c>
      <c r="J790" s="46">
        <f>IF($A$1='Data Entry'!$C791,'Data Entry'!K791,"")</f>
        <v>0</v>
      </c>
      <c r="K790" s="46">
        <f>IF($A$1='Data Entry'!$C791,'Data Entry'!L791,"")</f>
        <v>0</v>
      </c>
      <c r="L790" s="46">
        <f>IF($A$1='Data Entry'!$C791,'Data Entry'!M791,"")</f>
        <v>0</v>
      </c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  <c r="AA790" s="43"/>
      <c r="AB790" s="43"/>
      <c r="AC790" s="43"/>
      <c r="AD790" s="43"/>
      <c r="AE790" s="43"/>
      <c r="AF790" s="43"/>
      <c r="AG790" s="43"/>
      <c r="AH790" s="43"/>
      <c r="AI790" s="43"/>
      <c r="AJ790" s="43"/>
    </row>
    <row r="791" spans="1:36" ht="15.95" customHeight="1" x14ac:dyDescent="0.2">
      <c r="A791" s="43"/>
      <c r="B791" s="45">
        <v>132</v>
      </c>
      <c r="C791" s="46">
        <f>IF($A$1='Data Entry'!$C792,'Data Entry'!D792,"")</f>
        <v>0</v>
      </c>
      <c r="D791" s="46">
        <f>IF($A$1='Data Entry'!$C792,'Data Entry'!E792,"")</f>
        <v>0</v>
      </c>
      <c r="E791" s="46">
        <f>IF($A$1='Data Entry'!$C792,'Data Entry'!F792,"")</f>
        <v>0</v>
      </c>
      <c r="F791" s="46">
        <f>IF($A$1='Data Entry'!$C792,'Data Entry'!G792,"")</f>
        <v>0</v>
      </c>
      <c r="G791" s="46">
        <f>IF($A$1='Data Entry'!$C792,'Data Entry'!H792,"")</f>
        <v>0</v>
      </c>
      <c r="H791" s="46">
        <f>IF($A$1='Data Entry'!$C792,'Data Entry'!I792,"")</f>
        <v>0</v>
      </c>
      <c r="I791" s="46">
        <f>IF($A$1='Data Entry'!$C792,'Data Entry'!J792,"")</f>
        <v>0</v>
      </c>
      <c r="J791" s="46">
        <f>IF($A$1='Data Entry'!$C792,'Data Entry'!K792,"")</f>
        <v>0</v>
      </c>
      <c r="K791" s="46">
        <f>IF($A$1='Data Entry'!$C792,'Data Entry'!L792,"")</f>
        <v>0</v>
      </c>
      <c r="L791" s="46">
        <f>IF($A$1='Data Entry'!$C792,'Data Entry'!M792,"")</f>
        <v>0</v>
      </c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  <c r="AA791" s="43"/>
      <c r="AB791" s="43"/>
      <c r="AC791" s="43"/>
      <c r="AD791" s="43"/>
      <c r="AE791" s="43"/>
      <c r="AF791" s="43"/>
      <c r="AG791" s="43"/>
      <c r="AH791" s="43"/>
      <c r="AI791" s="43"/>
      <c r="AJ791" s="43"/>
    </row>
    <row r="792" spans="1:36" ht="15.95" customHeight="1" x14ac:dyDescent="0.2">
      <c r="A792" s="43"/>
      <c r="B792" s="45">
        <v>132</v>
      </c>
      <c r="C792" s="46">
        <f>IF($A$1='Data Entry'!$C793,'Data Entry'!D793,"")</f>
        <v>0</v>
      </c>
      <c r="D792" s="46">
        <f>IF($A$1='Data Entry'!$C793,'Data Entry'!E793,"")</f>
        <v>0</v>
      </c>
      <c r="E792" s="46">
        <f>IF($A$1='Data Entry'!$C793,'Data Entry'!F793,"")</f>
        <v>0</v>
      </c>
      <c r="F792" s="46">
        <f>IF($A$1='Data Entry'!$C793,'Data Entry'!G793,"")</f>
        <v>0</v>
      </c>
      <c r="G792" s="46">
        <f>IF($A$1='Data Entry'!$C793,'Data Entry'!H793,"")</f>
        <v>0</v>
      </c>
      <c r="H792" s="46">
        <f>IF($A$1='Data Entry'!$C793,'Data Entry'!I793,"")</f>
        <v>0</v>
      </c>
      <c r="I792" s="46">
        <f>IF($A$1='Data Entry'!$C793,'Data Entry'!J793,"")</f>
        <v>0</v>
      </c>
      <c r="J792" s="46">
        <f>IF($A$1='Data Entry'!$C793,'Data Entry'!K793,"")</f>
        <v>0</v>
      </c>
      <c r="K792" s="46">
        <f>IF($A$1='Data Entry'!$C793,'Data Entry'!L793,"")</f>
        <v>0</v>
      </c>
      <c r="L792" s="46">
        <f>IF($A$1='Data Entry'!$C793,'Data Entry'!M793,"")</f>
        <v>0</v>
      </c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  <c r="AA792" s="43"/>
      <c r="AB792" s="43"/>
      <c r="AC792" s="43"/>
      <c r="AD792" s="43"/>
      <c r="AE792" s="43"/>
      <c r="AF792" s="43"/>
      <c r="AG792" s="43"/>
      <c r="AH792" s="43"/>
      <c r="AI792" s="43"/>
      <c r="AJ792" s="43"/>
    </row>
    <row r="793" spans="1:36" ht="15.95" customHeight="1" x14ac:dyDescent="0.2">
      <c r="A793" s="43"/>
      <c r="B793" s="45">
        <v>132</v>
      </c>
      <c r="C793" s="46">
        <f>IF($A$1='Data Entry'!$C794,'Data Entry'!D794,"")</f>
        <v>0</v>
      </c>
      <c r="D793" s="46">
        <f>IF($A$1='Data Entry'!$C794,'Data Entry'!E794,"")</f>
        <v>0</v>
      </c>
      <c r="E793" s="46">
        <f>IF($A$1='Data Entry'!$C794,'Data Entry'!F794,"")</f>
        <v>0</v>
      </c>
      <c r="F793" s="46">
        <f>IF($A$1='Data Entry'!$C794,'Data Entry'!G794,"")</f>
        <v>0</v>
      </c>
      <c r="G793" s="46">
        <f>IF($A$1='Data Entry'!$C794,'Data Entry'!H794,"")</f>
        <v>0</v>
      </c>
      <c r="H793" s="46">
        <f>IF($A$1='Data Entry'!$C794,'Data Entry'!I794,"")</f>
        <v>0</v>
      </c>
      <c r="I793" s="46">
        <f>IF($A$1='Data Entry'!$C794,'Data Entry'!J794,"")</f>
        <v>0</v>
      </c>
      <c r="J793" s="46">
        <f>IF($A$1='Data Entry'!$C794,'Data Entry'!K794,"")</f>
        <v>0</v>
      </c>
      <c r="K793" s="46">
        <f>IF($A$1='Data Entry'!$C794,'Data Entry'!L794,"")</f>
        <v>0</v>
      </c>
      <c r="L793" s="46">
        <f>IF($A$1='Data Entry'!$C794,'Data Entry'!M794,"")</f>
        <v>0</v>
      </c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  <c r="AA793" s="43"/>
      <c r="AB793" s="43"/>
      <c r="AC793" s="43"/>
      <c r="AD793" s="43"/>
      <c r="AE793" s="43"/>
      <c r="AF793" s="43"/>
      <c r="AG793" s="43"/>
      <c r="AH793" s="43"/>
      <c r="AI793" s="43"/>
      <c r="AJ793" s="43"/>
    </row>
    <row r="794" spans="1:36" ht="15.95" customHeight="1" x14ac:dyDescent="0.2">
      <c r="A794" s="43"/>
      <c r="B794" s="45">
        <v>132</v>
      </c>
      <c r="C794" s="46">
        <f>IF($A$1='Data Entry'!$C795,'Data Entry'!D795,"")</f>
        <v>0</v>
      </c>
      <c r="D794" s="46">
        <f>IF($A$1='Data Entry'!$C795,'Data Entry'!E795,"")</f>
        <v>0</v>
      </c>
      <c r="E794" s="46">
        <f>IF($A$1='Data Entry'!$C795,'Data Entry'!F795,"")</f>
        <v>0</v>
      </c>
      <c r="F794" s="46">
        <f>IF($A$1='Data Entry'!$C795,'Data Entry'!G795,"")</f>
        <v>0</v>
      </c>
      <c r="G794" s="46">
        <f>IF($A$1='Data Entry'!$C795,'Data Entry'!H795,"")</f>
        <v>0</v>
      </c>
      <c r="H794" s="46">
        <f>IF($A$1='Data Entry'!$C795,'Data Entry'!I795,"")</f>
        <v>0</v>
      </c>
      <c r="I794" s="46">
        <f>IF($A$1='Data Entry'!$C795,'Data Entry'!J795,"")</f>
        <v>0</v>
      </c>
      <c r="J794" s="46">
        <f>IF($A$1='Data Entry'!$C795,'Data Entry'!K795,"")</f>
        <v>0</v>
      </c>
      <c r="K794" s="46">
        <f>IF($A$1='Data Entry'!$C795,'Data Entry'!L795,"")</f>
        <v>0</v>
      </c>
      <c r="L794" s="46">
        <f>IF($A$1='Data Entry'!$C795,'Data Entry'!M795,"")</f>
        <v>0</v>
      </c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  <c r="AA794" s="43"/>
      <c r="AB794" s="43"/>
      <c r="AC794" s="43"/>
      <c r="AD794" s="43"/>
      <c r="AE794" s="43"/>
      <c r="AF794" s="43"/>
      <c r="AG794" s="43"/>
      <c r="AH794" s="43"/>
      <c r="AI794" s="43"/>
      <c r="AJ794" s="43"/>
    </row>
    <row r="795" spans="1:36" ht="15.95" customHeight="1" x14ac:dyDescent="0.2">
      <c r="A795" s="43"/>
      <c r="B795" s="45">
        <v>133</v>
      </c>
      <c r="C795" s="46">
        <f>IF($A$1='Data Entry'!$C796,'Data Entry'!D796,"")</f>
        <v>0</v>
      </c>
      <c r="D795" s="46">
        <f>IF($A$1='Data Entry'!$C796,'Data Entry'!E796,"")</f>
        <v>0</v>
      </c>
      <c r="E795" s="46">
        <f>IF($A$1='Data Entry'!$C796,'Data Entry'!F796,"")</f>
        <v>0</v>
      </c>
      <c r="F795" s="46">
        <f>IF($A$1='Data Entry'!$C796,'Data Entry'!G796,"")</f>
        <v>0</v>
      </c>
      <c r="G795" s="46">
        <f>IF($A$1='Data Entry'!$C796,'Data Entry'!H796,"")</f>
        <v>0</v>
      </c>
      <c r="H795" s="46">
        <f>IF($A$1='Data Entry'!$C796,'Data Entry'!I796,"")</f>
        <v>0</v>
      </c>
      <c r="I795" s="46">
        <f>IF($A$1='Data Entry'!$C796,'Data Entry'!J796,"")</f>
        <v>0</v>
      </c>
      <c r="J795" s="46">
        <f>IF($A$1='Data Entry'!$C796,'Data Entry'!K796,"")</f>
        <v>0</v>
      </c>
      <c r="K795" s="46">
        <f>IF($A$1='Data Entry'!$C796,'Data Entry'!L796,"")</f>
        <v>0</v>
      </c>
      <c r="L795" s="46">
        <f>IF($A$1='Data Entry'!$C796,'Data Entry'!M796,"")</f>
        <v>0</v>
      </c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  <c r="AA795" s="43"/>
      <c r="AB795" s="43"/>
      <c r="AC795" s="43"/>
      <c r="AD795" s="43"/>
      <c r="AE795" s="43"/>
      <c r="AF795" s="43"/>
      <c r="AG795" s="43"/>
      <c r="AH795" s="43"/>
      <c r="AI795" s="43"/>
      <c r="AJ795" s="43"/>
    </row>
    <row r="796" spans="1:36" ht="15.95" customHeight="1" x14ac:dyDescent="0.2">
      <c r="A796" s="43"/>
      <c r="B796" s="45">
        <v>133</v>
      </c>
      <c r="C796" s="46">
        <f>IF($A$1='Data Entry'!$C797,'Data Entry'!D797,"")</f>
        <v>0</v>
      </c>
      <c r="D796" s="46">
        <f>IF($A$1='Data Entry'!$C797,'Data Entry'!E797,"")</f>
        <v>0</v>
      </c>
      <c r="E796" s="46">
        <f>IF($A$1='Data Entry'!$C797,'Data Entry'!F797,"")</f>
        <v>0</v>
      </c>
      <c r="F796" s="46">
        <f>IF($A$1='Data Entry'!$C797,'Data Entry'!G797,"")</f>
        <v>0</v>
      </c>
      <c r="G796" s="46">
        <f>IF($A$1='Data Entry'!$C797,'Data Entry'!H797,"")</f>
        <v>0</v>
      </c>
      <c r="H796" s="46">
        <f>IF($A$1='Data Entry'!$C797,'Data Entry'!I797,"")</f>
        <v>0</v>
      </c>
      <c r="I796" s="46">
        <f>IF($A$1='Data Entry'!$C797,'Data Entry'!J797,"")</f>
        <v>0</v>
      </c>
      <c r="J796" s="46">
        <f>IF($A$1='Data Entry'!$C797,'Data Entry'!K797,"")</f>
        <v>0</v>
      </c>
      <c r="K796" s="46">
        <f>IF($A$1='Data Entry'!$C797,'Data Entry'!L797,"")</f>
        <v>0</v>
      </c>
      <c r="L796" s="46">
        <f>IF($A$1='Data Entry'!$C797,'Data Entry'!M797,"")</f>
        <v>0</v>
      </c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  <c r="AA796" s="43"/>
      <c r="AB796" s="43"/>
      <c r="AC796" s="43"/>
      <c r="AD796" s="43"/>
      <c r="AE796" s="43"/>
      <c r="AF796" s="43"/>
      <c r="AG796" s="43"/>
      <c r="AH796" s="43"/>
      <c r="AI796" s="43"/>
      <c r="AJ796" s="43"/>
    </row>
    <row r="797" spans="1:36" ht="15.95" customHeight="1" x14ac:dyDescent="0.2">
      <c r="A797" s="43"/>
      <c r="B797" s="45">
        <v>133</v>
      </c>
      <c r="C797" s="46">
        <f>IF($A$1='Data Entry'!$C798,'Data Entry'!D798,"")</f>
        <v>0</v>
      </c>
      <c r="D797" s="46">
        <f>IF($A$1='Data Entry'!$C798,'Data Entry'!E798,"")</f>
        <v>0</v>
      </c>
      <c r="E797" s="46">
        <f>IF($A$1='Data Entry'!$C798,'Data Entry'!F798,"")</f>
        <v>0</v>
      </c>
      <c r="F797" s="46">
        <f>IF($A$1='Data Entry'!$C798,'Data Entry'!G798,"")</f>
        <v>0</v>
      </c>
      <c r="G797" s="46">
        <f>IF($A$1='Data Entry'!$C798,'Data Entry'!H798,"")</f>
        <v>0</v>
      </c>
      <c r="H797" s="46">
        <f>IF($A$1='Data Entry'!$C798,'Data Entry'!I798,"")</f>
        <v>0</v>
      </c>
      <c r="I797" s="46">
        <f>IF($A$1='Data Entry'!$C798,'Data Entry'!J798,"")</f>
        <v>0</v>
      </c>
      <c r="J797" s="46">
        <f>IF($A$1='Data Entry'!$C798,'Data Entry'!K798,"")</f>
        <v>0</v>
      </c>
      <c r="K797" s="46">
        <f>IF($A$1='Data Entry'!$C798,'Data Entry'!L798,"")</f>
        <v>0</v>
      </c>
      <c r="L797" s="46">
        <f>IF($A$1='Data Entry'!$C798,'Data Entry'!M798,"")</f>
        <v>0</v>
      </c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  <c r="AA797" s="43"/>
      <c r="AB797" s="43"/>
      <c r="AC797" s="43"/>
      <c r="AD797" s="43"/>
      <c r="AE797" s="43"/>
      <c r="AF797" s="43"/>
      <c r="AG797" s="43"/>
      <c r="AH797" s="43"/>
      <c r="AI797" s="43"/>
      <c r="AJ797" s="43"/>
    </row>
    <row r="798" spans="1:36" ht="15.95" customHeight="1" x14ac:dyDescent="0.2">
      <c r="A798" s="43"/>
      <c r="B798" s="45">
        <v>133</v>
      </c>
      <c r="C798" s="46">
        <f>IF($A$1='Data Entry'!$C799,'Data Entry'!D799,"")</f>
        <v>0</v>
      </c>
      <c r="D798" s="46">
        <f>IF($A$1='Data Entry'!$C799,'Data Entry'!E799,"")</f>
        <v>0</v>
      </c>
      <c r="E798" s="46">
        <f>IF($A$1='Data Entry'!$C799,'Data Entry'!F799,"")</f>
        <v>0</v>
      </c>
      <c r="F798" s="46">
        <f>IF($A$1='Data Entry'!$C799,'Data Entry'!G799,"")</f>
        <v>0</v>
      </c>
      <c r="G798" s="46">
        <f>IF($A$1='Data Entry'!$C799,'Data Entry'!H799,"")</f>
        <v>0</v>
      </c>
      <c r="H798" s="46">
        <f>IF($A$1='Data Entry'!$C799,'Data Entry'!I799,"")</f>
        <v>0</v>
      </c>
      <c r="I798" s="46">
        <f>IF($A$1='Data Entry'!$C799,'Data Entry'!J799,"")</f>
        <v>0</v>
      </c>
      <c r="J798" s="46">
        <f>IF($A$1='Data Entry'!$C799,'Data Entry'!K799,"")</f>
        <v>0</v>
      </c>
      <c r="K798" s="46">
        <f>IF($A$1='Data Entry'!$C799,'Data Entry'!L799,"")</f>
        <v>0</v>
      </c>
      <c r="L798" s="46">
        <f>IF($A$1='Data Entry'!$C799,'Data Entry'!M799,"")</f>
        <v>0</v>
      </c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  <c r="AA798" s="43"/>
      <c r="AB798" s="43"/>
      <c r="AC798" s="43"/>
      <c r="AD798" s="43"/>
      <c r="AE798" s="43"/>
      <c r="AF798" s="43"/>
      <c r="AG798" s="43"/>
      <c r="AH798" s="43"/>
      <c r="AI798" s="43"/>
      <c r="AJ798" s="43"/>
    </row>
    <row r="799" spans="1:36" ht="15.95" customHeight="1" x14ac:dyDescent="0.2">
      <c r="A799" s="43"/>
      <c r="B799" s="45">
        <v>133</v>
      </c>
      <c r="C799" s="46">
        <f>IF($A$1='Data Entry'!$C800,'Data Entry'!D800,"")</f>
        <v>0</v>
      </c>
      <c r="D799" s="46">
        <f>IF($A$1='Data Entry'!$C800,'Data Entry'!E800,"")</f>
        <v>0</v>
      </c>
      <c r="E799" s="46">
        <f>IF($A$1='Data Entry'!$C800,'Data Entry'!F800,"")</f>
        <v>0</v>
      </c>
      <c r="F799" s="46">
        <f>IF($A$1='Data Entry'!$C800,'Data Entry'!G800,"")</f>
        <v>0</v>
      </c>
      <c r="G799" s="46">
        <f>IF($A$1='Data Entry'!$C800,'Data Entry'!H800,"")</f>
        <v>0</v>
      </c>
      <c r="H799" s="46">
        <f>IF($A$1='Data Entry'!$C800,'Data Entry'!I800,"")</f>
        <v>0</v>
      </c>
      <c r="I799" s="46">
        <f>IF($A$1='Data Entry'!$C800,'Data Entry'!J800,"")</f>
        <v>0</v>
      </c>
      <c r="J799" s="46">
        <f>IF($A$1='Data Entry'!$C800,'Data Entry'!K800,"")</f>
        <v>0</v>
      </c>
      <c r="K799" s="46">
        <f>IF($A$1='Data Entry'!$C800,'Data Entry'!L800,"")</f>
        <v>0</v>
      </c>
      <c r="L799" s="46">
        <f>IF($A$1='Data Entry'!$C800,'Data Entry'!M800,"")</f>
        <v>0</v>
      </c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  <c r="AA799" s="43"/>
      <c r="AB799" s="43"/>
      <c r="AC799" s="43"/>
      <c r="AD799" s="43"/>
      <c r="AE799" s="43"/>
      <c r="AF799" s="43"/>
      <c r="AG799" s="43"/>
      <c r="AH799" s="43"/>
      <c r="AI799" s="43"/>
      <c r="AJ799" s="43"/>
    </row>
    <row r="800" spans="1:36" ht="15.95" customHeight="1" x14ac:dyDescent="0.2">
      <c r="A800" s="43"/>
      <c r="B800" s="45">
        <v>133</v>
      </c>
      <c r="C800" s="46">
        <f>IF($A$1='Data Entry'!$C801,'Data Entry'!D801,"")</f>
        <v>0</v>
      </c>
      <c r="D800" s="46">
        <f>IF($A$1='Data Entry'!$C801,'Data Entry'!E801,"")</f>
        <v>0</v>
      </c>
      <c r="E800" s="46">
        <f>IF($A$1='Data Entry'!$C801,'Data Entry'!F801,"")</f>
        <v>0</v>
      </c>
      <c r="F800" s="46">
        <f>IF($A$1='Data Entry'!$C801,'Data Entry'!G801,"")</f>
        <v>0</v>
      </c>
      <c r="G800" s="46">
        <f>IF($A$1='Data Entry'!$C801,'Data Entry'!H801,"")</f>
        <v>0</v>
      </c>
      <c r="H800" s="46">
        <f>IF($A$1='Data Entry'!$C801,'Data Entry'!I801,"")</f>
        <v>0</v>
      </c>
      <c r="I800" s="46">
        <f>IF($A$1='Data Entry'!$C801,'Data Entry'!J801,"")</f>
        <v>0</v>
      </c>
      <c r="J800" s="46">
        <f>IF($A$1='Data Entry'!$C801,'Data Entry'!K801,"")</f>
        <v>0</v>
      </c>
      <c r="K800" s="46">
        <f>IF($A$1='Data Entry'!$C801,'Data Entry'!L801,"")</f>
        <v>0</v>
      </c>
      <c r="L800" s="46">
        <f>IF($A$1='Data Entry'!$C801,'Data Entry'!M801,"")</f>
        <v>0</v>
      </c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  <c r="AA800" s="43"/>
      <c r="AB800" s="43"/>
      <c r="AC800" s="43"/>
      <c r="AD800" s="43"/>
      <c r="AE800" s="43"/>
      <c r="AF800" s="43"/>
      <c r="AG800" s="43"/>
      <c r="AH800" s="43"/>
      <c r="AI800" s="43"/>
      <c r="AJ800" s="43"/>
    </row>
    <row r="801" spans="1:36" ht="15.95" customHeight="1" x14ac:dyDescent="0.2">
      <c r="A801" s="43"/>
      <c r="B801" s="45">
        <v>134</v>
      </c>
      <c r="C801" s="46">
        <f>IF($A$1='Data Entry'!$C802,'Data Entry'!D802,"")</f>
        <v>0</v>
      </c>
      <c r="D801" s="46">
        <f>IF($A$1='Data Entry'!$C802,'Data Entry'!E802,"")</f>
        <v>0</v>
      </c>
      <c r="E801" s="46">
        <f>IF($A$1='Data Entry'!$C802,'Data Entry'!F802,"")</f>
        <v>0</v>
      </c>
      <c r="F801" s="46">
        <f>IF($A$1='Data Entry'!$C802,'Data Entry'!G802,"")</f>
        <v>0</v>
      </c>
      <c r="G801" s="46">
        <f>IF($A$1='Data Entry'!$C802,'Data Entry'!H802,"")</f>
        <v>0</v>
      </c>
      <c r="H801" s="46">
        <f>IF($A$1='Data Entry'!$C802,'Data Entry'!I802,"")</f>
        <v>0</v>
      </c>
      <c r="I801" s="46">
        <f>IF($A$1='Data Entry'!$C802,'Data Entry'!J802,"")</f>
        <v>0</v>
      </c>
      <c r="J801" s="46">
        <f>IF($A$1='Data Entry'!$C802,'Data Entry'!K802,"")</f>
        <v>0</v>
      </c>
      <c r="K801" s="46">
        <f>IF($A$1='Data Entry'!$C802,'Data Entry'!L802,"")</f>
        <v>0</v>
      </c>
      <c r="L801" s="46">
        <f>IF($A$1='Data Entry'!$C802,'Data Entry'!M802,"")</f>
        <v>0</v>
      </c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  <c r="AA801" s="43"/>
      <c r="AB801" s="43"/>
      <c r="AC801" s="43"/>
      <c r="AD801" s="43"/>
      <c r="AE801" s="43"/>
      <c r="AF801" s="43"/>
      <c r="AG801" s="43"/>
      <c r="AH801" s="43"/>
      <c r="AI801" s="43"/>
      <c r="AJ801" s="43"/>
    </row>
    <row r="802" spans="1:36" ht="15.95" customHeight="1" x14ac:dyDescent="0.2">
      <c r="A802" s="43"/>
      <c r="B802" s="45">
        <v>134</v>
      </c>
      <c r="C802" s="46">
        <f>IF($A$1='Data Entry'!$C803,'Data Entry'!D803,"")</f>
        <v>0</v>
      </c>
      <c r="D802" s="46">
        <f>IF($A$1='Data Entry'!$C803,'Data Entry'!E803,"")</f>
        <v>0</v>
      </c>
      <c r="E802" s="46">
        <f>IF($A$1='Data Entry'!$C803,'Data Entry'!F803,"")</f>
        <v>0</v>
      </c>
      <c r="F802" s="46">
        <f>IF($A$1='Data Entry'!$C803,'Data Entry'!G803,"")</f>
        <v>0</v>
      </c>
      <c r="G802" s="46">
        <f>IF($A$1='Data Entry'!$C803,'Data Entry'!H803,"")</f>
        <v>0</v>
      </c>
      <c r="H802" s="46">
        <f>IF($A$1='Data Entry'!$C803,'Data Entry'!I803,"")</f>
        <v>0</v>
      </c>
      <c r="I802" s="46">
        <f>IF($A$1='Data Entry'!$C803,'Data Entry'!J803,"")</f>
        <v>0</v>
      </c>
      <c r="J802" s="46">
        <f>IF($A$1='Data Entry'!$C803,'Data Entry'!K803,"")</f>
        <v>0</v>
      </c>
      <c r="K802" s="46">
        <f>IF($A$1='Data Entry'!$C803,'Data Entry'!L803,"")</f>
        <v>0</v>
      </c>
      <c r="L802" s="46">
        <f>IF($A$1='Data Entry'!$C803,'Data Entry'!M803,"")</f>
        <v>0</v>
      </c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  <c r="AA802" s="43"/>
      <c r="AB802" s="43"/>
      <c r="AC802" s="43"/>
      <c r="AD802" s="43"/>
      <c r="AE802" s="43"/>
      <c r="AF802" s="43"/>
      <c r="AG802" s="43"/>
      <c r="AH802" s="43"/>
      <c r="AI802" s="43"/>
      <c r="AJ802" s="43"/>
    </row>
    <row r="803" spans="1:36" ht="15.95" customHeight="1" x14ac:dyDescent="0.2">
      <c r="A803" s="43"/>
      <c r="B803" s="45">
        <v>134</v>
      </c>
      <c r="C803" s="46">
        <f>IF($A$1='Data Entry'!$C804,'Data Entry'!D804,"")</f>
        <v>0</v>
      </c>
      <c r="D803" s="46">
        <f>IF($A$1='Data Entry'!$C804,'Data Entry'!E804,"")</f>
        <v>0</v>
      </c>
      <c r="E803" s="46">
        <f>IF($A$1='Data Entry'!$C804,'Data Entry'!F804,"")</f>
        <v>0</v>
      </c>
      <c r="F803" s="46">
        <f>IF($A$1='Data Entry'!$C804,'Data Entry'!G804,"")</f>
        <v>0</v>
      </c>
      <c r="G803" s="46">
        <f>IF($A$1='Data Entry'!$C804,'Data Entry'!H804,"")</f>
        <v>0</v>
      </c>
      <c r="H803" s="46">
        <f>IF($A$1='Data Entry'!$C804,'Data Entry'!I804,"")</f>
        <v>0</v>
      </c>
      <c r="I803" s="46">
        <f>IF($A$1='Data Entry'!$C804,'Data Entry'!J804,"")</f>
        <v>0</v>
      </c>
      <c r="J803" s="46">
        <f>IF($A$1='Data Entry'!$C804,'Data Entry'!K804,"")</f>
        <v>0</v>
      </c>
      <c r="K803" s="46">
        <f>IF($A$1='Data Entry'!$C804,'Data Entry'!L804,"")</f>
        <v>0</v>
      </c>
      <c r="L803" s="46">
        <f>IF($A$1='Data Entry'!$C804,'Data Entry'!M804,"")</f>
        <v>0</v>
      </c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  <c r="AA803" s="43"/>
      <c r="AB803" s="43"/>
      <c r="AC803" s="43"/>
      <c r="AD803" s="43"/>
      <c r="AE803" s="43"/>
      <c r="AF803" s="43"/>
      <c r="AG803" s="43"/>
      <c r="AH803" s="43"/>
      <c r="AI803" s="43"/>
      <c r="AJ803" s="43"/>
    </row>
    <row r="804" spans="1:36" ht="15.95" customHeight="1" x14ac:dyDescent="0.2">
      <c r="A804" s="43"/>
      <c r="B804" s="45">
        <v>134</v>
      </c>
      <c r="C804" s="46">
        <f>IF($A$1='Data Entry'!$C805,'Data Entry'!D805,"")</f>
        <v>0</v>
      </c>
      <c r="D804" s="46">
        <f>IF($A$1='Data Entry'!$C805,'Data Entry'!E805,"")</f>
        <v>0</v>
      </c>
      <c r="E804" s="46">
        <f>IF($A$1='Data Entry'!$C805,'Data Entry'!F805,"")</f>
        <v>0</v>
      </c>
      <c r="F804" s="46">
        <f>IF($A$1='Data Entry'!$C805,'Data Entry'!G805,"")</f>
        <v>0</v>
      </c>
      <c r="G804" s="46">
        <f>IF($A$1='Data Entry'!$C805,'Data Entry'!H805,"")</f>
        <v>0</v>
      </c>
      <c r="H804" s="46">
        <f>IF($A$1='Data Entry'!$C805,'Data Entry'!I805,"")</f>
        <v>0</v>
      </c>
      <c r="I804" s="46">
        <f>IF($A$1='Data Entry'!$C805,'Data Entry'!J805,"")</f>
        <v>0</v>
      </c>
      <c r="J804" s="46">
        <f>IF($A$1='Data Entry'!$C805,'Data Entry'!K805,"")</f>
        <v>0</v>
      </c>
      <c r="K804" s="46">
        <f>IF($A$1='Data Entry'!$C805,'Data Entry'!L805,"")</f>
        <v>0</v>
      </c>
      <c r="L804" s="46">
        <f>IF($A$1='Data Entry'!$C805,'Data Entry'!M805,"")</f>
        <v>0</v>
      </c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  <c r="AA804" s="43"/>
      <c r="AB804" s="43"/>
      <c r="AC804" s="43"/>
      <c r="AD804" s="43"/>
      <c r="AE804" s="43"/>
      <c r="AF804" s="43"/>
      <c r="AG804" s="43"/>
      <c r="AH804" s="43"/>
      <c r="AI804" s="43"/>
      <c r="AJ804" s="43"/>
    </row>
    <row r="805" spans="1:36" ht="15.95" customHeight="1" x14ac:dyDescent="0.2">
      <c r="A805" s="43"/>
      <c r="B805" s="45">
        <v>134</v>
      </c>
      <c r="C805" s="46">
        <f>IF($A$1='Data Entry'!$C806,'Data Entry'!D806,"")</f>
        <v>0</v>
      </c>
      <c r="D805" s="46">
        <f>IF($A$1='Data Entry'!$C806,'Data Entry'!E806,"")</f>
        <v>0</v>
      </c>
      <c r="E805" s="46">
        <f>IF($A$1='Data Entry'!$C806,'Data Entry'!F806,"")</f>
        <v>0</v>
      </c>
      <c r="F805" s="46">
        <f>IF($A$1='Data Entry'!$C806,'Data Entry'!G806,"")</f>
        <v>0</v>
      </c>
      <c r="G805" s="46">
        <f>IF($A$1='Data Entry'!$C806,'Data Entry'!H806,"")</f>
        <v>0</v>
      </c>
      <c r="H805" s="46">
        <f>IF($A$1='Data Entry'!$C806,'Data Entry'!I806,"")</f>
        <v>0</v>
      </c>
      <c r="I805" s="46">
        <f>IF($A$1='Data Entry'!$C806,'Data Entry'!J806,"")</f>
        <v>0</v>
      </c>
      <c r="J805" s="46">
        <f>IF($A$1='Data Entry'!$C806,'Data Entry'!K806,"")</f>
        <v>0</v>
      </c>
      <c r="K805" s="46">
        <f>IF($A$1='Data Entry'!$C806,'Data Entry'!L806,"")</f>
        <v>0</v>
      </c>
      <c r="L805" s="46">
        <f>IF($A$1='Data Entry'!$C806,'Data Entry'!M806,"")</f>
        <v>0</v>
      </c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  <c r="AA805" s="43"/>
      <c r="AB805" s="43"/>
      <c r="AC805" s="43"/>
      <c r="AD805" s="43"/>
      <c r="AE805" s="43"/>
      <c r="AF805" s="43"/>
      <c r="AG805" s="43"/>
      <c r="AH805" s="43"/>
      <c r="AI805" s="43"/>
      <c r="AJ805" s="43"/>
    </row>
    <row r="806" spans="1:36" ht="15.95" customHeight="1" x14ac:dyDescent="0.2">
      <c r="A806" s="43"/>
      <c r="B806" s="45">
        <v>134</v>
      </c>
      <c r="C806" s="46">
        <f>IF($A$1='Data Entry'!$C807,'Data Entry'!D807,"")</f>
        <v>0</v>
      </c>
      <c r="D806" s="46">
        <f>IF($A$1='Data Entry'!$C807,'Data Entry'!E807,"")</f>
        <v>0</v>
      </c>
      <c r="E806" s="46">
        <f>IF($A$1='Data Entry'!$C807,'Data Entry'!F807,"")</f>
        <v>0</v>
      </c>
      <c r="F806" s="46">
        <f>IF($A$1='Data Entry'!$C807,'Data Entry'!G807,"")</f>
        <v>0</v>
      </c>
      <c r="G806" s="46">
        <f>IF($A$1='Data Entry'!$C807,'Data Entry'!H807,"")</f>
        <v>0</v>
      </c>
      <c r="H806" s="46">
        <f>IF($A$1='Data Entry'!$C807,'Data Entry'!I807,"")</f>
        <v>0</v>
      </c>
      <c r="I806" s="46">
        <f>IF($A$1='Data Entry'!$C807,'Data Entry'!J807,"")</f>
        <v>0</v>
      </c>
      <c r="J806" s="46">
        <f>IF($A$1='Data Entry'!$C807,'Data Entry'!K807,"")</f>
        <v>0</v>
      </c>
      <c r="K806" s="46">
        <f>IF($A$1='Data Entry'!$C807,'Data Entry'!L807,"")</f>
        <v>0</v>
      </c>
      <c r="L806" s="46">
        <f>IF($A$1='Data Entry'!$C807,'Data Entry'!M807,"")</f>
        <v>0</v>
      </c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  <c r="AA806" s="43"/>
      <c r="AB806" s="43"/>
      <c r="AC806" s="43"/>
      <c r="AD806" s="43"/>
      <c r="AE806" s="43"/>
      <c r="AF806" s="43"/>
      <c r="AG806" s="43"/>
      <c r="AH806" s="43"/>
      <c r="AI806" s="43"/>
      <c r="AJ806" s="43"/>
    </row>
    <row r="807" spans="1:36" ht="15.95" customHeight="1" x14ac:dyDescent="0.2">
      <c r="A807" s="43"/>
      <c r="B807" s="45">
        <v>135</v>
      </c>
      <c r="C807" s="46">
        <f>IF($A$1='Data Entry'!$C808,'Data Entry'!D808,"")</f>
        <v>0</v>
      </c>
      <c r="D807" s="46">
        <f>IF($A$1='Data Entry'!$C808,'Data Entry'!E808,"")</f>
        <v>0</v>
      </c>
      <c r="E807" s="46">
        <f>IF($A$1='Data Entry'!$C808,'Data Entry'!F808,"")</f>
        <v>0</v>
      </c>
      <c r="F807" s="46">
        <f>IF($A$1='Data Entry'!$C808,'Data Entry'!G808,"")</f>
        <v>0</v>
      </c>
      <c r="G807" s="46">
        <f>IF($A$1='Data Entry'!$C808,'Data Entry'!H808,"")</f>
        <v>0</v>
      </c>
      <c r="H807" s="46">
        <f>IF($A$1='Data Entry'!$C808,'Data Entry'!I808,"")</f>
        <v>0</v>
      </c>
      <c r="I807" s="46">
        <f>IF($A$1='Data Entry'!$C808,'Data Entry'!J808,"")</f>
        <v>0</v>
      </c>
      <c r="J807" s="46">
        <f>IF($A$1='Data Entry'!$C808,'Data Entry'!K808,"")</f>
        <v>0</v>
      </c>
      <c r="K807" s="46">
        <f>IF($A$1='Data Entry'!$C808,'Data Entry'!L808,"")</f>
        <v>0</v>
      </c>
      <c r="L807" s="46">
        <f>IF($A$1='Data Entry'!$C808,'Data Entry'!M808,"")</f>
        <v>0</v>
      </c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  <c r="AA807" s="43"/>
      <c r="AB807" s="43"/>
      <c r="AC807" s="43"/>
      <c r="AD807" s="43"/>
      <c r="AE807" s="43"/>
      <c r="AF807" s="43"/>
      <c r="AG807" s="43"/>
      <c r="AH807" s="43"/>
      <c r="AI807" s="43"/>
      <c r="AJ807" s="43"/>
    </row>
    <row r="808" spans="1:36" ht="15.95" customHeight="1" x14ac:dyDescent="0.2">
      <c r="A808" s="43"/>
      <c r="B808" s="45">
        <v>135</v>
      </c>
      <c r="C808" s="46">
        <f>IF($A$1='Data Entry'!$C809,'Data Entry'!D809,"")</f>
        <v>0</v>
      </c>
      <c r="D808" s="46">
        <f>IF($A$1='Data Entry'!$C809,'Data Entry'!E809,"")</f>
        <v>0</v>
      </c>
      <c r="E808" s="46">
        <f>IF($A$1='Data Entry'!$C809,'Data Entry'!F809,"")</f>
        <v>0</v>
      </c>
      <c r="F808" s="46">
        <f>IF($A$1='Data Entry'!$C809,'Data Entry'!G809,"")</f>
        <v>0</v>
      </c>
      <c r="G808" s="46">
        <f>IF($A$1='Data Entry'!$C809,'Data Entry'!H809,"")</f>
        <v>0</v>
      </c>
      <c r="H808" s="46">
        <f>IF($A$1='Data Entry'!$C809,'Data Entry'!I809,"")</f>
        <v>0</v>
      </c>
      <c r="I808" s="46">
        <f>IF($A$1='Data Entry'!$C809,'Data Entry'!J809,"")</f>
        <v>0</v>
      </c>
      <c r="J808" s="46">
        <f>IF($A$1='Data Entry'!$C809,'Data Entry'!K809,"")</f>
        <v>0</v>
      </c>
      <c r="K808" s="46">
        <f>IF($A$1='Data Entry'!$C809,'Data Entry'!L809,"")</f>
        <v>0</v>
      </c>
      <c r="L808" s="46">
        <f>IF($A$1='Data Entry'!$C809,'Data Entry'!M809,"")</f>
        <v>0</v>
      </c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  <c r="AA808" s="43"/>
      <c r="AB808" s="43"/>
      <c r="AC808" s="43"/>
      <c r="AD808" s="43"/>
      <c r="AE808" s="43"/>
      <c r="AF808" s="43"/>
      <c r="AG808" s="43"/>
      <c r="AH808" s="43"/>
      <c r="AI808" s="43"/>
      <c r="AJ808" s="43"/>
    </row>
    <row r="809" spans="1:36" ht="15.95" customHeight="1" x14ac:dyDescent="0.2">
      <c r="A809" s="43"/>
      <c r="B809" s="45">
        <v>135</v>
      </c>
      <c r="C809" s="46">
        <f>IF($A$1='Data Entry'!$C810,'Data Entry'!D810,"")</f>
        <v>0</v>
      </c>
      <c r="D809" s="46">
        <f>IF($A$1='Data Entry'!$C810,'Data Entry'!E810,"")</f>
        <v>0</v>
      </c>
      <c r="E809" s="46">
        <f>IF($A$1='Data Entry'!$C810,'Data Entry'!F810,"")</f>
        <v>0</v>
      </c>
      <c r="F809" s="46">
        <f>IF($A$1='Data Entry'!$C810,'Data Entry'!G810,"")</f>
        <v>0</v>
      </c>
      <c r="G809" s="46">
        <f>IF($A$1='Data Entry'!$C810,'Data Entry'!H810,"")</f>
        <v>0</v>
      </c>
      <c r="H809" s="46">
        <f>IF($A$1='Data Entry'!$C810,'Data Entry'!I810,"")</f>
        <v>0</v>
      </c>
      <c r="I809" s="46">
        <f>IF($A$1='Data Entry'!$C810,'Data Entry'!J810,"")</f>
        <v>0</v>
      </c>
      <c r="J809" s="46">
        <f>IF($A$1='Data Entry'!$C810,'Data Entry'!K810,"")</f>
        <v>0</v>
      </c>
      <c r="K809" s="46">
        <f>IF($A$1='Data Entry'!$C810,'Data Entry'!L810,"")</f>
        <v>0</v>
      </c>
      <c r="L809" s="46">
        <f>IF($A$1='Data Entry'!$C810,'Data Entry'!M810,"")</f>
        <v>0</v>
      </c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  <c r="AA809" s="43"/>
      <c r="AB809" s="43"/>
      <c r="AC809" s="43"/>
      <c r="AD809" s="43"/>
      <c r="AE809" s="43"/>
      <c r="AF809" s="43"/>
      <c r="AG809" s="43"/>
      <c r="AH809" s="43"/>
      <c r="AI809" s="43"/>
      <c r="AJ809" s="43"/>
    </row>
    <row r="810" spans="1:36" ht="15.95" customHeight="1" x14ac:dyDescent="0.2">
      <c r="A810" s="43"/>
      <c r="B810" s="45">
        <v>135</v>
      </c>
      <c r="C810" s="46">
        <f>IF($A$1='Data Entry'!$C811,'Data Entry'!D811,"")</f>
        <v>0</v>
      </c>
      <c r="D810" s="46">
        <f>IF($A$1='Data Entry'!$C811,'Data Entry'!E811,"")</f>
        <v>0</v>
      </c>
      <c r="E810" s="46">
        <f>IF($A$1='Data Entry'!$C811,'Data Entry'!F811,"")</f>
        <v>0</v>
      </c>
      <c r="F810" s="46">
        <f>IF($A$1='Data Entry'!$C811,'Data Entry'!G811,"")</f>
        <v>0</v>
      </c>
      <c r="G810" s="46">
        <f>IF($A$1='Data Entry'!$C811,'Data Entry'!H811,"")</f>
        <v>0</v>
      </c>
      <c r="H810" s="46">
        <f>IF($A$1='Data Entry'!$C811,'Data Entry'!I811,"")</f>
        <v>0</v>
      </c>
      <c r="I810" s="46">
        <f>IF($A$1='Data Entry'!$C811,'Data Entry'!J811,"")</f>
        <v>0</v>
      </c>
      <c r="J810" s="46">
        <f>IF($A$1='Data Entry'!$C811,'Data Entry'!K811,"")</f>
        <v>0</v>
      </c>
      <c r="K810" s="46">
        <f>IF($A$1='Data Entry'!$C811,'Data Entry'!L811,"")</f>
        <v>0</v>
      </c>
      <c r="L810" s="46">
        <f>IF($A$1='Data Entry'!$C811,'Data Entry'!M811,"")</f>
        <v>0</v>
      </c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  <c r="AA810" s="43"/>
      <c r="AB810" s="43"/>
      <c r="AC810" s="43"/>
      <c r="AD810" s="43"/>
      <c r="AE810" s="43"/>
      <c r="AF810" s="43"/>
      <c r="AG810" s="43"/>
      <c r="AH810" s="43"/>
      <c r="AI810" s="43"/>
      <c r="AJ810" s="43"/>
    </row>
    <row r="811" spans="1:36" ht="15.95" customHeight="1" x14ac:dyDescent="0.2">
      <c r="A811" s="43"/>
      <c r="B811" s="45">
        <v>135</v>
      </c>
      <c r="C811" s="46">
        <f>IF($A$1='Data Entry'!$C812,'Data Entry'!D812,"")</f>
        <v>0</v>
      </c>
      <c r="D811" s="46">
        <f>IF($A$1='Data Entry'!$C812,'Data Entry'!E812,"")</f>
        <v>0</v>
      </c>
      <c r="E811" s="46">
        <f>IF($A$1='Data Entry'!$C812,'Data Entry'!F812,"")</f>
        <v>0</v>
      </c>
      <c r="F811" s="46">
        <f>IF($A$1='Data Entry'!$C812,'Data Entry'!G812,"")</f>
        <v>0</v>
      </c>
      <c r="G811" s="46">
        <f>IF($A$1='Data Entry'!$C812,'Data Entry'!H812,"")</f>
        <v>0</v>
      </c>
      <c r="H811" s="46">
        <f>IF($A$1='Data Entry'!$C812,'Data Entry'!I812,"")</f>
        <v>0</v>
      </c>
      <c r="I811" s="46">
        <f>IF($A$1='Data Entry'!$C812,'Data Entry'!J812,"")</f>
        <v>0</v>
      </c>
      <c r="J811" s="46">
        <f>IF($A$1='Data Entry'!$C812,'Data Entry'!K812,"")</f>
        <v>0</v>
      </c>
      <c r="K811" s="46">
        <f>IF($A$1='Data Entry'!$C812,'Data Entry'!L812,"")</f>
        <v>0</v>
      </c>
      <c r="L811" s="46">
        <f>IF($A$1='Data Entry'!$C812,'Data Entry'!M812,"")</f>
        <v>0</v>
      </c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  <c r="AA811" s="43"/>
      <c r="AB811" s="43"/>
      <c r="AC811" s="43"/>
      <c r="AD811" s="43"/>
      <c r="AE811" s="43"/>
      <c r="AF811" s="43"/>
      <c r="AG811" s="43"/>
      <c r="AH811" s="43"/>
      <c r="AI811" s="43"/>
      <c r="AJ811" s="43"/>
    </row>
    <row r="812" spans="1:36" ht="15.95" customHeight="1" x14ac:dyDescent="0.2">
      <c r="A812" s="43"/>
      <c r="B812" s="45">
        <v>135</v>
      </c>
      <c r="C812" s="46">
        <f>IF($A$1='Data Entry'!$C813,'Data Entry'!D813,"")</f>
        <v>0</v>
      </c>
      <c r="D812" s="46">
        <f>IF($A$1='Data Entry'!$C813,'Data Entry'!E813,"")</f>
        <v>0</v>
      </c>
      <c r="E812" s="46">
        <f>IF($A$1='Data Entry'!$C813,'Data Entry'!F813,"")</f>
        <v>0</v>
      </c>
      <c r="F812" s="46">
        <f>IF($A$1='Data Entry'!$C813,'Data Entry'!G813,"")</f>
        <v>0</v>
      </c>
      <c r="G812" s="46">
        <f>IF($A$1='Data Entry'!$C813,'Data Entry'!H813,"")</f>
        <v>0</v>
      </c>
      <c r="H812" s="46">
        <f>IF($A$1='Data Entry'!$C813,'Data Entry'!I813,"")</f>
        <v>0</v>
      </c>
      <c r="I812" s="46">
        <f>IF($A$1='Data Entry'!$C813,'Data Entry'!J813,"")</f>
        <v>0</v>
      </c>
      <c r="J812" s="46">
        <f>IF($A$1='Data Entry'!$C813,'Data Entry'!K813,"")</f>
        <v>0</v>
      </c>
      <c r="K812" s="46">
        <f>IF($A$1='Data Entry'!$C813,'Data Entry'!L813,"")</f>
        <v>0</v>
      </c>
      <c r="L812" s="46">
        <f>IF($A$1='Data Entry'!$C813,'Data Entry'!M813,"")</f>
        <v>0</v>
      </c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  <c r="AA812" s="43"/>
      <c r="AB812" s="43"/>
      <c r="AC812" s="43"/>
      <c r="AD812" s="43"/>
      <c r="AE812" s="43"/>
      <c r="AF812" s="43"/>
      <c r="AG812" s="43"/>
      <c r="AH812" s="43"/>
      <c r="AI812" s="43"/>
      <c r="AJ812" s="43"/>
    </row>
    <row r="813" spans="1:36" ht="15.95" customHeight="1" x14ac:dyDescent="0.2">
      <c r="A813" s="43"/>
      <c r="B813" s="45">
        <v>136</v>
      </c>
      <c r="C813" s="46">
        <f>IF($A$1='Data Entry'!$C814,'Data Entry'!D814,"")</f>
        <v>0</v>
      </c>
      <c r="D813" s="46">
        <f>IF($A$1='Data Entry'!$C814,'Data Entry'!E814,"")</f>
        <v>0</v>
      </c>
      <c r="E813" s="46">
        <f>IF($A$1='Data Entry'!$C814,'Data Entry'!F814,"")</f>
        <v>0</v>
      </c>
      <c r="F813" s="46">
        <f>IF($A$1='Data Entry'!$C814,'Data Entry'!G814,"")</f>
        <v>0</v>
      </c>
      <c r="G813" s="46">
        <f>IF($A$1='Data Entry'!$C814,'Data Entry'!H814,"")</f>
        <v>0</v>
      </c>
      <c r="H813" s="46">
        <f>IF($A$1='Data Entry'!$C814,'Data Entry'!I814,"")</f>
        <v>0</v>
      </c>
      <c r="I813" s="46">
        <f>IF($A$1='Data Entry'!$C814,'Data Entry'!J814,"")</f>
        <v>0</v>
      </c>
      <c r="J813" s="46">
        <f>IF($A$1='Data Entry'!$C814,'Data Entry'!K814,"")</f>
        <v>0</v>
      </c>
      <c r="K813" s="46">
        <f>IF($A$1='Data Entry'!$C814,'Data Entry'!L814,"")</f>
        <v>0</v>
      </c>
      <c r="L813" s="46">
        <f>IF($A$1='Data Entry'!$C814,'Data Entry'!M814,"")</f>
        <v>0</v>
      </c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  <c r="AA813" s="43"/>
      <c r="AB813" s="43"/>
      <c r="AC813" s="43"/>
      <c r="AD813" s="43"/>
      <c r="AE813" s="43"/>
      <c r="AF813" s="43"/>
      <c r="AG813" s="43"/>
      <c r="AH813" s="43"/>
      <c r="AI813" s="43"/>
      <c r="AJ813" s="43"/>
    </row>
    <row r="814" spans="1:36" ht="15.95" customHeight="1" x14ac:dyDescent="0.2">
      <c r="A814" s="43"/>
      <c r="B814" s="45">
        <v>136</v>
      </c>
      <c r="C814" s="46">
        <f>IF($A$1='Data Entry'!$C815,'Data Entry'!D815,"")</f>
        <v>0</v>
      </c>
      <c r="D814" s="46">
        <f>IF($A$1='Data Entry'!$C815,'Data Entry'!E815,"")</f>
        <v>0</v>
      </c>
      <c r="E814" s="46">
        <f>IF($A$1='Data Entry'!$C815,'Data Entry'!F815,"")</f>
        <v>0</v>
      </c>
      <c r="F814" s="46">
        <f>IF($A$1='Data Entry'!$C815,'Data Entry'!G815,"")</f>
        <v>0</v>
      </c>
      <c r="G814" s="46">
        <f>IF($A$1='Data Entry'!$C815,'Data Entry'!H815,"")</f>
        <v>0</v>
      </c>
      <c r="H814" s="46">
        <f>IF($A$1='Data Entry'!$C815,'Data Entry'!I815,"")</f>
        <v>0</v>
      </c>
      <c r="I814" s="46">
        <f>IF($A$1='Data Entry'!$C815,'Data Entry'!J815,"")</f>
        <v>0</v>
      </c>
      <c r="J814" s="46">
        <f>IF($A$1='Data Entry'!$C815,'Data Entry'!K815,"")</f>
        <v>0</v>
      </c>
      <c r="K814" s="46">
        <f>IF($A$1='Data Entry'!$C815,'Data Entry'!L815,"")</f>
        <v>0</v>
      </c>
      <c r="L814" s="46">
        <f>IF($A$1='Data Entry'!$C815,'Data Entry'!M815,"")</f>
        <v>0</v>
      </c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  <c r="AA814" s="43"/>
      <c r="AB814" s="43"/>
      <c r="AC814" s="43"/>
      <c r="AD814" s="43"/>
      <c r="AE814" s="43"/>
      <c r="AF814" s="43"/>
      <c r="AG814" s="43"/>
      <c r="AH814" s="43"/>
      <c r="AI814" s="43"/>
      <c r="AJ814" s="43"/>
    </row>
    <row r="815" spans="1:36" ht="15.95" customHeight="1" x14ac:dyDescent="0.2">
      <c r="A815" s="43"/>
      <c r="B815" s="45">
        <v>136</v>
      </c>
      <c r="C815" s="46">
        <f>IF($A$1='Data Entry'!$C816,'Data Entry'!D816,"")</f>
        <v>0</v>
      </c>
      <c r="D815" s="46">
        <f>IF($A$1='Data Entry'!$C816,'Data Entry'!E816,"")</f>
        <v>0</v>
      </c>
      <c r="E815" s="46">
        <f>IF($A$1='Data Entry'!$C816,'Data Entry'!F816,"")</f>
        <v>0</v>
      </c>
      <c r="F815" s="46">
        <f>IF($A$1='Data Entry'!$C816,'Data Entry'!G816,"")</f>
        <v>0</v>
      </c>
      <c r="G815" s="46">
        <f>IF($A$1='Data Entry'!$C816,'Data Entry'!H816,"")</f>
        <v>0</v>
      </c>
      <c r="H815" s="46">
        <f>IF($A$1='Data Entry'!$C816,'Data Entry'!I816,"")</f>
        <v>0</v>
      </c>
      <c r="I815" s="46">
        <f>IF($A$1='Data Entry'!$C816,'Data Entry'!J816,"")</f>
        <v>0</v>
      </c>
      <c r="J815" s="46">
        <f>IF($A$1='Data Entry'!$C816,'Data Entry'!K816,"")</f>
        <v>0</v>
      </c>
      <c r="K815" s="46">
        <f>IF($A$1='Data Entry'!$C816,'Data Entry'!L816,"")</f>
        <v>0</v>
      </c>
      <c r="L815" s="46">
        <f>IF($A$1='Data Entry'!$C816,'Data Entry'!M816,"")</f>
        <v>0</v>
      </c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  <c r="AA815" s="43"/>
      <c r="AB815" s="43"/>
      <c r="AC815" s="43"/>
      <c r="AD815" s="43"/>
      <c r="AE815" s="43"/>
      <c r="AF815" s="43"/>
      <c r="AG815" s="43"/>
      <c r="AH815" s="43"/>
      <c r="AI815" s="43"/>
      <c r="AJ815" s="43"/>
    </row>
    <row r="816" spans="1:36" ht="15.95" customHeight="1" x14ac:dyDescent="0.2">
      <c r="A816" s="43"/>
      <c r="B816" s="45">
        <v>136</v>
      </c>
      <c r="C816" s="46">
        <f>IF($A$1='Data Entry'!$C817,'Data Entry'!D817,"")</f>
        <v>0</v>
      </c>
      <c r="D816" s="46">
        <f>IF($A$1='Data Entry'!$C817,'Data Entry'!E817,"")</f>
        <v>0</v>
      </c>
      <c r="E816" s="46">
        <f>IF($A$1='Data Entry'!$C817,'Data Entry'!F817,"")</f>
        <v>0</v>
      </c>
      <c r="F816" s="46">
        <f>IF($A$1='Data Entry'!$C817,'Data Entry'!G817,"")</f>
        <v>0</v>
      </c>
      <c r="G816" s="46">
        <f>IF($A$1='Data Entry'!$C817,'Data Entry'!H817,"")</f>
        <v>0</v>
      </c>
      <c r="H816" s="46">
        <f>IF($A$1='Data Entry'!$C817,'Data Entry'!I817,"")</f>
        <v>0</v>
      </c>
      <c r="I816" s="46">
        <f>IF($A$1='Data Entry'!$C817,'Data Entry'!J817,"")</f>
        <v>0</v>
      </c>
      <c r="J816" s="46">
        <f>IF($A$1='Data Entry'!$C817,'Data Entry'!K817,"")</f>
        <v>0</v>
      </c>
      <c r="K816" s="46">
        <f>IF($A$1='Data Entry'!$C817,'Data Entry'!L817,"")</f>
        <v>0</v>
      </c>
      <c r="L816" s="46">
        <f>IF($A$1='Data Entry'!$C817,'Data Entry'!M817,"")</f>
        <v>0</v>
      </c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  <c r="AA816" s="43"/>
      <c r="AB816" s="43"/>
      <c r="AC816" s="43"/>
      <c r="AD816" s="43"/>
      <c r="AE816" s="43"/>
      <c r="AF816" s="43"/>
      <c r="AG816" s="43"/>
      <c r="AH816" s="43"/>
      <c r="AI816" s="43"/>
      <c r="AJ816" s="43"/>
    </row>
    <row r="817" spans="1:36" ht="15.95" customHeight="1" x14ac:dyDescent="0.2">
      <c r="A817" s="43"/>
      <c r="B817" s="45">
        <v>136</v>
      </c>
      <c r="C817" s="46">
        <f>IF($A$1='Data Entry'!$C818,'Data Entry'!D818,"")</f>
        <v>0</v>
      </c>
      <c r="D817" s="46">
        <f>IF($A$1='Data Entry'!$C818,'Data Entry'!E818,"")</f>
        <v>0</v>
      </c>
      <c r="E817" s="46">
        <f>IF($A$1='Data Entry'!$C818,'Data Entry'!F818,"")</f>
        <v>0</v>
      </c>
      <c r="F817" s="46">
        <f>IF($A$1='Data Entry'!$C818,'Data Entry'!G818,"")</f>
        <v>0</v>
      </c>
      <c r="G817" s="46">
        <f>IF($A$1='Data Entry'!$C818,'Data Entry'!H818,"")</f>
        <v>0</v>
      </c>
      <c r="H817" s="46">
        <f>IF($A$1='Data Entry'!$C818,'Data Entry'!I818,"")</f>
        <v>0</v>
      </c>
      <c r="I817" s="46">
        <f>IF($A$1='Data Entry'!$C818,'Data Entry'!J818,"")</f>
        <v>0</v>
      </c>
      <c r="J817" s="46">
        <f>IF($A$1='Data Entry'!$C818,'Data Entry'!K818,"")</f>
        <v>0</v>
      </c>
      <c r="K817" s="46">
        <f>IF($A$1='Data Entry'!$C818,'Data Entry'!L818,"")</f>
        <v>0</v>
      </c>
      <c r="L817" s="46">
        <f>IF($A$1='Data Entry'!$C818,'Data Entry'!M818,"")</f>
        <v>0</v>
      </c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  <c r="AA817" s="43"/>
      <c r="AB817" s="43"/>
      <c r="AC817" s="43"/>
      <c r="AD817" s="43"/>
      <c r="AE817" s="43"/>
      <c r="AF817" s="43"/>
      <c r="AG817" s="43"/>
      <c r="AH817" s="43"/>
      <c r="AI817" s="43"/>
      <c r="AJ817" s="43"/>
    </row>
    <row r="818" spans="1:36" ht="15.95" customHeight="1" x14ac:dyDescent="0.2">
      <c r="A818" s="43"/>
      <c r="B818" s="45">
        <v>136</v>
      </c>
      <c r="C818" s="46">
        <f>IF($A$1='Data Entry'!$C819,'Data Entry'!D819,"")</f>
        <v>0</v>
      </c>
      <c r="D818" s="46">
        <f>IF($A$1='Data Entry'!$C819,'Data Entry'!E819,"")</f>
        <v>0</v>
      </c>
      <c r="E818" s="46">
        <f>IF($A$1='Data Entry'!$C819,'Data Entry'!F819,"")</f>
        <v>0</v>
      </c>
      <c r="F818" s="46">
        <f>IF($A$1='Data Entry'!$C819,'Data Entry'!G819,"")</f>
        <v>0</v>
      </c>
      <c r="G818" s="46">
        <f>IF($A$1='Data Entry'!$C819,'Data Entry'!H819,"")</f>
        <v>0</v>
      </c>
      <c r="H818" s="46">
        <f>IF($A$1='Data Entry'!$C819,'Data Entry'!I819,"")</f>
        <v>0</v>
      </c>
      <c r="I818" s="46">
        <f>IF($A$1='Data Entry'!$C819,'Data Entry'!J819,"")</f>
        <v>0</v>
      </c>
      <c r="J818" s="46">
        <f>IF($A$1='Data Entry'!$C819,'Data Entry'!K819,"")</f>
        <v>0</v>
      </c>
      <c r="K818" s="46">
        <f>IF($A$1='Data Entry'!$C819,'Data Entry'!L819,"")</f>
        <v>0</v>
      </c>
      <c r="L818" s="46">
        <f>IF($A$1='Data Entry'!$C819,'Data Entry'!M819,"")</f>
        <v>0</v>
      </c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  <c r="AA818" s="43"/>
      <c r="AB818" s="43"/>
      <c r="AC818" s="43"/>
      <c r="AD818" s="43"/>
      <c r="AE818" s="43"/>
      <c r="AF818" s="43"/>
      <c r="AG818" s="43"/>
      <c r="AH818" s="43"/>
      <c r="AI818" s="43"/>
      <c r="AJ818" s="43"/>
    </row>
    <row r="819" spans="1:36" ht="15.95" customHeight="1" x14ac:dyDescent="0.2">
      <c r="A819" s="43"/>
      <c r="B819" s="45">
        <v>137</v>
      </c>
      <c r="C819" s="46">
        <f>IF($A$1='Data Entry'!$C820,'Data Entry'!D820,"")</f>
        <v>0</v>
      </c>
      <c r="D819" s="46">
        <f>IF($A$1='Data Entry'!$C820,'Data Entry'!E820,"")</f>
        <v>0</v>
      </c>
      <c r="E819" s="46">
        <f>IF($A$1='Data Entry'!$C820,'Data Entry'!F820,"")</f>
        <v>0</v>
      </c>
      <c r="F819" s="46">
        <f>IF($A$1='Data Entry'!$C820,'Data Entry'!G820,"")</f>
        <v>0</v>
      </c>
      <c r="G819" s="46">
        <f>IF($A$1='Data Entry'!$C820,'Data Entry'!H820,"")</f>
        <v>0</v>
      </c>
      <c r="H819" s="46">
        <f>IF($A$1='Data Entry'!$C820,'Data Entry'!I820,"")</f>
        <v>0</v>
      </c>
      <c r="I819" s="46">
        <f>IF($A$1='Data Entry'!$C820,'Data Entry'!J820,"")</f>
        <v>0</v>
      </c>
      <c r="J819" s="46">
        <f>IF($A$1='Data Entry'!$C820,'Data Entry'!K820,"")</f>
        <v>0</v>
      </c>
      <c r="K819" s="46">
        <f>IF($A$1='Data Entry'!$C820,'Data Entry'!L820,"")</f>
        <v>0</v>
      </c>
      <c r="L819" s="46">
        <f>IF($A$1='Data Entry'!$C820,'Data Entry'!M820,"")</f>
        <v>0</v>
      </c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  <c r="AA819" s="43"/>
      <c r="AB819" s="43"/>
      <c r="AC819" s="43"/>
      <c r="AD819" s="43"/>
      <c r="AE819" s="43"/>
      <c r="AF819" s="43"/>
      <c r="AG819" s="43"/>
      <c r="AH819" s="43"/>
      <c r="AI819" s="43"/>
      <c r="AJ819" s="43"/>
    </row>
    <row r="820" spans="1:36" ht="15.95" customHeight="1" x14ac:dyDescent="0.2">
      <c r="A820" s="43"/>
      <c r="B820" s="45">
        <v>137</v>
      </c>
      <c r="C820" s="46">
        <f>IF($A$1='Data Entry'!$C821,'Data Entry'!D821,"")</f>
        <v>0</v>
      </c>
      <c r="D820" s="46">
        <f>IF($A$1='Data Entry'!$C821,'Data Entry'!E821,"")</f>
        <v>0</v>
      </c>
      <c r="E820" s="46">
        <f>IF($A$1='Data Entry'!$C821,'Data Entry'!F821,"")</f>
        <v>0</v>
      </c>
      <c r="F820" s="46">
        <f>IF($A$1='Data Entry'!$C821,'Data Entry'!G821,"")</f>
        <v>0</v>
      </c>
      <c r="G820" s="46">
        <f>IF($A$1='Data Entry'!$C821,'Data Entry'!H821,"")</f>
        <v>0</v>
      </c>
      <c r="H820" s="46">
        <f>IF($A$1='Data Entry'!$C821,'Data Entry'!I821,"")</f>
        <v>0</v>
      </c>
      <c r="I820" s="46">
        <f>IF($A$1='Data Entry'!$C821,'Data Entry'!J821,"")</f>
        <v>0</v>
      </c>
      <c r="J820" s="46">
        <f>IF($A$1='Data Entry'!$C821,'Data Entry'!K821,"")</f>
        <v>0</v>
      </c>
      <c r="K820" s="46">
        <f>IF($A$1='Data Entry'!$C821,'Data Entry'!L821,"")</f>
        <v>0</v>
      </c>
      <c r="L820" s="46">
        <f>IF($A$1='Data Entry'!$C821,'Data Entry'!M821,"")</f>
        <v>0</v>
      </c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  <c r="AA820" s="43"/>
      <c r="AB820" s="43"/>
      <c r="AC820" s="43"/>
      <c r="AD820" s="43"/>
      <c r="AE820" s="43"/>
      <c r="AF820" s="43"/>
      <c r="AG820" s="43"/>
      <c r="AH820" s="43"/>
      <c r="AI820" s="43"/>
      <c r="AJ820" s="43"/>
    </row>
    <row r="821" spans="1:36" ht="15.95" customHeight="1" x14ac:dyDescent="0.2">
      <c r="A821" s="43"/>
      <c r="B821" s="45">
        <v>137</v>
      </c>
      <c r="C821" s="46">
        <f>IF($A$1='Data Entry'!$C822,'Data Entry'!D822,"")</f>
        <v>0</v>
      </c>
      <c r="D821" s="46">
        <f>IF($A$1='Data Entry'!$C822,'Data Entry'!E822,"")</f>
        <v>0</v>
      </c>
      <c r="E821" s="46">
        <f>IF($A$1='Data Entry'!$C822,'Data Entry'!F822,"")</f>
        <v>0</v>
      </c>
      <c r="F821" s="46">
        <f>IF($A$1='Data Entry'!$C822,'Data Entry'!G822,"")</f>
        <v>0</v>
      </c>
      <c r="G821" s="46">
        <f>IF($A$1='Data Entry'!$C822,'Data Entry'!H822,"")</f>
        <v>0</v>
      </c>
      <c r="H821" s="46">
        <f>IF($A$1='Data Entry'!$C822,'Data Entry'!I822,"")</f>
        <v>0</v>
      </c>
      <c r="I821" s="46">
        <f>IF($A$1='Data Entry'!$C822,'Data Entry'!J822,"")</f>
        <v>0</v>
      </c>
      <c r="J821" s="46">
        <f>IF($A$1='Data Entry'!$C822,'Data Entry'!K822,"")</f>
        <v>0</v>
      </c>
      <c r="K821" s="46">
        <f>IF($A$1='Data Entry'!$C822,'Data Entry'!L822,"")</f>
        <v>0</v>
      </c>
      <c r="L821" s="46">
        <f>IF($A$1='Data Entry'!$C822,'Data Entry'!M822,"")</f>
        <v>0</v>
      </c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  <c r="AA821" s="43"/>
      <c r="AB821" s="43"/>
      <c r="AC821" s="43"/>
      <c r="AD821" s="43"/>
      <c r="AE821" s="43"/>
      <c r="AF821" s="43"/>
      <c r="AG821" s="43"/>
      <c r="AH821" s="43"/>
      <c r="AI821" s="43"/>
      <c r="AJ821" s="43"/>
    </row>
    <row r="822" spans="1:36" ht="15.95" customHeight="1" x14ac:dyDescent="0.2">
      <c r="A822" s="43"/>
      <c r="B822" s="45">
        <v>137</v>
      </c>
      <c r="C822" s="46">
        <f>IF($A$1='Data Entry'!$C823,'Data Entry'!D823,"")</f>
        <v>0</v>
      </c>
      <c r="D822" s="46">
        <f>IF($A$1='Data Entry'!$C823,'Data Entry'!E823,"")</f>
        <v>0</v>
      </c>
      <c r="E822" s="46">
        <f>IF($A$1='Data Entry'!$C823,'Data Entry'!F823,"")</f>
        <v>0</v>
      </c>
      <c r="F822" s="46">
        <f>IF($A$1='Data Entry'!$C823,'Data Entry'!G823,"")</f>
        <v>0</v>
      </c>
      <c r="G822" s="46">
        <f>IF($A$1='Data Entry'!$C823,'Data Entry'!H823,"")</f>
        <v>0</v>
      </c>
      <c r="H822" s="46">
        <f>IF($A$1='Data Entry'!$C823,'Data Entry'!I823,"")</f>
        <v>0</v>
      </c>
      <c r="I822" s="46">
        <f>IF($A$1='Data Entry'!$C823,'Data Entry'!J823,"")</f>
        <v>0</v>
      </c>
      <c r="J822" s="46">
        <f>IF($A$1='Data Entry'!$C823,'Data Entry'!K823,"")</f>
        <v>0</v>
      </c>
      <c r="K822" s="46">
        <f>IF($A$1='Data Entry'!$C823,'Data Entry'!L823,"")</f>
        <v>0</v>
      </c>
      <c r="L822" s="46">
        <f>IF($A$1='Data Entry'!$C823,'Data Entry'!M823,"")</f>
        <v>0</v>
      </c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  <c r="AA822" s="43"/>
      <c r="AB822" s="43"/>
      <c r="AC822" s="43"/>
      <c r="AD822" s="43"/>
      <c r="AE822" s="43"/>
      <c r="AF822" s="43"/>
      <c r="AG822" s="43"/>
      <c r="AH822" s="43"/>
      <c r="AI822" s="43"/>
      <c r="AJ822" s="43"/>
    </row>
    <row r="823" spans="1:36" ht="15.95" customHeight="1" x14ac:dyDescent="0.2">
      <c r="A823" s="43"/>
      <c r="B823" s="45">
        <v>137</v>
      </c>
      <c r="C823" s="46">
        <f>IF($A$1='Data Entry'!$C824,'Data Entry'!D824,"")</f>
        <v>0</v>
      </c>
      <c r="D823" s="46">
        <f>IF($A$1='Data Entry'!$C824,'Data Entry'!E824,"")</f>
        <v>0</v>
      </c>
      <c r="E823" s="46">
        <f>IF($A$1='Data Entry'!$C824,'Data Entry'!F824,"")</f>
        <v>0</v>
      </c>
      <c r="F823" s="46">
        <f>IF($A$1='Data Entry'!$C824,'Data Entry'!G824,"")</f>
        <v>0</v>
      </c>
      <c r="G823" s="46">
        <f>IF($A$1='Data Entry'!$C824,'Data Entry'!H824,"")</f>
        <v>0</v>
      </c>
      <c r="H823" s="46">
        <f>IF($A$1='Data Entry'!$C824,'Data Entry'!I824,"")</f>
        <v>0</v>
      </c>
      <c r="I823" s="46">
        <f>IF($A$1='Data Entry'!$C824,'Data Entry'!J824,"")</f>
        <v>0</v>
      </c>
      <c r="J823" s="46">
        <f>IF($A$1='Data Entry'!$C824,'Data Entry'!K824,"")</f>
        <v>0</v>
      </c>
      <c r="K823" s="46">
        <f>IF($A$1='Data Entry'!$C824,'Data Entry'!L824,"")</f>
        <v>0</v>
      </c>
      <c r="L823" s="46">
        <f>IF($A$1='Data Entry'!$C824,'Data Entry'!M824,"")</f>
        <v>0</v>
      </c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  <c r="AA823" s="43"/>
      <c r="AB823" s="43"/>
      <c r="AC823" s="43"/>
      <c r="AD823" s="43"/>
      <c r="AE823" s="43"/>
      <c r="AF823" s="43"/>
      <c r="AG823" s="43"/>
      <c r="AH823" s="43"/>
      <c r="AI823" s="43"/>
      <c r="AJ823" s="43"/>
    </row>
    <row r="824" spans="1:36" ht="15.95" customHeight="1" x14ac:dyDescent="0.2">
      <c r="A824" s="43"/>
      <c r="B824" s="45">
        <v>137</v>
      </c>
      <c r="C824" s="46">
        <f>IF($A$1='Data Entry'!$C825,'Data Entry'!D825,"")</f>
        <v>0</v>
      </c>
      <c r="D824" s="46">
        <f>IF($A$1='Data Entry'!$C825,'Data Entry'!E825,"")</f>
        <v>0</v>
      </c>
      <c r="E824" s="46">
        <f>IF($A$1='Data Entry'!$C825,'Data Entry'!F825,"")</f>
        <v>0</v>
      </c>
      <c r="F824" s="46">
        <f>IF($A$1='Data Entry'!$C825,'Data Entry'!G825,"")</f>
        <v>0</v>
      </c>
      <c r="G824" s="46">
        <f>IF($A$1='Data Entry'!$C825,'Data Entry'!H825,"")</f>
        <v>0</v>
      </c>
      <c r="H824" s="46">
        <f>IF($A$1='Data Entry'!$C825,'Data Entry'!I825,"")</f>
        <v>0</v>
      </c>
      <c r="I824" s="46">
        <f>IF($A$1='Data Entry'!$C825,'Data Entry'!J825,"")</f>
        <v>0</v>
      </c>
      <c r="J824" s="46">
        <f>IF($A$1='Data Entry'!$C825,'Data Entry'!K825,"")</f>
        <v>0</v>
      </c>
      <c r="K824" s="46">
        <f>IF($A$1='Data Entry'!$C825,'Data Entry'!L825,"")</f>
        <v>0</v>
      </c>
      <c r="L824" s="46">
        <f>IF($A$1='Data Entry'!$C825,'Data Entry'!M825,"")</f>
        <v>0</v>
      </c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  <c r="AA824" s="43"/>
      <c r="AB824" s="43"/>
      <c r="AC824" s="43"/>
      <c r="AD824" s="43"/>
      <c r="AE824" s="43"/>
      <c r="AF824" s="43"/>
      <c r="AG824" s="43"/>
      <c r="AH824" s="43"/>
      <c r="AI824" s="43"/>
      <c r="AJ824" s="43"/>
    </row>
    <row r="825" spans="1:36" ht="15.95" customHeight="1" x14ac:dyDescent="0.2">
      <c r="A825" s="43"/>
      <c r="B825" s="45">
        <v>138</v>
      </c>
      <c r="C825" s="46">
        <f>IF($A$1='Data Entry'!$C826,'Data Entry'!D826,"")</f>
        <v>0</v>
      </c>
      <c r="D825" s="46">
        <f>IF($A$1='Data Entry'!$C826,'Data Entry'!E826,"")</f>
        <v>0</v>
      </c>
      <c r="E825" s="46">
        <f>IF($A$1='Data Entry'!$C826,'Data Entry'!F826,"")</f>
        <v>0</v>
      </c>
      <c r="F825" s="46">
        <f>IF($A$1='Data Entry'!$C826,'Data Entry'!G826,"")</f>
        <v>0</v>
      </c>
      <c r="G825" s="46">
        <f>IF($A$1='Data Entry'!$C826,'Data Entry'!H826,"")</f>
        <v>0</v>
      </c>
      <c r="H825" s="46">
        <f>IF($A$1='Data Entry'!$C826,'Data Entry'!I826,"")</f>
        <v>0</v>
      </c>
      <c r="I825" s="46">
        <f>IF($A$1='Data Entry'!$C826,'Data Entry'!J826,"")</f>
        <v>0</v>
      </c>
      <c r="J825" s="46">
        <f>IF($A$1='Data Entry'!$C826,'Data Entry'!K826,"")</f>
        <v>0</v>
      </c>
      <c r="K825" s="46">
        <f>IF($A$1='Data Entry'!$C826,'Data Entry'!L826,"")</f>
        <v>0</v>
      </c>
      <c r="L825" s="46">
        <f>IF($A$1='Data Entry'!$C826,'Data Entry'!M826,"")</f>
        <v>0</v>
      </c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  <c r="AA825" s="43"/>
      <c r="AB825" s="43"/>
      <c r="AC825" s="43"/>
      <c r="AD825" s="43"/>
      <c r="AE825" s="43"/>
      <c r="AF825" s="43"/>
      <c r="AG825" s="43"/>
      <c r="AH825" s="43"/>
      <c r="AI825" s="43"/>
      <c r="AJ825" s="43"/>
    </row>
    <row r="826" spans="1:36" ht="15.95" customHeight="1" x14ac:dyDescent="0.2">
      <c r="A826" s="43"/>
      <c r="B826" s="45">
        <v>138</v>
      </c>
      <c r="C826" s="46">
        <f>IF($A$1='Data Entry'!$C827,'Data Entry'!D827,"")</f>
        <v>0</v>
      </c>
      <c r="D826" s="46">
        <f>IF($A$1='Data Entry'!$C827,'Data Entry'!E827,"")</f>
        <v>0</v>
      </c>
      <c r="E826" s="46">
        <f>IF($A$1='Data Entry'!$C827,'Data Entry'!F827,"")</f>
        <v>0</v>
      </c>
      <c r="F826" s="46">
        <f>IF($A$1='Data Entry'!$C827,'Data Entry'!G827,"")</f>
        <v>0</v>
      </c>
      <c r="G826" s="46">
        <f>IF($A$1='Data Entry'!$C827,'Data Entry'!H827,"")</f>
        <v>0</v>
      </c>
      <c r="H826" s="46">
        <f>IF($A$1='Data Entry'!$C827,'Data Entry'!I827,"")</f>
        <v>0</v>
      </c>
      <c r="I826" s="46">
        <f>IF($A$1='Data Entry'!$C827,'Data Entry'!J827,"")</f>
        <v>0</v>
      </c>
      <c r="J826" s="46">
        <f>IF($A$1='Data Entry'!$C827,'Data Entry'!K827,"")</f>
        <v>0</v>
      </c>
      <c r="K826" s="46">
        <f>IF($A$1='Data Entry'!$C827,'Data Entry'!L827,"")</f>
        <v>0</v>
      </c>
      <c r="L826" s="46">
        <f>IF($A$1='Data Entry'!$C827,'Data Entry'!M827,"")</f>
        <v>0</v>
      </c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  <c r="AA826" s="43"/>
      <c r="AB826" s="43"/>
      <c r="AC826" s="43"/>
      <c r="AD826" s="43"/>
      <c r="AE826" s="43"/>
      <c r="AF826" s="43"/>
      <c r="AG826" s="43"/>
      <c r="AH826" s="43"/>
      <c r="AI826" s="43"/>
      <c r="AJ826" s="43"/>
    </row>
    <row r="827" spans="1:36" ht="15.95" customHeight="1" x14ac:dyDescent="0.2">
      <c r="A827" s="43"/>
      <c r="B827" s="45">
        <v>138</v>
      </c>
      <c r="C827" s="46">
        <f>IF($A$1='Data Entry'!$C828,'Data Entry'!D828,"")</f>
        <v>0</v>
      </c>
      <c r="D827" s="46">
        <f>IF($A$1='Data Entry'!$C828,'Data Entry'!E828,"")</f>
        <v>0</v>
      </c>
      <c r="E827" s="46">
        <f>IF($A$1='Data Entry'!$C828,'Data Entry'!F828,"")</f>
        <v>0</v>
      </c>
      <c r="F827" s="46">
        <f>IF($A$1='Data Entry'!$C828,'Data Entry'!G828,"")</f>
        <v>0</v>
      </c>
      <c r="G827" s="46">
        <f>IF($A$1='Data Entry'!$C828,'Data Entry'!H828,"")</f>
        <v>0</v>
      </c>
      <c r="H827" s="46">
        <f>IF($A$1='Data Entry'!$C828,'Data Entry'!I828,"")</f>
        <v>0</v>
      </c>
      <c r="I827" s="46">
        <f>IF($A$1='Data Entry'!$C828,'Data Entry'!J828,"")</f>
        <v>0</v>
      </c>
      <c r="J827" s="46">
        <f>IF($A$1='Data Entry'!$C828,'Data Entry'!K828,"")</f>
        <v>0</v>
      </c>
      <c r="K827" s="46">
        <f>IF($A$1='Data Entry'!$C828,'Data Entry'!L828,"")</f>
        <v>0</v>
      </c>
      <c r="L827" s="46">
        <f>IF($A$1='Data Entry'!$C828,'Data Entry'!M828,"")</f>
        <v>0</v>
      </c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  <c r="AA827" s="43"/>
      <c r="AB827" s="43"/>
      <c r="AC827" s="43"/>
      <c r="AD827" s="43"/>
      <c r="AE827" s="43"/>
      <c r="AF827" s="43"/>
      <c r="AG827" s="43"/>
      <c r="AH827" s="43"/>
      <c r="AI827" s="43"/>
      <c r="AJ827" s="43"/>
    </row>
    <row r="828" spans="1:36" ht="15.95" customHeight="1" x14ac:dyDescent="0.2">
      <c r="A828" s="43"/>
      <c r="B828" s="45">
        <v>138</v>
      </c>
      <c r="C828" s="46">
        <f>IF($A$1='Data Entry'!$C829,'Data Entry'!D829,"")</f>
        <v>0</v>
      </c>
      <c r="D828" s="46">
        <f>IF($A$1='Data Entry'!$C829,'Data Entry'!E829,"")</f>
        <v>0</v>
      </c>
      <c r="E828" s="46">
        <f>IF($A$1='Data Entry'!$C829,'Data Entry'!F829,"")</f>
        <v>0</v>
      </c>
      <c r="F828" s="46">
        <f>IF($A$1='Data Entry'!$C829,'Data Entry'!G829,"")</f>
        <v>0</v>
      </c>
      <c r="G828" s="46">
        <f>IF($A$1='Data Entry'!$C829,'Data Entry'!H829,"")</f>
        <v>0</v>
      </c>
      <c r="H828" s="46">
        <f>IF($A$1='Data Entry'!$C829,'Data Entry'!I829,"")</f>
        <v>0</v>
      </c>
      <c r="I828" s="46">
        <f>IF($A$1='Data Entry'!$C829,'Data Entry'!J829,"")</f>
        <v>0</v>
      </c>
      <c r="J828" s="46">
        <f>IF($A$1='Data Entry'!$C829,'Data Entry'!K829,"")</f>
        <v>0</v>
      </c>
      <c r="K828" s="46">
        <f>IF($A$1='Data Entry'!$C829,'Data Entry'!L829,"")</f>
        <v>0</v>
      </c>
      <c r="L828" s="46">
        <f>IF($A$1='Data Entry'!$C829,'Data Entry'!M829,"")</f>
        <v>0</v>
      </c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  <c r="AA828" s="43"/>
      <c r="AB828" s="43"/>
      <c r="AC828" s="43"/>
      <c r="AD828" s="43"/>
      <c r="AE828" s="43"/>
      <c r="AF828" s="43"/>
      <c r="AG828" s="43"/>
      <c r="AH828" s="43"/>
      <c r="AI828" s="43"/>
      <c r="AJ828" s="43"/>
    </row>
    <row r="829" spans="1:36" ht="15.95" customHeight="1" x14ac:dyDescent="0.2">
      <c r="A829" s="43"/>
      <c r="B829" s="45">
        <v>138</v>
      </c>
      <c r="C829" s="46">
        <f>IF($A$1='Data Entry'!$C830,'Data Entry'!D830,"")</f>
        <v>0</v>
      </c>
      <c r="D829" s="46">
        <f>IF($A$1='Data Entry'!$C830,'Data Entry'!E830,"")</f>
        <v>0</v>
      </c>
      <c r="E829" s="46">
        <f>IF($A$1='Data Entry'!$C830,'Data Entry'!F830,"")</f>
        <v>0</v>
      </c>
      <c r="F829" s="46">
        <f>IF($A$1='Data Entry'!$C830,'Data Entry'!G830,"")</f>
        <v>0</v>
      </c>
      <c r="G829" s="46">
        <f>IF($A$1='Data Entry'!$C830,'Data Entry'!H830,"")</f>
        <v>0</v>
      </c>
      <c r="H829" s="46">
        <f>IF($A$1='Data Entry'!$C830,'Data Entry'!I830,"")</f>
        <v>0</v>
      </c>
      <c r="I829" s="46">
        <f>IF($A$1='Data Entry'!$C830,'Data Entry'!J830,"")</f>
        <v>0</v>
      </c>
      <c r="J829" s="46">
        <f>IF($A$1='Data Entry'!$C830,'Data Entry'!K830,"")</f>
        <v>0</v>
      </c>
      <c r="K829" s="46">
        <f>IF($A$1='Data Entry'!$C830,'Data Entry'!L830,"")</f>
        <v>0</v>
      </c>
      <c r="L829" s="46">
        <f>IF($A$1='Data Entry'!$C830,'Data Entry'!M830,"")</f>
        <v>0</v>
      </c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  <c r="AA829" s="43"/>
      <c r="AB829" s="43"/>
      <c r="AC829" s="43"/>
      <c r="AD829" s="43"/>
      <c r="AE829" s="43"/>
      <c r="AF829" s="43"/>
      <c r="AG829" s="43"/>
      <c r="AH829" s="43"/>
      <c r="AI829" s="43"/>
      <c r="AJ829" s="43"/>
    </row>
    <row r="830" spans="1:36" ht="15.95" customHeight="1" x14ac:dyDescent="0.2">
      <c r="A830" s="43"/>
      <c r="B830" s="45">
        <v>138</v>
      </c>
      <c r="C830" s="46">
        <f>IF($A$1='Data Entry'!$C831,'Data Entry'!D831,"")</f>
        <v>0</v>
      </c>
      <c r="D830" s="46">
        <f>IF($A$1='Data Entry'!$C831,'Data Entry'!E831,"")</f>
        <v>0</v>
      </c>
      <c r="E830" s="46">
        <f>IF($A$1='Data Entry'!$C831,'Data Entry'!F831,"")</f>
        <v>0</v>
      </c>
      <c r="F830" s="46">
        <f>IF($A$1='Data Entry'!$C831,'Data Entry'!G831,"")</f>
        <v>0</v>
      </c>
      <c r="G830" s="46">
        <f>IF($A$1='Data Entry'!$C831,'Data Entry'!H831,"")</f>
        <v>0</v>
      </c>
      <c r="H830" s="46">
        <f>IF($A$1='Data Entry'!$C831,'Data Entry'!I831,"")</f>
        <v>0</v>
      </c>
      <c r="I830" s="46">
        <f>IF($A$1='Data Entry'!$C831,'Data Entry'!J831,"")</f>
        <v>0</v>
      </c>
      <c r="J830" s="46">
        <f>IF($A$1='Data Entry'!$C831,'Data Entry'!K831,"")</f>
        <v>0</v>
      </c>
      <c r="K830" s="46">
        <f>IF($A$1='Data Entry'!$C831,'Data Entry'!L831,"")</f>
        <v>0</v>
      </c>
      <c r="L830" s="46">
        <f>IF($A$1='Data Entry'!$C831,'Data Entry'!M831,"")</f>
        <v>0</v>
      </c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  <c r="AA830" s="43"/>
      <c r="AB830" s="43"/>
      <c r="AC830" s="43"/>
      <c r="AD830" s="43"/>
      <c r="AE830" s="43"/>
      <c r="AF830" s="43"/>
      <c r="AG830" s="43"/>
      <c r="AH830" s="43"/>
      <c r="AI830" s="43"/>
      <c r="AJ830" s="43"/>
    </row>
    <row r="831" spans="1:36" ht="15.95" customHeight="1" x14ac:dyDescent="0.2">
      <c r="A831" s="43"/>
      <c r="B831" s="45">
        <v>139</v>
      </c>
      <c r="C831" s="46">
        <f>IF($A$1='Data Entry'!$C832,'Data Entry'!D832,"")</f>
        <v>0</v>
      </c>
      <c r="D831" s="46">
        <f>IF($A$1='Data Entry'!$C832,'Data Entry'!E832,"")</f>
        <v>0</v>
      </c>
      <c r="E831" s="46">
        <f>IF($A$1='Data Entry'!$C832,'Data Entry'!F832,"")</f>
        <v>0</v>
      </c>
      <c r="F831" s="46">
        <f>IF($A$1='Data Entry'!$C832,'Data Entry'!G832,"")</f>
        <v>0</v>
      </c>
      <c r="G831" s="46">
        <f>IF($A$1='Data Entry'!$C832,'Data Entry'!H832,"")</f>
        <v>0</v>
      </c>
      <c r="H831" s="46">
        <f>IF($A$1='Data Entry'!$C832,'Data Entry'!I832,"")</f>
        <v>0</v>
      </c>
      <c r="I831" s="46">
        <f>IF($A$1='Data Entry'!$C832,'Data Entry'!J832,"")</f>
        <v>0</v>
      </c>
      <c r="J831" s="46">
        <f>IF($A$1='Data Entry'!$C832,'Data Entry'!K832,"")</f>
        <v>0</v>
      </c>
      <c r="K831" s="46">
        <f>IF($A$1='Data Entry'!$C832,'Data Entry'!L832,"")</f>
        <v>0</v>
      </c>
      <c r="L831" s="46">
        <f>IF($A$1='Data Entry'!$C832,'Data Entry'!M832,"")</f>
        <v>0</v>
      </c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  <c r="AA831" s="43"/>
      <c r="AB831" s="43"/>
      <c r="AC831" s="43"/>
      <c r="AD831" s="43"/>
      <c r="AE831" s="43"/>
      <c r="AF831" s="43"/>
      <c r="AG831" s="43"/>
      <c r="AH831" s="43"/>
      <c r="AI831" s="43"/>
      <c r="AJ831" s="43"/>
    </row>
    <row r="832" spans="1:36" ht="15.95" customHeight="1" x14ac:dyDescent="0.2">
      <c r="A832" s="43"/>
      <c r="B832" s="45">
        <v>139</v>
      </c>
      <c r="C832" s="46">
        <f>IF($A$1='Data Entry'!$C833,'Data Entry'!D833,"")</f>
        <v>0</v>
      </c>
      <c r="D832" s="46">
        <f>IF($A$1='Data Entry'!$C833,'Data Entry'!E833,"")</f>
        <v>0</v>
      </c>
      <c r="E832" s="46">
        <f>IF($A$1='Data Entry'!$C833,'Data Entry'!F833,"")</f>
        <v>0</v>
      </c>
      <c r="F832" s="46">
        <f>IF($A$1='Data Entry'!$C833,'Data Entry'!G833,"")</f>
        <v>0</v>
      </c>
      <c r="G832" s="46">
        <f>IF($A$1='Data Entry'!$C833,'Data Entry'!H833,"")</f>
        <v>0</v>
      </c>
      <c r="H832" s="46">
        <f>IF($A$1='Data Entry'!$C833,'Data Entry'!I833,"")</f>
        <v>0</v>
      </c>
      <c r="I832" s="46">
        <f>IF($A$1='Data Entry'!$C833,'Data Entry'!J833,"")</f>
        <v>0</v>
      </c>
      <c r="J832" s="46">
        <f>IF($A$1='Data Entry'!$C833,'Data Entry'!K833,"")</f>
        <v>0</v>
      </c>
      <c r="K832" s="46">
        <f>IF($A$1='Data Entry'!$C833,'Data Entry'!L833,"")</f>
        <v>0</v>
      </c>
      <c r="L832" s="46">
        <f>IF($A$1='Data Entry'!$C833,'Data Entry'!M833,"")</f>
        <v>0</v>
      </c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  <c r="AA832" s="43"/>
      <c r="AB832" s="43"/>
      <c r="AC832" s="43"/>
      <c r="AD832" s="43"/>
      <c r="AE832" s="43"/>
      <c r="AF832" s="43"/>
      <c r="AG832" s="43"/>
      <c r="AH832" s="43"/>
      <c r="AI832" s="43"/>
      <c r="AJ832" s="43"/>
    </row>
    <row r="833" spans="1:36" ht="15.95" customHeight="1" x14ac:dyDescent="0.2">
      <c r="A833" s="43"/>
      <c r="B833" s="45">
        <v>139</v>
      </c>
      <c r="C833" s="46">
        <f>IF($A$1='Data Entry'!$C834,'Data Entry'!D834,"")</f>
        <v>0</v>
      </c>
      <c r="D833" s="46">
        <f>IF($A$1='Data Entry'!$C834,'Data Entry'!E834,"")</f>
        <v>0</v>
      </c>
      <c r="E833" s="46">
        <f>IF($A$1='Data Entry'!$C834,'Data Entry'!F834,"")</f>
        <v>0</v>
      </c>
      <c r="F833" s="46">
        <f>IF($A$1='Data Entry'!$C834,'Data Entry'!G834,"")</f>
        <v>0</v>
      </c>
      <c r="G833" s="46">
        <f>IF($A$1='Data Entry'!$C834,'Data Entry'!H834,"")</f>
        <v>0</v>
      </c>
      <c r="H833" s="46">
        <f>IF($A$1='Data Entry'!$C834,'Data Entry'!I834,"")</f>
        <v>0</v>
      </c>
      <c r="I833" s="46">
        <f>IF($A$1='Data Entry'!$C834,'Data Entry'!J834,"")</f>
        <v>0</v>
      </c>
      <c r="J833" s="46">
        <f>IF($A$1='Data Entry'!$C834,'Data Entry'!K834,"")</f>
        <v>0</v>
      </c>
      <c r="K833" s="46">
        <f>IF($A$1='Data Entry'!$C834,'Data Entry'!L834,"")</f>
        <v>0</v>
      </c>
      <c r="L833" s="46">
        <f>IF($A$1='Data Entry'!$C834,'Data Entry'!M834,"")</f>
        <v>0</v>
      </c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  <c r="AA833" s="43"/>
      <c r="AB833" s="43"/>
      <c r="AC833" s="43"/>
      <c r="AD833" s="43"/>
      <c r="AE833" s="43"/>
      <c r="AF833" s="43"/>
      <c r="AG833" s="43"/>
      <c r="AH833" s="43"/>
      <c r="AI833" s="43"/>
      <c r="AJ833" s="43"/>
    </row>
    <row r="834" spans="1:36" ht="15.95" customHeight="1" x14ac:dyDescent="0.2">
      <c r="A834" s="43"/>
      <c r="B834" s="45">
        <v>139</v>
      </c>
      <c r="C834" s="46">
        <f>IF($A$1='Data Entry'!$C835,'Data Entry'!D835,"")</f>
        <v>0</v>
      </c>
      <c r="D834" s="46">
        <f>IF($A$1='Data Entry'!$C835,'Data Entry'!E835,"")</f>
        <v>0</v>
      </c>
      <c r="E834" s="46">
        <f>IF($A$1='Data Entry'!$C835,'Data Entry'!F835,"")</f>
        <v>0</v>
      </c>
      <c r="F834" s="46">
        <f>IF($A$1='Data Entry'!$C835,'Data Entry'!G835,"")</f>
        <v>0</v>
      </c>
      <c r="G834" s="46">
        <f>IF($A$1='Data Entry'!$C835,'Data Entry'!H835,"")</f>
        <v>0</v>
      </c>
      <c r="H834" s="46">
        <f>IF($A$1='Data Entry'!$C835,'Data Entry'!I835,"")</f>
        <v>0</v>
      </c>
      <c r="I834" s="46">
        <f>IF($A$1='Data Entry'!$C835,'Data Entry'!J835,"")</f>
        <v>0</v>
      </c>
      <c r="J834" s="46">
        <f>IF($A$1='Data Entry'!$C835,'Data Entry'!K835,"")</f>
        <v>0</v>
      </c>
      <c r="K834" s="46">
        <f>IF($A$1='Data Entry'!$C835,'Data Entry'!L835,"")</f>
        <v>0</v>
      </c>
      <c r="L834" s="46">
        <f>IF($A$1='Data Entry'!$C835,'Data Entry'!M835,"")</f>
        <v>0</v>
      </c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  <c r="AA834" s="43"/>
      <c r="AB834" s="43"/>
      <c r="AC834" s="43"/>
      <c r="AD834" s="43"/>
      <c r="AE834" s="43"/>
      <c r="AF834" s="43"/>
      <c r="AG834" s="43"/>
      <c r="AH834" s="43"/>
      <c r="AI834" s="43"/>
      <c r="AJ834" s="43"/>
    </row>
    <row r="835" spans="1:36" ht="15.95" customHeight="1" x14ac:dyDescent="0.2">
      <c r="A835" s="43"/>
      <c r="B835" s="45">
        <v>139</v>
      </c>
      <c r="C835" s="46">
        <f>IF($A$1='Data Entry'!$C836,'Data Entry'!D836,"")</f>
        <v>0</v>
      </c>
      <c r="D835" s="46">
        <f>IF($A$1='Data Entry'!$C836,'Data Entry'!E836,"")</f>
        <v>0</v>
      </c>
      <c r="E835" s="46">
        <f>IF($A$1='Data Entry'!$C836,'Data Entry'!F836,"")</f>
        <v>0</v>
      </c>
      <c r="F835" s="46">
        <f>IF($A$1='Data Entry'!$C836,'Data Entry'!G836,"")</f>
        <v>0</v>
      </c>
      <c r="G835" s="46">
        <f>IF($A$1='Data Entry'!$C836,'Data Entry'!H836,"")</f>
        <v>0</v>
      </c>
      <c r="H835" s="46">
        <f>IF($A$1='Data Entry'!$C836,'Data Entry'!I836,"")</f>
        <v>0</v>
      </c>
      <c r="I835" s="46">
        <f>IF($A$1='Data Entry'!$C836,'Data Entry'!J836,"")</f>
        <v>0</v>
      </c>
      <c r="J835" s="46">
        <f>IF($A$1='Data Entry'!$C836,'Data Entry'!K836,"")</f>
        <v>0</v>
      </c>
      <c r="K835" s="46">
        <f>IF($A$1='Data Entry'!$C836,'Data Entry'!L836,"")</f>
        <v>0</v>
      </c>
      <c r="L835" s="46">
        <f>IF($A$1='Data Entry'!$C836,'Data Entry'!M836,"")</f>
        <v>0</v>
      </c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  <c r="AA835" s="43"/>
      <c r="AB835" s="43"/>
      <c r="AC835" s="43"/>
      <c r="AD835" s="43"/>
      <c r="AE835" s="43"/>
      <c r="AF835" s="43"/>
      <c r="AG835" s="43"/>
      <c r="AH835" s="43"/>
      <c r="AI835" s="43"/>
      <c r="AJ835" s="43"/>
    </row>
    <row r="836" spans="1:36" ht="15.95" customHeight="1" x14ac:dyDescent="0.2">
      <c r="A836" s="43"/>
      <c r="B836" s="45">
        <v>139</v>
      </c>
      <c r="C836" s="46">
        <f>IF($A$1='Data Entry'!$C837,'Data Entry'!D837,"")</f>
        <v>0</v>
      </c>
      <c r="D836" s="46">
        <f>IF($A$1='Data Entry'!$C837,'Data Entry'!E837,"")</f>
        <v>0</v>
      </c>
      <c r="E836" s="46">
        <f>IF($A$1='Data Entry'!$C837,'Data Entry'!F837,"")</f>
        <v>0</v>
      </c>
      <c r="F836" s="46">
        <f>IF($A$1='Data Entry'!$C837,'Data Entry'!G837,"")</f>
        <v>0</v>
      </c>
      <c r="G836" s="46">
        <f>IF($A$1='Data Entry'!$C837,'Data Entry'!H837,"")</f>
        <v>0</v>
      </c>
      <c r="H836" s="46">
        <f>IF($A$1='Data Entry'!$C837,'Data Entry'!I837,"")</f>
        <v>0</v>
      </c>
      <c r="I836" s="46">
        <f>IF($A$1='Data Entry'!$C837,'Data Entry'!J837,"")</f>
        <v>0</v>
      </c>
      <c r="J836" s="46">
        <f>IF($A$1='Data Entry'!$C837,'Data Entry'!K837,"")</f>
        <v>0</v>
      </c>
      <c r="K836" s="46">
        <f>IF($A$1='Data Entry'!$C837,'Data Entry'!L837,"")</f>
        <v>0</v>
      </c>
      <c r="L836" s="46">
        <f>IF($A$1='Data Entry'!$C837,'Data Entry'!M837,"")</f>
        <v>0</v>
      </c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  <c r="AA836" s="43"/>
      <c r="AB836" s="43"/>
      <c r="AC836" s="43"/>
      <c r="AD836" s="43"/>
      <c r="AE836" s="43"/>
      <c r="AF836" s="43"/>
      <c r="AG836" s="43"/>
      <c r="AH836" s="43"/>
      <c r="AI836" s="43"/>
      <c r="AJ836" s="43"/>
    </row>
    <row r="837" spans="1:36" ht="15.95" customHeight="1" x14ac:dyDescent="0.2">
      <c r="A837" s="43"/>
      <c r="B837" s="45">
        <v>140</v>
      </c>
      <c r="C837" s="46">
        <f>IF($A$1='Data Entry'!$C838,'Data Entry'!D838,"")</f>
        <v>0</v>
      </c>
      <c r="D837" s="46">
        <f>IF($A$1='Data Entry'!$C838,'Data Entry'!E838,"")</f>
        <v>0</v>
      </c>
      <c r="E837" s="46">
        <f>IF($A$1='Data Entry'!$C838,'Data Entry'!F838,"")</f>
        <v>0</v>
      </c>
      <c r="F837" s="46">
        <f>IF($A$1='Data Entry'!$C838,'Data Entry'!G838,"")</f>
        <v>0</v>
      </c>
      <c r="G837" s="46">
        <f>IF($A$1='Data Entry'!$C838,'Data Entry'!H838,"")</f>
        <v>0</v>
      </c>
      <c r="H837" s="46">
        <f>IF($A$1='Data Entry'!$C838,'Data Entry'!I838,"")</f>
        <v>0</v>
      </c>
      <c r="I837" s="46">
        <f>IF($A$1='Data Entry'!$C838,'Data Entry'!J838,"")</f>
        <v>0</v>
      </c>
      <c r="J837" s="46">
        <f>IF($A$1='Data Entry'!$C838,'Data Entry'!K838,"")</f>
        <v>0</v>
      </c>
      <c r="K837" s="46">
        <f>IF($A$1='Data Entry'!$C838,'Data Entry'!L838,"")</f>
        <v>0</v>
      </c>
      <c r="L837" s="46">
        <f>IF($A$1='Data Entry'!$C838,'Data Entry'!M838,"")</f>
        <v>0</v>
      </c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  <c r="AA837" s="43"/>
      <c r="AB837" s="43"/>
      <c r="AC837" s="43"/>
      <c r="AD837" s="43"/>
      <c r="AE837" s="43"/>
      <c r="AF837" s="43"/>
      <c r="AG837" s="43"/>
      <c r="AH837" s="43"/>
      <c r="AI837" s="43"/>
      <c r="AJ837" s="43"/>
    </row>
    <row r="838" spans="1:36" ht="15.95" customHeight="1" x14ac:dyDescent="0.2">
      <c r="A838" s="43"/>
      <c r="B838" s="45">
        <v>140</v>
      </c>
      <c r="C838" s="46">
        <f>IF($A$1='Data Entry'!$C839,'Data Entry'!D839,"")</f>
        <v>0</v>
      </c>
      <c r="D838" s="46">
        <f>IF($A$1='Data Entry'!$C839,'Data Entry'!E839,"")</f>
        <v>0</v>
      </c>
      <c r="E838" s="46">
        <f>IF($A$1='Data Entry'!$C839,'Data Entry'!F839,"")</f>
        <v>0</v>
      </c>
      <c r="F838" s="46">
        <f>IF($A$1='Data Entry'!$C839,'Data Entry'!G839,"")</f>
        <v>0</v>
      </c>
      <c r="G838" s="46">
        <f>IF($A$1='Data Entry'!$C839,'Data Entry'!H839,"")</f>
        <v>0</v>
      </c>
      <c r="H838" s="46">
        <f>IF($A$1='Data Entry'!$C839,'Data Entry'!I839,"")</f>
        <v>0</v>
      </c>
      <c r="I838" s="46">
        <f>IF($A$1='Data Entry'!$C839,'Data Entry'!J839,"")</f>
        <v>0</v>
      </c>
      <c r="J838" s="46">
        <f>IF($A$1='Data Entry'!$C839,'Data Entry'!K839,"")</f>
        <v>0</v>
      </c>
      <c r="K838" s="46">
        <f>IF($A$1='Data Entry'!$C839,'Data Entry'!L839,"")</f>
        <v>0</v>
      </c>
      <c r="L838" s="46">
        <f>IF($A$1='Data Entry'!$C839,'Data Entry'!M839,"")</f>
        <v>0</v>
      </c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  <c r="AA838" s="43"/>
      <c r="AB838" s="43"/>
      <c r="AC838" s="43"/>
      <c r="AD838" s="43"/>
      <c r="AE838" s="43"/>
      <c r="AF838" s="43"/>
      <c r="AG838" s="43"/>
      <c r="AH838" s="43"/>
      <c r="AI838" s="43"/>
      <c r="AJ838" s="43"/>
    </row>
    <row r="839" spans="1:36" ht="15.95" customHeight="1" x14ac:dyDescent="0.2">
      <c r="A839" s="43"/>
      <c r="B839" s="45">
        <v>140</v>
      </c>
      <c r="C839" s="46">
        <f>IF($A$1='Data Entry'!$C840,'Data Entry'!D840,"")</f>
        <v>0</v>
      </c>
      <c r="D839" s="46">
        <f>IF($A$1='Data Entry'!$C840,'Data Entry'!E840,"")</f>
        <v>0</v>
      </c>
      <c r="E839" s="46">
        <f>IF($A$1='Data Entry'!$C840,'Data Entry'!F840,"")</f>
        <v>0</v>
      </c>
      <c r="F839" s="46">
        <f>IF($A$1='Data Entry'!$C840,'Data Entry'!G840,"")</f>
        <v>0</v>
      </c>
      <c r="G839" s="46">
        <f>IF($A$1='Data Entry'!$C840,'Data Entry'!H840,"")</f>
        <v>0</v>
      </c>
      <c r="H839" s="46">
        <f>IF($A$1='Data Entry'!$C840,'Data Entry'!I840,"")</f>
        <v>0</v>
      </c>
      <c r="I839" s="46">
        <f>IF($A$1='Data Entry'!$C840,'Data Entry'!J840,"")</f>
        <v>0</v>
      </c>
      <c r="J839" s="46">
        <f>IF($A$1='Data Entry'!$C840,'Data Entry'!K840,"")</f>
        <v>0</v>
      </c>
      <c r="K839" s="46">
        <f>IF($A$1='Data Entry'!$C840,'Data Entry'!L840,"")</f>
        <v>0</v>
      </c>
      <c r="L839" s="46">
        <f>IF($A$1='Data Entry'!$C840,'Data Entry'!M840,"")</f>
        <v>0</v>
      </c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  <c r="AA839" s="43"/>
      <c r="AB839" s="43"/>
      <c r="AC839" s="43"/>
      <c r="AD839" s="43"/>
      <c r="AE839" s="43"/>
      <c r="AF839" s="43"/>
      <c r="AG839" s="43"/>
      <c r="AH839" s="43"/>
      <c r="AI839" s="43"/>
      <c r="AJ839" s="43"/>
    </row>
    <row r="840" spans="1:36" ht="15.95" customHeight="1" x14ac:dyDescent="0.2">
      <c r="A840" s="43"/>
      <c r="B840" s="45">
        <v>140</v>
      </c>
      <c r="C840" s="46">
        <f>IF($A$1='Data Entry'!$C841,'Data Entry'!D841,"")</f>
        <v>0</v>
      </c>
      <c r="D840" s="46">
        <f>IF($A$1='Data Entry'!$C841,'Data Entry'!E841,"")</f>
        <v>0</v>
      </c>
      <c r="E840" s="46">
        <f>IF($A$1='Data Entry'!$C841,'Data Entry'!F841,"")</f>
        <v>0</v>
      </c>
      <c r="F840" s="46">
        <f>IF($A$1='Data Entry'!$C841,'Data Entry'!G841,"")</f>
        <v>0</v>
      </c>
      <c r="G840" s="46">
        <f>IF($A$1='Data Entry'!$C841,'Data Entry'!H841,"")</f>
        <v>0</v>
      </c>
      <c r="H840" s="46">
        <f>IF($A$1='Data Entry'!$C841,'Data Entry'!I841,"")</f>
        <v>0</v>
      </c>
      <c r="I840" s="46">
        <f>IF($A$1='Data Entry'!$C841,'Data Entry'!J841,"")</f>
        <v>0</v>
      </c>
      <c r="J840" s="46">
        <f>IF($A$1='Data Entry'!$C841,'Data Entry'!K841,"")</f>
        <v>0</v>
      </c>
      <c r="K840" s="46">
        <f>IF($A$1='Data Entry'!$C841,'Data Entry'!L841,"")</f>
        <v>0</v>
      </c>
      <c r="L840" s="46">
        <f>IF($A$1='Data Entry'!$C841,'Data Entry'!M841,"")</f>
        <v>0</v>
      </c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  <c r="AA840" s="43"/>
      <c r="AB840" s="43"/>
      <c r="AC840" s="43"/>
      <c r="AD840" s="43"/>
      <c r="AE840" s="43"/>
      <c r="AF840" s="43"/>
      <c r="AG840" s="43"/>
      <c r="AH840" s="43"/>
      <c r="AI840" s="43"/>
      <c r="AJ840" s="43"/>
    </row>
    <row r="841" spans="1:36" ht="15.95" customHeight="1" x14ac:dyDescent="0.2">
      <c r="A841" s="43"/>
      <c r="B841" s="45">
        <v>140</v>
      </c>
      <c r="C841" s="46">
        <f>IF($A$1='Data Entry'!$C842,'Data Entry'!D842,"")</f>
        <v>0</v>
      </c>
      <c r="D841" s="46">
        <f>IF($A$1='Data Entry'!$C842,'Data Entry'!E842,"")</f>
        <v>0</v>
      </c>
      <c r="E841" s="46">
        <f>IF($A$1='Data Entry'!$C842,'Data Entry'!F842,"")</f>
        <v>0</v>
      </c>
      <c r="F841" s="46">
        <f>IF($A$1='Data Entry'!$C842,'Data Entry'!G842,"")</f>
        <v>0</v>
      </c>
      <c r="G841" s="46">
        <f>IF($A$1='Data Entry'!$C842,'Data Entry'!H842,"")</f>
        <v>0</v>
      </c>
      <c r="H841" s="46">
        <f>IF($A$1='Data Entry'!$C842,'Data Entry'!I842,"")</f>
        <v>0</v>
      </c>
      <c r="I841" s="46">
        <f>IF($A$1='Data Entry'!$C842,'Data Entry'!J842,"")</f>
        <v>0</v>
      </c>
      <c r="J841" s="46">
        <f>IF($A$1='Data Entry'!$C842,'Data Entry'!K842,"")</f>
        <v>0</v>
      </c>
      <c r="K841" s="46">
        <f>IF($A$1='Data Entry'!$C842,'Data Entry'!L842,"")</f>
        <v>0</v>
      </c>
      <c r="L841" s="46">
        <f>IF($A$1='Data Entry'!$C842,'Data Entry'!M842,"")</f>
        <v>0</v>
      </c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  <c r="AA841" s="43"/>
      <c r="AB841" s="43"/>
      <c r="AC841" s="43"/>
      <c r="AD841" s="43"/>
      <c r="AE841" s="43"/>
      <c r="AF841" s="43"/>
      <c r="AG841" s="43"/>
      <c r="AH841" s="43"/>
      <c r="AI841" s="43"/>
      <c r="AJ841" s="43"/>
    </row>
    <row r="842" spans="1:36" ht="15.95" customHeight="1" x14ac:dyDescent="0.2">
      <c r="A842" s="43"/>
      <c r="B842" s="45">
        <v>140</v>
      </c>
      <c r="C842" s="46">
        <f>IF($A$1='Data Entry'!$C843,'Data Entry'!D843,"")</f>
        <v>0</v>
      </c>
      <c r="D842" s="46">
        <f>IF($A$1='Data Entry'!$C843,'Data Entry'!E843,"")</f>
        <v>0</v>
      </c>
      <c r="E842" s="46">
        <f>IF($A$1='Data Entry'!$C843,'Data Entry'!F843,"")</f>
        <v>0</v>
      </c>
      <c r="F842" s="46">
        <f>IF($A$1='Data Entry'!$C843,'Data Entry'!G843,"")</f>
        <v>0</v>
      </c>
      <c r="G842" s="46">
        <f>IF($A$1='Data Entry'!$C843,'Data Entry'!H843,"")</f>
        <v>0</v>
      </c>
      <c r="H842" s="46">
        <f>IF($A$1='Data Entry'!$C843,'Data Entry'!I843,"")</f>
        <v>0</v>
      </c>
      <c r="I842" s="46">
        <f>IF($A$1='Data Entry'!$C843,'Data Entry'!J843,"")</f>
        <v>0</v>
      </c>
      <c r="J842" s="46">
        <f>IF($A$1='Data Entry'!$C843,'Data Entry'!K843,"")</f>
        <v>0</v>
      </c>
      <c r="K842" s="46">
        <f>IF($A$1='Data Entry'!$C843,'Data Entry'!L843,"")</f>
        <v>0</v>
      </c>
      <c r="L842" s="46">
        <f>IF($A$1='Data Entry'!$C843,'Data Entry'!M843,"")</f>
        <v>0</v>
      </c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  <c r="AA842" s="43"/>
      <c r="AB842" s="43"/>
      <c r="AC842" s="43"/>
      <c r="AD842" s="43"/>
      <c r="AE842" s="43"/>
      <c r="AF842" s="43"/>
      <c r="AG842" s="43"/>
      <c r="AH842" s="43"/>
      <c r="AI842" s="43"/>
      <c r="AJ842" s="43"/>
    </row>
    <row r="843" spans="1:36" ht="15.95" customHeight="1" x14ac:dyDescent="0.2">
      <c r="A843" s="43"/>
      <c r="B843" s="45">
        <v>141</v>
      </c>
      <c r="C843" s="46">
        <f>IF($A$1='Data Entry'!$C844,'Data Entry'!D844,"")</f>
        <v>0</v>
      </c>
      <c r="D843" s="46">
        <f>IF($A$1='Data Entry'!$C844,'Data Entry'!E844,"")</f>
        <v>0</v>
      </c>
      <c r="E843" s="46">
        <f>IF($A$1='Data Entry'!$C844,'Data Entry'!F844,"")</f>
        <v>0</v>
      </c>
      <c r="F843" s="46">
        <f>IF($A$1='Data Entry'!$C844,'Data Entry'!G844,"")</f>
        <v>0</v>
      </c>
      <c r="G843" s="46">
        <f>IF($A$1='Data Entry'!$C844,'Data Entry'!H844,"")</f>
        <v>0</v>
      </c>
      <c r="H843" s="46">
        <f>IF($A$1='Data Entry'!$C844,'Data Entry'!I844,"")</f>
        <v>0</v>
      </c>
      <c r="I843" s="46">
        <f>IF($A$1='Data Entry'!$C844,'Data Entry'!J844,"")</f>
        <v>0</v>
      </c>
      <c r="J843" s="46">
        <f>IF($A$1='Data Entry'!$C844,'Data Entry'!K844,"")</f>
        <v>0</v>
      </c>
      <c r="K843" s="46">
        <f>IF($A$1='Data Entry'!$C844,'Data Entry'!L844,"")</f>
        <v>0</v>
      </c>
      <c r="L843" s="46">
        <f>IF($A$1='Data Entry'!$C844,'Data Entry'!M844,"")</f>
        <v>0</v>
      </c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  <c r="AA843" s="43"/>
      <c r="AB843" s="43"/>
      <c r="AC843" s="43"/>
      <c r="AD843" s="43"/>
      <c r="AE843" s="43"/>
      <c r="AF843" s="43"/>
      <c r="AG843" s="43"/>
      <c r="AH843" s="43"/>
      <c r="AI843" s="43"/>
      <c r="AJ843" s="43"/>
    </row>
    <row r="844" spans="1:36" ht="15.95" customHeight="1" x14ac:dyDescent="0.2">
      <c r="A844" s="43"/>
      <c r="B844" s="45">
        <v>141</v>
      </c>
      <c r="C844" s="46">
        <f>IF($A$1='Data Entry'!$C845,'Data Entry'!D845,"")</f>
        <v>0</v>
      </c>
      <c r="D844" s="46">
        <f>IF($A$1='Data Entry'!$C845,'Data Entry'!E845,"")</f>
        <v>0</v>
      </c>
      <c r="E844" s="46">
        <f>IF($A$1='Data Entry'!$C845,'Data Entry'!F845,"")</f>
        <v>0</v>
      </c>
      <c r="F844" s="46">
        <f>IF($A$1='Data Entry'!$C845,'Data Entry'!G845,"")</f>
        <v>0</v>
      </c>
      <c r="G844" s="46">
        <f>IF($A$1='Data Entry'!$C845,'Data Entry'!H845,"")</f>
        <v>0</v>
      </c>
      <c r="H844" s="46">
        <f>IF($A$1='Data Entry'!$C845,'Data Entry'!I845,"")</f>
        <v>0</v>
      </c>
      <c r="I844" s="46">
        <f>IF($A$1='Data Entry'!$C845,'Data Entry'!J845,"")</f>
        <v>0</v>
      </c>
      <c r="J844" s="46">
        <f>IF($A$1='Data Entry'!$C845,'Data Entry'!K845,"")</f>
        <v>0</v>
      </c>
      <c r="K844" s="46">
        <f>IF($A$1='Data Entry'!$C845,'Data Entry'!L845,"")</f>
        <v>0</v>
      </c>
      <c r="L844" s="46">
        <f>IF($A$1='Data Entry'!$C845,'Data Entry'!M845,"")</f>
        <v>0</v>
      </c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  <c r="AA844" s="43"/>
      <c r="AB844" s="43"/>
      <c r="AC844" s="43"/>
      <c r="AD844" s="43"/>
      <c r="AE844" s="43"/>
      <c r="AF844" s="43"/>
      <c r="AG844" s="43"/>
      <c r="AH844" s="43"/>
      <c r="AI844" s="43"/>
      <c r="AJ844" s="43"/>
    </row>
    <row r="845" spans="1:36" ht="15.95" customHeight="1" x14ac:dyDescent="0.2">
      <c r="A845" s="43"/>
      <c r="B845" s="45">
        <v>141</v>
      </c>
      <c r="C845" s="46">
        <f>IF($A$1='Data Entry'!$C846,'Data Entry'!D846,"")</f>
        <v>0</v>
      </c>
      <c r="D845" s="46">
        <f>IF($A$1='Data Entry'!$C846,'Data Entry'!E846,"")</f>
        <v>0</v>
      </c>
      <c r="E845" s="46">
        <f>IF($A$1='Data Entry'!$C846,'Data Entry'!F846,"")</f>
        <v>0</v>
      </c>
      <c r="F845" s="46">
        <f>IF($A$1='Data Entry'!$C846,'Data Entry'!G846,"")</f>
        <v>0</v>
      </c>
      <c r="G845" s="46">
        <f>IF($A$1='Data Entry'!$C846,'Data Entry'!H846,"")</f>
        <v>0</v>
      </c>
      <c r="H845" s="46">
        <f>IF($A$1='Data Entry'!$C846,'Data Entry'!I846,"")</f>
        <v>0</v>
      </c>
      <c r="I845" s="46">
        <f>IF($A$1='Data Entry'!$C846,'Data Entry'!J846,"")</f>
        <v>0</v>
      </c>
      <c r="J845" s="46">
        <f>IF($A$1='Data Entry'!$C846,'Data Entry'!K846,"")</f>
        <v>0</v>
      </c>
      <c r="K845" s="46">
        <f>IF($A$1='Data Entry'!$C846,'Data Entry'!L846,"")</f>
        <v>0</v>
      </c>
      <c r="L845" s="46">
        <f>IF($A$1='Data Entry'!$C846,'Data Entry'!M846,"")</f>
        <v>0</v>
      </c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  <c r="AA845" s="43"/>
      <c r="AB845" s="43"/>
      <c r="AC845" s="43"/>
      <c r="AD845" s="43"/>
      <c r="AE845" s="43"/>
      <c r="AF845" s="43"/>
      <c r="AG845" s="43"/>
      <c r="AH845" s="43"/>
      <c r="AI845" s="43"/>
      <c r="AJ845" s="43"/>
    </row>
    <row r="846" spans="1:36" ht="15.95" customHeight="1" x14ac:dyDescent="0.2">
      <c r="A846" s="43"/>
      <c r="B846" s="45">
        <v>141</v>
      </c>
      <c r="C846" s="46">
        <f>IF($A$1='Data Entry'!$C847,'Data Entry'!D847,"")</f>
        <v>0</v>
      </c>
      <c r="D846" s="46">
        <f>IF($A$1='Data Entry'!$C847,'Data Entry'!E847,"")</f>
        <v>0</v>
      </c>
      <c r="E846" s="46">
        <f>IF($A$1='Data Entry'!$C847,'Data Entry'!F847,"")</f>
        <v>0</v>
      </c>
      <c r="F846" s="46">
        <f>IF($A$1='Data Entry'!$C847,'Data Entry'!G847,"")</f>
        <v>0</v>
      </c>
      <c r="G846" s="46">
        <f>IF($A$1='Data Entry'!$C847,'Data Entry'!H847,"")</f>
        <v>0</v>
      </c>
      <c r="H846" s="46">
        <f>IF($A$1='Data Entry'!$C847,'Data Entry'!I847,"")</f>
        <v>0</v>
      </c>
      <c r="I846" s="46">
        <f>IF($A$1='Data Entry'!$C847,'Data Entry'!J847,"")</f>
        <v>0</v>
      </c>
      <c r="J846" s="46">
        <f>IF($A$1='Data Entry'!$C847,'Data Entry'!K847,"")</f>
        <v>0</v>
      </c>
      <c r="K846" s="46">
        <f>IF($A$1='Data Entry'!$C847,'Data Entry'!L847,"")</f>
        <v>0</v>
      </c>
      <c r="L846" s="46">
        <f>IF($A$1='Data Entry'!$C847,'Data Entry'!M847,"")</f>
        <v>0</v>
      </c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  <c r="AA846" s="43"/>
      <c r="AB846" s="43"/>
      <c r="AC846" s="43"/>
      <c r="AD846" s="43"/>
      <c r="AE846" s="43"/>
      <c r="AF846" s="43"/>
      <c r="AG846" s="43"/>
      <c r="AH846" s="43"/>
      <c r="AI846" s="43"/>
      <c r="AJ846" s="43"/>
    </row>
    <row r="847" spans="1:36" ht="15.95" customHeight="1" x14ac:dyDescent="0.2">
      <c r="A847" s="43"/>
      <c r="B847" s="45">
        <v>141</v>
      </c>
      <c r="C847" s="46">
        <f>IF($A$1='Data Entry'!$C848,'Data Entry'!D848,"")</f>
        <v>0</v>
      </c>
      <c r="D847" s="46">
        <f>IF($A$1='Data Entry'!$C848,'Data Entry'!E848,"")</f>
        <v>0</v>
      </c>
      <c r="E847" s="46">
        <f>IF($A$1='Data Entry'!$C848,'Data Entry'!F848,"")</f>
        <v>0</v>
      </c>
      <c r="F847" s="46">
        <f>IF($A$1='Data Entry'!$C848,'Data Entry'!G848,"")</f>
        <v>0</v>
      </c>
      <c r="G847" s="46">
        <f>IF($A$1='Data Entry'!$C848,'Data Entry'!H848,"")</f>
        <v>0</v>
      </c>
      <c r="H847" s="46">
        <f>IF($A$1='Data Entry'!$C848,'Data Entry'!I848,"")</f>
        <v>0</v>
      </c>
      <c r="I847" s="46">
        <f>IF($A$1='Data Entry'!$C848,'Data Entry'!J848,"")</f>
        <v>0</v>
      </c>
      <c r="J847" s="46">
        <f>IF($A$1='Data Entry'!$C848,'Data Entry'!K848,"")</f>
        <v>0</v>
      </c>
      <c r="K847" s="46">
        <f>IF($A$1='Data Entry'!$C848,'Data Entry'!L848,"")</f>
        <v>0</v>
      </c>
      <c r="L847" s="46">
        <f>IF($A$1='Data Entry'!$C848,'Data Entry'!M848,"")</f>
        <v>0</v>
      </c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  <c r="AA847" s="43"/>
      <c r="AB847" s="43"/>
      <c r="AC847" s="43"/>
      <c r="AD847" s="43"/>
      <c r="AE847" s="43"/>
      <c r="AF847" s="43"/>
      <c r="AG847" s="43"/>
      <c r="AH847" s="43"/>
      <c r="AI847" s="43"/>
      <c r="AJ847" s="43"/>
    </row>
    <row r="848" spans="1:36" ht="15.95" customHeight="1" x14ac:dyDescent="0.2">
      <c r="A848" s="43"/>
      <c r="B848" s="45">
        <v>141</v>
      </c>
      <c r="C848" s="46">
        <f>IF($A$1='Data Entry'!$C849,'Data Entry'!D849,"")</f>
        <v>0</v>
      </c>
      <c r="D848" s="46">
        <f>IF($A$1='Data Entry'!$C849,'Data Entry'!E849,"")</f>
        <v>0</v>
      </c>
      <c r="E848" s="46">
        <f>IF($A$1='Data Entry'!$C849,'Data Entry'!F849,"")</f>
        <v>0</v>
      </c>
      <c r="F848" s="46">
        <f>IF($A$1='Data Entry'!$C849,'Data Entry'!G849,"")</f>
        <v>0</v>
      </c>
      <c r="G848" s="46">
        <f>IF($A$1='Data Entry'!$C849,'Data Entry'!H849,"")</f>
        <v>0</v>
      </c>
      <c r="H848" s="46">
        <f>IF($A$1='Data Entry'!$C849,'Data Entry'!I849,"")</f>
        <v>0</v>
      </c>
      <c r="I848" s="46">
        <f>IF($A$1='Data Entry'!$C849,'Data Entry'!J849,"")</f>
        <v>0</v>
      </c>
      <c r="J848" s="46">
        <f>IF($A$1='Data Entry'!$C849,'Data Entry'!K849,"")</f>
        <v>0</v>
      </c>
      <c r="K848" s="46">
        <f>IF($A$1='Data Entry'!$C849,'Data Entry'!L849,"")</f>
        <v>0</v>
      </c>
      <c r="L848" s="46">
        <f>IF($A$1='Data Entry'!$C849,'Data Entry'!M849,"")</f>
        <v>0</v>
      </c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  <c r="AA848" s="43"/>
      <c r="AB848" s="43"/>
      <c r="AC848" s="43"/>
      <c r="AD848" s="43"/>
      <c r="AE848" s="43"/>
      <c r="AF848" s="43"/>
      <c r="AG848" s="43"/>
      <c r="AH848" s="43"/>
      <c r="AI848" s="43"/>
      <c r="AJ848" s="43"/>
    </row>
    <row r="849" spans="1:36" ht="15.95" customHeight="1" x14ac:dyDescent="0.2">
      <c r="A849" s="43"/>
      <c r="B849" s="45">
        <v>142</v>
      </c>
      <c r="C849" s="46">
        <f>IF($A$1='Data Entry'!$C850,'Data Entry'!D850,"")</f>
        <v>0</v>
      </c>
      <c r="D849" s="46">
        <f>IF($A$1='Data Entry'!$C850,'Data Entry'!E850,"")</f>
        <v>0</v>
      </c>
      <c r="E849" s="46">
        <f>IF($A$1='Data Entry'!$C850,'Data Entry'!F850,"")</f>
        <v>0</v>
      </c>
      <c r="F849" s="46">
        <f>IF($A$1='Data Entry'!$C850,'Data Entry'!G850,"")</f>
        <v>0</v>
      </c>
      <c r="G849" s="46">
        <f>IF($A$1='Data Entry'!$C850,'Data Entry'!H850,"")</f>
        <v>0</v>
      </c>
      <c r="H849" s="46">
        <f>IF($A$1='Data Entry'!$C850,'Data Entry'!I850,"")</f>
        <v>0</v>
      </c>
      <c r="I849" s="46">
        <f>IF($A$1='Data Entry'!$C850,'Data Entry'!J850,"")</f>
        <v>0</v>
      </c>
      <c r="J849" s="46">
        <f>IF($A$1='Data Entry'!$C850,'Data Entry'!K850,"")</f>
        <v>0</v>
      </c>
      <c r="K849" s="46">
        <f>IF($A$1='Data Entry'!$C850,'Data Entry'!L850,"")</f>
        <v>0</v>
      </c>
      <c r="L849" s="46">
        <f>IF($A$1='Data Entry'!$C850,'Data Entry'!M850,"")</f>
        <v>0</v>
      </c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  <c r="AA849" s="43"/>
      <c r="AB849" s="43"/>
      <c r="AC849" s="43"/>
      <c r="AD849" s="43"/>
      <c r="AE849" s="43"/>
      <c r="AF849" s="43"/>
      <c r="AG849" s="43"/>
      <c r="AH849" s="43"/>
      <c r="AI849" s="43"/>
      <c r="AJ849" s="43"/>
    </row>
    <row r="850" spans="1:36" ht="15.95" customHeight="1" x14ac:dyDescent="0.2">
      <c r="A850" s="43"/>
      <c r="B850" s="45">
        <v>142</v>
      </c>
      <c r="C850" s="46">
        <f>IF($A$1='Data Entry'!$C851,'Data Entry'!D851,"")</f>
        <v>0</v>
      </c>
      <c r="D850" s="46">
        <f>IF($A$1='Data Entry'!$C851,'Data Entry'!E851,"")</f>
        <v>0</v>
      </c>
      <c r="E850" s="46">
        <f>IF($A$1='Data Entry'!$C851,'Data Entry'!F851,"")</f>
        <v>0</v>
      </c>
      <c r="F850" s="46">
        <f>IF($A$1='Data Entry'!$C851,'Data Entry'!G851,"")</f>
        <v>0</v>
      </c>
      <c r="G850" s="46">
        <f>IF($A$1='Data Entry'!$C851,'Data Entry'!H851,"")</f>
        <v>0</v>
      </c>
      <c r="H850" s="46">
        <f>IF($A$1='Data Entry'!$C851,'Data Entry'!I851,"")</f>
        <v>0</v>
      </c>
      <c r="I850" s="46">
        <f>IF($A$1='Data Entry'!$C851,'Data Entry'!J851,"")</f>
        <v>0</v>
      </c>
      <c r="J850" s="46">
        <f>IF($A$1='Data Entry'!$C851,'Data Entry'!K851,"")</f>
        <v>0</v>
      </c>
      <c r="K850" s="46">
        <f>IF($A$1='Data Entry'!$C851,'Data Entry'!L851,"")</f>
        <v>0</v>
      </c>
      <c r="L850" s="46">
        <f>IF($A$1='Data Entry'!$C851,'Data Entry'!M851,"")</f>
        <v>0</v>
      </c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  <c r="AA850" s="43"/>
      <c r="AB850" s="43"/>
      <c r="AC850" s="43"/>
      <c r="AD850" s="43"/>
      <c r="AE850" s="43"/>
      <c r="AF850" s="43"/>
      <c r="AG850" s="43"/>
      <c r="AH850" s="43"/>
      <c r="AI850" s="43"/>
      <c r="AJ850" s="43"/>
    </row>
    <row r="851" spans="1:36" ht="15.95" customHeight="1" x14ac:dyDescent="0.2">
      <c r="A851" s="43"/>
      <c r="B851" s="45">
        <v>142</v>
      </c>
      <c r="C851" s="46">
        <f>IF($A$1='Data Entry'!$C852,'Data Entry'!D852,"")</f>
        <v>0</v>
      </c>
      <c r="D851" s="46">
        <f>IF($A$1='Data Entry'!$C852,'Data Entry'!E852,"")</f>
        <v>0</v>
      </c>
      <c r="E851" s="46">
        <f>IF($A$1='Data Entry'!$C852,'Data Entry'!F852,"")</f>
        <v>0</v>
      </c>
      <c r="F851" s="46">
        <f>IF($A$1='Data Entry'!$C852,'Data Entry'!G852,"")</f>
        <v>0</v>
      </c>
      <c r="G851" s="46">
        <f>IF($A$1='Data Entry'!$C852,'Data Entry'!H852,"")</f>
        <v>0</v>
      </c>
      <c r="H851" s="46">
        <f>IF($A$1='Data Entry'!$C852,'Data Entry'!I852,"")</f>
        <v>0</v>
      </c>
      <c r="I851" s="46">
        <f>IF($A$1='Data Entry'!$C852,'Data Entry'!J852,"")</f>
        <v>0</v>
      </c>
      <c r="J851" s="46">
        <f>IF($A$1='Data Entry'!$C852,'Data Entry'!K852,"")</f>
        <v>0</v>
      </c>
      <c r="K851" s="46">
        <f>IF($A$1='Data Entry'!$C852,'Data Entry'!L852,"")</f>
        <v>0</v>
      </c>
      <c r="L851" s="46">
        <f>IF($A$1='Data Entry'!$C852,'Data Entry'!M852,"")</f>
        <v>0</v>
      </c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  <c r="AA851" s="43"/>
      <c r="AB851" s="43"/>
      <c r="AC851" s="43"/>
      <c r="AD851" s="43"/>
      <c r="AE851" s="43"/>
      <c r="AF851" s="43"/>
      <c r="AG851" s="43"/>
      <c r="AH851" s="43"/>
      <c r="AI851" s="43"/>
      <c r="AJ851" s="43"/>
    </row>
    <row r="852" spans="1:36" ht="15.95" customHeight="1" x14ac:dyDescent="0.2">
      <c r="A852" s="43"/>
      <c r="B852" s="45">
        <v>142</v>
      </c>
      <c r="C852" s="46">
        <f>IF($A$1='Data Entry'!$C853,'Data Entry'!D853,"")</f>
        <v>0</v>
      </c>
      <c r="D852" s="46">
        <f>IF($A$1='Data Entry'!$C853,'Data Entry'!E853,"")</f>
        <v>0</v>
      </c>
      <c r="E852" s="46">
        <f>IF($A$1='Data Entry'!$C853,'Data Entry'!F853,"")</f>
        <v>0</v>
      </c>
      <c r="F852" s="46">
        <f>IF($A$1='Data Entry'!$C853,'Data Entry'!G853,"")</f>
        <v>0</v>
      </c>
      <c r="G852" s="46">
        <f>IF($A$1='Data Entry'!$C853,'Data Entry'!H853,"")</f>
        <v>0</v>
      </c>
      <c r="H852" s="46">
        <f>IF($A$1='Data Entry'!$C853,'Data Entry'!I853,"")</f>
        <v>0</v>
      </c>
      <c r="I852" s="46">
        <f>IF($A$1='Data Entry'!$C853,'Data Entry'!J853,"")</f>
        <v>0</v>
      </c>
      <c r="J852" s="46">
        <f>IF($A$1='Data Entry'!$C853,'Data Entry'!K853,"")</f>
        <v>0</v>
      </c>
      <c r="K852" s="46">
        <f>IF($A$1='Data Entry'!$C853,'Data Entry'!L853,"")</f>
        <v>0</v>
      </c>
      <c r="L852" s="46">
        <f>IF($A$1='Data Entry'!$C853,'Data Entry'!M853,"")</f>
        <v>0</v>
      </c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  <c r="AA852" s="43"/>
      <c r="AB852" s="43"/>
      <c r="AC852" s="43"/>
      <c r="AD852" s="43"/>
      <c r="AE852" s="43"/>
      <c r="AF852" s="43"/>
      <c r="AG852" s="43"/>
      <c r="AH852" s="43"/>
      <c r="AI852" s="43"/>
      <c r="AJ852" s="43"/>
    </row>
    <row r="853" spans="1:36" ht="15.95" customHeight="1" x14ac:dyDescent="0.2">
      <c r="A853" s="43"/>
      <c r="B853" s="45">
        <v>142</v>
      </c>
      <c r="C853" s="46">
        <f>IF($A$1='Data Entry'!$C854,'Data Entry'!D854,"")</f>
        <v>0</v>
      </c>
      <c r="D853" s="46">
        <f>IF($A$1='Data Entry'!$C854,'Data Entry'!E854,"")</f>
        <v>0</v>
      </c>
      <c r="E853" s="46">
        <f>IF($A$1='Data Entry'!$C854,'Data Entry'!F854,"")</f>
        <v>0</v>
      </c>
      <c r="F853" s="46">
        <f>IF($A$1='Data Entry'!$C854,'Data Entry'!G854,"")</f>
        <v>0</v>
      </c>
      <c r="G853" s="46">
        <f>IF($A$1='Data Entry'!$C854,'Data Entry'!H854,"")</f>
        <v>0</v>
      </c>
      <c r="H853" s="46">
        <f>IF($A$1='Data Entry'!$C854,'Data Entry'!I854,"")</f>
        <v>0</v>
      </c>
      <c r="I853" s="46">
        <f>IF($A$1='Data Entry'!$C854,'Data Entry'!J854,"")</f>
        <v>0</v>
      </c>
      <c r="J853" s="46">
        <f>IF($A$1='Data Entry'!$C854,'Data Entry'!K854,"")</f>
        <v>0</v>
      </c>
      <c r="K853" s="46">
        <f>IF($A$1='Data Entry'!$C854,'Data Entry'!L854,"")</f>
        <v>0</v>
      </c>
      <c r="L853" s="46">
        <f>IF($A$1='Data Entry'!$C854,'Data Entry'!M854,"")</f>
        <v>0</v>
      </c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  <c r="AA853" s="43"/>
      <c r="AB853" s="43"/>
      <c r="AC853" s="43"/>
      <c r="AD853" s="43"/>
      <c r="AE853" s="43"/>
      <c r="AF853" s="43"/>
      <c r="AG853" s="43"/>
      <c r="AH853" s="43"/>
      <c r="AI853" s="43"/>
      <c r="AJ853" s="43"/>
    </row>
    <row r="854" spans="1:36" ht="15.95" customHeight="1" x14ac:dyDescent="0.2">
      <c r="A854" s="43"/>
      <c r="B854" s="45">
        <v>142</v>
      </c>
      <c r="C854" s="46">
        <f>IF($A$1='Data Entry'!$C855,'Data Entry'!D855,"")</f>
        <v>0</v>
      </c>
      <c r="D854" s="46">
        <f>IF($A$1='Data Entry'!$C855,'Data Entry'!E855,"")</f>
        <v>0</v>
      </c>
      <c r="E854" s="46">
        <f>IF($A$1='Data Entry'!$C855,'Data Entry'!F855,"")</f>
        <v>0</v>
      </c>
      <c r="F854" s="46">
        <f>IF($A$1='Data Entry'!$C855,'Data Entry'!G855,"")</f>
        <v>0</v>
      </c>
      <c r="G854" s="46">
        <f>IF($A$1='Data Entry'!$C855,'Data Entry'!H855,"")</f>
        <v>0</v>
      </c>
      <c r="H854" s="46">
        <f>IF($A$1='Data Entry'!$C855,'Data Entry'!I855,"")</f>
        <v>0</v>
      </c>
      <c r="I854" s="46">
        <f>IF($A$1='Data Entry'!$C855,'Data Entry'!J855,"")</f>
        <v>0</v>
      </c>
      <c r="J854" s="46">
        <f>IF($A$1='Data Entry'!$C855,'Data Entry'!K855,"")</f>
        <v>0</v>
      </c>
      <c r="K854" s="46">
        <f>IF($A$1='Data Entry'!$C855,'Data Entry'!L855,"")</f>
        <v>0</v>
      </c>
      <c r="L854" s="46">
        <f>IF($A$1='Data Entry'!$C855,'Data Entry'!M855,"")</f>
        <v>0</v>
      </c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  <c r="AA854" s="43"/>
      <c r="AB854" s="43"/>
      <c r="AC854" s="43"/>
      <c r="AD854" s="43"/>
      <c r="AE854" s="43"/>
      <c r="AF854" s="43"/>
      <c r="AG854" s="43"/>
      <c r="AH854" s="43"/>
      <c r="AI854" s="43"/>
      <c r="AJ854" s="43"/>
    </row>
    <row r="855" spans="1:36" ht="15.95" customHeight="1" x14ac:dyDescent="0.2">
      <c r="A855" s="43"/>
      <c r="B855" s="45">
        <v>143</v>
      </c>
      <c r="C855" s="46">
        <f>IF($A$1='Data Entry'!$C856,'Data Entry'!D856,"")</f>
        <v>0</v>
      </c>
      <c r="D855" s="46">
        <f>IF($A$1='Data Entry'!$C856,'Data Entry'!E856,"")</f>
        <v>0</v>
      </c>
      <c r="E855" s="46">
        <f>IF($A$1='Data Entry'!$C856,'Data Entry'!F856,"")</f>
        <v>0</v>
      </c>
      <c r="F855" s="46">
        <f>IF($A$1='Data Entry'!$C856,'Data Entry'!G856,"")</f>
        <v>0</v>
      </c>
      <c r="G855" s="46">
        <f>IF($A$1='Data Entry'!$C856,'Data Entry'!H856,"")</f>
        <v>0</v>
      </c>
      <c r="H855" s="46">
        <f>IF($A$1='Data Entry'!$C856,'Data Entry'!I856,"")</f>
        <v>0</v>
      </c>
      <c r="I855" s="46">
        <f>IF($A$1='Data Entry'!$C856,'Data Entry'!J856,"")</f>
        <v>0</v>
      </c>
      <c r="J855" s="46">
        <f>IF($A$1='Data Entry'!$C856,'Data Entry'!K856,"")</f>
        <v>0</v>
      </c>
      <c r="K855" s="46">
        <f>IF($A$1='Data Entry'!$C856,'Data Entry'!L856,"")</f>
        <v>0</v>
      </c>
      <c r="L855" s="46">
        <f>IF($A$1='Data Entry'!$C856,'Data Entry'!M856,"")</f>
        <v>0</v>
      </c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  <c r="AA855" s="43"/>
      <c r="AB855" s="43"/>
      <c r="AC855" s="43"/>
      <c r="AD855" s="43"/>
      <c r="AE855" s="43"/>
      <c r="AF855" s="43"/>
      <c r="AG855" s="43"/>
      <c r="AH855" s="43"/>
      <c r="AI855" s="43"/>
      <c r="AJ855" s="43"/>
    </row>
    <row r="856" spans="1:36" ht="15.95" customHeight="1" x14ac:dyDescent="0.2">
      <c r="A856" s="43"/>
      <c r="B856" s="45">
        <v>143</v>
      </c>
      <c r="C856" s="46">
        <f>IF($A$1='Data Entry'!$C857,'Data Entry'!D857,"")</f>
        <v>0</v>
      </c>
      <c r="D856" s="46">
        <f>IF($A$1='Data Entry'!$C857,'Data Entry'!E857,"")</f>
        <v>0</v>
      </c>
      <c r="E856" s="46">
        <f>IF($A$1='Data Entry'!$C857,'Data Entry'!F857,"")</f>
        <v>0</v>
      </c>
      <c r="F856" s="46">
        <f>IF($A$1='Data Entry'!$C857,'Data Entry'!G857,"")</f>
        <v>0</v>
      </c>
      <c r="G856" s="46">
        <f>IF($A$1='Data Entry'!$C857,'Data Entry'!H857,"")</f>
        <v>0</v>
      </c>
      <c r="H856" s="46">
        <f>IF($A$1='Data Entry'!$C857,'Data Entry'!I857,"")</f>
        <v>0</v>
      </c>
      <c r="I856" s="46">
        <f>IF($A$1='Data Entry'!$C857,'Data Entry'!J857,"")</f>
        <v>0</v>
      </c>
      <c r="J856" s="46">
        <f>IF($A$1='Data Entry'!$C857,'Data Entry'!K857,"")</f>
        <v>0</v>
      </c>
      <c r="K856" s="46">
        <f>IF($A$1='Data Entry'!$C857,'Data Entry'!L857,"")</f>
        <v>0</v>
      </c>
      <c r="L856" s="46">
        <f>IF($A$1='Data Entry'!$C857,'Data Entry'!M857,"")</f>
        <v>0</v>
      </c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  <c r="AA856" s="43"/>
      <c r="AB856" s="43"/>
      <c r="AC856" s="43"/>
      <c r="AD856" s="43"/>
      <c r="AE856" s="43"/>
      <c r="AF856" s="43"/>
      <c r="AG856" s="43"/>
      <c r="AH856" s="43"/>
      <c r="AI856" s="43"/>
      <c r="AJ856" s="43"/>
    </row>
    <row r="857" spans="1:36" ht="15.95" customHeight="1" x14ac:dyDescent="0.2">
      <c r="A857" s="43"/>
      <c r="B857" s="45">
        <v>143</v>
      </c>
      <c r="C857" s="46">
        <f>IF($A$1='Data Entry'!$C858,'Data Entry'!D858,"")</f>
        <v>0</v>
      </c>
      <c r="D857" s="46">
        <f>IF($A$1='Data Entry'!$C858,'Data Entry'!E858,"")</f>
        <v>0</v>
      </c>
      <c r="E857" s="46">
        <f>IF($A$1='Data Entry'!$C858,'Data Entry'!F858,"")</f>
        <v>0</v>
      </c>
      <c r="F857" s="46">
        <f>IF($A$1='Data Entry'!$C858,'Data Entry'!G858,"")</f>
        <v>0</v>
      </c>
      <c r="G857" s="46">
        <f>IF($A$1='Data Entry'!$C858,'Data Entry'!H858,"")</f>
        <v>0</v>
      </c>
      <c r="H857" s="46">
        <f>IF($A$1='Data Entry'!$C858,'Data Entry'!I858,"")</f>
        <v>0</v>
      </c>
      <c r="I857" s="46">
        <f>IF($A$1='Data Entry'!$C858,'Data Entry'!J858,"")</f>
        <v>0</v>
      </c>
      <c r="J857" s="46">
        <f>IF($A$1='Data Entry'!$C858,'Data Entry'!K858,"")</f>
        <v>0</v>
      </c>
      <c r="K857" s="46">
        <f>IF($A$1='Data Entry'!$C858,'Data Entry'!L858,"")</f>
        <v>0</v>
      </c>
      <c r="L857" s="46">
        <f>IF($A$1='Data Entry'!$C858,'Data Entry'!M858,"")</f>
        <v>0</v>
      </c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  <c r="AA857" s="43"/>
      <c r="AB857" s="43"/>
      <c r="AC857" s="43"/>
      <c r="AD857" s="43"/>
      <c r="AE857" s="43"/>
      <c r="AF857" s="43"/>
      <c r="AG857" s="43"/>
      <c r="AH857" s="43"/>
      <c r="AI857" s="43"/>
      <c r="AJ857" s="43"/>
    </row>
    <row r="858" spans="1:36" ht="15.95" customHeight="1" x14ac:dyDescent="0.2">
      <c r="A858" s="43"/>
      <c r="B858" s="45">
        <v>143</v>
      </c>
      <c r="C858" s="46">
        <f>IF($A$1='Data Entry'!$C859,'Data Entry'!D859,"")</f>
        <v>0</v>
      </c>
      <c r="D858" s="46">
        <f>IF($A$1='Data Entry'!$C859,'Data Entry'!E859,"")</f>
        <v>0</v>
      </c>
      <c r="E858" s="46">
        <f>IF($A$1='Data Entry'!$C859,'Data Entry'!F859,"")</f>
        <v>0</v>
      </c>
      <c r="F858" s="46">
        <f>IF($A$1='Data Entry'!$C859,'Data Entry'!G859,"")</f>
        <v>0</v>
      </c>
      <c r="G858" s="46">
        <f>IF($A$1='Data Entry'!$C859,'Data Entry'!H859,"")</f>
        <v>0</v>
      </c>
      <c r="H858" s="46">
        <f>IF($A$1='Data Entry'!$C859,'Data Entry'!I859,"")</f>
        <v>0</v>
      </c>
      <c r="I858" s="46">
        <f>IF($A$1='Data Entry'!$C859,'Data Entry'!J859,"")</f>
        <v>0</v>
      </c>
      <c r="J858" s="46">
        <f>IF($A$1='Data Entry'!$C859,'Data Entry'!K859,"")</f>
        <v>0</v>
      </c>
      <c r="K858" s="46">
        <f>IF($A$1='Data Entry'!$C859,'Data Entry'!L859,"")</f>
        <v>0</v>
      </c>
      <c r="L858" s="46">
        <f>IF($A$1='Data Entry'!$C859,'Data Entry'!M859,"")</f>
        <v>0</v>
      </c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  <c r="AA858" s="43"/>
      <c r="AB858" s="43"/>
      <c r="AC858" s="43"/>
      <c r="AD858" s="43"/>
      <c r="AE858" s="43"/>
      <c r="AF858" s="43"/>
      <c r="AG858" s="43"/>
      <c r="AH858" s="43"/>
      <c r="AI858" s="43"/>
      <c r="AJ858" s="43"/>
    </row>
    <row r="859" spans="1:36" ht="15.95" customHeight="1" x14ac:dyDescent="0.2">
      <c r="A859" s="43"/>
      <c r="B859" s="45">
        <v>143</v>
      </c>
      <c r="C859" s="46">
        <f>IF($A$1='Data Entry'!$C860,'Data Entry'!D860,"")</f>
        <v>0</v>
      </c>
      <c r="D859" s="46">
        <f>IF($A$1='Data Entry'!$C860,'Data Entry'!E860,"")</f>
        <v>0</v>
      </c>
      <c r="E859" s="46">
        <f>IF($A$1='Data Entry'!$C860,'Data Entry'!F860,"")</f>
        <v>0</v>
      </c>
      <c r="F859" s="46">
        <f>IF($A$1='Data Entry'!$C860,'Data Entry'!G860,"")</f>
        <v>0</v>
      </c>
      <c r="G859" s="46">
        <f>IF($A$1='Data Entry'!$C860,'Data Entry'!H860,"")</f>
        <v>0</v>
      </c>
      <c r="H859" s="46">
        <f>IF($A$1='Data Entry'!$C860,'Data Entry'!I860,"")</f>
        <v>0</v>
      </c>
      <c r="I859" s="46">
        <f>IF($A$1='Data Entry'!$C860,'Data Entry'!J860,"")</f>
        <v>0</v>
      </c>
      <c r="J859" s="46">
        <f>IF($A$1='Data Entry'!$C860,'Data Entry'!K860,"")</f>
        <v>0</v>
      </c>
      <c r="K859" s="46">
        <f>IF($A$1='Data Entry'!$C860,'Data Entry'!L860,"")</f>
        <v>0</v>
      </c>
      <c r="L859" s="46">
        <f>IF($A$1='Data Entry'!$C860,'Data Entry'!M860,"")</f>
        <v>0</v>
      </c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  <c r="AA859" s="43"/>
      <c r="AB859" s="43"/>
      <c r="AC859" s="43"/>
      <c r="AD859" s="43"/>
      <c r="AE859" s="43"/>
      <c r="AF859" s="43"/>
      <c r="AG859" s="43"/>
      <c r="AH859" s="43"/>
      <c r="AI859" s="43"/>
      <c r="AJ859" s="43"/>
    </row>
    <row r="860" spans="1:36" ht="15.95" customHeight="1" x14ac:dyDescent="0.2">
      <c r="A860" s="43"/>
      <c r="B860" s="45">
        <v>143</v>
      </c>
      <c r="C860" s="46">
        <f>IF($A$1='Data Entry'!$C861,'Data Entry'!D861,"")</f>
        <v>0</v>
      </c>
      <c r="D860" s="46">
        <f>IF($A$1='Data Entry'!$C861,'Data Entry'!E861,"")</f>
        <v>0</v>
      </c>
      <c r="E860" s="46">
        <f>IF($A$1='Data Entry'!$C861,'Data Entry'!F861,"")</f>
        <v>0</v>
      </c>
      <c r="F860" s="46">
        <f>IF($A$1='Data Entry'!$C861,'Data Entry'!G861,"")</f>
        <v>0</v>
      </c>
      <c r="G860" s="46">
        <f>IF($A$1='Data Entry'!$C861,'Data Entry'!H861,"")</f>
        <v>0</v>
      </c>
      <c r="H860" s="46">
        <f>IF($A$1='Data Entry'!$C861,'Data Entry'!I861,"")</f>
        <v>0</v>
      </c>
      <c r="I860" s="46">
        <f>IF($A$1='Data Entry'!$C861,'Data Entry'!J861,"")</f>
        <v>0</v>
      </c>
      <c r="J860" s="46">
        <f>IF($A$1='Data Entry'!$C861,'Data Entry'!K861,"")</f>
        <v>0</v>
      </c>
      <c r="K860" s="46">
        <f>IF($A$1='Data Entry'!$C861,'Data Entry'!L861,"")</f>
        <v>0</v>
      </c>
      <c r="L860" s="46">
        <f>IF($A$1='Data Entry'!$C861,'Data Entry'!M861,"")</f>
        <v>0</v>
      </c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  <c r="AA860" s="43"/>
      <c r="AB860" s="43"/>
      <c r="AC860" s="43"/>
      <c r="AD860" s="43"/>
      <c r="AE860" s="43"/>
      <c r="AF860" s="43"/>
      <c r="AG860" s="43"/>
      <c r="AH860" s="43"/>
      <c r="AI860" s="43"/>
      <c r="AJ860" s="43"/>
    </row>
    <row r="861" spans="1:36" ht="15.95" customHeight="1" x14ac:dyDescent="0.2">
      <c r="A861" s="43"/>
      <c r="B861" s="45">
        <v>144</v>
      </c>
      <c r="C861" s="46">
        <f>IF($A$1='Data Entry'!$C862,'Data Entry'!D862,"")</f>
        <v>0</v>
      </c>
      <c r="D861" s="46">
        <f>IF($A$1='Data Entry'!$C862,'Data Entry'!E862,"")</f>
        <v>0</v>
      </c>
      <c r="E861" s="46">
        <f>IF($A$1='Data Entry'!$C862,'Data Entry'!F862,"")</f>
        <v>0</v>
      </c>
      <c r="F861" s="46">
        <f>IF($A$1='Data Entry'!$C862,'Data Entry'!G862,"")</f>
        <v>0</v>
      </c>
      <c r="G861" s="46">
        <f>IF($A$1='Data Entry'!$C862,'Data Entry'!H862,"")</f>
        <v>0</v>
      </c>
      <c r="H861" s="46">
        <f>IF($A$1='Data Entry'!$C862,'Data Entry'!I862,"")</f>
        <v>0</v>
      </c>
      <c r="I861" s="46">
        <f>IF($A$1='Data Entry'!$C862,'Data Entry'!J862,"")</f>
        <v>0</v>
      </c>
      <c r="J861" s="46">
        <f>IF($A$1='Data Entry'!$C862,'Data Entry'!K862,"")</f>
        <v>0</v>
      </c>
      <c r="K861" s="46">
        <f>IF($A$1='Data Entry'!$C862,'Data Entry'!L862,"")</f>
        <v>0</v>
      </c>
      <c r="L861" s="46">
        <f>IF($A$1='Data Entry'!$C862,'Data Entry'!M862,"")</f>
        <v>0</v>
      </c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  <c r="AA861" s="43"/>
      <c r="AB861" s="43"/>
      <c r="AC861" s="43"/>
      <c r="AD861" s="43"/>
      <c r="AE861" s="43"/>
      <c r="AF861" s="43"/>
      <c r="AG861" s="43"/>
      <c r="AH861" s="43"/>
      <c r="AI861" s="43"/>
      <c r="AJ861" s="43"/>
    </row>
    <row r="862" spans="1:36" ht="15.95" customHeight="1" x14ac:dyDescent="0.2">
      <c r="A862" s="43"/>
      <c r="B862" s="45">
        <v>144</v>
      </c>
      <c r="C862" s="46">
        <f>IF($A$1='Data Entry'!$C863,'Data Entry'!D863,"")</f>
        <v>0</v>
      </c>
      <c r="D862" s="46">
        <f>IF($A$1='Data Entry'!$C863,'Data Entry'!E863,"")</f>
        <v>0</v>
      </c>
      <c r="E862" s="46">
        <f>IF($A$1='Data Entry'!$C863,'Data Entry'!F863,"")</f>
        <v>0</v>
      </c>
      <c r="F862" s="46">
        <f>IF($A$1='Data Entry'!$C863,'Data Entry'!G863,"")</f>
        <v>0</v>
      </c>
      <c r="G862" s="46">
        <f>IF($A$1='Data Entry'!$C863,'Data Entry'!H863,"")</f>
        <v>0</v>
      </c>
      <c r="H862" s="46">
        <f>IF($A$1='Data Entry'!$C863,'Data Entry'!I863,"")</f>
        <v>0</v>
      </c>
      <c r="I862" s="46">
        <f>IF($A$1='Data Entry'!$C863,'Data Entry'!J863,"")</f>
        <v>0</v>
      </c>
      <c r="J862" s="46">
        <f>IF($A$1='Data Entry'!$C863,'Data Entry'!K863,"")</f>
        <v>0</v>
      </c>
      <c r="K862" s="46">
        <f>IF($A$1='Data Entry'!$C863,'Data Entry'!L863,"")</f>
        <v>0</v>
      </c>
      <c r="L862" s="46">
        <f>IF($A$1='Data Entry'!$C863,'Data Entry'!M863,"")</f>
        <v>0</v>
      </c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  <c r="AA862" s="43"/>
      <c r="AB862" s="43"/>
      <c r="AC862" s="43"/>
      <c r="AD862" s="43"/>
      <c r="AE862" s="43"/>
      <c r="AF862" s="43"/>
      <c r="AG862" s="43"/>
      <c r="AH862" s="43"/>
      <c r="AI862" s="43"/>
      <c r="AJ862" s="43"/>
    </row>
    <row r="863" spans="1:36" ht="15.95" customHeight="1" x14ac:dyDescent="0.2">
      <c r="A863" s="43"/>
      <c r="B863" s="45">
        <v>144</v>
      </c>
      <c r="C863" s="46">
        <f>IF($A$1='Data Entry'!$C864,'Data Entry'!D864,"")</f>
        <v>0</v>
      </c>
      <c r="D863" s="46">
        <f>IF($A$1='Data Entry'!$C864,'Data Entry'!E864,"")</f>
        <v>0</v>
      </c>
      <c r="E863" s="46">
        <f>IF($A$1='Data Entry'!$C864,'Data Entry'!F864,"")</f>
        <v>0</v>
      </c>
      <c r="F863" s="46">
        <f>IF($A$1='Data Entry'!$C864,'Data Entry'!G864,"")</f>
        <v>0</v>
      </c>
      <c r="G863" s="46">
        <f>IF($A$1='Data Entry'!$C864,'Data Entry'!H864,"")</f>
        <v>0</v>
      </c>
      <c r="H863" s="46">
        <f>IF($A$1='Data Entry'!$C864,'Data Entry'!I864,"")</f>
        <v>0</v>
      </c>
      <c r="I863" s="46">
        <f>IF($A$1='Data Entry'!$C864,'Data Entry'!J864,"")</f>
        <v>0</v>
      </c>
      <c r="J863" s="46">
        <f>IF($A$1='Data Entry'!$C864,'Data Entry'!K864,"")</f>
        <v>0</v>
      </c>
      <c r="K863" s="46">
        <f>IF($A$1='Data Entry'!$C864,'Data Entry'!L864,"")</f>
        <v>0</v>
      </c>
      <c r="L863" s="46">
        <f>IF($A$1='Data Entry'!$C864,'Data Entry'!M864,"")</f>
        <v>0</v>
      </c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  <c r="AA863" s="43"/>
      <c r="AB863" s="43"/>
      <c r="AC863" s="43"/>
      <c r="AD863" s="43"/>
      <c r="AE863" s="43"/>
      <c r="AF863" s="43"/>
      <c r="AG863" s="43"/>
      <c r="AH863" s="43"/>
      <c r="AI863" s="43"/>
      <c r="AJ863" s="43"/>
    </row>
    <row r="864" spans="1:36" ht="15.95" customHeight="1" x14ac:dyDescent="0.2">
      <c r="A864" s="43"/>
      <c r="B864" s="45">
        <v>144</v>
      </c>
      <c r="C864" s="46">
        <f>IF($A$1='Data Entry'!$C865,'Data Entry'!D865,"")</f>
        <v>0</v>
      </c>
      <c r="D864" s="46">
        <f>IF($A$1='Data Entry'!$C865,'Data Entry'!E865,"")</f>
        <v>0</v>
      </c>
      <c r="E864" s="46">
        <f>IF($A$1='Data Entry'!$C865,'Data Entry'!F865,"")</f>
        <v>0</v>
      </c>
      <c r="F864" s="46">
        <f>IF($A$1='Data Entry'!$C865,'Data Entry'!G865,"")</f>
        <v>0</v>
      </c>
      <c r="G864" s="46">
        <f>IF($A$1='Data Entry'!$C865,'Data Entry'!H865,"")</f>
        <v>0</v>
      </c>
      <c r="H864" s="46">
        <f>IF($A$1='Data Entry'!$C865,'Data Entry'!I865,"")</f>
        <v>0</v>
      </c>
      <c r="I864" s="46">
        <f>IF($A$1='Data Entry'!$C865,'Data Entry'!J865,"")</f>
        <v>0</v>
      </c>
      <c r="J864" s="46">
        <f>IF($A$1='Data Entry'!$C865,'Data Entry'!K865,"")</f>
        <v>0</v>
      </c>
      <c r="K864" s="46">
        <f>IF($A$1='Data Entry'!$C865,'Data Entry'!L865,"")</f>
        <v>0</v>
      </c>
      <c r="L864" s="46">
        <f>IF($A$1='Data Entry'!$C865,'Data Entry'!M865,"")</f>
        <v>0</v>
      </c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  <c r="AA864" s="43"/>
      <c r="AB864" s="43"/>
      <c r="AC864" s="43"/>
      <c r="AD864" s="43"/>
      <c r="AE864" s="43"/>
      <c r="AF864" s="43"/>
      <c r="AG864" s="43"/>
      <c r="AH864" s="43"/>
      <c r="AI864" s="43"/>
      <c r="AJ864" s="43"/>
    </row>
    <row r="865" spans="1:36" ht="15.95" customHeight="1" x14ac:dyDescent="0.2">
      <c r="A865" s="43"/>
      <c r="B865" s="45">
        <v>144</v>
      </c>
      <c r="C865" s="46">
        <f>IF($A$1='Data Entry'!$C866,'Data Entry'!D866,"")</f>
        <v>0</v>
      </c>
      <c r="D865" s="46">
        <f>IF($A$1='Data Entry'!$C866,'Data Entry'!E866,"")</f>
        <v>0</v>
      </c>
      <c r="E865" s="46">
        <f>IF($A$1='Data Entry'!$C866,'Data Entry'!F866,"")</f>
        <v>0</v>
      </c>
      <c r="F865" s="46">
        <f>IF($A$1='Data Entry'!$C866,'Data Entry'!G866,"")</f>
        <v>0</v>
      </c>
      <c r="G865" s="46">
        <f>IF($A$1='Data Entry'!$C866,'Data Entry'!H866,"")</f>
        <v>0</v>
      </c>
      <c r="H865" s="46">
        <f>IF($A$1='Data Entry'!$C866,'Data Entry'!I866,"")</f>
        <v>0</v>
      </c>
      <c r="I865" s="46">
        <f>IF($A$1='Data Entry'!$C866,'Data Entry'!J866,"")</f>
        <v>0</v>
      </c>
      <c r="J865" s="46">
        <f>IF($A$1='Data Entry'!$C866,'Data Entry'!K866,"")</f>
        <v>0</v>
      </c>
      <c r="K865" s="46">
        <f>IF($A$1='Data Entry'!$C866,'Data Entry'!L866,"")</f>
        <v>0</v>
      </c>
      <c r="L865" s="46">
        <f>IF($A$1='Data Entry'!$C866,'Data Entry'!M866,"")</f>
        <v>0</v>
      </c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  <c r="AA865" s="43"/>
      <c r="AB865" s="43"/>
      <c r="AC865" s="43"/>
      <c r="AD865" s="43"/>
      <c r="AE865" s="43"/>
      <c r="AF865" s="43"/>
      <c r="AG865" s="43"/>
      <c r="AH865" s="43"/>
      <c r="AI865" s="43"/>
      <c r="AJ865" s="43"/>
    </row>
    <row r="866" spans="1:36" ht="15.95" customHeight="1" x14ac:dyDescent="0.2">
      <c r="A866" s="43"/>
      <c r="B866" s="45">
        <v>144</v>
      </c>
      <c r="C866" s="46">
        <f>IF($A$1='Data Entry'!$C867,'Data Entry'!D867,"")</f>
        <v>0</v>
      </c>
      <c r="D866" s="46">
        <f>IF($A$1='Data Entry'!$C867,'Data Entry'!E867,"")</f>
        <v>0</v>
      </c>
      <c r="E866" s="46">
        <f>IF($A$1='Data Entry'!$C867,'Data Entry'!F867,"")</f>
        <v>0</v>
      </c>
      <c r="F866" s="46">
        <f>IF($A$1='Data Entry'!$C867,'Data Entry'!G867,"")</f>
        <v>0</v>
      </c>
      <c r="G866" s="46">
        <f>IF($A$1='Data Entry'!$C867,'Data Entry'!H867,"")</f>
        <v>0</v>
      </c>
      <c r="H866" s="46">
        <f>IF($A$1='Data Entry'!$C867,'Data Entry'!I867,"")</f>
        <v>0</v>
      </c>
      <c r="I866" s="46">
        <f>IF($A$1='Data Entry'!$C867,'Data Entry'!J867,"")</f>
        <v>0</v>
      </c>
      <c r="J866" s="46">
        <f>IF($A$1='Data Entry'!$C867,'Data Entry'!K867,"")</f>
        <v>0</v>
      </c>
      <c r="K866" s="46">
        <f>IF($A$1='Data Entry'!$C867,'Data Entry'!L867,"")</f>
        <v>0</v>
      </c>
      <c r="L866" s="46">
        <f>IF($A$1='Data Entry'!$C867,'Data Entry'!M867,"")</f>
        <v>0</v>
      </c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  <c r="AA866" s="43"/>
      <c r="AB866" s="43"/>
      <c r="AC866" s="43"/>
      <c r="AD866" s="43"/>
      <c r="AE866" s="43"/>
      <c r="AF866" s="43"/>
      <c r="AG866" s="43"/>
      <c r="AH866" s="43"/>
      <c r="AI866" s="43"/>
      <c r="AJ866" s="43"/>
    </row>
    <row r="867" spans="1:36" ht="15.95" customHeight="1" x14ac:dyDescent="0.2">
      <c r="A867" s="43"/>
      <c r="B867" s="45">
        <v>145</v>
      </c>
      <c r="C867" s="46">
        <f>IF($A$1='Data Entry'!$C868,'Data Entry'!D868,"")</f>
        <v>0</v>
      </c>
      <c r="D867" s="46">
        <f>IF($A$1='Data Entry'!$C868,'Data Entry'!E868,"")</f>
        <v>0</v>
      </c>
      <c r="E867" s="46">
        <f>IF($A$1='Data Entry'!$C868,'Data Entry'!F868,"")</f>
        <v>0</v>
      </c>
      <c r="F867" s="46">
        <f>IF($A$1='Data Entry'!$C868,'Data Entry'!G868,"")</f>
        <v>0</v>
      </c>
      <c r="G867" s="46">
        <f>IF($A$1='Data Entry'!$C868,'Data Entry'!H868,"")</f>
        <v>0</v>
      </c>
      <c r="H867" s="46">
        <f>IF($A$1='Data Entry'!$C868,'Data Entry'!I868,"")</f>
        <v>0</v>
      </c>
      <c r="I867" s="46">
        <f>IF($A$1='Data Entry'!$C868,'Data Entry'!J868,"")</f>
        <v>0</v>
      </c>
      <c r="J867" s="46">
        <f>IF($A$1='Data Entry'!$C868,'Data Entry'!K868,"")</f>
        <v>0</v>
      </c>
      <c r="K867" s="46">
        <f>IF($A$1='Data Entry'!$C868,'Data Entry'!L868,"")</f>
        <v>0</v>
      </c>
      <c r="L867" s="46">
        <f>IF($A$1='Data Entry'!$C868,'Data Entry'!M868,"")</f>
        <v>0</v>
      </c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  <c r="AA867" s="43"/>
      <c r="AB867" s="43"/>
      <c r="AC867" s="43"/>
      <c r="AD867" s="43"/>
      <c r="AE867" s="43"/>
      <c r="AF867" s="43"/>
      <c r="AG867" s="43"/>
      <c r="AH867" s="43"/>
      <c r="AI867" s="43"/>
      <c r="AJ867" s="43"/>
    </row>
    <row r="868" spans="1:36" ht="15.95" customHeight="1" x14ac:dyDescent="0.2">
      <c r="A868" s="43"/>
      <c r="B868" s="45">
        <v>145</v>
      </c>
      <c r="C868" s="46">
        <f>IF($A$1='Data Entry'!$C869,'Data Entry'!D869,"")</f>
        <v>0</v>
      </c>
      <c r="D868" s="46">
        <f>IF($A$1='Data Entry'!$C869,'Data Entry'!E869,"")</f>
        <v>0</v>
      </c>
      <c r="E868" s="46">
        <f>IF($A$1='Data Entry'!$C869,'Data Entry'!F869,"")</f>
        <v>0</v>
      </c>
      <c r="F868" s="46">
        <f>IF($A$1='Data Entry'!$C869,'Data Entry'!G869,"")</f>
        <v>0</v>
      </c>
      <c r="G868" s="46">
        <f>IF($A$1='Data Entry'!$C869,'Data Entry'!H869,"")</f>
        <v>0</v>
      </c>
      <c r="H868" s="46">
        <f>IF($A$1='Data Entry'!$C869,'Data Entry'!I869,"")</f>
        <v>0</v>
      </c>
      <c r="I868" s="46">
        <f>IF($A$1='Data Entry'!$C869,'Data Entry'!J869,"")</f>
        <v>0</v>
      </c>
      <c r="J868" s="46">
        <f>IF($A$1='Data Entry'!$C869,'Data Entry'!K869,"")</f>
        <v>0</v>
      </c>
      <c r="K868" s="46">
        <f>IF($A$1='Data Entry'!$C869,'Data Entry'!L869,"")</f>
        <v>0</v>
      </c>
      <c r="L868" s="46">
        <f>IF($A$1='Data Entry'!$C869,'Data Entry'!M869,"")</f>
        <v>0</v>
      </c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  <c r="AA868" s="43"/>
      <c r="AB868" s="43"/>
      <c r="AC868" s="43"/>
      <c r="AD868" s="43"/>
      <c r="AE868" s="43"/>
      <c r="AF868" s="43"/>
      <c r="AG868" s="43"/>
      <c r="AH868" s="43"/>
      <c r="AI868" s="43"/>
      <c r="AJ868" s="43"/>
    </row>
    <row r="869" spans="1:36" ht="15.95" customHeight="1" x14ac:dyDescent="0.2">
      <c r="A869" s="43"/>
      <c r="B869" s="45">
        <v>145</v>
      </c>
      <c r="C869" s="46">
        <f>IF($A$1='Data Entry'!$C870,'Data Entry'!D870,"")</f>
        <v>0</v>
      </c>
      <c r="D869" s="46">
        <f>IF($A$1='Data Entry'!$C870,'Data Entry'!E870,"")</f>
        <v>0</v>
      </c>
      <c r="E869" s="46">
        <f>IF($A$1='Data Entry'!$C870,'Data Entry'!F870,"")</f>
        <v>0</v>
      </c>
      <c r="F869" s="46">
        <f>IF($A$1='Data Entry'!$C870,'Data Entry'!G870,"")</f>
        <v>0</v>
      </c>
      <c r="G869" s="46">
        <f>IF($A$1='Data Entry'!$C870,'Data Entry'!H870,"")</f>
        <v>0</v>
      </c>
      <c r="H869" s="46">
        <f>IF($A$1='Data Entry'!$C870,'Data Entry'!I870,"")</f>
        <v>0</v>
      </c>
      <c r="I869" s="46">
        <f>IF($A$1='Data Entry'!$C870,'Data Entry'!J870,"")</f>
        <v>0</v>
      </c>
      <c r="J869" s="46">
        <f>IF($A$1='Data Entry'!$C870,'Data Entry'!K870,"")</f>
        <v>0</v>
      </c>
      <c r="K869" s="46">
        <f>IF($A$1='Data Entry'!$C870,'Data Entry'!L870,"")</f>
        <v>0</v>
      </c>
      <c r="L869" s="46">
        <f>IF($A$1='Data Entry'!$C870,'Data Entry'!M870,"")</f>
        <v>0</v>
      </c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  <c r="AA869" s="43"/>
      <c r="AB869" s="43"/>
      <c r="AC869" s="43"/>
      <c r="AD869" s="43"/>
      <c r="AE869" s="43"/>
      <c r="AF869" s="43"/>
      <c r="AG869" s="43"/>
      <c r="AH869" s="43"/>
      <c r="AI869" s="43"/>
      <c r="AJ869" s="43"/>
    </row>
    <row r="870" spans="1:36" ht="15.95" customHeight="1" x14ac:dyDescent="0.2">
      <c r="A870" s="43"/>
      <c r="B870" s="45">
        <v>145</v>
      </c>
      <c r="C870" s="46">
        <f>IF($A$1='Data Entry'!$C871,'Data Entry'!D871,"")</f>
        <v>0</v>
      </c>
      <c r="D870" s="46">
        <f>IF($A$1='Data Entry'!$C871,'Data Entry'!E871,"")</f>
        <v>0</v>
      </c>
      <c r="E870" s="46">
        <f>IF($A$1='Data Entry'!$C871,'Data Entry'!F871,"")</f>
        <v>0</v>
      </c>
      <c r="F870" s="46">
        <f>IF($A$1='Data Entry'!$C871,'Data Entry'!G871,"")</f>
        <v>0</v>
      </c>
      <c r="G870" s="46">
        <f>IF($A$1='Data Entry'!$C871,'Data Entry'!H871,"")</f>
        <v>0</v>
      </c>
      <c r="H870" s="46">
        <f>IF($A$1='Data Entry'!$C871,'Data Entry'!I871,"")</f>
        <v>0</v>
      </c>
      <c r="I870" s="46">
        <f>IF($A$1='Data Entry'!$C871,'Data Entry'!J871,"")</f>
        <v>0</v>
      </c>
      <c r="J870" s="46">
        <f>IF($A$1='Data Entry'!$C871,'Data Entry'!K871,"")</f>
        <v>0</v>
      </c>
      <c r="K870" s="46">
        <f>IF($A$1='Data Entry'!$C871,'Data Entry'!L871,"")</f>
        <v>0</v>
      </c>
      <c r="L870" s="46">
        <f>IF($A$1='Data Entry'!$C871,'Data Entry'!M871,"")</f>
        <v>0</v>
      </c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  <c r="AA870" s="43"/>
      <c r="AB870" s="43"/>
      <c r="AC870" s="43"/>
      <c r="AD870" s="43"/>
      <c r="AE870" s="43"/>
      <c r="AF870" s="43"/>
      <c r="AG870" s="43"/>
      <c r="AH870" s="43"/>
      <c r="AI870" s="43"/>
      <c r="AJ870" s="43"/>
    </row>
    <row r="871" spans="1:36" ht="15.95" customHeight="1" x14ac:dyDescent="0.2">
      <c r="A871" s="43"/>
      <c r="B871" s="45">
        <v>145</v>
      </c>
      <c r="C871" s="46">
        <f>IF($A$1='Data Entry'!$C872,'Data Entry'!D872,"")</f>
        <v>0</v>
      </c>
      <c r="D871" s="46">
        <f>IF($A$1='Data Entry'!$C872,'Data Entry'!E872,"")</f>
        <v>0</v>
      </c>
      <c r="E871" s="46">
        <f>IF($A$1='Data Entry'!$C872,'Data Entry'!F872,"")</f>
        <v>0</v>
      </c>
      <c r="F871" s="46">
        <f>IF($A$1='Data Entry'!$C872,'Data Entry'!G872,"")</f>
        <v>0</v>
      </c>
      <c r="G871" s="46">
        <f>IF($A$1='Data Entry'!$C872,'Data Entry'!H872,"")</f>
        <v>0</v>
      </c>
      <c r="H871" s="46">
        <f>IF($A$1='Data Entry'!$C872,'Data Entry'!I872,"")</f>
        <v>0</v>
      </c>
      <c r="I871" s="46">
        <f>IF($A$1='Data Entry'!$C872,'Data Entry'!J872,"")</f>
        <v>0</v>
      </c>
      <c r="J871" s="46">
        <f>IF($A$1='Data Entry'!$C872,'Data Entry'!K872,"")</f>
        <v>0</v>
      </c>
      <c r="K871" s="46">
        <f>IF($A$1='Data Entry'!$C872,'Data Entry'!L872,"")</f>
        <v>0</v>
      </c>
      <c r="L871" s="46">
        <f>IF($A$1='Data Entry'!$C872,'Data Entry'!M872,"")</f>
        <v>0</v>
      </c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  <c r="AA871" s="43"/>
      <c r="AB871" s="43"/>
      <c r="AC871" s="43"/>
      <c r="AD871" s="43"/>
      <c r="AE871" s="43"/>
      <c r="AF871" s="43"/>
      <c r="AG871" s="43"/>
      <c r="AH871" s="43"/>
      <c r="AI871" s="43"/>
      <c r="AJ871" s="43"/>
    </row>
    <row r="872" spans="1:36" ht="15.95" customHeight="1" x14ac:dyDescent="0.2">
      <c r="A872" s="43"/>
      <c r="B872" s="45">
        <v>145</v>
      </c>
      <c r="C872" s="46">
        <f>IF($A$1='Data Entry'!$C873,'Data Entry'!D873,"")</f>
        <v>0</v>
      </c>
      <c r="D872" s="46">
        <f>IF($A$1='Data Entry'!$C873,'Data Entry'!E873,"")</f>
        <v>0</v>
      </c>
      <c r="E872" s="46">
        <f>IF($A$1='Data Entry'!$C873,'Data Entry'!F873,"")</f>
        <v>0</v>
      </c>
      <c r="F872" s="46">
        <f>IF($A$1='Data Entry'!$C873,'Data Entry'!G873,"")</f>
        <v>0</v>
      </c>
      <c r="G872" s="46">
        <f>IF($A$1='Data Entry'!$C873,'Data Entry'!H873,"")</f>
        <v>0</v>
      </c>
      <c r="H872" s="46">
        <f>IF($A$1='Data Entry'!$C873,'Data Entry'!I873,"")</f>
        <v>0</v>
      </c>
      <c r="I872" s="46">
        <f>IF($A$1='Data Entry'!$C873,'Data Entry'!J873,"")</f>
        <v>0</v>
      </c>
      <c r="J872" s="46">
        <f>IF($A$1='Data Entry'!$C873,'Data Entry'!K873,"")</f>
        <v>0</v>
      </c>
      <c r="K872" s="46">
        <f>IF($A$1='Data Entry'!$C873,'Data Entry'!L873,"")</f>
        <v>0</v>
      </c>
      <c r="L872" s="46">
        <f>IF($A$1='Data Entry'!$C873,'Data Entry'!M873,"")</f>
        <v>0</v>
      </c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  <c r="AA872" s="43"/>
      <c r="AB872" s="43"/>
      <c r="AC872" s="43"/>
      <c r="AD872" s="43"/>
      <c r="AE872" s="43"/>
      <c r="AF872" s="43"/>
      <c r="AG872" s="43"/>
      <c r="AH872" s="43"/>
      <c r="AI872" s="43"/>
      <c r="AJ872" s="43"/>
    </row>
    <row r="873" spans="1:36" ht="15.95" customHeight="1" x14ac:dyDescent="0.2">
      <c r="A873" s="43"/>
      <c r="B873" s="45">
        <v>146</v>
      </c>
      <c r="C873" s="46">
        <f>IF($A$1='Data Entry'!$C874,'Data Entry'!D874,"")</f>
        <v>0</v>
      </c>
      <c r="D873" s="46">
        <f>IF($A$1='Data Entry'!$C874,'Data Entry'!E874,"")</f>
        <v>0</v>
      </c>
      <c r="E873" s="46">
        <f>IF($A$1='Data Entry'!$C874,'Data Entry'!F874,"")</f>
        <v>0</v>
      </c>
      <c r="F873" s="46">
        <f>IF($A$1='Data Entry'!$C874,'Data Entry'!G874,"")</f>
        <v>0</v>
      </c>
      <c r="G873" s="46">
        <f>IF($A$1='Data Entry'!$C874,'Data Entry'!H874,"")</f>
        <v>0</v>
      </c>
      <c r="H873" s="46">
        <f>IF($A$1='Data Entry'!$C874,'Data Entry'!I874,"")</f>
        <v>0</v>
      </c>
      <c r="I873" s="46">
        <f>IF($A$1='Data Entry'!$C874,'Data Entry'!J874,"")</f>
        <v>0</v>
      </c>
      <c r="J873" s="46">
        <f>IF($A$1='Data Entry'!$C874,'Data Entry'!K874,"")</f>
        <v>0</v>
      </c>
      <c r="K873" s="46">
        <f>IF($A$1='Data Entry'!$C874,'Data Entry'!L874,"")</f>
        <v>0</v>
      </c>
      <c r="L873" s="46">
        <f>IF($A$1='Data Entry'!$C874,'Data Entry'!M874,"")</f>
        <v>0</v>
      </c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  <c r="AA873" s="43"/>
      <c r="AB873" s="43"/>
      <c r="AC873" s="43"/>
      <c r="AD873" s="43"/>
      <c r="AE873" s="43"/>
      <c r="AF873" s="43"/>
      <c r="AG873" s="43"/>
      <c r="AH873" s="43"/>
      <c r="AI873" s="43"/>
      <c r="AJ873" s="43"/>
    </row>
    <row r="874" spans="1:36" ht="15.95" customHeight="1" x14ac:dyDescent="0.2">
      <c r="A874" s="43"/>
      <c r="B874" s="45">
        <v>146</v>
      </c>
      <c r="C874" s="46">
        <f>IF($A$1='Data Entry'!$C875,'Data Entry'!D875,"")</f>
        <v>0</v>
      </c>
      <c r="D874" s="46">
        <f>IF($A$1='Data Entry'!$C875,'Data Entry'!E875,"")</f>
        <v>0</v>
      </c>
      <c r="E874" s="46">
        <f>IF($A$1='Data Entry'!$C875,'Data Entry'!F875,"")</f>
        <v>0</v>
      </c>
      <c r="F874" s="46">
        <f>IF($A$1='Data Entry'!$C875,'Data Entry'!G875,"")</f>
        <v>0</v>
      </c>
      <c r="G874" s="46">
        <f>IF($A$1='Data Entry'!$C875,'Data Entry'!H875,"")</f>
        <v>0</v>
      </c>
      <c r="H874" s="46">
        <f>IF($A$1='Data Entry'!$C875,'Data Entry'!I875,"")</f>
        <v>0</v>
      </c>
      <c r="I874" s="46">
        <f>IF($A$1='Data Entry'!$C875,'Data Entry'!J875,"")</f>
        <v>0</v>
      </c>
      <c r="J874" s="46">
        <f>IF($A$1='Data Entry'!$C875,'Data Entry'!K875,"")</f>
        <v>0</v>
      </c>
      <c r="K874" s="46">
        <f>IF($A$1='Data Entry'!$C875,'Data Entry'!L875,"")</f>
        <v>0</v>
      </c>
      <c r="L874" s="46">
        <f>IF($A$1='Data Entry'!$C875,'Data Entry'!M875,"")</f>
        <v>0</v>
      </c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  <c r="AA874" s="43"/>
      <c r="AB874" s="43"/>
      <c r="AC874" s="43"/>
      <c r="AD874" s="43"/>
      <c r="AE874" s="43"/>
      <c r="AF874" s="43"/>
      <c r="AG874" s="43"/>
      <c r="AH874" s="43"/>
      <c r="AI874" s="43"/>
      <c r="AJ874" s="43"/>
    </row>
    <row r="875" spans="1:36" ht="15.95" customHeight="1" x14ac:dyDescent="0.2">
      <c r="A875" s="43"/>
      <c r="B875" s="45">
        <v>146</v>
      </c>
      <c r="C875" s="46">
        <f>IF($A$1='Data Entry'!$C876,'Data Entry'!D876,"")</f>
        <v>0</v>
      </c>
      <c r="D875" s="46">
        <f>IF($A$1='Data Entry'!$C876,'Data Entry'!E876,"")</f>
        <v>0</v>
      </c>
      <c r="E875" s="46">
        <f>IF($A$1='Data Entry'!$C876,'Data Entry'!F876,"")</f>
        <v>0</v>
      </c>
      <c r="F875" s="46">
        <f>IF($A$1='Data Entry'!$C876,'Data Entry'!G876,"")</f>
        <v>0</v>
      </c>
      <c r="G875" s="46">
        <f>IF($A$1='Data Entry'!$C876,'Data Entry'!H876,"")</f>
        <v>0</v>
      </c>
      <c r="H875" s="46">
        <f>IF($A$1='Data Entry'!$C876,'Data Entry'!I876,"")</f>
        <v>0</v>
      </c>
      <c r="I875" s="46">
        <f>IF($A$1='Data Entry'!$C876,'Data Entry'!J876,"")</f>
        <v>0</v>
      </c>
      <c r="J875" s="46">
        <f>IF($A$1='Data Entry'!$C876,'Data Entry'!K876,"")</f>
        <v>0</v>
      </c>
      <c r="K875" s="46">
        <f>IF($A$1='Data Entry'!$C876,'Data Entry'!L876,"")</f>
        <v>0</v>
      </c>
      <c r="L875" s="46">
        <f>IF($A$1='Data Entry'!$C876,'Data Entry'!M876,"")</f>
        <v>0</v>
      </c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  <c r="AA875" s="43"/>
      <c r="AB875" s="43"/>
      <c r="AC875" s="43"/>
      <c r="AD875" s="43"/>
      <c r="AE875" s="43"/>
      <c r="AF875" s="43"/>
      <c r="AG875" s="43"/>
      <c r="AH875" s="43"/>
      <c r="AI875" s="43"/>
      <c r="AJ875" s="43"/>
    </row>
    <row r="876" spans="1:36" ht="15.95" customHeight="1" x14ac:dyDescent="0.2">
      <c r="A876" s="43"/>
      <c r="B876" s="45">
        <v>146</v>
      </c>
      <c r="C876" s="46">
        <f>IF($A$1='Data Entry'!$C877,'Data Entry'!D877,"")</f>
        <v>0</v>
      </c>
      <c r="D876" s="46">
        <f>IF($A$1='Data Entry'!$C877,'Data Entry'!E877,"")</f>
        <v>0</v>
      </c>
      <c r="E876" s="46">
        <f>IF($A$1='Data Entry'!$C877,'Data Entry'!F877,"")</f>
        <v>0</v>
      </c>
      <c r="F876" s="46">
        <f>IF($A$1='Data Entry'!$C877,'Data Entry'!G877,"")</f>
        <v>0</v>
      </c>
      <c r="G876" s="46">
        <f>IF($A$1='Data Entry'!$C877,'Data Entry'!H877,"")</f>
        <v>0</v>
      </c>
      <c r="H876" s="46">
        <f>IF($A$1='Data Entry'!$C877,'Data Entry'!I877,"")</f>
        <v>0</v>
      </c>
      <c r="I876" s="46">
        <f>IF($A$1='Data Entry'!$C877,'Data Entry'!J877,"")</f>
        <v>0</v>
      </c>
      <c r="J876" s="46">
        <f>IF($A$1='Data Entry'!$C877,'Data Entry'!K877,"")</f>
        <v>0</v>
      </c>
      <c r="K876" s="46">
        <f>IF($A$1='Data Entry'!$C877,'Data Entry'!L877,"")</f>
        <v>0</v>
      </c>
      <c r="L876" s="46">
        <f>IF($A$1='Data Entry'!$C877,'Data Entry'!M877,"")</f>
        <v>0</v>
      </c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  <c r="AA876" s="43"/>
      <c r="AB876" s="43"/>
      <c r="AC876" s="43"/>
      <c r="AD876" s="43"/>
      <c r="AE876" s="43"/>
      <c r="AF876" s="43"/>
      <c r="AG876" s="43"/>
      <c r="AH876" s="43"/>
      <c r="AI876" s="43"/>
      <c r="AJ876" s="43"/>
    </row>
    <row r="877" spans="1:36" ht="15.95" customHeight="1" x14ac:dyDescent="0.2">
      <c r="A877" s="43"/>
      <c r="B877" s="45">
        <v>146</v>
      </c>
      <c r="C877" s="46">
        <f>IF($A$1='Data Entry'!$C878,'Data Entry'!D878,"")</f>
        <v>0</v>
      </c>
      <c r="D877" s="46">
        <f>IF($A$1='Data Entry'!$C878,'Data Entry'!E878,"")</f>
        <v>0</v>
      </c>
      <c r="E877" s="46">
        <f>IF($A$1='Data Entry'!$C878,'Data Entry'!F878,"")</f>
        <v>0</v>
      </c>
      <c r="F877" s="46">
        <f>IF($A$1='Data Entry'!$C878,'Data Entry'!G878,"")</f>
        <v>0</v>
      </c>
      <c r="G877" s="46">
        <f>IF($A$1='Data Entry'!$C878,'Data Entry'!H878,"")</f>
        <v>0</v>
      </c>
      <c r="H877" s="46">
        <f>IF($A$1='Data Entry'!$C878,'Data Entry'!I878,"")</f>
        <v>0</v>
      </c>
      <c r="I877" s="46">
        <f>IF($A$1='Data Entry'!$C878,'Data Entry'!J878,"")</f>
        <v>0</v>
      </c>
      <c r="J877" s="46">
        <f>IF($A$1='Data Entry'!$C878,'Data Entry'!K878,"")</f>
        <v>0</v>
      </c>
      <c r="K877" s="46">
        <f>IF($A$1='Data Entry'!$C878,'Data Entry'!L878,"")</f>
        <v>0</v>
      </c>
      <c r="L877" s="46">
        <f>IF($A$1='Data Entry'!$C878,'Data Entry'!M878,"")</f>
        <v>0</v>
      </c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  <c r="AA877" s="43"/>
      <c r="AB877" s="43"/>
      <c r="AC877" s="43"/>
      <c r="AD877" s="43"/>
      <c r="AE877" s="43"/>
      <c r="AF877" s="43"/>
      <c r="AG877" s="43"/>
      <c r="AH877" s="43"/>
      <c r="AI877" s="43"/>
      <c r="AJ877" s="43"/>
    </row>
    <row r="878" spans="1:36" ht="15.95" customHeight="1" x14ac:dyDescent="0.2">
      <c r="A878" s="43"/>
      <c r="B878" s="45">
        <v>146</v>
      </c>
      <c r="C878" s="46">
        <f>IF($A$1='Data Entry'!$C879,'Data Entry'!D879,"")</f>
        <v>0</v>
      </c>
      <c r="D878" s="46">
        <f>IF($A$1='Data Entry'!$C879,'Data Entry'!E879,"")</f>
        <v>0</v>
      </c>
      <c r="E878" s="46">
        <f>IF($A$1='Data Entry'!$C879,'Data Entry'!F879,"")</f>
        <v>0</v>
      </c>
      <c r="F878" s="46">
        <f>IF($A$1='Data Entry'!$C879,'Data Entry'!G879,"")</f>
        <v>0</v>
      </c>
      <c r="G878" s="46">
        <f>IF($A$1='Data Entry'!$C879,'Data Entry'!H879,"")</f>
        <v>0</v>
      </c>
      <c r="H878" s="46">
        <f>IF($A$1='Data Entry'!$C879,'Data Entry'!I879,"")</f>
        <v>0</v>
      </c>
      <c r="I878" s="46">
        <f>IF($A$1='Data Entry'!$C879,'Data Entry'!J879,"")</f>
        <v>0</v>
      </c>
      <c r="J878" s="46">
        <f>IF($A$1='Data Entry'!$C879,'Data Entry'!K879,"")</f>
        <v>0</v>
      </c>
      <c r="K878" s="46">
        <f>IF($A$1='Data Entry'!$C879,'Data Entry'!L879,"")</f>
        <v>0</v>
      </c>
      <c r="L878" s="46">
        <f>IF($A$1='Data Entry'!$C879,'Data Entry'!M879,"")</f>
        <v>0</v>
      </c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  <c r="AA878" s="43"/>
      <c r="AB878" s="43"/>
      <c r="AC878" s="43"/>
      <c r="AD878" s="43"/>
      <c r="AE878" s="43"/>
      <c r="AF878" s="43"/>
      <c r="AG878" s="43"/>
      <c r="AH878" s="43"/>
      <c r="AI878" s="43"/>
      <c r="AJ878" s="43"/>
    </row>
    <row r="879" spans="1:36" ht="15.95" customHeight="1" x14ac:dyDescent="0.2">
      <c r="A879" s="43"/>
      <c r="B879" s="45">
        <v>147</v>
      </c>
      <c r="C879" s="46">
        <f>IF($A$1='Data Entry'!$C880,'Data Entry'!D880,"")</f>
        <v>0</v>
      </c>
      <c r="D879" s="46">
        <f>IF($A$1='Data Entry'!$C880,'Data Entry'!E880,"")</f>
        <v>0</v>
      </c>
      <c r="E879" s="46">
        <f>IF($A$1='Data Entry'!$C880,'Data Entry'!F880,"")</f>
        <v>0</v>
      </c>
      <c r="F879" s="46">
        <f>IF($A$1='Data Entry'!$C880,'Data Entry'!G880,"")</f>
        <v>0</v>
      </c>
      <c r="G879" s="46">
        <f>IF($A$1='Data Entry'!$C880,'Data Entry'!H880,"")</f>
        <v>0</v>
      </c>
      <c r="H879" s="46">
        <f>IF($A$1='Data Entry'!$C880,'Data Entry'!I880,"")</f>
        <v>0</v>
      </c>
      <c r="I879" s="46">
        <f>IF($A$1='Data Entry'!$C880,'Data Entry'!J880,"")</f>
        <v>0</v>
      </c>
      <c r="J879" s="46">
        <f>IF($A$1='Data Entry'!$C880,'Data Entry'!K880,"")</f>
        <v>0</v>
      </c>
      <c r="K879" s="46">
        <f>IF($A$1='Data Entry'!$C880,'Data Entry'!L880,"")</f>
        <v>0</v>
      </c>
      <c r="L879" s="46">
        <f>IF($A$1='Data Entry'!$C880,'Data Entry'!M880,"")</f>
        <v>0</v>
      </c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  <c r="AA879" s="43"/>
      <c r="AB879" s="43"/>
      <c r="AC879" s="43"/>
      <c r="AD879" s="43"/>
      <c r="AE879" s="43"/>
      <c r="AF879" s="43"/>
      <c r="AG879" s="43"/>
      <c r="AH879" s="43"/>
      <c r="AI879" s="43"/>
      <c r="AJ879" s="43"/>
    </row>
    <row r="880" spans="1:36" ht="15.95" customHeight="1" x14ac:dyDescent="0.2">
      <c r="A880" s="43"/>
      <c r="B880" s="45">
        <v>147</v>
      </c>
      <c r="C880" s="46">
        <f>IF($A$1='Data Entry'!$C881,'Data Entry'!D881,"")</f>
        <v>0</v>
      </c>
      <c r="D880" s="46">
        <f>IF($A$1='Data Entry'!$C881,'Data Entry'!E881,"")</f>
        <v>0</v>
      </c>
      <c r="E880" s="46">
        <f>IF($A$1='Data Entry'!$C881,'Data Entry'!F881,"")</f>
        <v>0</v>
      </c>
      <c r="F880" s="46">
        <f>IF($A$1='Data Entry'!$C881,'Data Entry'!G881,"")</f>
        <v>0</v>
      </c>
      <c r="G880" s="46">
        <f>IF($A$1='Data Entry'!$C881,'Data Entry'!H881,"")</f>
        <v>0</v>
      </c>
      <c r="H880" s="46">
        <f>IF($A$1='Data Entry'!$C881,'Data Entry'!I881,"")</f>
        <v>0</v>
      </c>
      <c r="I880" s="46">
        <f>IF($A$1='Data Entry'!$C881,'Data Entry'!J881,"")</f>
        <v>0</v>
      </c>
      <c r="J880" s="46">
        <f>IF($A$1='Data Entry'!$C881,'Data Entry'!K881,"")</f>
        <v>0</v>
      </c>
      <c r="K880" s="46">
        <f>IF($A$1='Data Entry'!$C881,'Data Entry'!L881,"")</f>
        <v>0</v>
      </c>
      <c r="L880" s="46">
        <f>IF($A$1='Data Entry'!$C881,'Data Entry'!M881,"")</f>
        <v>0</v>
      </c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  <c r="AA880" s="43"/>
      <c r="AB880" s="43"/>
      <c r="AC880" s="43"/>
      <c r="AD880" s="43"/>
      <c r="AE880" s="43"/>
      <c r="AF880" s="43"/>
      <c r="AG880" s="43"/>
      <c r="AH880" s="43"/>
      <c r="AI880" s="43"/>
      <c r="AJ880" s="43"/>
    </row>
    <row r="881" spans="1:36" ht="15.95" customHeight="1" x14ac:dyDescent="0.2">
      <c r="A881" s="43"/>
      <c r="B881" s="45">
        <v>147</v>
      </c>
      <c r="C881" s="46">
        <f>IF($A$1='Data Entry'!$C882,'Data Entry'!D882,"")</f>
        <v>0</v>
      </c>
      <c r="D881" s="46">
        <f>IF($A$1='Data Entry'!$C882,'Data Entry'!E882,"")</f>
        <v>0</v>
      </c>
      <c r="E881" s="46">
        <f>IF($A$1='Data Entry'!$C882,'Data Entry'!F882,"")</f>
        <v>0</v>
      </c>
      <c r="F881" s="46">
        <f>IF($A$1='Data Entry'!$C882,'Data Entry'!G882,"")</f>
        <v>0</v>
      </c>
      <c r="G881" s="46">
        <f>IF($A$1='Data Entry'!$C882,'Data Entry'!H882,"")</f>
        <v>0</v>
      </c>
      <c r="H881" s="46">
        <f>IF($A$1='Data Entry'!$C882,'Data Entry'!I882,"")</f>
        <v>0</v>
      </c>
      <c r="I881" s="46">
        <f>IF($A$1='Data Entry'!$C882,'Data Entry'!J882,"")</f>
        <v>0</v>
      </c>
      <c r="J881" s="46">
        <f>IF($A$1='Data Entry'!$C882,'Data Entry'!K882,"")</f>
        <v>0</v>
      </c>
      <c r="K881" s="46">
        <f>IF($A$1='Data Entry'!$C882,'Data Entry'!L882,"")</f>
        <v>0</v>
      </c>
      <c r="L881" s="46">
        <f>IF($A$1='Data Entry'!$C882,'Data Entry'!M882,"")</f>
        <v>0</v>
      </c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  <c r="AA881" s="43"/>
      <c r="AB881" s="43"/>
      <c r="AC881" s="43"/>
      <c r="AD881" s="43"/>
      <c r="AE881" s="43"/>
      <c r="AF881" s="43"/>
      <c r="AG881" s="43"/>
      <c r="AH881" s="43"/>
      <c r="AI881" s="43"/>
      <c r="AJ881" s="43"/>
    </row>
    <row r="882" spans="1:36" ht="15.95" customHeight="1" x14ac:dyDescent="0.2">
      <c r="A882" s="43"/>
      <c r="B882" s="45">
        <v>147</v>
      </c>
      <c r="C882" s="46">
        <f>IF($A$1='Data Entry'!$C883,'Data Entry'!D883,"")</f>
        <v>0</v>
      </c>
      <c r="D882" s="46">
        <f>IF($A$1='Data Entry'!$C883,'Data Entry'!E883,"")</f>
        <v>0</v>
      </c>
      <c r="E882" s="46">
        <f>IF($A$1='Data Entry'!$C883,'Data Entry'!F883,"")</f>
        <v>0</v>
      </c>
      <c r="F882" s="46">
        <f>IF($A$1='Data Entry'!$C883,'Data Entry'!G883,"")</f>
        <v>0</v>
      </c>
      <c r="G882" s="46">
        <f>IF($A$1='Data Entry'!$C883,'Data Entry'!H883,"")</f>
        <v>0</v>
      </c>
      <c r="H882" s="46">
        <f>IF($A$1='Data Entry'!$C883,'Data Entry'!I883,"")</f>
        <v>0</v>
      </c>
      <c r="I882" s="46">
        <f>IF($A$1='Data Entry'!$C883,'Data Entry'!J883,"")</f>
        <v>0</v>
      </c>
      <c r="J882" s="46">
        <f>IF($A$1='Data Entry'!$C883,'Data Entry'!K883,"")</f>
        <v>0</v>
      </c>
      <c r="K882" s="46">
        <f>IF($A$1='Data Entry'!$C883,'Data Entry'!L883,"")</f>
        <v>0</v>
      </c>
      <c r="L882" s="46">
        <f>IF($A$1='Data Entry'!$C883,'Data Entry'!M883,"")</f>
        <v>0</v>
      </c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  <c r="AA882" s="43"/>
      <c r="AB882" s="43"/>
      <c r="AC882" s="43"/>
      <c r="AD882" s="43"/>
      <c r="AE882" s="43"/>
      <c r="AF882" s="43"/>
      <c r="AG882" s="43"/>
      <c r="AH882" s="43"/>
      <c r="AI882" s="43"/>
      <c r="AJ882" s="43"/>
    </row>
    <row r="883" spans="1:36" ht="15.95" customHeight="1" x14ac:dyDescent="0.2">
      <c r="A883" s="43"/>
      <c r="B883" s="45">
        <v>147</v>
      </c>
      <c r="C883" s="46">
        <f>IF($A$1='Data Entry'!$C884,'Data Entry'!D884,"")</f>
        <v>0</v>
      </c>
      <c r="D883" s="46">
        <f>IF($A$1='Data Entry'!$C884,'Data Entry'!E884,"")</f>
        <v>0</v>
      </c>
      <c r="E883" s="46">
        <f>IF($A$1='Data Entry'!$C884,'Data Entry'!F884,"")</f>
        <v>0</v>
      </c>
      <c r="F883" s="46">
        <f>IF($A$1='Data Entry'!$C884,'Data Entry'!G884,"")</f>
        <v>0</v>
      </c>
      <c r="G883" s="46">
        <f>IF($A$1='Data Entry'!$C884,'Data Entry'!H884,"")</f>
        <v>0</v>
      </c>
      <c r="H883" s="46">
        <f>IF($A$1='Data Entry'!$C884,'Data Entry'!I884,"")</f>
        <v>0</v>
      </c>
      <c r="I883" s="46">
        <f>IF($A$1='Data Entry'!$C884,'Data Entry'!J884,"")</f>
        <v>0</v>
      </c>
      <c r="J883" s="46">
        <f>IF($A$1='Data Entry'!$C884,'Data Entry'!K884,"")</f>
        <v>0</v>
      </c>
      <c r="K883" s="46">
        <f>IF($A$1='Data Entry'!$C884,'Data Entry'!L884,"")</f>
        <v>0</v>
      </c>
      <c r="L883" s="46">
        <f>IF($A$1='Data Entry'!$C884,'Data Entry'!M884,"")</f>
        <v>0</v>
      </c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  <c r="AA883" s="43"/>
      <c r="AB883" s="43"/>
      <c r="AC883" s="43"/>
      <c r="AD883" s="43"/>
      <c r="AE883" s="43"/>
      <c r="AF883" s="43"/>
      <c r="AG883" s="43"/>
      <c r="AH883" s="43"/>
      <c r="AI883" s="43"/>
      <c r="AJ883" s="43"/>
    </row>
    <row r="884" spans="1:36" ht="15.95" customHeight="1" x14ac:dyDescent="0.2">
      <c r="A884" s="43"/>
      <c r="B884" s="45">
        <v>147</v>
      </c>
      <c r="C884" s="46">
        <f>IF($A$1='Data Entry'!$C885,'Data Entry'!D885,"")</f>
        <v>0</v>
      </c>
      <c r="D884" s="46">
        <f>IF($A$1='Data Entry'!$C885,'Data Entry'!E885,"")</f>
        <v>0</v>
      </c>
      <c r="E884" s="46">
        <f>IF($A$1='Data Entry'!$C885,'Data Entry'!F885,"")</f>
        <v>0</v>
      </c>
      <c r="F884" s="46">
        <f>IF($A$1='Data Entry'!$C885,'Data Entry'!G885,"")</f>
        <v>0</v>
      </c>
      <c r="G884" s="46">
        <f>IF($A$1='Data Entry'!$C885,'Data Entry'!H885,"")</f>
        <v>0</v>
      </c>
      <c r="H884" s="46">
        <f>IF($A$1='Data Entry'!$C885,'Data Entry'!I885,"")</f>
        <v>0</v>
      </c>
      <c r="I884" s="46">
        <f>IF($A$1='Data Entry'!$C885,'Data Entry'!J885,"")</f>
        <v>0</v>
      </c>
      <c r="J884" s="46">
        <f>IF($A$1='Data Entry'!$C885,'Data Entry'!K885,"")</f>
        <v>0</v>
      </c>
      <c r="K884" s="46">
        <f>IF($A$1='Data Entry'!$C885,'Data Entry'!L885,"")</f>
        <v>0</v>
      </c>
      <c r="L884" s="46">
        <f>IF($A$1='Data Entry'!$C885,'Data Entry'!M885,"")</f>
        <v>0</v>
      </c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  <c r="AA884" s="43"/>
      <c r="AB884" s="43"/>
      <c r="AC884" s="43"/>
      <c r="AD884" s="43"/>
      <c r="AE884" s="43"/>
      <c r="AF884" s="43"/>
      <c r="AG884" s="43"/>
      <c r="AH884" s="43"/>
      <c r="AI884" s="43"/>
      <c r="AJ884" s="43"/>
    </row>
    <row r="885" spans="1:36" ht="15.95" customHeight="1" x14ac:dyDescent="0.2">
      <c r="A885" s="43"/>
      <c r="B885" s="45">
        <v>148</v>
      </c>
      <c r="C885" s="46">
        <f>IF($A$1='Data Entry'!$C886,'Data Entry'!D886,"")</f>
        <v>0</v>
      </c>
      <c r="D885" s="46">
        <f>IF($A$1='Data Entry'!$C886,'Data Entry'!E886,"")</f>
        <v>0</v>
      </c>
      <c r="E885" s="46">
        <f>IF($A$1='Data Entry'!$C886,'Data Entry'!F886,"")</f>
        <v>0</v>
      </c>
      <c r="F885" s="46">
        <f>IF($A$1='Data Entry'!$C886,'Data Entry'!G886,"")</f>
        <v>0</v>
      </c>
      <c r="G885" s="46">
        <f>IF($A$1='Data Entry'!$C886,'Data Entry'!H886,"")</f>
        <v>0</v>
      </c>
      <c r="H885" s="46">
        <f>IF($A$1='Data Entry'!$C886,'Data Entry'!I886,"")</f>
        <v>0</v>
      </c>
      <c r="I885" s="46">
        <f>IF($A$1='Data Entry'!$C886,'Data Entry'!J886,"")</f>
        <v>0</v>
      </c>
      <c r="J885" s="46">
        <f>IF($A$1='Data Entry'!$C886,'Data Entry'!K886,"")</f>
        <v>0</v>
      </c>
      <c r="K885" s="46">
        <f>IF($A$1='Data Entry'!$C886,'Data Entry'!L886,"")</f>
        <v>0</v>
      </c>
      <c r="L885" s="46">
        <f>IF($A$1='Data Entry'!$C886,'Data Entry'!M886,"")</f>
        <v>0</v>
      </c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  <c r="AA885" s="43"/>
      <c r="AB885" s="43"/>
      <c r="AC885" s="43"/>
      <c r="AD885" s="43"/>
      <c r="AE885" s="43"/>
      <c r="AF885" s="43"/>
      <c r="AG885" s="43"/>
      <c r="AH885" s="43"/>
      <c r="AI885" s="43"/>
      <c r="AJ885" s="43"/>
    </row>
    <row r="886" spans="1:36" ht="15.95" customHeight="1" x14ac:dyDescent="0.2">
      <c r="A886" s="43"/>
      <c r="B886" s="45">
        <v>148</v>
      </c>
      <c r="C886" s="46">
        <f>IF($A$1='Data Entry'!$C887,'Data Entry'!D887,"")</f>
        <v>0</v>
      </c>
      <c r="D886" s="46">
        <f>IF($A$1='Data Entry'!$C887,'Data Entry'!E887,"")</f>
        <v>0</v>
      </c>
      <c r="E886" s="46">
        <f>IF($A$1='Data Entry'!$C887,'Data Entry'!F887,"")</f>
        <v>0</v>
      </c>
      <c r="F886" s="46">
        <f>IF($A$1='Data Entry'!$C887,'Data Entry'!G887,"")</f>
        <v>0</v>
      </c>
      <c r="G886" s="46">
        <f>IF($A$1='Data Entry'!$C887,'Data Entry'!H887,"")</f>
        <v>0</v>
      </c>
      <c r="H886" s="46">
        <f>IF($A$1='Data Entry'!$C887,'Data Entry'!I887,"")</f>
        <v>0</v>
      </c>
      <c r="I886" s="46">
        <f>IF($A$1='Data Entry'!$C887,'Data Entry'!J887,"")</f>
        <v>0</v>
      </c>
      <c r="J886" s="46">
        <f>IF($A$1='Data Entry'!$C887,'Data Entry'!K887,"")</f>
        <v>0</v>
      </c>
      <c r="K886" s="46">
        <f>IF($A$1='Data Entry'!$C887,'Data Entry'!L887,"")</f>
        <v>0</v>
      </c>
      <c r="L886" s="46">
        <f>IF($A$1='Data Entry'!$C887,'Data Entry'!M887,"")</f>
        <v>0</v>
      </c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  <c r="AA886" s="43"/>
      <c r="AB886" s="43"/>
      <c r="AC886" s="43"/>
      <c r="AD886" s="43"/>
      <c r="AE886" s="43"/>
      <c r="AF886" s="43"/>
      <c r="AG886" s="43"/>
      <c r="AH886" s="43"/>
      <c r="AI886" s="43"/>
      <c r="AJ886" s="43"/>
    </row>
    <row r="887" spans="1:36" ht="15.95" customHeight="1" x14ac:dyDescent="0.2">
      <c r="A887" s="43"/>
      <c r="B887" s="45">
        <v>148</v>
      </c>
      <c r="C887" s="46">
        <f>IF($A$1='Data Entry'!$C888,'Data Entry'!D888,"")</f>
        <v>0</v>
      </c>
      <c r="D887" s="46">
        <f>IF($A$1='Data Entry'!$C888,'Data Entry'!E888,"")</f>
        <v>0</v>
      </c>
      <c r="E887" s="46">
        <f>IF($A$1='Data Entry'!$C888,'Data Entry'!F888,"")</f>
        <v>0</v>
      </c>
      <c r="F887" s="46">
        <f>IF($A$1='Data Entry'!$C888,'Data Entry'!G888,"")</f>
        <v>0</v>
      </c>
      <c r="G887" s="46">
        <f>IF($A$1='Data Entry'!$C888,'Data Entry'!H888,"")</f>
        <v>0</v>
      </c>
      <c r="H887" s="46">
        <f>IF($A$1='Data Entry'!$C888,'Data Entry'!I888,"")</f>
        <v>0</v>
      </c>
      <c r="I887" s="46">
        <f>IF($A$1='Data Entry'!$C888,'Data Entry'!J888,"")</f>
        <v>0</v>
      </c>
      <c r="J887" s="46">
        <f>IF($A$1='Data Entry'!$C888,'Data Entry'!K888,"")</f>
        <v>0</v>
      </c>
      <c r="K887" s="46">
        <f>IF($A$1='Data Entry'!$C888,'Data Entry'!L888,"")</f>
        <v>0</v>
      </c>
      <c r="L887" s="46">
        <f>IF($A$1='Data Entry'!$C888,'Data Entry'!M888,"")</f>
        <v>0</v>
      </c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  <c r="AA887" s="43"/>
      <c r="AB887" s="43"/>
      <c r="AC887" s="43"/>
      <c r="AD887" s="43"/>
      <c r="AE887" s="43"/>
      <c r="AF887" s="43"/>
      <c r="AG887" s="43"/>
      <c r="AH887" s="43"/>
      <c r="AI887" s="43"/>
      <c r="AJ887" s="43"/>
    </row>
    <row r="888" spans="1:36" ht="15.95" customHeight="1" x14ac:dyDescent="0.2">
      <c r="A888" s="43"/>
      <c r="B888" s="45">
        <v>148</v>
      </c>
      <c r="C888" s="46">
        <f>IF($A$1='Data Entry'!$C889,'Data Entry'!D889,"")</f>
        <v>0</v>
      </c>
      <c r="D888" s="46">
        <f>IF($A$1='Data Entry'!$C889,'Data Entry'!E889,"")</f>
        <v>0</v>
      </c>
      <c r="E888" s="46">
        <f>IF($A$1='Data Entry'!$C889,'Data Entry'!F889,"")</f>
        <v>0</v>
      </c>
      <c r="F888" s="46">
        <f>IF($A$1='Data Entry'!$C889,'Data Entry'!G889,"")</f>
        <v>0</v>
      </c>
      <c r="G888" s="46">
        <f>IF($A$1='Data Entry'!$C889,'Data Entry'!H889,"")</f>
        <v>0</v>
      </c>
      <c r="H888" s="46">
        <f>IF($A$1='Data Entry'!$C889,'Data Entry'!I889,"")</f>
        <v>0</v>
      </c>
      <c r="I888" s="46">
        <f>IF($A$1='Data Entry'!$C889,'Data Entry'!J889,"")</f>
        <v>0</v>
      </c>
      <c r="J888" s="46">
        <f>IF($A$1='Data Entry'!$C889,'Data Entry'!K889,"")</f>
        <v>0</v>
      </c>
      <c r="K888" s="46">
        <f>IF($A$1='Data Entry'!$C889,'Data Entry'!L889,"")</f>
        <v>0</v>
      </c>
      <c r="L888" s="46">
        <f>IF($A$1='Data Entry'!$C889,'Data Entry'!M889,"")</f>
        <v>0</v>
      </c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  <c r="AA888" s="43"/>
      <c r="AB888" s="43"/>
      <c r="AC888" s="43"/>
      <c r="AD888" s="43"/>
      <c r="AE888" s="43"/>
      <c r="AF888" s="43"/>
      <c r="AG888" s="43"/>
      <c r="AH888" s="43"/>
      <c r="AI888" s="43"/>
      <c r="AJ888" s="43"/>
    </row>
    <row r="889" spans="1:36" ht="15.95" customHeight="1" x14ac:dyDescent="0.2">
      <c r="A889" s="43"/>
      <c r="B889" s="45">
        <v>148</v>
      </c>
      <c r="C889" s="46">
        <f>IF($A$1='Data Entry'!$C890,'Data Entry'!D890,"")</f>
        <v>0</v>
      </c>
      <c r="D889" s="46">
        <f>IF($A$1='Data Entry'!$C890,'Data Entry'!E890,"")</f>
        <v>0</v>
      </c>
      <c r="E889" s="46">
        <f>IF($A$1='Data Entry'!$C890,'Data Entry'!F890,"")</f>
        <v>0</v>
      </c>
      <c r="F889" s="46">
        <f>IF($A$1='Data Entry'!$C890,'Data Entry'!G890,"")</f>
        <v>0</v>
      </c>
      <c r="G889" s="46">
        <f>IF($A$1='Data Entry'!$C890,'Data Entry'!H890,"")</f>
        <v>0</v>
      </c>
      <c r="H889" s="46">
        <f>IF($A$1='Data Entry'!$C890,'Data Entry'!I890,"")</f>
        <v>0</v>
      </c>
      <c r="I889" s="46">
        <f>IF($A$1='Data Entry'!$C890,'Data Entry'!J890,"")</f>
        <v>0</v>
      </c>
      <c r="J889" s="46">
        <f>IF($A$1='Data Entry'!$C890,'Data Entry'!K890,"")</f>
        <v>0</v>
      </c>
      <c r="K889" s="46">
        <f>IF($A$1='Data Entry'!$C890,'Data Entry'!L890,"")</f>
        <v>0</v>
      </c>
      <c r="L889" s="46">
        <f>IF($A$1='Data Entry'!$C890,'Data Entry'!M890,"")</f>
        <v>0</v>
      </c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  <c r="AA889" s="43"/>
      <c r="AB889" s="43"/>
      <c r="AC889" s="43"/>
      <c r="AD889" s="43"/>
      <c r="AE889" s="43"/>
      <c r="AF889" s="43"/>
      <c r="AG889" s="43"/>
      <c r="AH889" s="43"/>
      <c r="AI889" s="43"/>
      <c r="AJ889" s="43"/>
    </row>
    <row r="890" spans="1:36" ht="15.95" customHeight="1" x14ac:dyDescent="0.2">
      <c r="A890" s="43"/>
      <c r="B890" s="45">
        <v>148</v>
      </c>
      <c r="C890" s="46">
        <f>IF($A$1='Data Entry'!$C891,'Data Entry'!D891,"")</f>
        <v>0</v>
      </c>
      <c r="D890" s="46">
        <f>IF($A$1='Data Entry'!$C891,'Data Entry'!E891,"")</f>
        <v>0</v>
      </c>
      <c r="E890" s="46">
        <f>IF($A$1='Data Entry'!$C891,'Data Entry'!F891,"")</f>
        <v>0</v>
      </c>
      <c r="F890" s="46">
        <f>IF($A$1='Data Entry'!$C891,'Data Entry'!G891,"")</f>
        <v>0</v>
      </c>
      <c r="G890" s="46">
        <f>IF($A$1='Data Entry'!$C891,'Data Entry'!H891,"")</f>
        <v>0</v>
      </c>
      <c r="H890" s="46">
        <f>IF($A$1='Data Entry'!$C891,'Data Entry'!I891,"")</f>
        <v>0</v>
      </c>
      <c r="I890" s="46">
        <f>IF($A$1='Data Entry'!$C891,'Data Entry'!J891,"")</f>
        <v>0</v>
      </c>
      <c r="J890" s="46">
        <f>IF($A$1='Data Entry'!$C891,'Data Entry'!K891,"")</f>
        <v>0</v>
      </c>
      <c r="K890" s="46">
        <f>IF($A$1='Data Entry'!$C891,'Data Entry'!L891,"")</f>
        <v>0</v>
      </c>
      <c r="L890" s="46">
        <f>IF($A$1='Data Entry'!$C891,'Data Entry'!M891,"")</f>
        <v>0</v>
      </c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  <c r="AA890" s="43"/>
      <c r="AB890" s="43"/>
      <c r="AC890" s="43"/>
      <c r="AD890" s="43"/>
      <c r="AE890" s="43"/>
      <c r="AF890" s="43"/>
      <c r="AG890" s="43"/>
      <c r="AH890" s="43"/>
      <c r="AI890" s="43"/>
      <c r="AJ890" s="43"/>
    </row>
    <row r="891" spans="1:36" ht="15.95" customHeight="1" x14ac:dyDescent="0.2">
      <c r="A891" s="43"/>
      <c r="B891" s="45">
        <v>149</v>
      </c>
      <c r="C891" s="46">
        <f>IF($A$1='Data Entry'!$C892,'Data Entry'!D892,"")</f>
        <v>0</v>
      </c>
      <c r="D891" s="46">
        <f>IF($A$1='Data Entry'!$C892,'Data Entry'!E892,"")</f>
        <v>0</v>
      </c>
      <c r="E891" s="46">
        <f>IF($A$1='Data Entry'!$C892,'Data Entry'!F892,"")</f>
        <v>0</v>
      </c>
      <c r="F891" s="46">
        <f>IF($A$1='Data Entry'!$C892,'Data Entry'!G892,"")</f>
        <v>0</v>
      </c>
      <c r="G891" s="46">
        <f>IF($A$1='Data Entry'!$C892,'Data Entry'!H892,"")</f>
        <v>0</v>
      </c>
      <c r="H891" s="46">
        <f>IF($A$1='Data Entry'!$C892,'Data Entry'!I892,"")</f>
        <v>0</v>
      </c>
      <c r="I891" s="46">
        <f>IF($A$1='Data Entry'!$C892,'Data Entry'!J892,"")</f>
        <v>0</v>
      </c>
      <c r="J891" s="46">
        <f>IF($A$1='Data Entry'!$C892,'Data Entry'!K892,"")</f>
        <v>0</v>
      </c>
      <c r="K891" s="46">
        <f>IF($A$1='Data Entry'!$C892,'Data Entry'!L892,"")</f>
        <v>0</v>
      </c>
      <c r="L891" s="46">
        <f>IF($A$1='Data Entry'!$C892,'Data Entry'!M892,"")</f>
        <v>0</v>
      </c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  <c r="AA891" s="43"/>
      <c r="AB891" s="43"/>
      <c r="AC891" s="43"/>
      <c r="AD891" s="43"/>
      <c r="AE891" s="43"/>
      <c r="AF891" s="43"/>
      <c r="AG891" s="43"/>
      <c r="AH891" s="43"/>
      <c r="AI891" s="43"/>
      <c r="AJ891" s="43"/>
    </row>
    <row r="892" spans="1:36" ht="15.95" customHeight="1" x14ac:dyDescent="0.2">
      <c r="A892" s="43"/>
      <c r="B892" s="45">
        <v>149</v>
      </c>
      <c r="C892" s="46">
        <f>IF($A$1='Data Entry'!$C893,'Data Entry'!D893,"")</f>
        <v>0</v>
      </c>
      <c r="D892" s="46">
        <f>IF($A$1='Data Entry'!$C893,'Data Entry'!E893,"")</f>
        <v>0</v>
      </c>
      <c r="E892" s="46">
        <f>IF($A$1='Data Entry'!$C893,'Data Entry'!F893,"")</f>
        <v>0</v>
      </c>
      <c r="F892" s="46">
        <f>IF($A$1='Data Entry'!$C893,'Data Entry'!G893,"")</f>
        <v>0</v>
      </c>
      <c r="G892" s="46">
        <f>IF($A$1='Data Entry'!$C893,'Data Entry'!H893,"")</f>
        <v>0</v>
      </c>
      <c r="H892" s="46">
        <f>IF($A$1='Data Entry'!$C893,'Data Entry'!I893,"")</f>
        <v>0</v>
      </c>
      <c r="I892" s="46">
        <f>IF($A$1='Data Entry'!$C893,'Data Entry'!J893,"")</f>
        <v>0</v>
      </c>
      <c r="J892" s="46">
        <f>IF($A$1='Data Entry'!$C893,'Data Entry'!K893,"")</f>
        <v>0</v>
      </c>
      <c r="K892" s="46">
        <f>IF($A$1='Data Entry'!$C893,'Data Entry'!L893,"")</f>
        <v>0</v>
      </c>
      <c r="L892" s="46">
        <f>IF($A$1='Data Entry'!$C893,'Data Entry'!M893,"")</f>
        <v>0</v>
      </c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  <c r="AA892" s="43"/>
      <c r="AB892" s="43"/>
      <c r="AC892" s="43"/>
      <c r="AD892" s="43"/>
      <c r="AE892" s="43"/>
      <c r="AF892" s="43"/>
      <c r="AG892" s="43"/>
      <c r="AH892" s="43"/>
      <c r="AI892" s="43"/>
      <c r="AJ892" s="43"/>
    </row>
    <row r="893" spans="1:36" ht="15.95" customHeight="1" x14ac:dyDescent="0.2">
      <c r="A893" s="43"/>
      <c r="B893" s="45">
        <v>149</v>
      </c>
      <c r="C893" s="46">
        <f>IF($A$1='Data Entry'!$C894,'Data Entry'!D894,"")</f>
        <v>0</v>
      </c>
      <c r="D893" s="46">
        <f>IF($A$1='Data Entry'!$C894,'Data Entry'!E894,"")</f>
        <v>0</v>
      </c>
      <c r="E893" s="46">
        <f>IF($A$1='Data Entry'!$C894,'Data Entry'!F894,"")</f>
        <v>0</v>
      </c>
      <c r="F893" s="46">
        <f>IF($A$1='Data Entry'!$C894,'Data Entry'!G894,"")</f>
        <v>0</v>
      </c>
      <c r="G893" s="46">
        <f>IF($A$1='Data Entry'!$C894,'Data Entry'!H894,"")</f>
        <v>0</v>
      </c>
      <c r="H893" s="46">
        <f>IF($A$1='Data Entry'!$C894,'Data Entry'!I894,"")</f>
        <v>0</v>
      </c>
      <c r="I893" s="46">
        <f>IF($A$1='Data Entry'!$C894,'Data Entry'!J894,"")</f>
        <v>0</v>
      </c>
      <c r="J893" s="46">
        <f>IF($A$1='Data Entry'!$C894,'Data Entry'!K894,"")</f>
        <v>0</v>
      </c>
      <c r="K893" s="46">
        <f>IF($A$1='Data Entry'!$C894,'Data Entry'!L894,"")</f>
        <v>0</v>
      </c>
      <c r="L893" s="46">
        <f>IF($A$1='Data Entry'!$C894,'Data Entry'!M894,"")</f>
        <v>0</v>
      </c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  <c r="AA893" s="43"/>
      <c r="AB893" s="43"/>
      <c r="AC893" s="43"/>
      <c r="AD893" s="43"/>
      <c r="AE893" s="43"/>
      <c r="AF893" s="43"/>
      <c r="AG893" s="43"/>
      <c r="AH893" s="43"/>
      <c r="AI893" s="43"/>
      <c r="AJ893" s="43"/>
    </row>
    <row r="894" spans="1:36" ht="15.95" customHeight="1" x14ac:dyDescent="0.2">
      <c r="A894" s="43"/>
      <c r="B894" s="45">
        <v>149</v>
      </c>
      <c r="C894" s="46">
        <f>IF($A$1='Data Entry'!$C895,'Data Entry'!D895,"")</f>
        <v>0</v>
      </c>
      <c r="D894" s="46">
        <f>IF($A$1='Data Entry'!$C895,'Data Entry'!E895,"")</f>
        <v>0</v>
      </c>
      <c r="E894" s="46">
        <f>IF($A$1='Data Entry'!$C895,'Data Entry'!F895,"")</f>
        <v>0</v>
      </c>
      <c r="F894" s="46">
        <f>IF($A$1='Data Entry'!$C895,'Data Entry'!G895,"")</f>
        <v>0</v>
      </c>
      <c r="G894" s="46">
        <f>IF($A$1='Data Entry'!$C895,'Data Entry'!H895,"")</f>
        <v>0</v>
      </c>
      <c r="H894" s="46">
        <f>IF($A$1='Data Entry'!$C895,'Data Entry'!I895,"")</f>
        <v>0</v>
      </c>
      <c r="I894" s="46">
        <f>IF($A$1='Data Entry'!$C895,'Data Entry'!J895,"")</f>
        <v>0</v>
      </c>
      <c r="J894" s="46">
        <f>IF($A$1='Data Entry'!$C895,'Data Entry'!K895,"")</f>
        <v>0</v>
      </c>
      <c r="K894" s="46">
        <f>IF($A$1='Data Entry'!$C895,'Data Entry'!L895,"")</f>
        <v>0</v>
      </c>
      <c r="L894" s="46">
        <f>IF($A$1='Data Entry'!$C895,'Data Entry'!M895,"")</f>
        <v>0</v>
      </c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  <c r="AA894" s="43"/>
      <c r="AB894" s="43"/>
      <c r="AC894" s="43"/>
      <c r="AD894" s="43"/>
      <c r="AE894" s="43"/>
      <c r="AF894" s="43"/>
      <c r="AG894" s="43"/>
      <c r="AH894" s="43"/>
      <c r="AI894" s="43"/>
      <c r="AJ894" s="43"/>
    </row>
    <row r="895" spans="1:36" ht="15.95" customHeight="1" x14ac:dyDescent="0.2">
      <c r="A895" s="43"/>
      <c r="B895" s="45">
        <v>149</v>
      </c>
      <c r="C895" s="46">
        <f>IF($A$1='Data Entry'!$C896,'Data Entry'!D896,"")</f>
        <v>0</v>
      </c>
      <c r="D895" s="46">
        <f>IF($A$1='Data Entry'!$C896,'Data Entry'!E896,"")</f>
        <v>0</v>
      </c>
      <c r="E895" s="46">
        <f>IF($A$1='Data Entry'!$C896,'Data Entry'!F896,"")</f>
        <v>0</v>
      </c>
      <c r="F895" s="46">
        <f>IF($A$1='Data Entry'!$C896,'Data Entry'!G896,"")</f>
        <v>0</v>
      </c>
      <c r="G895" s="46">
        <f>IF($A$1='Data Entry'!$C896,'Data Entry'!H896,"")</f>
        <v>0</v>
      </c>
      <c r="H895" s="46">
        <f>IF($A$1='Data Entry'!$C896,'Data Entry'!I896,"")</f>
        <v>0</v>
      </c>
      <c r="I895" s="46">
        <f>IF($A$1='Data Entry'!$C896,'Data Entry'!J896,"")</f>
        <v>0</v>
      </c>
      <c r="J895" s="46">
        <f>IF($A$1='Data Entry'!$C896,'Data Entry'!K896,"")</f>
        <v>0</v>
      </c>
      <c r="K895" s="46">
        <f>IF($A$1='Data Entry'!$C896,'Data Entry'!L896,"")</f>
        <v>0</v>
      </c>
      <c r="L895" s="46">
        <f>IF($A$1='Data Entry'!$C896,'Data Entry'!M896,"")</f>
        <v>0</v>
      </c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  <c r="AA895" s="43"/>
      <c r="AB895" s="43"/>
      <c r="AC895" s="43"/>
      <c r="AD895" s="43"/>
      <c r="AE895" s="43"/>
      <c r="AF895" s="43"/>
      <c r="AG895" s="43"/>
      <c r="AH895" s="43"/>
      <c r="AI895" s="43"/>
      <c r="AJ895" s="43"/>
    </row>
    <row r="896" spans="1:36" ht="15.95" customHeight="1" x14ac:dyDescent="0.2">
      <c r="A896" s="43"/>
      <c r="B896" s="45">
        <v>149</v>
      </c>
      <c r="C896" s="46">
        <f>IF($A$1='Data Entry'!$C897,'Data Entry'!D897,"")</f>
        <v>0</v>
      </c>
      <c r="D896" s="46">
        <f>IF($A$1='Data Entry'!$C897,'Data Entry'!E897,"")</f>
        <v>0</v>
      </c>
      <c r="E896" s="46">
        <f>IF($A$1='Data Entry'!$C897,'Data Entry'!F897,"")</f>
        <v>0</v>
      </c>
      <c r="F896" s="46">
        <f>IF($A$1='Data Entry'!$C897,'Data Entry'!G897,"")</f>
        <v>0</v>
      </c>
      <c r="G896" s="46">
        <f>IF($A$1='Data Entry'!$C897,'Data Entry'!H897,"")</f>
        <v>0</v>
      </c>
      <c r="H896" s="46">
        <f>IF($A$1='Data Entry'!$C897,'Data Entry'!I897,"")</f>
        <v>0</v>
      </c>
      <c r="I896" s="46">
        <f>IF($A$1='Data Entry'!$C897,'Data Entry'!J897,"")</f>
        <v>0</v>
      </c>
      <c r="J896" s="46">
        <f>IF($A$1='Data Entry'!$C897,'Data Entry'!K897,"")</f>
        <v>0</v>
      </c>
      <c r="K896" s="46">
        <f>IF($A$1='Data Entry'!$C897,'Data Entry'!L897,"")</f>
        <v>0</v>
      </c>
      <c r="L896" s="46">
        <f>IF($A$1='Data Entry'!$C897,'Data Entry'!M897,"")</f>
        <v>0</v>
      </c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  <c r="AA896" s="43"/>
      <c r="AB896" s="43"/>
      <c r="AC896" s="43"/>
      <c r="AD896" s="43"/>
      <c r="AE896" s="43"/>
      <c r="AF896" s="43"/>
      <c r="AG896" s="43"/>
      <c r="AH896" s="43"/>
      <c r="AI896" s="43"/>
      <c r="AJ896" s="43"/>
    </row>
    <row r="897" spans="1:36" ht="15.95" customHeight="1" x14ac:dyDescent="0.2">
      <c r="A897" s="43"/>
      <c r="B897" s="45">
        <v>150</v>
      </c>
      <c r="C897" s="46">
        <f>IF($A$1='Data Entry'!$C898,'Data Entry'!D898,"")</f>
        <v>0</v>
      </c>
      <c r="D897" s="46">
        <f>IF($A$1='Data Entry'!$C898,'Data Entry'!E898,"")</f>
        <v>0</v>
      </c>
      <c r="E897" s="46">
        <f>IF($A$1='Data Entry'!$C898,'Data Entry'!F898,"")</f>
        <v>0</v>
      </c>
      <c r="F897" s="46">
        <f>IF($A$1='Data Entry'!$C898,'Data Entry'!G898,"")</f>
        <v>0</v>
      </c>
      <c r="G897" s="46">
        <f>IF($A$1='Data Entry'!$C898,'Data Entry'!H898,"")</f>
        <v>0</v>
      </c>
      <c r="H897" s="46">
        <f>IF($A$1='Data Entry'!$C898,'Data Entry'!I898,"")</f>
        <v>0</v>
      </c>
      <c r="I897" s="46">
        <f>IF($A$1='Data Entry'!$C898,'Data Entry'!J898,"")</f>
        <v>0</v>
      </c>
      <c r="J897" s="46">
        <f>IF($A$1='Data Entry'!$C898,'Data Entry'!K898,"")</f>
        <v>0</v>
      </c>
      <c r="K897" s="46">
        <f>IF($A$1='Data Entry'!$C898,'Data Entry'!L898,"")</f>
        <v>0</v>
      </c>
      <c r="L897" s="46">
        <f>IF($A$1='Data Entry'!$C898,'Data Entry'!M898,"")</f>
        <v>0</v>
      </c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  <c r="AA897" s="43"/>
      <c r="AB897" s="43"/>
      <c r="AC897" s="43"/>
      <c r="AD897" s="43"/>
      <c r="AE897" s="43"/>
      <c r="AF897" s="43"/>
      <c r="AG897" s="43"/>
      <c r="AH897" s="43"/>
      <c r="AI897" s="43"/>
      <c r="AJ897" s="43"/>
    </row>
    <row r="898" spans="1:36" ht="15.95" customHeight="1" x14ac:dyDescent="0.2">
      <c r="A898" s="43"/>
      <c r="B898" s="45">
        <v>150</v>
      </c>
      <c r="C898" s="46">
        <f>IF($A$1='Data Entry'!$C899,'Data Entry'!D899,"")</f>
        <v>0</v>
      </c>
      <c r="D898" s="46">
        <f>IF($A$1='Data Entry'!$C899,'Data Entry'!E899,"")</f>
        <v>0</v>
      </c>
      <c r="E898" s="46">
        <f>IF($A$1='Data Entry'!$C899,'Data Entry'!F899,"")</f>
        <v>0</v>
      </c>
      <c r="F898" s="46">
        <f>IF($A$1='Data Entry'!$C899,'Data Entry'!G899,"")</f>
        <v>0</v>
      </c>
      <c r="G898" s="46">
        <f>IF($A$1='Data Entry'!$C899,'Data Entry'!H899,"")</f>
        <v>0</v>
      </c>
      <c r="H898" s="46">
        <f>IF($A$1='Data Entry'!$C899,'Data Entry'!I899,"")</f>
        <v>0</v>
      </c>
      <c r="I898" s="46">
        <f>IF($A$1='Data Entry'!$C899,'Data Entry'!J899,"")</f>
        <v>0</v>
      </c>
      <c r="J898" s="46">
        <f>IF($A$1='Data Entry'!$C899,'Data Entry'!K899,"")</f>
        <v>0</v>
      </c>
      <c r="K898" s="46">
        <f>IF($A$1='Data Entry'!$C899,'Data Entry'!L899,"")</f>
        <v>0</v>
      </c>
      <c r="L898" s="46">
        <f>IF($A$1='Data Entry'!$C899,'Data Entry'!M899,"")</f>
        <v>0</v>
      </c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  <c r="AA898" s="43"/>
      <c r="AB898" s="43"/>
      <c r="AC898" s="43"/>
      <c r="AD898" s="43"/>
      <c r="AE898" s="43"/>
      <c r="AF898" s="43"/>
      <c r="AG898" s="43"/>
      <c r="AH898" s="43"/>
      <c r="AI898" s="43"/>
      <c r="AJ898" s="43"/>
    </row>
    <row r="899" spans="1:36" ht="15.95" customHeight="1" x14ac:dyDescent="0.2">
      <c r="A899" s="43"/>
      <c r="B899" s="45">
        <v>150</v>
      </c>
      <c r="C899" s="46">
        <f>IF($A$1='Data Entry'!$C900,'Data Entry'!D900,"")</f>
        <v>0</v>
      </c>
      <c r="D899" s="46">
        <f>IF($A$1='Data Entry'!$C900,'Data Entry'!E900,"")</f>
        <v>0</v>
      </c>
      <c r="E899" s="46">
        <f>IF($A$1='Data Entry'!$C900,'Data Entry'!F900,"")</f>
        <v>0</v>
      </c>
      <c r="F899" s="46">
        <f>IF($A$1='Data Entry'!$C900,'Data Entry'!G900,"")</f>
        <v>0</v>
      </c>
      <c r="G899" s="46">
        <f>IF($A$1='Data Entry'!$C900,'Data Entry'!H900,"")</f>
        <v>0</v>
      </c>
      <c r="H899" s="46">
        <f>IF($A$1='Data Entry'!$C900,'Data Entry'!I900,"")</f>
        <v>0</v>
      </c>
      <c r="I899" s="46">
        <f>IF($A$1='Data Entry'!$C900,'Data Entry'!J900,"")</f>
        <v>0</v>
      </c>
      <c r="J899" s="46">
        <f>IF($A$1='Data Entry'!$C900,'Data Entry'!K900,"")</f>
        <v>0</v>
      </c>
      <c r="K899" s="46">
        <f>IF($A$1='Data Entry'!$C900,'Data Entry'!L900,"")</f>
        <v>0</v>
      </c>
      <c r="L899" s="46">
        <f>IF($A$1='Data Entry'!$C900,'Data Entry'!M900,"")</f>
        <v>0</v>
      </c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  <c r="AA899" s="43"/>
      <c r="AB899" s="43"/>
      <c r="AC899" s="43"/>
      <c r="AD899" s="43"/>
      <c r="AE899" s="43"/>
      <c r="AF899" s="43"/>
      <c r="AG899" s="43"/>
      <c r="AH899" s="43"/>
      <c r="AI899" s="43"/>
      <c r="AJ899" s="43"/>
    </row>
    <row r="900" spans="1:36" ht="15.95" customHeight="1" x14ac:dyDescent="0.2">
      <c r="A900" s="43"/>
      <c r="B900" s="45">
        <v>150</v>
      </c>
      <c r="C900" s="46">
        <f>IF($A$1='Data Entry'!$C901,'Data Entry'!D901,"")</f>
        <v>0</v>
      </c>
      <c r="D900" s="46">
        <f>IF($A$1='Data Entry'!$C901,'Data Entry'!E901,"")</f>
        <v>0</v>
      </c>
      <c r="E900" s="46">
        <f>IF($A$1='Data Entry'!$C901,'Data Entry'!F901,"")</f>
        <v>0</v>
      </c>
      <c r="F900" s="46">
        <f>IF($A$1='Data Entry'!$C901,'Data Entry'!G901,"")</f>
        <v>0</v>
      </c>
      <c r="G900" s="46">
        <f>IF($A$1='Data Entry'!$C901,'Data Entry'!H901,"")</f>
        <v>0</v>
      </c>
      <c r="H900" s="46">
        <f>IF($A$1='Data Entry'!$C901,'Data Entry'!I901,"")</f>
        <v>0</v>
      </c>
      <c r="I900" s="46">
        <f>IF($A$1='Data Entry'!$C901,'Data Entry'!J901,"")</f>
        <v>0</v>
      </c>
      <c r="J900" s="46">
        <f>IF($A$1='Data Entry'!$C901,'Data Entry'!K901,"")</f>
        <v>0</v>
      </c>
      <c r="K900" s="46">
        <f>IF($A$1='Data Entry'!$C901,'Data Entry'!L901,"")</f>
        <v>0</v>
      </c>
      <c r="L900" s="46">
        <f>IF($A$1='Data Entry'!$C901,'Data Entry'!M901,"")</f>
        <v>0</v>
      </c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  <c r="AA900" s="43"/>
      <c r="AB900" s="43"/>
      <c r="AC900" s="43"/>
      <c r="AD900" s="43"/>
      <c r="AE900" s="43"/>
      <c r="AF900" s="43"/>
      <c r="AG900" s="43"/>
      <c r="AH900" s="43"/>
      <c r="AI900" s="43"/>
      <c r="AJ900" s="43"/>
    </row>
    <row r="901" spans="1:36" ht="15.95" customHeight="1" x14ac:dyDescent="0.2">
      <c r="A901" s="43"/>
      <c r="B901" s="45">
        <v>150</v>
      </c>
      <c r="C901" s="46">
        <f>IF($A$1='Data Entry'!$C902,'Data Entry'!D902,"")</f>
        <v>0</v>
      </c>
      <c r="D901" s="46">
        <f>IF($A$1='Data Entry'!$C902,'Data Entry'!E902,"")</f>
        <v>0</v>
      </c>
      <c r="E901" s="46">
        <f>IF($A$1='Data Entry'!$C902,'Data Entry'!F902,"")</f>
        <v>0</v>
      </c>
      <c r="F901" s="46">
        <f>IF($A$1='Data Entry'!$C902,'Data Entry'!G902,"")</f>
        <v>0</v>
      </c>
      <c r="G901" s="46">
        <f>IF($A$1='Data Entry'!$C902,'Data Entry'!H902,"")</f>
        <v>0</v>
      </c>
      <c r="H901" s="46">
        <f>IF($A$1='Data Entry'!$C902,'Data Entry'!I902,"")</f>
        <v>0</v>
      </c>
      <c r="I901" s="46">
        <f>IF($A$1='Data Entry'!$C902,'Data Entry'!J902,"")</f>
        <v>0</v>
      </c>
      <c r="J901" s="46">
        <f>IF($A$1='Data Entry'!$C902,'Data Entry'!K902,"")</f>
        <v>0</v>
      </c>
      <c r="K901" s="46">
        <f>IF($A$1='Data Entry'!$C902,'Data Entry'!L902,"")</f>
        <v>0</v>
      </c>
      <c r="L901" s="46">
        <f>IF($A$1='Data Entry'!$C902,'Data Entry'!M902,"")</f>
        <v>0</v>
      </c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  <c r="AA901" s="43"/>
      <c r="AB901" s="43"/>
      <c r="AC901" s="43"/>
      <c r="AD901" s="43"/>
      <c r="AE901" s="43"/>
      <c r="AF901" s="43"/>
      <c r="AG901" s="43"/>
      <c r="AH901" s="43"/>
      <c r="AI901" s="43"/>
      <c r="AJ901" s="43"/>
    </row>
    <row r="902" spans="1:36" ht="15.95" customHeight="1" x14ac:dyDescent="0.2">
      <c r="A902" s="43"/>
      <c r="B902" s="45">
        <v>150</v>
      </c>
      <c r="C902" s="46">
        <f>IF($A$1='Data Entry'!$C903,'Data Entry'!D903,"")</f>
        <v>0</v>
      </c>
      <c r="D902" s="46">
        <f>IF($A$1='Data Entry'!$C903,'Data Entry'!E903,"")</f>
        <v>0</v>
      </c>
      <c r="E902" s="46">
        <f>IF($A$1='Data Entry'!$C903,'Data Entry'!F903,"")</f>
        <v>0</v>
      </c>
      <c r="F902" s="46">
        <f>IF($A$1='Data Entry'!$C903,'Data Entry'!G903,"")</f>
        <v>0</v>
      </c>
      <c r="G902" s="46">
        <f>IF($A$1='Data Entry'!$C903,'Data Entry'!H903,"")</f>
        <v>0</v>
      </c>
      <c r="H902" s="46">
        <f>IF($A$1='Data Entry'!$C903,'Data Entry'!I903,"")</f>
        <v>0</v>
      </c>
      <c r="I902" s="46">
        <f>IF($A$1='Data Entry'!$C903,'Data Entry'!J903,"")</f>
        <v>0</v>
      </c>
      <c r="J902" s="46">
        <f>IF($A$1='Data Entry'!$C903,'Data Entry'!K903,"")</f>
        <v>0</v>
      </c>
      <c r="K902" s="46">
        <f>IF($A$1='Data Entry'!$C903,'Data Entry'!L903,"")</f>
        <v>0</v>
      </c>
      <c r="L902" s="46">
        <f>IF($A$1='Data Entry'!$C903,'Data Entry'!M903,"")</f>
        <v>0</v>
      </c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  <c r="AA902" s="43"/>
      <c r="AB902" s="43"/>
      <c r="AC902" s="43"/>
      <c r="AD902" s="43"/>
      <c r="AE902" s="43"/>
      <c r="AF902" s="43"/>
      <c r="AG902" s="43"/>
      <c r="AH902" s="43"/>
      <c r="AI902" s="43"/>
      <c r="AJ902" s="43"/>
    </row>
    <row r="903" spans="1:36" ht="15.95" customHeight="1" x14ac:dyDescent="0.2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  <c r="AA903" s="43"/>
      <c r="AB903" s="43"/>
      <c r="AC903" s="43"/>
      <c r="AD903" s="43"/>
      <c r="AE903" s="43"/>
      <c r="AF903" s="43"/>
      <c r="AG903" s="43"/>
      <c r="AH903" s="43"/>
      <c r="AI903" s="43"/>
      <c r="AJ903" s="43"/>
    </row>
    <row r="904" spans="1:36" ht="15.95" customHeight="1" x14ac:dyDescent="0.2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  <c r="AA904" s="43"/>
      <c r="AB904" s="43"/>
      <c r="AC904" s="43"/>
      <c r="AD904" s="43"/>
      <c r="AE904" s="43"/>
      <c r="AF904" s="43"/>
      <c r="AG904" s="43"/>
      <c r="AH904" s="43"/>
      <c r="AI904" s="43"/>
      <c r="AJ904" s="43"/>
    </row>
    <row r="905" spans="1:36" ht="15.95" customHeight="1" x14ac:dyDescent="0.2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  <c r="AA905" s="43"/>
      <c r="AB905" s="43"/>
      <c r="AC905" s="43"/>
      <c r="AD905" s="43"/>
      <c r="AE905" s="43"/>
      <c r="AF905" s="43"/>
      <c r="AG905" s="43"/>
      <c r="AH905" s="43"/>
      <c r="AI905" s="43"/>
      <c r="AJ905" s="43"/>
    </row>
    <row r="906" spans="1:36" ht="15.95" customHeight="1" x14ac:dyDescent="0.2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  <c r="AA906" s="43"/>
      <c r="AB906" s="43"/>
      <c r="AC906" s="43"/>
      <c r="AD906" s="43"/>
      <c r="AE906" s="43"/>
      <c r="AF906" s="43"/>
      <c r="AG906" s="43"/>
      <c r="AH906" s="43"/>
      <c r="AI906" s="43"/>
      <c r="AJ906" s="43"/>
    </row>
    <row r="907" spans="1:36" ht="15.95" customHeight="1" x14ac:dyDescent="0.2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  <c r="AA907" s="43"/>
      <c r="AB907" s="43"/>
      <c r="AC907" s="43"/>
      <c r="AD907" s="43"/>
      <c r="AE907" s="43"/>
      <c r="AF907" s="43"/>
      <c r="AG907" s="43"/>
      <c r="AH907" s="43"/>
      <c r="AI907" s="43"/>
      <c r="AJ907" s="43"/>
    </row>
    <row r="908" spans="1:36" ht="15.95" customHeight="1" x14ac:dyDescent="0.2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  <c r="AA908" s="43"/>
      <c r="AB908" s="43"/>
      <c r="AC908" s="43"/>
      <c r="AD908" s="43"/>
      <c r="AE908" s="43"/>
      <c r="AF908" s="43"/>
      <c r="AG908" s="43"/>
      <c r="AH908" s="43"/>
      <c r="AI908" s="43"/>
      <c r="AJ908" s="43"/>
    </row>
    <row r="909" spans="1:36" ht="15.95" customHeight="1" x14ac:dyDescent="0.2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  <c r="AA909" s="43"/>
      <c r="AB909" s="43"/>
      <c r="AC909" s="43"/>
      <c r="AD909" s="43"/>
      <c r="AE909" s="43"/>
      <c r="AF909" s="43"/>
      <c r="AG909" s="43"/>
      <c r="AH909" s="43"/>
      <c r="AI909" s="43"/>
      <c r="AJ909" s="43"/>
    </row>
    <row r="910" spans="1:36" ht="15.95" customHeight="1" x14ac:dyDescent="0.2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  <c r="AA910" s="43"/>
      <c r="AB910" s="43"/>
      <c r="AC910" s="43"/>
      <c r="AD910" s="43"/>
      <c r="AE910" s="43"/>
      <c r="AF910" s="43"/>
      <c r="AG910" s="43"/>
      <c r="AH910" s="43"/>
      <c r="AI910" s="43"/>
      <c r="AJ910" s="43"/>
    </row>
    <row r="911" spans="1:36" ht="15.95" customHeight="1" x14ac:dyDescent="0.2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  <c r="AA911" s="43"/>
      <c r="AB911" s="43"/>
      <c r="AC911" s="43"/>
      <c r="AD911" s="43"/>
      <c r="AE911" s="43"/>
      <c r="AF911" s="43"/>
      <c r="AG911" s="43"/>
      <c r="AH911" s="43"/>
      <c r="AI911" s="43"/>
      <c r="AJ911" s="43"/>
    </row>
    <row r="912" spans="1:36" ht="15.95" customHeight="1" x14ac:dyDescent="0.2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  <c r="AA912" s="43"/>
      <c r="AB912" s="43"/>
      <c r="AC912" s="43"/>
      <c r="AD912" s="43"/>
      <c r="AE912" s="43"/>
      <c r="AF912" s="43"/>
      <c r="AG912" s="43"/>
      <c r="AH912" s="43"/>
      <c r="AI912" s="43"/>
      <c r="AJ912" s="43"/>
    </row>
    <row r="913" spans="1:36" ht="15.95" customHeight="1" x14ac:dyDescent="0.2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  <c r="AA913" s="43"/>
      <c r="AB913" s="43"/>
      <c r="AC913" s="43"/>
      <c r="AD913" s="43"/>
      <c r="AE913" s="43"/>
      <c r="AF913" s="43"/>
      <c r="AG913" s="43"/>
      <c r="AH913" s="43"/>
      <c r="AI913" s="43"/>
      <c r="AJ913" s="43"/>
    </row>
    <row r="914" spans="1:36" ht="15.95" customHeight="1" x14ac:dyDescent="0.2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  <c r="AA914" s="43"/>
      <c r="AB914" s="43"/>
      <c r="AC914" s="43"/>
      <c r="AD914" s="43"/>
      <c r="AE914" s="43"/>
      <c r="AF914" s="43"/>
      <c r="AG914" s="43"/>
      <c r="AH914" s="43"/>
      <c r="AI914" s="43"/>
      <c r="AJ914" s="43"/>
    </row>
    <row r="915" spans="1:36" ht="15.95" customHeight="1" x14ac:dyDescent="0.2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  <c r="AA915" s="43"/>
      <c r="AB915" s="43"/>
      <c r="AC915" s="43"/>
      <c r="AD915" s="43"/>
      <c r="AE915" s="43"/>
      <c r="AF915" s="43"/>
      <c r="AG915" s="43"/>
      <c r="AH915" s="43"/>
      <c r="AI915" s="43"/>
      <c r="AJ915" s="43"/>
    </row>
    <row r="916" spans="1:36" ht="15.95" customHeight="1" x14ac:dyDescent="0.2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  <c r="AA916" s="43"/>
      <c r="AB916" s="43"/>
      <c r="AC916" s="43"/>
      <c r="AD916" s="43"/>
      <c r="AE916" s="43"/>
      <c r="AF916" s="43"/>
      <c r="AG916" s="43"/>
      <c r="AH916" s="43"/>
      <c r="AI916" s="43"/>
      <c r="AJ916" s="43"/>
    </row>
    <row r="917" spans="1:36" ht="15.95" customHeight="1" x14ac:dyDescent="0.2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  <c r="AA917" s="43"/>
      <c r="AB917" s="43"/>
      <c r="AC917" s="43"/>
      <c r="AD917" s="43"/>
      <c r="AE917" s="43"/>
      <c r="AF917" s="43"/>
      <c r="AG917" s="43"/>
      <c r="AH917" s="43"/>
      <c r="AI917" s="43"/>
      <c r="AJ917" s="43"/>
    </row>
    <row r="918" spans="1:36" ht="15.95" customHeight="1" x14ac:dyDescent="0.2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  <c r="AA918" s="43"/>
      <c r="AB918" s="43"/>
      <c r="AC918" s="43"/>
      <c r="AD918" s="43"/>
      <c r="AE918" s="43"/>
      <c r="AF918" s="43"/>
      <c r="AG918" s="43"/>
      <c r="AH918" s="43"/>
      <c r="AI918" s="43"/>
      <c r="AJ918" s="43"/>
    </row>
    <row r="919" spans="1:36" ht="15.95" customHeight="1" x14ac:dyDescent="0.2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  <c r="AA919" s="43"/>
      <c r="AB919" s="43"/>
      <c r="AC919" s="43"/>
      <c r="AD919" s="43"/>
      <c r="AE919" s="43"/>
      <c r="AF919" s="43"/>
      <c r="AG919" s="43"/>
      <c r="AH919" s="43"/>
      <c r="AI919" s="43"/>
      <c r="AJ919" s="43"/>
    </row>
    <row r="920" spans="1:36" ht="15.95" customHeight="1" x14ac:dyDescent="0.2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  <c r="AA920" s="43"/>
      <c r="AB920" s="43"/>
      <c r="AC920" s="43"/>
      <c r="AD920" s="43"/>
      <c r="AE920" s="43"/>
      <c r="AF920" s="43"/>
      <c r="AG920" s="43"/>
      <c r="AH920" s="43"/>
      <c r="AI920" s="43"/>
      <c r="AJ920" s="43"/>
    </row>
    <row r="921" spans="1:36" ht="15.95" customHeight="1" x14ac:dyDescent="0.2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  <c r="AA921" s="43"/>
      <c r="AB921" s="43"/>
      <c r="AC921" s="43"/>
      <c r="AD921" s="43"/>
      <c r="AE921" s="43"/>
      <c r="AF921" s="43"/>
      <c r="AG921" s="43"/>
      <c r="AH921" s="43"/>
      <c r="AI921" s="43"/>
      <c r="AJ921" s="43"/>
    </row>
    <row r="922" spans="1:36" ht="15.95" customHeight="1" x14ac:dyDescent="0.2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  <c r="AA922" s="43"/>
      <c r="AB922" s="43"/>
      <c r="AC922" s="43"/>
      <c r="AD922" s="43"/>
      <c r="AE922" s="43"/>
      <c r="AF922" s="43"/>
      <c r="AG922" s="43"/>
      <c r="AH922" s="43"/>
      <c r="AI922" s="43"/>
      <c r="AJ922" s="43"/>
    </row>
    <row r="923" spans="1:36" ht="15.95" customHeight="1" x14ac:dyDescent="0.2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  <c r="AA923" s="43"/>
      <c r="AB923" s="43"/>
      <c r="AC923" s="43"/>
      <c r="AD923" s="43"/>
      <c r="AE923" s="43"/>
      <c r="AF923" s="43"/>
      <c r="AG923" s="43"/>
      <c r="AH923" s="43"/>
      <c r="AI923" s="43"/>
      <c r="AJ923" s="43"/>
    </row>
    <row r="924" spans="1:36" ht="15.95" customHeight="1" x14ac:dyDescent="0.2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  <c r="AA924" s="43"/>
      <c r="AB924" s="43"/>
      <c r="AC924" s="43"/>
      <c r="AD924" s="43"/>
      <c r="AE924" s="43"/>
      <c r="AF924" s="43"/>
      <c r="AG924" s="43"/>
      <c r="AH924" s="43"/>
      <c r="AI924" s="43"/>
      <c r="AJ924" s="43"/>
    </row>
    <row r="925" spans="1:36" ht="15.95" customHeight="1" x14ac:dyDescent="0.2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  <c r="AA925" s="43"/>
      <c r="AB925" s="43"/>
      <c r="AC925" s="43"/>
      <c r="AD925" s="43"/>
      <c r="AE925" s="43"/>
      <c r="AF925" s="43"/>
      <c r="AG925" s="43"/>
      <c r="AH925" s="43"/>
      <c r="AI925" s="43"/>
      <c r="AJ925" s="43"/>
    </row>
    <row r="926" spans="1:36" ht="15.95" customHeight="1" x14ac:dyDescent="0.2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  <c r="AA926" s="43"/>
      <c r="AB926" s="43"/>
      <c r="AC926" s="43"/>
      <c r="AD926" s="43"/>
      <c r="AE926" s="43"/>
      <c r="AF926" s="43"/>
      <c r="AG926" s="43"/>
      <c r="AH926" s="43"/>
      <c r="AI926" s="43"/>
      <c r="AJ926" s="43"/>
    </row>
    <row r="927" spans="1:36" ht="15.95" customHeight="1" x14ac:dyDescent="0.2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  <c r="AA927" s="43"/>
      <c r="AB927" s="43"/>
      <c r="AC927" s="43"/>
      <c r="AD927" s="43"/>
      <c r="AE927" s="43"/>
      <c r="AF927" s="43"/>
      <c r="AG927" s="43"/>
      <c r="AH927" s="43"/>
      <c r="AI927" s="43"/>
      <c r="AJ927" s="43"/>
    </row>
    <row r="928" spans="1:36" ht="15.95" customHeight="1" x14ac:dyDescent="0.2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  <c r="AA928" s="43"/>
      <c r="AB928" s="43"/>
      <c r="AC928" s="43"/>
      <c r="AD928" s="43"/>
      <c r="AE928" s="43"/>
      <c r="AF928" s="43"/>
      <c r="AG928" s="43"/>
      <c r="AH928" s="43"/>
      <c r="AI928" s="43"/>
      <c r="AJ928" s="43"/>
    </row>
    <row r="929" spans="1:36" ht="15.95" customHeight="1" x14ac:dyDescent="0.2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  <c r="AA929" s="43"/>
      <c r="AB929" s="43"/>
      <c r="AC929" s="43"/>
      <c r="AD929" s="43"/>
      <c r="AE929" s="43"/>
      <c r="AF929" s="43"/>
      <c r="AG929" s="43"/>
      <c r="AH929" s="43"/>
      <c r="AI929" s="43"/>
      <c r="AJ929" s="43"/>
    </row>
    <row r="930" spans="1:36" ht="15.95" customHeight="1" x14ac:dyDescent="0.2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  <c r="AA930" s="43"/>
      <c r="AB930" s="43"/>
      <c r="AC930" s="43"/>
      <c r="AD930" s="43"/>
      <c r="AE930" s="43"/>
      <c r="AF930" s="43"/>
      <c r="AG930" s="43"/>
      <c r="AH930" s="43"/>
      <c r="AI930" s="43"/>
      <c r="AJ930" s="43"/>
    </row>
    <row r="931" spans="1:36" ht="15.95" customHeight="1" x14ac:dyDescent="0.2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  <c r="AA931" s="43"/>
      <c r="AB931" s="43"/>
      <c r="AC931" s="43"/>
      <c r="AD931" s="43"/>
      <c r="AE931" s="43"/>
      <c r="AF931" s="43"/>
      <c r="AG931" s="43"/>
      <c r="AH931" s="43"/>
      <c r="AI931" s="43"/>
      <c r="AJ931" s="43"/>
    </row>
    <row r="932" spans="1:36" ht="15.95" customHeight="1" x14ac:dyDescent="0.2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  <c r="AA932" s="43"/>
      <c r="AB932" s="43"/>
      <c r="AC932" s="43"/>
      <c r="AD932" s="43"/>
      <c r="AE932" s="43"/>
      <c r="AF932" s="43"/>
      <c r="AG932" s="43"/>
      <c r="AH932" s="43"/>
      <c r="AI932" s="43"/>
      <c r="AJ932" s="43"/>
    </row>
    <row r="933" spans="1:36" ht="15.95" customHeight="1" x14ac:dyDescent="0.2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  <c r="AA933" s="43"/>
      <c r="AB933" s="43"/>
      <c r="AC933" s="43"/>
      <c r="AD933" s="43"/>
      <c r="AE933" s="43"/>
      <c r="AF933" s="43"/>
      <c r="AG933" s="43"/>
      <c r="AH933" s="43"/>
      <c r="AI933" s="43"/>
      <c r="AJ933" s="43"/>
    </row>
    <row r="934" spans="1:36" ht="15.95" customHeight="1" x14ac:dyDescent="0.2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  <c r="AA934" s="43"/>
      <c r="AB934" s="43"/>
      <c r="AC934" s="43"/>
      <c r="AD934" s="43"/>
      <c r="AE934" s="43"/>
      <c r="AF934" s="43"/>
      <c r="AG934" s="43"/>
      <c r="AH934" s="43"/>
      <c r="AI934" s="43"/>
      <c r="AJ934" s="43"/>
    </row>
    <row r="935" spans="1:36" ht="15.95" customHeight="1" x14ac:dyDescent="0.2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  <c r="AA935" s="43"/>
      <c r="AB935" s="43"/>
      <c r="AC935" s="43"/>
      <c r="AD935" s="43"/>
      <c r="AE935" s="43"/>
      <c r="AF935" s="43"/>
      <c r="AG935" s="43"/>
      <c r="AH935" s="43"/>
      <c r="AI935" s="43"/>
      <c r="AJ935" s="43"/>
    </row>
    <row r="936" spans="1:36" ht="15.95" customHeight="1" x14ac:dyDescent="0.2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  <c r="AA936" s="43"/>
      <c r="AB936" s="43"/>
      <c r="AC936" s="43"/>
      <c r="AD936" s="43"/>
      <c r="AE936" s="43"/>
      <c r="AF936" s="43"/>
      <c r="AG936" s="43"/>
      <c r="AH936" s="43"/>
      <c r="AI936" s="43"/>
      <c r="AJ936" s="43"/>
    </row>
    <row r="937" spans="1:36" ht="15.95" customHeight="1" x14ac:dyDescent="0.2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  <c r="AA937" s="43"/>
      <c r="AB937" s="43"/>
      <c r="AC937" s="43"/>
      <c r="AD937" s="43"/>
      <c r="AE937" s="43"/>
      <c r="AF937" s="43"/>
      <c r="AG937" s="43"/>
      <c r="AH937" s="43"/>
      <c r="AI937" s="43"/>
      <c r="AJ937" s="43"/>
    </row>
    <row r="938" spans="1:36" ht="15.95" customHeight="1" x14ac:dyDescent="0.2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  <c r="AA938" s="43"/>
      <c r="AB938" s="43"/>
      <c r="AC938" s="43"/>
      <c r="AD938" s="43"/>
      <c r="AE938" s="43"/>
      <c r="AF938" s="43"/>
      <c r="AG938" s="43"/>
      <c r="AH938" s="43"/>
      <c r="AI938" s="43"/>
      <c r="AJ938" s="43"/>
    </row>
    <row r="939" spans="1:36" ht="15.95" customHeight="1" x14ac:dyDescent="0.2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  <c r="AA939" s="43"/>
      <c r="AB939" s="43"/>
      <c r="AC939" s="43"/>
      <c r="AD939" s="43"/>
      <c r="AE939" s="43"/>
      <c r="AF939" s="43"/>
      <c r="AG939" s="43"/>
      <c r="AH939" s="43"/>
      <c r="AI939" s="43"/>
      <c r="AJ939" s="43"/>
    </row>
    <row r="940" spans="1:36" ht="15.95" customHeight="1" x14ac:dyDescent="0.2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  <c r="AA940" s="43"/>
      <c r="AB940" s="43"/>
      <c r="AC940" s="43"/>
      <c r="AD940" s="43"/>
      <c r="AE940" s="43"/>
      <c r="AF940" s="43"/>
      <c r="AG940" s="43"/>
      <c r="AH940" s="43"/>
      <c r="AI940" s="43"/>
      <c r="AJ940" s="43"/>
    </row>
    <row r="941" spans="1:36" ht="15.95" customHeight="1" x14ac:dyDescent="0.2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  <c r="AA941" s="43"/>
      <c r="AB941" s="43"/>
      <c r="AC941" s="43"/>
      <c r="AD941" s="43"/>
      <c r="AE941" s="43"/>
      <c r="AF941" s="43"/>
      <c r="AG941" s="43"/>
      <c r="AH941" s="43"/>
      <c r="AI941" s="43"/>
      <c r="AJ941" s="43"/>
    </row>
    <row r="942" spans="1:36" ht="15.95" customHeight="1" x14ac:dyDescent="0.2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  <c r="AA942" s="43"/>
      <c r="AB942" s="43"/>
      <c r="AC942" s="43"/>
      <c r="AD942" s="43"/>
      <c r="AE942" s="43"/>
      <c r="AF942" s="43"/>
      <c r="AG942" s="43"/>
      <c r="AH942" s="43"/>
      <c r="AI942" s="43"/>
      <c r="AJ942" s="43"/>
    </row>
    <row r="943" spans="1:36" ht="15.95" customHeight="1" x14ac:dyDescent="0.2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  <c r="AA943" s="43"/>
      <c r="AB943" s="43"/>
      <c r="AC943" s="43"/>
      <c r="AD943" s="43"/>
      <c r="AE943" s="43"/>
      <c r="AF943" s="43"/>
      <c r="AG943" s="43"/>
      <c r="AH943" s="43"/>
      <c r="AI943" s="43"/>
      <c r="AJ943" s="43"/>
    </row>
    <row r="944" spans="1:36" ht="15.95" customHeight="1" x14ac:dyDescent="0.2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  <c r="AA944" s="43"/>
      <c r="AB944" s="43"/>
      <c r="AC944" s="43"/>
      <c r="AD944" s="43"/>
      <c r="AE944" s="43"/>
      <c r="AF944" s="43"/>
      <c r="AG944" s="43"/>
      <c r="AH944" s="43"/>
      <c r="AI944" s="43"/>
      <c r="AJ944" s="43"/>
    </row>
    <row r="945" spans="1:36" ht="15.95" customHeight="1" x14ac:dyDescent="0.2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  <c r="AA945" s="43"/>
      <c r="AB945" s="43"/>
      <c r="AC945" s="43"/>
      <c r="AD945" s="43"/>
      <c r="AE945" s="43"/>
      <c r="AF945" s="43"/>
      <c r="AG945" s="43"/>
      <c r="AH945" s="43"/>
      <c r="AI945" s="43"/>
      <c r="AJ945" s="43"/>
    </row>
    <row r="946" spans="1:36" ht="15.95" customHeight="1" x14ac:dyDescent="0.2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  <c r="AA946" s="43"/>
      <c r="AB946" s="43"/>
      <c r="AC946" s="43"/>
      <c r="AD946" s="43"/>
      <c r="AE946" s="43"/>
      <c r="AF946" s="43"/>
      <c r="AG946" s="43"/>
      <c r="AH946" s="43"/>
      <c r="AI946" s="43"/>
      <c r="AJ946" s="43"/>
    </row>
    <row r="947" spans="1:36" ht="15.95" customHeight="1" x14ac:dyDescent="0.2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  <c r="AA947" s="43"/>
      <c r="AB947" s="43"/>
      <c r="AC947" s="43"/>
      <c r="AD947" s="43"/>
      <c r="AE947" s="43"/>
      <c r="AF947" s="43"/>
      <c r="AG947" s="43"/>
      <c r="AH947" s="43"/>
      <c r="AI947" s="43"/>
      <c r="AJ947" s="43"/>
    </row>
    <row r="948" spans="1:36" ht="15.95" customHeight="1" x14ac:dyDescent="0.2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  <c r="AA948" s="43"/>
      <c r="AB948" s="43"/>
      <c r="AC948" s="43"/>
      <c r="AD948" s="43"/>
      <c r="AE948" s="43"/>
      <c r="AF948" s="43"/>
      <c r="AG948" s="43"/>
      <c r="AH948" s="43"/>
      <c r="AI948" s="43"/>
      <c r="AJ948" s="43"/>
    </row>
    <row r="949" spans="1:36" ht="15.95" customHeight="1" x14ac:dyDescent="0.2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  <c r="AA949" s="43"/>
      <c r="AB949" s="43"/>
      <c r="AC949" s="43"/>
      <c r="AD949" s="43"/>
      <c r="AE949" s="43"/>
      <c r="AF949" s="43"/>
      <c r="AG949" s="43"/>
      <c r="AH949" s="43"/>
      <c r="AI949" s="43"/>
      <c r="AJ949" s="43"/>
    </row>
    <row r="950" spans="1:36" ht="15.95" customHeight="1" x14ac:dyDescent="0.2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  <c r="AA950" s="43"/>
      <c r="AB950" s="43"/>
      <c r="AC950" s="43"/>
      <c r="AD950" s="43"/>
      <c r="AE950" s="43"/>
      <c r="AF950" s="43"/>
      <c r="AG950" s="43"/>
      <c r="AH950" s="43"/>
      <c r="AI950" s="43"/>
      <c r="AJ950" s="43"/>
    </row>
    <row r="951" spans="1:36" ht="15.95" customHeight="1" x14ac:dyDescent="0.2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  <c r="AA951" s="43"/>
      <c r="AB951" s="43"/>
      <c r="AC951" s="43"/>
      <c r="AD951" s="43"/>
      <c r="AE951" s="43"/>
      <c r="AF951" s="43"/>
      <c r="AG951" s="43"/>
      <c r="AH951" s="43"/>
      <c r="AI951" s="43"/>
      <c r="AJ951" s="43"/>
    </row>
    <row r="952" spans="1:36" ht="15.95" customHeight="1" x14ac:dyDescent="0.2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  <c r="AA952" s="43"/>
      <c r="AB952" s="43"/>
      <c r="AC952" s="43"/>
      <c r="AD952" s="43"/>
      <c r="AE952" s="43"/>
      <c r="AF952" s="43"/>
      <c r="AG952" s="43"/>
      <c r="AH952" s="43"/>
      <c r="AI952" s="43"/>
      <c r="AJ952" s="43"/>
    </row>
    <row r="953" spans="1:36" ht="15.95" customHeight="1" x14ac:dyDescent="0.2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  <c r="AA953" s="43"/>
      <c r="AB953" s="43"/>
      <c r="AC953" s="43"/>
      <c r="AD953" s="43"/>
      <c r="AE953" s="43"/>
      <c r="AF953" s="43"/>
      <c r="AG953" s="43"/>
      <c r="AH953" s="43"/>
      <c r="AI953" s="43"/>
      <c r="AJ953" s="43"/>
    </row>
    <row r="954" spans="1:36" ht="15.95" customHeight="1" x14ac:dyDescent="0.2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  <c r="AA954" s="43"/>
      <c r="AB954" s="43"/>
      <c r="AC954" s="43"/>
      <c r="AD954" s="43"/>
      <c r="AE954" s="43"/>
      <c r="AF954" s="43"/>
      <c r="AG954" s="43"/>
      <c r="AH954" s="43"/>
      <c r="AI954" s="43"/>
      <c r="AJ954" s="43"/>
    </row>
    <row r="955" spans="1:36" ht="15.95" customHeight="1" x14ac:dyDescent="0.2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  <c r="AA955" s="43"/>
      <c r="AB955" s="43"/>
      <c r="AC955" s="43"/>
      <c r="AD955" s="43"/>
      <c r="AE955" s="43"/>
      <c r="AF955" s="43"/>
      <c r="AG955" s="43"/>
      <c r="AH955" s="43"/>
      <c r="AI955" s="43"/>
      <c r="AJ955" s="43"/>
    </row>
    <row r="956" spans="1:36" ht="15.95" customHeight="1" x14ac:dyDescent="0.2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  <c r="AA956" s="43"/>
      <c r="AB956" s="43"/>
      <c r="AC956" s="43"/>
      <c r="AD956" s="43"/>
      <c r="AE956" s="43"/>
      <c r="AF956" s="43"/>
      <c r="AG956" s="43"/>
      <c r="AH956" s="43"/>
      <c r="AI956" s="43"/>
      <c r="AJ956" s="43"/>
    </row>
    <row r="957" spans="1:36" ht="15.95" customHeight="1" x14ac:dyDescent="0.2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  <c r="AA957" s="43"/>
      <c r="AB957" s="43"/>
      <c r="AC957" s="43"/>
      <c r="AD957" s="43"/>
      <c r="AE957" s="43"/>
      <c r="AF957" s="43"/>
      <c r="AG957" s="43"/>
      <c r="AH957" s="43"/>
      <c r="AI957" s="43"/>
      <c r="AJ957" s="43"/>
    </row>
    <row r="958" spans="1:36" ht="15.95" customHeight="1" x14ac:dyDescent="0.2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  <c r="AA958" s="43"/>
      <c r="AB958" s="43"/>
      <c r="AC958" s="43"/>
      <c r="AD958" s="43"/>
      <c r="AE958" s="43"/>
      <c r="AF958" s="43"/>
      <c r="AG958" s="43"/>
      <c r="AH958" s="43"/>
      <c r="AI958" s="43"/>
      <c r="AJ958" s="43"/>
    </row>
    <row r="959" spans="1:36" ht="15.95" customHeight="1" x14ac:dyDescent="0.2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  <c r="AA959" s="43"/>
      <c r="AB959" s="43"/>
      <c r="AC959" s="43"/>
      <c r="AD959" s="43"/>
      <c r="AE959" s="43"/>
      <c r="AF959" s="43"/>
      <c r="AG959" s="43"/>
      <c r="AH959" s="43"/>
      <c r="AI959" s="43"/>
      <c r="AJ959" s="43"/>
    </row>
    <row r="960" spans="1:36" ht="15.95" customHeight="1" x14ac:dyDescent="0.2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  <c r="AA960" s="43"/>
      <c r="AB960" s="43"/>
      <c r="AC960" s="43"/>
      <c r="AD960" s="43"/>
      <c r="AE960" s="43"/>
      <c r="AF960" s="43"/>
      <c r="AG960" s="43"/>
      <c r="AH960" s="43"/>
      <c r="AI960" s="43"/>
      <c r="AJ960" s="43"/>
    </row>
    <row r="961" spans="1:36" ht="15.95" customHeight="1" x14ac:dyDescent="0.2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  <c r="AA961" s="43"/>
      <c r="AB961" s="43"/>
      <c r="AC961" s="43"/>
      <c r="AD961" s="43"/>
      <c r="AE961" s="43"/>
      <c r="AF961" s="43"/>
      <c r="AG961" s="43"/>
      <c r="AH961" s="43"/>
      <c r="AI961" s="43"/>
      <c r="AJ961" s="43"/>
    </row>
    <row r="962" spans="1:36" ht="15.95" customHeight="1" x14ac:dyDescent="0.2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  <c r="AA962" s="43"/>
      <c r="AB962" s="43"/>
      <c r="AC962" s="43"/>
      <c r="AD962" s="43"/>
      <c r="AE962" s="43"/>
      <c r="AF962" s="43"/>
      <c r="AG962" s="43"/>
      <c r="AH962" s="43"/>
      <c r="AI962" s="43"/>
      <c r="AJ962" s="43"/>
    </row>
    <row r="963" spans="1:36" ht="15.95" customHeight="1" x14ac:dyDescent="0.2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  <c r="AA963" s="43"/>
      <c r="AB963" s="43"/>
      <c r="AC963" s="43"/>
      <c r="AD963" s="43"/>
      <c r="AE963" s="43"/>
      <c r="AF963" s="43"/>
      <c r="AG963" s="43"/>
      <c r="AH963" s="43"/>
      <c r="AI963" s="43"/>
      <c r="AJ963" s="43"/>
    </row>
    <row r="964" spans="1:36" ht="15.95" customHeight="1" x14ac:dyDescent="0.2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  <c r="AA964" s="43"/>
      <c r="AB964" s="43"/>
      <c r="AC964" s="43"/>
      <c r="AD964" s="43"/>
      <c r="AE964" s="43"/>
      <c r="AF964" s="43"/>
      <c r="AG964" s="43"/>
      <c r="AH964" s="43"/>
      <c r="AI964" s="43"/>
      <c r="AJ964" s="43"/>
    </row>
    <row r="965" spans="1:36" ht="15.95" customHeight="1" x14ac:dyDescent="0.2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  <c r="AA965" s="43"/>
      <c r="AB965" s="43"/>
      <c r="AC965" s="43"/>
      <c r="AD965" s="43"/>
      <c r="AE965" s="43"/>
      <c r="AF965" s="43"/>
      <c r="AG965" s="43"/>
      <c r="AH965" s="43"/>
      <c r="AI965" s="43"/>
      <c r="AJ965" s="43"/>
    </row>
    <row r="966" spans="1:36" ht="15.95" customHeight="1" x14ac:dyDescent="0.2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  <c r="AA966" s="43"/>
      <c r="AB966" s="43"/>
      <c r="AC966" s="43"/>
      <c r="AD966" s="43"/>
      <c r="AE966" s="43"/>
      <c r="AF966" s="43"/>
      <c r="AG966" s="43"/>
      <c r="AH966" s="43"/>
      <c r="AI966" s="43"/>
      <c r="AJ966" s="43"/>
    </row>
    <row r="967" spans="1:36" ht="15.95" customHeight="1" x14ac:dyDescent="0.2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  <c r="AA967" s="43"/>
      <c r="AB967" s="43"/>
      <c r="AC967" s="43"/>
      <c r="AD967" s="43"/>
      <c r="AE967" s="43"/>
      <c r="AF967" s="43"/>
      <c r="AG967" s="43"/>
      <c r="AH967" s="43"/>
      <c r="AI967" s="43"/>
      <c r="AJ967" s="43"/>
    </row>
    <row r="968" spans="1:36" ht="15.95" customHeight="1" x14ac:dyDescent="0.2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  <c r="AA968" s="43"/>
      <c r="AB968" s="43"/>
      <c r="AC968" s="43"/>
      <c r="AD968" s="43"/>
      <c r="AE968" s="43"/>
      <c r="AF968" s="43"/>
      <c r="AG968" s="43"/>
      <c r="AH968" s="43"/>
      <c r="AI968" s="43"/>
      <c r="AJ968" s="43"/>
    </row>
    <row r="969" spans="1:36" ht="15.95" customHeight="1" x14ac:dyDescent="0.2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  <c r="AA969" s="43"/>
      <c r="AB969" s="43"/>
      <c r="AC969" s="43"/>
      <c r="AD969" s="43"/>
      <c r="AE969" s="43"/>
      <c r="AF969" s="43"/>
      <c r="AG969" s="43"/>
      <c r="AH969" s="43"/>
      <c r="AI969" s="43"/>
      <c r="AJ969" s="43"/>
    </row>
    <row r="970" spans="1:36" ht="15.95" customHeight="1" x14ac:dyDescent="0.2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  <c r="AA970" s="43"/>
      <c r="AB970" s="43"/>
      <c r="AC970" s="43"/>
      <c r="AD970" s="43"/>
      <c r="AE970" s="43"/>
      <c r="AF970" s="43"/>
      <c r="AG970" s="43"/>
      <c r="AH970" s="43"/>
      <c r="AI970" s="43"/>
      <c r="AJ970" s="43"/>
    </row>
    <row r="971" spans="1:36" ht="15.95" customHeight="1" x14ac:dyDescent="0.2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  <c r="AA971" s="43"/>
      <c r="AB971" s="43"/>
      <c r="AC971" s="43"/>
      <c r="AD971" s="43"/>
      <c r="AE971" s="43"/>
      <c r="AF971" s="43"/>
      <c r="AG971" s="43"/>
      <c r="AH971" s="43"/>
      <c r="AI971" s="43"/>
      <c r="AJ971" s="43"/>
    </row>
    <row r="972" spans="1:36" ht="15.95" customHeight="1" x14ac:dyDescent="0.2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  <c r="AA972" s="43"/>
      <c r="AB972" s="43"/>
      <c r="AC972" s="43"/>
      <c r="AD972" s="43"/>
      <c r="AE972" s="43"/>
      <c r="AF972" s="43"/>
      <c r="AG972" s="43"/>
      <c r="AH972" s="43"/>
      <c r="AI972" s="43"/>
      <c r="AJ972" s="43"/>
    </row>
    <row r="973" spans="1:36" ht="15.95" customHeight="1" x14ac:dyDescent="0.2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  <c r="AA973" s="43"/>
      <c r="AB973" s="43"/>
      <c r="AC973" s="43"/>
      <c r="AD973" s="43"/>
      <c r="AE973" s="43"/>
      <c r="AF973" s="43"/>
      <c r="AG973" s="43"/>
      <c r="AH973" s="43"/>
      <c r="AI973" s="43"/>
      <c r="AJ973" s="43"/>
    </row>
    <row r="974" spans="1:36" ht="15.95" customHeight="1" x14ac:dyDescent="0.2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  <c r="AA974" s="43"/>
      <c r="AB974" s="43"/>
      <c r="AC974" s="43"/>
      <c r="AD974" s="43"/>
      <c r="AE974" s="43"/>
      <c r="AF974" s="43"/>
      <c r="AG974" s="43"/>
      <c r="AH974" s="43"/>
      <c r="AI974" s="43"/>
      <c r="AJ974" s="43"/>
    </row>
    <row r="975" spans="1:36" ht="15.95" customHeight="1" x14ac:dyDescent="0.2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  <c r="AA975" s="43"/>
      <c r="AB975" s="43"/>
      <c r="AC975" s="43"/>
      <c r="AD975" s="43"/>
      <c r="AE975" s="43"/>
      <c r="AF975" s="43"/>
      <c r="AG975" s="43"/>
      <c r="AH975" s="43"/>
      <c r="AI975" s="43"/>
      <c r="AJ975" s="43"/>
    </row>
    <row r="976" spans="1:36" ht="15.95" customHeight="1" x14ac:dyDescent="0.2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  <c r="AA976" s="43"/>
      <c r="AB976" s="43"/>
      <c r="AC976" s="43"/>
      <c r="AD976" s="43"/>
      <c r="AE976" s="43"/>
      <c r="AF976" s="43"/>
      <c r="AG976" s="43"/>
      <c r="AH976" s="43"/>
      <c r="AI976" s="43"/>
      <c r="AJ976" s="43"/>
    </row>
    <row r="977" spans="1:36" ht="15.95" customHeight="1" x14ac:dyDescent="0.2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  <c r="AA977" s="43"/>
      <c r="AB977" s="43"/>
      <c r="AC977" s="43"/>
      <c r="AD977" s="43"/>
      <c r="AE977" s="43"/>
      <c r="AF977" s="43"/>
      <c r="AG977" s="43"/>
      <c r="AH977" s="43"/>
      <c r="AI977" s="43"/>
      <c r="AJ977" s="43"/>
    </row>
    <row r="978" spans="1:36" ht="15.95" customHeight="1" x14ac:dyDescent="0.2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  <c r="AA978" s="43"/>
      <c r="AB978" s="43"/>
      <c r="AC978" s="43"/>
      <c r="AD978" s="43"/>
      <c r="AE978" s="43"/>
      <c r="AF978" s="43"/>
      <c r="AG978" s="43"/>
      <c r="AH978" s="43"/>
      <c r="AI978" s="43"/>
      <c r="AJ978" s="43"/>
    </row>
    <row r="979" spans="1:36" ht="15.95" customHeight="1" x14ac:dyDescent="0.2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  <c r="AA979" s="43"/>
      <c r="AB979" s="43"/>
      <c r="AC979" s="43"/>
      <c r="AD979" s="43"/>
      <c r="AE979" s="43"/>
      <c r="AF979" s="43"/>
      <c r="AG979" s="43"/>
      <c r="AH979" s="43"/>
      <c r="AI979" s="43"/>
      <c r="AJ979" s="43"/>
    </row>
    <row r="980" spans="1:36" ht="15.95" customHeight="1" x14ac:dyDescent="0.2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  <c r="AA980" s="43"/>
      <c r="AB980" s="43"/>
      <c r="AC980" s="43"/>
      <c r="AD980" s="43"/>
      <c r="AE980" s="43"/>
      <c r="AF980" s="43"/>
      <c r="AG980" s="43"/>
      <c r="AH980" s="43"/>
      <c r="AI980" s="43"/>
      <c r="AJ980" s="43"/>
    </row>
    <row r="981" spans="1:36" ht="15.95" customHeight="1" x14ac:dyDescent="0.2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  <c r="AA981" s="43"/>
      <c r="AB981" s="43"/>
      <c r="AC981" s="43"/>
      <c r="AD981" s="43"/>
      <c r="AE981" s="43"/>
      <c r="AF981" s="43"/>
      <c r="AG981" s="43"/>
      <c r="AH981" s="43"/>
      <c r="AI981" s="43"/>
      <c r="AJ981" s="43"/>
    </row>
    <row r="982" spans="1:36" ht="15.95" customHeight="1" x14ac:dyDescent="0.2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  <c r="AA982" s="43"/>
      <c r="AB982" s="43"/>
      <c r="AC982" s="43"/>
      <c r="AD982" s="43"/>
      <c r="AE982" s="43"/>
      <c r="AF982" s="43"/>
      <c r="AG982" s="43"/>
      <c r="AH982" s="43"/>
      <c r="AI982" s="43"/>
      <c r="AJ982" s="43"/>
    </row>
    <row r="983" spans="1:36" ht="15.95" customHeight="1" x14ac:dyDescent="0.2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  <c r="AA983" s="43"/>
      <c r="AB983" s="43"/>
      <c r="AC983" s="43"/>
      <c r="AD983" s="43"/>
      <c r="AE983" s="43"/>
      <c r="AF983" s="43"/>
      <c r="AG983" s="43"/>
      <c r="AH983" s="43"/>
      <c r="AI983" s="43"/>
      <c r="AJ983" s="43"/>
    </row>
    <row r="984" spans="1:36" ht="15.95" customHeight="1" x14ac:dyDescent="0.2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  <c r="AA984" s="43"/>
      <c r="AB984" s="43"/>
      <c r="AC984" s="43"/>
      <c r="AD984" s="43"/>
      <c r="AE984" s="43"/>
      <c r="AF984" s="43"/>
      <c r="AG984" s="43"/>
      <c r="AH984" s="43"/>
      <c r="AI984" s="43"/>
      <c r="AJ984" s="43"/>
    </row>
    <row r="985" spans="1:36" ht="15.95" customHeight="1" x14ac:dyDescent="0.2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  <c r="AA985" s="43"/>
      <c r="AB985" s="43"/>
      <c r="AC985" s="43"/>
      <c r="AD985" s="43"/>
      <c r="AE985" s="43"/>
      <c r="AF985" s="43"/>
      <c r="AG985" s="43"/>
      <c r="AH985" s="43"/>
      <c r="AI985" s="43"/>
      <c r="AJ985" s="43"/>
    </row>
    <row r="986" spans="1:36" ht="15.95" customHeight="1" x14ac:dyDescent="0.2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  <c r="AA986" s="43"/>
      <c r="AB986" s="43"/>
      <c r="AC986" s="43"/>
      <c r="AD986" s="43"/>
      <c r="AE986" s="43"/>
      <c r="AF986" s="43"/>
      <c r="AG986" s="43"/>
      <c r="AH986" s="43"/>
      <c r="AI986" s="43"/>
      <c r="AJ986" s="43"/>
    </row>
    <row r="987" spans="1:36" ht="15.95" customHeight="1" x14ac:dyDescent="0.2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  <c r="AA987" s="43"/>
      <c r="AB987" s="43"/>
      <c r="AC987" s="43"/>
      <c r="AD987" s="43"/>
      <c r="AE987" s="43"/>
      <c r="AF987" s="43"/>
      <c r="AG987" s="43"/>
      <c r="AH987" s="43"/>
      <c r="AI987" s="43"/>
      <c r="AJ987" s="43"/>
    </row>
    <row r="988" spans="1:36" ht="15.95" customHeight="1" x14ac:dyDescent="0.2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  <c r="AA988" s="43"/>
      <c r="AB988" s="43"/>
      <c r="AC988" s="43"/>
      <c r="AD988" s="43"/>
      <c r="AE988" s="43"/>
      <c r="AF988" s="43"/>
      <c r="AG988" s="43"/>
      <c r="AH988" s="43"/>
      <c r="AI988" s="43"/>
      <c r="AJ988" s="43"/>
    </row>
    <row r="989" spans="1:36" ht="15.95" customHeight="1" x14ac:dyDescent="0.2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  <c r="AA989" s="43"/>
      <c r="AB989" s="43"/>
      <c r="AC989" s="43"/>
      <c r="AD989" s="43"/>
      <c r="AE989" s="43"/>
      <c r="AF989" s="43"/>
      <c r="AG989" s="43"/>
      <c r="AH989" s="43"/>
      <c r="AI989" s="43"/>
      <c r="AJ989" s="43"/>
    </row>
    <row r="990" spans="1:36" ht="15.95" customHeight="1" x14ac:dyDescent="0.2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  <c r="AA990" s="43"/>
      <c r="AB990" s="43"/>
      <c r="AC990" s="43"/>
      <c r="AD990" s="43"/>
      <c r="AE990" s="43"/>
      <c r="AF990" s="43"/>
      <c r="AG990" s="43"/>
      <c r="AH990" s="43"/>
      <c r="AI990" s="43"/>
      <c r="AJ990" s="43"/>
    </row>
    <row r="991" spans="1:36" ht="15.95" customHeight="1" x14ac:dyDescent="0.2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  <c r="AA991" s="43"/>
      <c r="AB991" s="43"/>
      <c r="AC991" s="43"/>
      <c r="AD991" s="43"/>
      <c r="AE991" s="43"/>
      <c r="AF991" s="43"/>
      <c r="AG991" s="43"/>
      <c r="AH991" s="43"/>
      <c r="AI991" s="43"/>
      <c r="AJ991" s="43"/>
    </row>
    <row r="992" spans="1:36" ht="15.95" customHeight="1" x14ac:dyDescent="0.2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  <c r="AA992" s="43"/>
      <c r="AB992" s="43"/>
      <c r="AC992" s="43"/>
      <c r="AD992" s="43"/>
      <c r="AE992" s="43"/>
      <c r="AF992" s="43"/>
      <c r="AG992" s="43"/>
      <c r="AH992" s="43"/>
      <c r="AI992" s="43"/>
      <c r="AJ992" s="43"/>
    </row>
    <row r="993" spans="1:36" ht="15.95" customHeight="1" x14ac:dyDescent="0.2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  <c r="AA993" s="43"/>
      <c r="AB993" s="43"/>
      <c r="AC993" s="43"/>
      <c r="AD993" s="43"/>
      <c r="AE993" s="43"/>
      <c r="AF993" s="43"/>
      <c r="AG993" s="43"/>
      <c r="AH993" s="43"/>
      <c r="AI993" s="43"/>
      <c r="AJ993" s="43"/>
    </row>
    <row r="994" spans="1:36" ht="15.95" customHeight="1" x14ac:dyDescent="0.2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  <c r="AA994" s="43"/>
      <c r="AB994" s="43"/>
      <c r="AC994" s="43"/>
      <c r="AD994" s="43"/>
      <c r="AE994" s="43"/>
      <c r="AF994" s="43"/>
      <c r="AG994" s="43"/>
      <c r="AH994" s="43"/>
      <c r="AI994" s="43"/>
      <c r="AJ994" s="43"/>
    </row>
    <row r="995" spans="1:36" ht="15.95" customHeight="1" x14ac:dyDescent="0.2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  <c r="AA995" s="43"/>
      <c r="AB995" s="43"/>
      <c r="AC995" s="43"/>
      <c r="AD995" s="43"/>
      <c r="AE995" s="43"/>
      <c r="AF995" s="43"/>
      <c r="AG995" s="43"/>
      <c r="AH995" s="43"/>
      <c r="AI995" s="43"/>
      <c r="AJ995" s="43"/>
    </row>
  </sheetData>
  <mergeCells count="17">
    <mergeCell ref="C1:E1"/>
    <mergeCell ref="G1:K1"/>
    <mergeCell ref="S15:W15"/>
    <mergeCell ref="X15:AA15"/>
    <mergeCell ref="AB15:AF15"/>
    <mergeCell ref="AG15:AI15"/>
    <mergeCell ref="N15:Q15"/>
    <mergeCell ref="N3:Q3"/>
    <mergeCell ref="N9:Q9"/>
    <mergeCell ref="AG3:AI3"/>
    <mergeCell ref="S3:W3"/>
    <mergeCell ref="S9:W9"/>
    <mergeCell ref="AG9:AI9"/>
    <mergeCell ref="X3:AA3"/>
    <mergeCell ref="X9:AA9"/>
    <mergeCell ref="AB3:AF3"/>
    <mergeCell ref="AB9:AF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Customization</vt:lpstr>
      <vt:lpstr>Data Entry</vt:lpstr>
      <vt:lpstr>Data</vt:lpstr>
      <vt:lpstr>Pick List</vt:lpstr>
      <vt:lpstr>Template</vt:lpstr>
      <vt:lpstr>Auto1</vt:lpstr>
      <vt:lpstr>Team_Count</vt:lpstr>
      <vt:lpstr>Team_Numbers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Cade Schanzenbach</dc:creator>
  <cp:lastModifiedBy>marie beaver</cp:lastModifiedBy>
  <dcterms:created xsi:type="dcterms:W3CDTF">2017-01-28T18:04:26Z</dcterms:created>
  <dcterms:modified xsi:type="dcterms:W3CDTF">2018-03-14T00:59:35Z</dcterms:modified>
</cp:coreProperties>
</file>